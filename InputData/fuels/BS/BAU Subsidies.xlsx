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Rachel Goldstein\Desktop\EPS Models\Indonesia EPS\InputData\fuels\BS\"/>
    </mc:Choice>
  </mc:AlternateContent>
  <xr:revisionPtr revIDLastSave="0" documentId="13_ncr:1_{7D2FFFF6-DB00-4980-A896-FD74BA0DF856}" xr6:coauthVersionLast="47" xr6:coauthVersionMax="47" xr10:uidLastSave="{00000000-0000-0000-0000-000000000000}"/>
  <bookViews>
    <workbookView xWindow="41790" yWindow="1590" windowWidth="18450" windowHeight="13365" firstSheet="8" activeTab="11" xr2:uid="{00000000-000D-0000-FFFF-FFFF00000000}"/>
  </bookViews>
  <sheets>
    <sheet name="About" sheetId="1" r:id="rId1"/>
    <sheet name="Calculation" sheetId="2" r:id="rId2"/>
    <sheet name="BS-BSfTFpEUP-transportation" sheetId="3" r:id="rId3"/>
    <sheet name="BS-BSfTFpEUP-electricity" sheetId="10" r:id="rId4"/>
    <sheet name="BS-BSfTFpEUP-res-bldgs" sheetId="15" r:id="rId5"/>
    <sheet name="BS-BSfTFpEUP-com-bldgs" sheetId="13" r:id="rId6"/>
    <sheet name="BS-BSfTFpEUP-industry" sheetId="12" r:id="rId7"/>
    <sheet name="BS-BSfTFpEUP-dist-heat-hydgn" sheetId="11" r:id="rId8"/>
    <sheet name="BS-BSfTFpEUP-geoeng" sheetId="14" r:id="rId9"/>
    <sheet name="BS-BSpUEO" sheetId="4" r:id="rId10"/>
    <sheet name="BS-BSpUECB" sheetId="7" r:id="rId11"/>
    <sheet name="BS-DoSpUEO" sheetId="8" r:id="rId12"/>
  </sheets>
  <definedNames>
    <definedName name="dollars_2022_201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3" roundtripDataSignature="AMtx7mjeseTohZ1Z6pQbh9xAPcV+uJI+bQ=="/>
    </ext>
  </extLst>
</workbook>
</file>

<file path=xl/calcChain.xml><?xml version="1.0" encoding="utf-8"?>
<calcChain xmlns="http://schemas.openxmlformats.org/spreadsheetml/2006/main">
  <c r="AG20" i="15" l="1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G11" i="15"/>
  <c r="AF11" i="15"/>
  <c r="AE11" i="15"/>
  <c r="AD11" i="15"/>
  <c r="AC11" i="15"/>
  <c r="AB11" i="15"/>
  <c r="AA11" i="15"/>
  <c r="Z11" i="15"/>
  <c r="Y11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G2" i="15"/>
  <c r="AF2" i="15"/>
  <c r="AE2" i="15"/>
  <c r="AD2" i="15"/>
  <c r="AC2" i="15"/>
  <c r="AB2" i="15"/>
  <c r="AA2" i="15"/>
  <c r="Z2" i="15"/>
  <c r="Y2" i="15"/>
  <c r="X2" i="15"/>
  <c r="W2" i="15"/>
  <c r="V2" i="15"/>
  <c r="U2" i="15"/>
  <c r="T2" i="15"/>
  <c r="S2" i="15"/>
  <c r="R2" i="15"/>
  <c r="Q2" i="15"/>
  <c r="P2" i="15"/>
  <c r="O2" i="15"/>
  <c r="N2" i="15"/>
  <c r="M2" i="15"/>
  <c r="L2" i="15"/>
  <c r="K2" i="15"/>
  <c r="J2" i="15"/>
  <c r="I2" i="15"/>
  <c r="H2" i="15"/>
  <c r="G2" i="15"/>
  <c r="F2" i="15"/>
  <c r="E2" i="15"/>
  <c r="D2" i="15"/>
  <c r="C2" i="15"/>
  <c r="B2" i="15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G11" i="14"/>
  <c r="AF11" i="14"/>
  <c r="AE11" i="14"/>
  <c r="AD11" i="14"/>
  <c r="AC11" i="14"/>
  <c r="AB11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G2" i="14"/>
  <c r="AF2" i="14"/>
  <c r="AE2" i="14"/>
  <c r="AD2" i="14"/>
  <c r="AC2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2" i="14"/>
  <c r="B2" i="14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AG11" i="13"/>
  <c r="AF11" i="13"/>
  <c r="AE11" i="13"/>
  <c r="AD11" i="13"/>
  <c r="AC11" i="13"/>
  <c r="AB11" i="13"/>
  <c r="AA11" i="13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AG2" i="13"/>
  <c r="AF2" i="13"/>
  <c r="AE2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AG20" i="12"/>
  <c r="AF20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AG11" i="12"/>
  <c r="AF11" i="12"/>
  <c r="AE11" i="12"/>
  <c r="AD11" i="12"/>
  <c r="AC11" i="12"/>
  <c r="AB11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B11" i="12"/>
  <c r="AG2" i="12"/>
  <c r="AF2" i="12"/>
  <c r="AE2" i="12"/>
  <c r="AD2" i="12"/>
  <c r="AC2" i="12"/>
  <c r="AB2" i="12"/>
  <c r="AA2" i="12"/>
  <c r="Z2" i="12"/>
  <c r="Y2" i="12"/>
  <c r="X2" i="12"/>
  <c r="W2" i="12"/>
  <c r="V2" i="12"/>
  <c r="U2" i="12"/>
  <c r="T2" i="12"/>
  <c r="S2" i="12"/>
  <c r="R2" i="12"/>
  <c r="Q2" i="12"/>
  <c r="P2" i="12"/>
  <c r="O2" i="12"/>
  <c r="N2" i="12"/>
  <c r="M2" i="12"/>
  <c r="L2" i="12"/>
  <c r="K2" i="12"/>
  <c r="J2" i="12"/>
  <c r="I2" i="12"/>
  <c r="H2" i="12"/>
  <c r="G2" i="12"/>
  <c r="F2" i="12"/>
  <c r="E2" i="12"/>
  <c r="D2" i="12"/>
  <c r="C2" i="12"/>
  <c r="B2" i="12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G2" i="11"/>
  <c r="AF2" i="11"/>
  <c r="AE2" i="11"/>
  <c r="AD2" i="11"/>
  <c r="AC2" i="11"/>
  <c r="AB2" i="11"/>
  <c r="AA2" i="11"/>
  <c r="Z2" i="11"/>
  <c r="Y2" i="11"/>
  <c r="X2" i="11"/>
  <c r="W2" i="11"/>
  <c r="V2" i="11"/>
  <c r="U2" i="11"/>
  <c r="T2" i="11"/>
  <c r="S2" i="11"/>
  <c r="R2" i="11"/>
  <c r="Q2" i="11"/>
  <c r="P2" i="11"/>
  <c r="O2" i="11"/>
  <c r="N2" i="11"/>
  <c r="M2" i="11"/>
  <c r="L2" i="11"/>
  <c r="K2" i="11"/>
  <c r="J2" i="11"/>
  <c r="I2" i="11"/>
  <c r="H2" i="11"/>
  <c r="G2" i="11"/>
  <c r="F2" i="11"/>
  <c r="E2" i="11"/>
  <c r="D2" i="11"/>
  <c r="C2" i="11"/>
  <c r="B2" i="11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G2" i="10"/>
  <c r="AF2" i="10"/>
  <c r="AE2" i="10"/>
  <c r="AD2" i="10"/>
  <c r="AC2" i="10"/>
  <c r="AB2" i="10"/>
  <c r="AA2" i="10"/>
  <c r="Z2" i="10"/>
  <c r="Y2" i="10"/>
  <c r="X2" i="10"/>
  <c r="W2" i="10"/>
  <c r="V2" i="10"/>
  <c r="U2" i="10"/>
  <c r="T2" i="10"/>
  <c r="S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E2" i="10"/>
  <c r="D2" i="10"/>
  <c r="C2" i="10"/>
  <c r="B2" i="10"/>
  <c r="B31" i="2"/>
  <c r="B30" i="2"/>
  <c r="B29" i="2"/>
  <c r="B27" i="2" l="1"/>
  <c r="B19" i="2"/>
  <c r="B18" i="2"/>
  <c r="B20" i="2" s="1"/>
  <c r="B21" i="2" s="1"/>
  <c r="B9" i="2"/>
  <c r="B11" i="2" l="1"/>
  <c r="B12" i="2" s="1"/>
  <c r="B13" i="2" s="1"/>
  <c r="B22" i="2"/>
  <c r="H20" i="3" s="1"/>
  <c r="AC2" i="3"/>
  <c r="I2" i="3"/>
  <c r="AB2" i="3"/>
  <c r="H2" i="3"/>
  <c r="AG2" i="3"/>
  <c r="J2" i="3"/>
  <c r="AA2" i="3"/>
  <c r="G2" i="3"/>
  <c r="Z2" i="3"/>
  <c r="F2" i="3"/>
  <c r="R2" i="3"/>
  <c r="Q2" i="3"/>
  <c r="N2" i="3"/>
  <c r="K2" i="3"/>
  <c r="AD2" i="3"/>
  <c r="Y2" i="3"/>
  <c r="E2" i="3"/>
  <c r="X2" i="3"/>
  <c r="D2" i="3"/>
  <c r="W2" i="3"/>
  <c r="C2" i="3"/>
  <c r="V2" i="3"/>
  <c r="B2" i="3"/>
  <c r="U2" i="3"/>
  <c r="T2" i="3"/>
  <c r="S2" i="3"/>
  <c r="P2" i="3"/>
  <c r="O2" i="3"/>
  <c r="M2" i="3"/>
  <c r="AF2" i="3"/>
  <c r="L2" i="3"/>
  <c r="AE2" i="3"/>
  <c r="S20" i="3" l="1"/>
  <c r="R20" i="3"/>
  <c r="P20" i="3"/>
  <c r="Q20" i="3"/>
  <c r="Y20" i="3"/>
  <c r="X20" i="3"/>
  <c r="E20" i="3"/>
  <c r="T20" i="3"/>
  <c r="F20" i="3"/>
  <c r="J20" i="3"/>
  <c r="K20" i="3"/>
  <c r="V20" i="3"/>
  <c r="Z20" i="3"/>
  <c r="AB20" i="3"/>
  <c r="L20" i="3"/>
  <c r="M20" i="3"/>
  <c r="N20" i="3"/>
  <c r="AA20" i="3"/>
  <c r="B20" i="3"/>
  <c r="I20" i="3"/>
  <c r="C20" i="3"/>
  <c r="AE20" i="3"/>
  <c r="W20" i="3"/>
  <c r="AF20" i="3"/>
  <c r="AC20" i="3"/>
  <c r="AG20" i="3"/>
  <c r="AD20" i="3"/>
  <c r="O20" i="3"/>
  <c r="D20" i="3"/>
  <c r="U20" i="3"/>
  <c r="M11" i="3"/>
  <c r="AF11" i="3"/>
  <c r="L11" i="3"/>
  <c r="AE11" i="3"/>
  <c r="K11" i="3"/>
  <c r="AD11" i="3"/>
  <c r="J11" i="3"/>
  <c r="Q11" i="3"/>
  <c r="P11" i="3"/>
  <c r="I11" i="3"/>
  <c r="B11" i="3"/>
  <c r="H11" i="3"/>
  <c r="O11" i="3"/>
  <c r="N11" i="3"/>
  <c r="E11" i="3"/>
  <c r="X11" i="3"/>
  <c r="U11" i="3"/>
  <c r="C11" i="3"/>
  <c r="AC11" i="3"/>
  <c r="AB11" i="3"/>
  <c r="AA11" i="3"/>
  <c r="G11" i="3"/>
  <c r="D11" i="3"/>
  <c r="V11" i="3"/>
  <c r="F11" i="3"/>
  <c r="T11" i="3"/>
  <c r="Z11" i="3"/>
  <c r="Y11" i="3"/>
  <c r="W11" i="3"/>
  <c r="S11" i="3"/>
  <c r="R11" i="3"/>
  <c r="AG11" i="3"/>
  <c r="G20" i="3"/>
</calcChain>
</file>

<file path=xl/sharedStrings.xml><?xml version="1.0" encoding="utf-8"?>
<sst xmlns="http://schemas.openxmlformats.org/spreadsheetml/2006/main" count="302" uniqueCount="95">
  <si>
    <t>BS BAU Subsidy for Thermal Fuels per Energy Unit Produced ($/BTU)</t>
  </si>
  <si>
    <t>BS BAU Subsidy per Unit Electricity Output (($/MWh)</t>
  </si>
  <si>
    <t>BS BAU Subsidy per Unit Electricity Capacity Built</t>
  </si>
  <si>
    <t>BS Duration of Subsidies per Unit Electricity Output</t>
  </si>
  <si>
    <t>Energy Subsidy in 2019</t>
  </si>
  <si>
    <t>Source: https://www.kemenkeu.go.id/media/15858/lkpp-2019.pdf</t>
  </si>
  <si>
    <t>https://www.iisd.org/system/files/2020-09/indonesia-energy-policy-briefing-july-2020-bahasa.pdf Page 3</t>
  </si>
  <si>
    <t>Energy Consumption in 2019</t>
  </si>
  <si>
    <t>HEESI, Indonesia Energy Table Balance 2019</t>
  </si>
  <si>
    <t>Source: https://www.esdm.go.id/en/publication/handbook-of-energy-economic-statistics-of-indonesia-heesi</t>
  </si>
  <si>
    <t>Conversion</t>
  </si>
  <si>
    <t>1 IDR</t>
  </si>
  <si>
    <t>USD</t>
  </si>
  <si>
    <t>Source: https://www.statista.com/statistics/995840/indonesia-exchange-rate-between-rupiahs-and-us-dollar/</t>
  </si>
  <si>
    <t>1 BOE</t>
  </si>
  <si>
    <t>BTU</t>
  </si>
  <si>
    <t>Source: hhttps://www.traditionaloven.com/tutorials/energy/convert-barrel-oil-equivalent-boe-to-btu-international-table.html</t>
  </si>
  <si>
    <t>Note:</t>
  </si>
  <si>
    <t>The duration of subsidies per unit electricity output variable should specify the number of years</t>
  </si>
  <si>
    <t>generators will qualify for electricity production tax credits/incentives.</t>
  </si>
  <si>
    <t>In Indonesia energy subsidy allocated for 3 sector: Fuel (spesific diesel fuel and Kerosene), LPG 3 kg, and Electricity</t>
  </si>
  <si>
    <t>Assumption petroleum diesel as fuel in HEESI</t>
  </si>
  <si>
    <t>We assume all subsidies continue indefinitely.</t>
  </si>
  <si>
    <t>Same values for PreRet, PreNonRet, NewBlt, UECB (Feb 2023, SO)</t>
  </si>
  <si>
    <t xml:space="preserve">LPG -&gt; "LPG propane or butane" </t>
  </si>
  <si>
    <t xml:space="preserve">Feb 2023 update: </t>
  </si>
  <si>
    <t>BS BAU Subsidy for Thermal Fuels per Energy Unit Produced</t>
  </si>
  <si>
    <t>BS BAU Subsidy per Unit Electricity Output</t>
  </si>
  <si>
    <t>Trend Energy Subsidy Amount</t>
  </si>
  <si>
    <t>Sector</t>
  </si>
  <si>
    <t>Source: LKPP, 2019</t>
  </si>
  <si>
    <t>Subsidy for Oil Fuel (billion rupiah)</t>
  </si>
  <si>
    <t>Subsidy for Oil LPG (billion rupiah)</t>
  </si>
  <si>
    <t>Subsidi Listrik (miliar rupiah)</t>
  </si>
  <si>
    <t>Fuel (Petroleum Diesel)</t>
  </si>
  <si>
    <t>Total</t>
  </si>
  <si>
    <t>Unit</t>
  </si>
  <si>
    <t>Source</t>
  </si>
  <si>
    <t>Budgeted subsidy for 2019</t>
  </si>
  <si>
    <t>billion IDR</t>
  </si>
  <si>
    <t>Total petroleum consumed in 2019</t>
  </si>
  <si>
    <t>BoE</t>
  </si>
  <si>
    <t>HEESI 2019</t>
  </si>
  <si>
    <t>Rupiah/BTU</t>
  </si>
  <si>
    <t>Dollar/BTU</t>
  </si>
  <si>
    <t>LPG</t>
  </si>
  <si>
    <t>Total LPG consumed in 2019</t>
  </si>
  <si>
    <t>Rupiah/BoE</t>
  </si>
  <si>
    <t>Electricity</t>
  </si>
  <si>
    <t>Total electricity consumed in 2019</t>
  </si>
  <si>
    <t>Saat ini, Jenis BBM Tertentu (JBT) terdiri dari minyak solar dan minyak tanah.</t>
  </si>
  <si>
    <t>Asumsi Proyeksi sama setiap tahun</t>
  </si>
  <si>
    <t>Sumber: https://www.iisd.org/gsi/sites/default/files/Evita%20Legowo%20MIGAS.pdf</t>
  </si>
  <si>
    <t>Year</t>
  </si>
  <si>
    <t>electricity</t>
  </si>
  <si>
    <t>hard coal ($/BTU)</t>
  </si>
  <si>
    <t>natural gas ($/BTU)</t>
  </si>
  <si>
    <t>nuclear</t>
  </si>
  <si>
    <t>hydro</t>
  </si>
  <si>
    <t>wind</t>
  </si>
  <si>
    <t>solar</t>
  </si>
  <si>
    <t>biomass ($/BTU)</t>
  </si>
  <si>
    <t>petroleum gasoline ($/BTU)</t>
  </si>
  <si>
    <t>petroleum diesel ($/BTU)</t>
  </si>
  <si>
    <t>biofuel gasoline</t>
  </si>
  <si>
    <t>biofuel diesel</t>
  </si>
  <si>
    <t>jet fuel ($/BTU)</t>
  </si>
  <si>
    <t>heat</t>
  </si>
  <si>
    <t>geothermal</t>
  </si>
  <si>
    <t>lignite ($/BTU)</t>
  </si>
  <si>
    <t>crude oil</t>
  </si>
  <si>
    <t>heavy fuel oil</t>
  </si>
  <si>
    <t>LPG propane or butane</t>
  </si>
  <si>
    <t>municipal solid waste</t>
  </si>
  <si>
    <t>hydrogen</t>
  </si>
  <si>
    <t>hard coal</t>
  </si>
  <si>
    <t>natural gas steam turbine</t>
  </si>
  <si>
    <t>natural gas combined cycle</t>
  </si>
  <si>
    <t>onshore wind</t>
  </si>
  <si>
    <t>solar PV</t>
  </si>
  <si>
    <t>solar thermal</t>
  </si>
  <si>
    <t>biomass</t>
  </si>
  <si>
    <t>petroleum</t>
  </si>
  <si>
    <t>natural gas peaker</t>
  </si>
  <si>
    <t>lignite</t>
  </si>
  <si>
    <t>offshore wind</t>
  </si>
  <si>
    <t>heavy or residual fuel oil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</si>
  <si>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</si>
  <si>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</si>
  <si>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</si>
  <si>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</si>
  <si>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</si>
  <si>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</si>
  <si>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</si>
  <si>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% of capital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</si>
</sst>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" fillId="0" borderId="2"/>
  </cellStyleXfs>
  <cellXfs count="25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wrapText="1"/>
    </xf>
    <xf numFmtId="0" fontId="4" fillId="2" borderId="2" xfId="0" applyFont="1" applyFill="1" applyBorder="1"/>
    <xf numFmtId="0" fontId="3" fillId="2" borderId="2" xfId="0" applyFont="1" applyFill="1" applyBorder="1"/>
    <xf numFmtId="0" fontId="5" fillId="0" borderId="0" xfId="0" applyFont="1"/>
    <xf numFmtId="0" fontId="4" fillId="0" borderId="4" xfId="0" applyFont="1" applyBorder="1" applyAlignment="1">
      <alignment horizontal="center"/>
    </xf>
    <xf numFmtId="0" fontId="3" fillId="0" borderId="4" xfId="0" applyFont="1" applyBorder="1"/>
    <xf numFmtId="0" fontId="3" fillId="0" borderId="0" xfId="0" applyFont="1"/>
    <xf numFmtId="0" fontId="3" fillId="0" borderId="4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0" borderId="1" xfId="0" applyFont="1" applyBorder="1" applyAlignment="1">
      <alignment horizontal="right" wrapText="1"/>
    </xf>
    <xf numFmtId="11" fontId="0" fillId="0" borderId="0" xfId="0" applyNumberFormat="1"/>
    <xf numFmtId="0" fontId="9" fillId="0" borderId="0" xfId="0" applyFont="1" applyAlignment="1">
      <alignment vertical="center"/>
    </xf>
    <xf numFmtId="0" fontId="1" fillId="0" borderId="2" xfId="1"/>
    <xf numFmtId="164" fontId="1" fillId="0" borderId="2" xfId="1" applyNumberFormat="1"/>
    <xf numFmtId="0" fontId="9" fillId="0" borderId="2" xfId="1" applyFont="1" applyAlignment="1">
      <alignment vertical="center"/>
    </xf>
    <xf numFmtId="0" fontId="8" fillId="0" borderId="0" xfId="0" applyFont="1"/>
    <xf numFmtId="0" fontId="10" fillId="0" borderId="4" xfId="0" applyFont="1" applyBorder="1"/>
    <xf numFmtId="11" fontId="10" fillId="0" borderId="4" xfId="0" applyNumberFormat="1" applyFont="1" applyBorder="1"/>
    <xf numFmtId="0" fontId="1" fillId="0" borderId="0" xfId="0" applyFont="1"/>
    <xf numFmtId="0" fontId="6" fillId="0" borderId="3" xfId="0" applyFont="1" applyBorder="1" applyAlignment="1">
      <alignment horizontal="center"/>
    </xf>
    <xf numFmtId="0" fontId="7" fillId="0" borderId="3" xfId="0" applyFont="1" applyBorder="1"/>
    <xf numFmtId="0" fontId="3" fillId="0" borderId="5" xfId="0" applyFont="1" applyBorder="1" applyAlignment="1">
      <alignment horizontal="center"/>
    </xf>
    <xf numFmtId="0" fontId="7" fillId="0" borderId="6" xfId="0" applyFont="1" applyBorder="1"/>
  </cellXfs>
  <cellStyles count="2">
    <cellStyle name="Normal" xfId="0" builtinId="0"/>
    <cellStyle name="Normal 2" xfId="1" xr:uid="{171F4D31-42BA-4AB6-918A-022E53740B63}"/>
  </cellStyles>
  <dxfs count="0"/>
  <tableStyles count="0" defaultTableStyle="TableStyleMedium2" defaultPivotStyle="PivotStyleLight16"/>
  <colors>
    <mruColors>
      <color rgb="FF2F54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isd.org/system/files/2020-09/indonesia-energy-policy-briefing-july-2020-bahasa.pdf%20Page%2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workbookViewId="0">
      <selection activeCell="P38" sqref="P38"/>
    </sheetView>
  </sheetViews>
  <sheetFormatPr defaultColWidth="14.44140625" defaultRowHeight="15" customHeight="1" x14ac:dyDescent="0.3"/>
  <cols>
    <col min="1" max="1" width="11.88671875" customWidth="1"/>
    <col min="2" max="2" width="9.88671875" customWidth="1"/>
    <col min="3" max="26" width="8.6640625" customWidth="1"/>
  </cols>
  <sheetData>
    <row r="1" spans="1:3" ht="14.25" customHeight="1" x14ac:dyDescent="0.3">
      <c r="A1" s="1" t="s">
        <v>0</v>
      </c>
      <c r="B1" s="2"/>
    </row>
    <row r="2" spans="1:3" ht="14.25" customHeight="1" x14ac:dyDescent="0.3">
      <c r="A2" s="1" t="s">
        <v>1</v>
      </c>
      <c r="B2" s="2"/>
    </row>
    <row r="3" spans="1:3" ht="14.25" customHeight="1" x14ac:dyDescent="0.3">
      <c r="A3" s="1" t="s">
        <v>2</v>
      </c>
    </row>
    <row r="4" spans="1:3" ht="14.25" customHeight="1" x14ac:dyDescent="0.3">
      <c r="A4" s="17" t="s">
        <v>3</v>
      </c>
    </row>
    <row r="5" spans="1:3" ht="14.25" customHeight="1" x14ac:dyDescent="0.3"/>
    <row r="6" spans="1:3" ht="14.25" customHeight="1" x14ac:dyDescent="0.3">
      <c r="A6" s="3" t="s">
        <v>4</v>
      </c>
      <c r="B6" s="3"/>
      <c r="C6" s="4"/>
    </row>
    <row r="7" spans="1:3" ht="14.25" customHeight="1" x14ac:dyDescent="0.3">
      <c r="A7" s="20" t="s">
        <v>5</v>
      </c>
    </row>
    <row r="8" spans="1:3" ht="14.25" customHeight="1" x14ac:dyDescent="0.3">
      <c r="A8" s="5" t="s">
        <v>6</v>
      </c>
    </row>
    <row r="9" spans="1:3" ht="14.25" customHeight="1" x14ac:dyDescent="0.3">
      <c r="A9" s="5"/>
    </row>
    <row r="10" spans="1:3" ht="14.25" customHeight="1" x14ac:dyDescent="0.3">
      <c r="A10" s="3" t="s">
        <v>7</v>
      </c>
      <c r="B10" s="3"/>
      <c r="C10" s="3"/>
    </row>
    <row r="11" spans="1:3" ht="14.25" customHeight="1" x14ac:dyDescent="0.3">
      <c r="A11" s="20" t="s">
        <v>8</v>
      </c>
    </row>
    <row r="12" spans="1:3" ht="14.25" customHeight="1" x14ac:dyDescent="0.3">
      <c r="A12" s="20" t="s">
        <v>9</v>
      </c>
    </row>
    <row r="13" spans="1:3" ht="14.25" customHeight="1" x14ac:dyDescent="0.3"/>
    <row r="14" spans="1:3" ht="14.25" customHeight="1" x14ac:dyDescent="0.3"/>
    <row r="15" spans="1:3" ht="14.25" customHeight="1" x14ac:dyDescent="0.3"/>
    <row r="16" spans="1:3" ht="14.25" customHeight="1" x14ac:dyDescent="0.3"/>
    <row r="17" spans="1:7" ht="14.25" customHeight="1" x14ac:dyDescent="0.3">
      <c r="A17" s="3" t="s">
        <v>10</v>
      </c>
      <c r="B17" s="3"/>
    </row>
    <row r="18" spans="1:7" ht="14.25" customHeight="1" x14ac:dyDescent="0.3">
      <c r="A18" s="20" t="s">
        <v>11</v>
      </c>
      <c r="B18" s="20">
        <v>7.1937270699949638E-5</v>
      </c>
      <c r="C18" s="20" t="s">
        <v>12</v>
      </c>
      <c r="D18" s="20" t="s">
        <v>13</v>
      </c>
    </row>
    <row r="19" spans="1:7" ht="14.25" customHeight="1" x14ac:dyDescent="0.3">
      <c r="A19" s="20" t="s">
        <v>14</v>
      </c>
      <c r="B19" s="20">
        <v>5800640.7800000003</v>
      </c>
      <c r="C19" s="20" t="s">
        <v>15</v>
      </c>
      <c r="D19" s="20" t="s">
        <v>16</v>
      </c>
    </row>
    <row r="20" spans="1:7" ht="14.25" customHeight="1" x14ac:dyDescent="0.3"/>
    <row r="21" spans="1:7" ht="14.25" customHeight="1" x14ac:dyDescent="0.3"/>
    <row r="22" spans="1:7" ht="14.25" customHeight="1" x14ac:dyDescent="0.3">
      <c r="A22" s="17" t="s">
        <v>17</v>
      </c>
    </row>
    <row r="23" spans="1:7" ht="14.25" customHeight="1" x14ac:dyDescent="0.3">
      <c r="A23" t="s">
        <v>18</v>
      </c>
    </row>
    <row r="24" spans="1:7" ht="14.25" customHeight="1" x14ac:dyDescent="0.3">
      <c r="A24" t="s">
        <v>19</v>
      </c>
    </row>
    <row r="25" spans="1:7" ht="14.25" customHeight="1" x14ac:dyDescent="0.3">
      <c r="A25" s="17"/>
    </row>
    <row r="26" spans="1:7" ht="14.25" customHeight="1" x14ac:dyDescent="0.3">
      <c r="A26" s="20" t="s">
        <v>20</v>
      </c>
    </row>
    <row r="27" spans="1:7" ht="14.25" customHeight="1" x14ac:dyDescent="0.3">
      <c r="A27" s="20" t="s">
        <v>21</v>
      </c>
    </row>
    <row r="28" spans="1:7" ht="14.25" customHeight="1" x14ac:dyDescent="0.3">
      <c r="A28" s="20" t="s">
        <v>22</v>
      </c>
    </row>
    <row r="29" spans="1:7" ht="14.25" customHeight="1" x14ac:dyDescent="0.3"/>
    <row r="30" spans="1:7" ht="14.25" customHeight="1" x14ac:dyDescent="0.3">
      <c r="A30" s="20" t="s">
        <v>23</v>
      </c>
    </row>
    <row r="31" spans="1:7" ht="14.25" customHeight="1" x14ac:dyDescent="0.3">
      <c r="G31" s="20" t="s">
        <v>24</v>
      </c>
    </row>
    <row r="32" spans="1:7" ht="14.25" customHeight="1" x14ac:dyDescent="0.3">
      <c r="A32" s="20" t="s">
        <v>25</v>
      </c>
    </row>
    <row r="33" spans="1:1" ht="14.25" customHeight="1" x14ac:dyDescent="0.3">
      <c r="A33" s="1" t="s">
        <v>26</v>
      </c>
    </row>
    <row r="34" spans="1:1" ht="14.25" customHeight="1" x14ac:dyDescent="0.3">
      <c r="A34" s="1" t="s">
        <v>27</v>
      </c>
    </row>
    <row r="35" spans="1:1" ht="14.25" customHeight="1" x14ac:dyDescent="0.3"/>
    <row r="36" spans="1:1" ht="14.25" customHeight="1" x14ac:dyDescent="0.3"/>
    <row r="37" spans="1:1" ht="14.25" customHeight="1" x14ac:dyDescent="0.3"/>
    <row r="38" spans="1:1" ht="14.25" customHeight="1" x14ac:dyDescent="0.3"/>
    <row r="39" spans="1:1" ht="14.25" customHeight="1" x14ac:dyDescent="0.3"/>
    <row r="40" spans="1:1" ht="14.25" customHeight="1" x14ac:dyDescent="0.3"/>
    <row r="41" spans="1:1" ht="14.25" customHeight="1" x14ac:dyDescent="0.3"/>
    <row r="42" spans="1:1" ht="14.25" customHeight="1" x14ac:dyDescent="0.3"/>
    <row r="43" spans="1:1" ht="14.25" customHeight="1" x14ac:dyDescent="0.3"/>
    <row r="44" spans="1:1" ht="14.25" customHeight="1" x14ac:dyDescent="0.3"/>
    <row r="45" spans="1:1" ht="14.25" customHeight="1" x14ac:dyDescent="0.3"/>
    <row r="46" spans="1:1" ht="14.25" customHeight="1" x14ac:dyDescent="0.3"/>
    <row r="47" spans="1:1" ht="14.25" customHeight="1" x14ac:dyDescent="0.3"/>
    <row r="48" spans="1:1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</sheetData>
  <hyperlinks>
    <hyperlink ref="A8" r:id="rId1" xr:uid="{00000000-0004-0000-0000-000000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3"/>
  <sheetViews>
    <sheetView workbookViewId="0">
      <selection activeCell="J45" sqref="J45"/>
    </sheetView>
  </sheetViews>
  <sheetFormatPr defaultColWidth="14.44140625" defaultRowHeight="15" customHeight="1" x14ac:dyDescent="0.3"/>
  <cols>
    <col min="1" max="1" width="31" customWidth="1"/>
    <col min="2" max="2" width="12.109375" customWidth="1"/>
    <col min="3" max="3" width="10.5546875" customWidth="1"/>
    <col min="4" max="4" width="12.5546875" customWidth="1"/>
    <col min="5" max="5" width="8.6640625" customWidth="1"/>
    <col min="6" max="6" width="11.88671875" customWidth="1"/>
    <col min="7" max="26" width="8.6640625" customWidth="1"/>
  </cols>
  <sheetData>
    <row r="1" spans="1:8" ht="14.25" customHeight="1" x14ac:dyDescent="0.3">
      <c r="A1" s="21" t="s">
        <v>28</v>
      </c>
      <c r="B1" s="22"/>
      <c r="C1" s="22"/>
      <c r="D1" s="22"/>
      <c r="E1" s="22"/>
      <c r="F1" s="22"/>
      <c r="G1" s="22"/>
    </row>
    <row r="2" spans="1:8" ht="14.25" customHeight="1" x14ac:dyDescent="0.3">
      <c r="A2" s="6" t="s">
        <v>29</v>
      </c>
      <c r="B2" s="6">
        <v>2015</v>
      </c>
      <c r="C2" s="6">
        <v>2016</v>
      </c>
      <c r="D2" s="6">
        <v>2017</v>
      </c>
      <c r="E2" s="6">
        <v>2018</v>
      </c>
      <c r="F2" s="6">
        <v>2019</v>
      </c>
      <c r="G2" s="6">
        <v>2020</v>
      </c>
      <c r="H2" s="20" t="s">
        <v>30</v>
      </c>
    </row>
    <row r="3" spans="1:8" ht="14.25" customHeight="1" x14ac:dyDescent="0.3">
      <c r="A3" s="7" t="s">
        <v>31</v>
      </c>
      <c r="B3" s="7">
        <v>34886</v>
      </c>
      <c r="C3" s="7">
        <v>18748</v>
      </c>
      <c r="D3" s="7">
        <v>8297</v>
      </c>
      <c r="E3" s="7">
        <v>38871</v>
      </c>
      <c r="F3" s="7">
        <v>30060</v>
      </c>
      <c r="G3" s="23">
        <v>47730</v>
      </c>
    </row>
    <row r="4" spans="1:8" ht="14.25" customHeight="1" x14ac:dyDescent="0.3">
      <c r="A4" s="7" t="s">
        <v>32</v>
      </c>
      <c r="B4" s="7">
        <v>25872</v>
      </c>
      <c r="C4" s="7">
        <v>24939</v>
      </c>
      <c r="D4" s="7">
        <v>38750</v>
      </c>
      <c r="E4" s="7">
        <v>58144</v>
      </c>
      <c r="F4" s="7">
        <v>54150</v>
      </c>
      <c r="G4" s="24"/>
    </row>
    <row r="5" spans="1:8" ht="14.25" customHeight="1" x14ac:dyDescent="0.3">
      <c r="A5" s="7" t="s">
        <v>33</v>
      </c>
      <c r="B5" s="7">
        <v>58332</v>
      </c>
      <c r="C5" s="7">
        <v>63098</v>
      </c>
      <c r="D5" s="7">
        <v>50595</v>
      </c>
      <c r="E5" s="7">
        <v>56508</v>
      </c>
      <c r="F5" s="7">
        <v>52670</v>
      </c>
      <c r="G5" s="7">
        <v>6110</v>
      </c>
    </row>
    <row r="6" spans="1:8" ht="14.25" customHeight="1" x14ac:dyDescent="0.3"/>
    <row r="7" spans="1:8" ht="14.25" customHeight="1" x14ac:dyDescent="0.3"/>
    <row r="8" spans="1:8" ht="14.25" customHeight="1" x14ac:dyDescent="0.3">
      <c r="A8" s="6" t="s">
        <v>34</v>
      </c>
      <c r="B8" s="6" t="s">
        <v>35</v>
      </c>
      <c r="C8" s="6" t="s">
        <v>36</v>
      </c>
      <c r="D8" s="6" t="s">
        <v>37</v>
      </c>
      <c r="H8" s="8"/>
    </row>
    <row r="9" spans="1:8" ht="14.25" customHeight="1" x14ac:dyDescent="0.3">
      <c r="A9" s="7" t="s">
        <v>38</v>
      </c>
      <c r="B9" s="7">
        <f>F3</f>
        <v>30060</v>
      </c>
      <c r="C9" s="7" t="s">
        <v>39</v>
      </c>
      <c r="D9" s="7"/>
      <c r="H9" s="8"/>
    </row>
    <row r="10" spans="1:8" ht="14.25" customHeight="1" x14ac:dyDescent="0.3">
      <c r="A10" s="7" t="s">
        <v>40</v>
      </c>
      <c r="B10" s="7">
        <v>458327000</v>
      </c>
      <c r="C10" s="7" t="s">
        <v>41</v>
      </c>
      <c r="D10" s="7" t="s">
        <v>42</v>
      </c>
      <c r="H10" s="8"/>
    </row>
    <row r="11" spans="1:8" ht="14.25" customHeight="1" x14ac:dyDescent="0.3">
      <c r="A11" s="7" t="s">
        <v>43</v>
      </c>
      <c r="B11" s="7">
        <f>(B9*10^9)/B10</f>
        <v>65586.360829713289</v>
      </c>
      <c r="C11" s="7"/>
      <c r="D11" s="7"/>
      <c r="H11" s="8"/>
    </row>
    <row r="12" spans="1:8" ht="14.25" customHeight="1" x14ac:dyDescent="0.3">
      <c r="A12" s="18" t="s">
        <v>43</v>
      </c>
      <c r="B12" s="18">
        <f>B11/About!B19</f>
        <v>1.130674408521351E-2</v>
      </c>
      <c r="C12" s="7"/>
      <c r="D12" s="7"/>
      <c r="H12" s="8"/>
    </row>
    <row r="13" spans="1:8" ht="14.25" customHeight="1" x14ac:dyDescent="0.3">
      <c r="A13" s="7" t="s">
        <v>44</v>
      </c>
      <c r="B13" s="19">
        <f>B12*About!B18</f>
        <v>8.1337630999305873E-7</v>
      </c>
      <c r="C13" s="7"/>
      <c r="D13" s="7"/>
      <c r="H13" s="8"/>
    </row>
    <row r="14" spans="1:8" ht="14.25" customHeight="1" x14ac:dyDescent="0.3">
      <c r="H14" s="8"/>
    </row>
    <row r="15" spans="1:8" ht="14.25" customHeight="1" x14ac:dyDescent="0.3">
      <c r="H15" s="8"/>
    </row>
    <row r="16" spans="1:8" ht="14.25" customHeight="1" x14ac:dyDescent="0.3">
      <c r="H16" s="8"/>
    </row>
    <row r="17" spans="1:8" ht="14.25" customHeight="1" x14ac:dyDescent="0.3">
      <c r="A17" s="6" t="s">
        <v>45</v>
      </c>
      <c r="B17" s="6" t="s">
        <v>35</v>
      </c>
      <c r="C17" s="6" t="s">
        <v>36</v>
      </c>
      <c r="D17" s="6" t="s">
        <v>37</v>
      </c>
      <c r="H17" s="8"/>
    </row>
    <row r="18" spans="1:8" ht="14.25" customHeight="1" x14ac:dyDescent="0.3">
      <c r="A18" s="7" t="s">
        <v>38</v>
      </c>
      <c r="B18" s="7">
        <f>F4</f>
        <v>54150</v>
      </c>
      <c r="C18" s="7" t="s">
        <v>39</v>
      </c>
      <c r="D18" s="7"/>
      <c r="H18" s="8"/>
    </row>
    <row r="19" spans="1:8" ht="14.25" customHeight="1" x14ac:dyDescent="0.3">
      <c r="A19" s="7" t="s">
        <v>46</v>
      </c>
      <c r="B19" s="7">
        <f>66198*1000</f>
        <v>66198000</v>
      </c>
      <c r="C19" s="7" t="s">
        <v>41</v>
      </c>
      <c r="D19" s="7" t="s">
        <v>42</v>
      </c>
      <c r="H19" s="8"/>
    </row>
    <row r="20" spans="1:8" ht="14.25" customHeight="1" x14ac:dyDescent="0.3">
      <c r="A20" s="18" t="s">
        <v>47</v>
      </c>
      <c r="B20" s="18">
        <f>B18*10^9/B19</f>
        <v>818000.54382307618</v>
      </c>
      <c r="C20" s="7"/>
      <c r="D20" s="7"/>
      <c r="H20" s="8"/>
    </row>
    <row r="21" spans="1:8" ht="14.25" customHeight="1" x14ac:dyDescent="0.3">
      <c r="A21" s="7" t="s">
        <v>43</v>
      </c>
      <c r="B21" s="7">
        <f>B20/About!B19</f>
        <v>0.14101899683970365</v>
      </c>
      <c r="C21" s="7"/>
      <c r="D21" s="7"/>
      <c r="H21" s="8"/>
    </row>
    <row r="22" spans="1:8" ht="14.25" customHeight="1" x14ac:dyDescent="0.3">
      <c r="A22" s="7" t="s">
        <v>44</v>
      </c>
      <c r="B22" s="19">
        <f>B21*About!B18</f>
        <v>1.0144521749493104E-5</v>
      </c>
      <c r="C22" s="7"/>
      <c r="D22" s="7"/>
      <c r="H22" s="8"/>
    </row>
    <row r="23" spans="1:8" ht="14.25" customHeight="1" x14ac:dyDescent="0.3">
      <c r="H23" s="8"/>
    </row>
    <row r="24" spans="1:8" ht="14.25" customHeight="1" x14ac:dyDescent="0.3">
      <c r="H24" s="8"/>
    </row>
    <row r="25" spans="1:8" ht="14.25" customHeight="1" x14ac:dyDescent="0.3">
      <c r="H25" s="8"/>
    </row>
    <row r="26" spans="1:8" ht="14.25" customHeight="1" x14ac:dyDescent="0.3">
      <c r="A26" s="9" t="s">
        <v>48</v>
      </c>
      <c r="B26" s="6" t="s">
        <v>35</v>
      </c>
      <c r="C26" s="6" t="s">
        <v>36</v>
      </c>
      <c r="D26" s="6" t="s">
        <v>37</v>
      </c>
      <c r="F26" s="10"/>
      <c r="H26" s="8"/>
    </row>
    <row r="27" spans="1:8" ht="14.25" customHeight="1" x14ac:dyDescent="0.3">
      <c r="A27" s="7" t="s">
        <v>38</v>
      </c>
      <c r="B27" s="7">
        <f>F5</f>
        <v>52670</v>
      </c>
      <c r="C27" s="7" t="s">
        <v>39</v>
      </c>
      <c r="D27" s="7"/>
      <c r="H27" s="8"/>
    </row>
    <row r="28" spans="1:8" ht="14.25" customHeight="1" x14ac:dyDescent="0.3">
      <c r="A28" s="7" t="s">
        <v>49</v>
      </c>
      <c r="B28" s="7">
        <v>159113000</v>
      </c>
      <c r="C28" s="7" t="s">
        <v>41</v>
      </c>
      <c r="D28" s="7" t="s">
        <v>42</v>
      </c>
      <c r="H28" s="8"/>
    </row>
    <row r="29" spans="1:8" ht="14.25" customHeight="1" x14ac:dyDescent="0.3">
      <c r="A29" s="18" t="s">
        <v>47</v>
      </c>
      <c r="B29" s="18">
        <f>B27*10^9/B28</f>
        <v>331022.60657520127</v>
      </c>
      <c r="C29" s="7"/>
      <c r="D29" s="7"/>
      <c r="H29" s="8"/>
    </row>
    <row r="30" spans="1:8" ht="14.25" customHeight="1" x14ac:dyDescent="0.3">
      <c r="A30" s="7" t="s">
        <v>43</v>
      </c>
      <c r="B30" s="7">
        <f>B29/About!B19</f>
        <v>5.706655852859091E-2</v>
      </c>
      <c r="C30" s="7"/>
      <c r="D30" s="7"/>
      <c r="H30" s="8"/>
    </row>
    <row r="31" spans="1:8" ht="14.25" customHeight="1" x14ac:dyDescent="0.3">
      <c r="A31" s="7" t="s">
        <v>44</v>
      </c>
      <c r="B31" s="7">
        <f>B30*About!B18</f>
        <v>4.1052124687857637E-6</v>
      </c>
      <c r="C31" s="7"/>
      <c r="D31" s="7"/>
      <c r="H31" s="8"/>
    </row>
    <row r="32" spans="1:8" ht="14.25" customHeight="1" x14ac:dyDescent="0.3">
      <c r="H32" s="8"/>
    </row>
    <row r="33" spans="1:1" ht="14.25" customHeight="1" x14ac:dyDescent="0.3"/>
    <row r="34" spans="1:1" ht="14.25" customHeight="1" x14ac:dyDescent="0.3">
      <c r="A34" s="20" t="s">
        <v>50</v>
      </c>
    </row>
    <row r="35" spans="1:1" ht="14.25" customHeight="1" x14ac:dyDescent="0.3"/>
    <row r="36" spans="1:1" ht="14.25" customHeight="1" x14ac:dyDescent="0.3">
      <c r="A36" s="20" t="s">
        <v>51</v>
      </c>
    </row>
    <row r="37" spans="1:1" ht="14.25" customHeight="1" x14ac:dyDescent="0.3"/>
    <row r="38" spans="1:1" ht="14.25" customHeight="1" x14ac:dyDescent="0.3"/>
    <row r="39" spans="1:1" ht="14.25" customHeight="1" x14ac:dyDescent="0.3">
      <c r="A39" s="20" t="s">
        <v>52</v>
      </c>
    </row>
    <row r="40" spans="1:1" ht="14.25" customHeight="1" x14ac:dyDescent="0.3"/>
    <row r="41" spans="1:1" ht="14.25" customHeight="1" x14ac:dyDescent="0.3"/>
    <row r="42" spans="1:1" ht="14.25" customHeight="1" x14ac:dyDescent="0.3"/>
    <row r="43" spans="1:1" ht="14.25" customHeight="1" x14ac:dyDescent="0.3"/>
    <row r="44" spans="1:1" ht="14.25" customHeight="1" x14ac:dyDescent="0.3"/>
    <row r="45" spans="1:1" ht="14.25" customHeight="1" x14ac:dyDescent="0.3"/>
    <row r="46" spans="1:1" ht="14.25" customHeight="1" x14ac:dyDescent="0.3"/>
    <row r="47" spans="1:1" ht="14.25" customHeight="1" x14ac:dyDescent="0.3"/>
    <row r="48" spans="1:1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</sheetData>
  <mergeCells count="2">
    <mergeCell ref="A1:G1"/>
    <mergeCell ref="G3:G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5496"/>
  </sheetPr>
  <dimension ref="A1:AG1000"/>
  <sheetViews>
    <sheetView workbookViewId="0">
      <selection activeCell="C1" sqref="C1"/>
    </sheetView>
  </sheetViews>
  <sheetFormatPr defaultColWidth="9.33203125" defaultRowHeight="15" customHeight="1" x14ac:dyDescent="0.3"/>
  <cols>
    <col min="1" max="1" width="26.5546875" customWidth="1"/>
    <col min="2" max="2" width="11.6640625" bestFit="1" customWidth="1"/>
  </cols>
  <sheetData>
    <row r="1" spans="1:33" ht="15" customHeight="1" x14ac:dyDescent="0.3">
      <c r="A1" t="s">
        <v>53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ht="15" customHeight="1" x14ac:dyDescent="0.3">
      <c r="A2" t="s">
        <v>54</v>
      </c>
      <c r="B2">
        <f>Calculation!$B$31</f>
        <v>4.1052124687857637E-6</v>
      </c>
      <c r="C2">
        <f>Calculation!$B$31</f>
        <v>4.1052124687857637E-6</v>
      </c>
      <c r="D2">
        <f>Calculation!$B$31</f>
        <v>4.1052124687857637E-6</v>
      </c>
      <c r="E2">
        <f>Calculation!$B$31</f>
        <v>4.1052124687857637E-6</v>
      </c>
      <c r="F2">
        <f>Calculation!$B$31</f>
        <v>4.1052124687857637E-6</v>
      </c>
      <c r="G2">
        <f>Calculation!$B$31</f>
        <v>4.1052124687857637E-6</v>
      </c>
      <c r="H2">
        <f>Calculation!$B$31</f>
        <v>4.1052124687857637E-6</v>
      </c>
      <c r="I2">
        <f>Calculation!$B$31</f>
        <v>4.1052124687857637E-6</v>
      </c>
      <c r="J2">
        <f>Calculation!$B$31</f>
        <v>4.1052124687857637E-6</v>
      </c>
      <c r="K2">
        <f>Calculation!$B$31</f>
        <v>4.1052124687857637E-6</v>
      </c>
      <c r="L2">
        <f>Calculation!$B$31</f>
        <v>4.1052124687857637E-6</v>
      </c>
      <c r="M2">
        <f>Calculation!$B$31</f>
        <v>4.1052124687857637E-6</v>
      </c>
      <c r="N2">
        <f>Calculation!$B$31</f>
        <v>4.1052124687857637E-6</v>
      </c>
      <c r="O2">
        <f>Calculation!$B$31</f>
        <v>4.1052124687857637E-6</v>
      </c>
      <c r="P2">
        <f>Calculation!$B$31</f>
        <v>4.1052124687857637E-6</v>
      </c>
      <c r="Q2">
        <f>Calculation!$B$31</f>
        <v>4.1052124687857637E-6</v>
      </c>
      <c r="R2">
        <f>Calculation!$B$31</f>
        <v>4.1052124687857637E-6</v>
      </c>
      <c r="S2">
        <f>Calculation!$B$31</f>
        <v>4.1052124687857637E-6</v>
      </c>
      <c r="T2">
        <f>Calculation!$B$31</f>
        <v>4.1052124687857637E-6</v>
      </c>
      <c r="U2">
        <f>Calculation!$B$31</f>
        <v>4.1052124687857637E-6</v>
      </c>
      <c r="V2">
        <f>Calculation!$B$31</f>
        <v>4.1052124687857637E-6</v>
      </c>
      <c r="W2">
        <f>Calculation!$B$31</f>
        <v>4.1052124687857637E-6</v>
      </c>
      <c r="X2">
        <f>Calculation!$B$31</f>
        <v>4.1052124687857637E-6</v>
      </c>
      <c r="Y2">
        <f>Calculation!$B$31</f>
        <v>4.1052124687857637E-6</v>
      </c>
      <c r="Z2">
        <f>Calculation!$B$31</f>
        <v>4.1052124687857637E-6</v>
      </c>
      <c r="AA2">
        <f>Calculation!$B$31</f>
        <v>4.1052124687857637E-6</v>
      </c>
      <c r="AB2">
        <f>Calculation!$B$31</f>
        <v>4.1052124687857637E-6</v>
      </c>
      <c r="AC2">
        <f>Calculation!$B$31</f>
        <v>4.1052124687857637E-6</v>
      </c>
      <c r="AD2">
        <f>Calculation!$B$31</f>
        <v>4.1052124687857637E-6</v>
      </c>
      <c r="AE2">
        <f>Calculation!$B$31</f>
        <v>4.1052124687857637E-6</v>
      </c>
      <c r="AF2">
        <f>Calculation!$B$31</f>
        <v>4.1052124687857637E-6</v>
      </c>
      <c r="AG2">
        <f>Calculation!$B$31</f>
        <v>4.1052124687857637E-6</v>
      </c>
    </row>
    <row r="3" spans="1:33" ht="15" customHeight="1" x14ac:dyDescent="0.3">
      <c r="A3" t="s">
        <v>55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</row>
    <row r="4" spans="1:33" ht="15" customHeight="1" x14ac:dyDescent="0.3">
      <c r="A4" t="s">
        <v>56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</row>
    <row r="5" spans="1:33" ht="15" customHeight="1" x14ac:dyDescent="0.3">
      <c r="A5" t="s">
        <v>57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ht="15" customHeight="1" x14ac:dyDescent="0.3">
      <c r="A6" t="s">
        <v>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ht="15" customHeight="1" x14ac:dyDescent="0.3">
      <c r="A7" t="s">
        <v>59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ht="15" customHeight="1" x14ac:dyDescent="0.3">
      <c r="A8" t="s">
        <v>60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ht="15" customHeight="1" x14ac:dyDescent="0.3">
      <c r="A9" t="s">
        <v>61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ht="15" customHeight="1" x14ac:dyDescent="0.3">
      <c r="A10" t="s">
        <v>62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</row>
    <row r="11" spans="1:33" ht="15" customHeight="1" x14ac:dyDescent="0.3">
      <c r="A11" t="s">
        <v>63</v>
      </c>
      <c r="B11" s="12">
        <f>Calculation!$B$13</f>
        <v>8.1337630999305873E-7</v>
      </c>
      <c r="C11" s="12">
        <f>Calculation!$B$13</f>
        <v>8.1337630999305873E-7</v>
      </c>
      <c r="D11" s="12">
        <f>Calculation!$B$13</f>
        <v>8.1337630999305873E-7</v>
      </c>
      <c r="E11" s="12">
        <f>Calculation!$B$13</f>
        <v>8.1337630999305873E-7</v>
      </c>
      <c r="F11" s="12">
        <f>Calculation!$B$13</f>
        <v>8.1337630999305873E-7</v>
      </c>
      <c r="G11" s="12">
        <f>Calculation!$B$13</f>
        <v>8.1337630999305873E-7</v>
      </c>
      <c r="H11" s="12">
        <f>Calculation!$B$13</f>
        <v>8.1337630999305873E-7</v>
      </c>
      <c r="I11" s="12">
        <f>Calculation!$B$13</f>
        <v>8.1337630999305873E-7</v>
      </c>
      <c r="J11" s="12">
        <f>Calculation!$B$13</f>
        <v>8.1337630999305873E-7</v>
      </c>
      <c r="K11" s="12">
        <f>Calculation!$B$13</f>
        <v>8.1337630999305873E-7</v>
      </c>
      <c r="L11" s="12">
        <f>Calculation!$B$13</f>
        <v>8.1337630999305873E-7</v>
      </c>
      <c r="M11" s="12">
        <f>Calculation!$B$13</f>
        <v>8.1337630999305873E-7</v>
      </c>
      <c r="N11" s="12">
        <f>Calculation!$B$13</f>
        <v>8.1337630999305873E-7</v>
      </c>
      <c r="O11" s="12">
        <f>Calculation!$B$13</f>
        <v>8.1337630999305873E-7</v>
      </c>
      <c r="P11" s="12">
        <f>Calculation!$B$13</f>
        <v>8.1337630999305873E-7</v>
      </c>
      <c r="Q11" s="12">
        <f>Calculation!$B$13</f>
        <v>8.1337630999305873E-7</v>
      </c>
      <c r="R11" s="12">
        <f>Calculation!$B$13</f>
        <v>8.1337630999305873E-7</v>
      </c>
      <c r="S11" s="12">
        <f>Calculation!$B$13</f>
        <v>8.1337630999305873E-7</v>
      </c>
      <c r="T11" s="12">
        <f>Calculation!$B$13</f>
        <v>8.1337630999305873E-7</v>
      </c>
      <c r="U11" s="12">
        <f>Calculation!$B$13</f>
        <v>8.1337630999305873E-7</v>
      </c>
      <c r="V11" s="12">
        <f>Calculation!$B$13</f>
        <v>8.1337630999305873E-7</v>
      </c>
      <c r="W11" s="12">
        <f>Calculation!$B$13</f>
        <v>8.1337630999305873E-7</v>
      </c>
      <c r="X11" s="12">
        <f>Calculation!$B$13</f>
        <v>8.1337630999305873E-7</v>
      </c>
      <c r="Y11" s="12">
        <f>Calculation!$B$13</f>
        <v>8.1337630999305873E-7</v>
      </c>
      <c r="Z11" s="12">
        <f>Calculation!$B$13</f>
        <v>8.1337630999305873E-7</v>
      </c>
      <c r="AA11" s="12">
        <f>Calculation!$B$13</f>
        <v>8.1337630999305873E-7</v>
      </c>
      <c r="AB11" s="12">
        <f>Calculation!$B$13</f>
        <v>8.1337630999305873E-7</v>
      </c>
      <c r="AC11" s="12">
        <f>Calculation!$B$13</f>
        <v>8.1337630999305873E-7</v>
      </c>
      <c r="AD11" s="12">
        <f>Calculation!$B$13</f>
        <v>8.1337630999305873E-7</v>
      </c>
      <c r="AE11" s="12">
        <f>Calculation!$B$13</f>
        <v>8.1337630999305873E-7</v>
      </c>
      <c r="AF11" s="12">
        <f>Calculation!$B$13</f>
        <v>8.1337630999305873E-7</v>
      </c>
      <c r="AG11" s="12">
        <f>Calculation!$B$13</f>
        <v>8.1337630999305873E-7</v>
      </c>
    </row>
    <row r="12" spans="1:33" ht="15" customHeight="1" x14ac:dyDescent="0.3">
      <c r="A12" t="s">
        <v>64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ht="15" customHeight="1" x14ac:dyDescent="0.3">
      <c r="A13" t="s">
        <v>65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ht="15" customHeight="1" x14ac:dyDescent="0.3">
      <c r="A14" t="s">
        <v>66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</row>
    <row r="15" spans="1:33" ht="15" customHeight="1" x14ac:dyDescent="0.3">
      <c r="A15" t="s">
        <v>67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ht="15" customHeight="1" x14ac:dyDescent="0.3">
      <c r="A16" t="s">
        <v>68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ht="15" customHeight="1" x14ac:dyDescent="0.3">
      <c r="A17" t="s">
        <v>69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</row>
    <row r="18" spans="1:33" ht="15" customHeight="1" x14ac:dyDescent="0.3">
      <c r="A18" t="s">
        <v>70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</row>
    <row r="19" spans="1:33" ht="15" customHeight="1" x14ac:dyDescent="0.3">
      <c r="A19" t="s">
        <v>71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</row>
    <row r="20" spans="1:33" ht="15" customHeight="1" x14ac:dyDescent="0.3">
      <c r="A20" t="s">
        <v>72</v>
      </c>
      <c r="B20">
        <f>Calculation!$B$22</f>
        <v>1.0144521749493104E-5</v>
      </c>
      <c r="C20">
        <f>Calculation!$B$22</f>
        <v>1.0144521749493104E-5</v>
      </c>
      <c r="D20">
        <f>Calculation!$B$22</f>
        <v>1.0144521749493104E-5</v>
      </c>
      <c r="E20">
        <f>Calculation!$B$22</f>
        <v>1.0144521749493104E-5</v>
      </c>
      <c r="F20">
        <f>Calculation!$B$22</f>
        <v>1.0144521749493104E-5</v>
      </c>
      <c r="G20">
        <f>Calculation!$B$22</f>
        <v>1.0144521749493104E-5</v>
      </c>
      <c r="H20">
        <f>Calculation!$B$22</f>
        <v>1.0144521749493104E-5</v>
      </c>
      <c r="I20">
        <f>Calculation!$B$22</f>
        <v>1.0144521749493104E-5</v>
      </c>
      <c r="J20">
        <f>Calculation!$B$22</f>
        <v>1.0144521749493104E-5</v>
      </c>
      <c r="K20">
        <f>Calculation!$B$22</f>
        <v>1.0144521749493104E-5</v>
      </c>
      <c r="L20">
        <f>Calculation!$B$22</f>
        <v>1.0144521749493104E-5</v>
      </c>
      <c r="M20">
        <f>Calculation!$B$22</f>
        <v>1.0144521749493104E-5</v>
      </c>
      <c r="N20">
        <f>Calculation!$B$22</f>
        <v>1.0144521749493104E-5</v>
      </c>
      <c r="O20">
        <f>Calculation!$B$22</f>
        <v>1.0144521749493104E-5</v>
      </c>
      <c r="P20">
        <f>Calculation!$B$22</f>
        <v>1.0144521749493104E-5</v>
      </c>
      <c r="Q20">
        <f>Calculation!$B$22</f>
        <v>1.0144521749493104E-5</v>
      </c>
      <c r="R20">
        <f>Calculation!$B$22</f>
        <v>1.0144521749493104E-5</v>
      </c>
      <c r="S20">
        <f>Calculation!$B$22</f>
        <v>1.0144521749493104E-5</v>
      </c>
      <c r="T20">
        <f>Calculation!$B$22</f>
        <v>1.0144521749493104E-5</v>
      </c>
      <c r="U20">
        <f>Calculation!$B$22</f>
        <v>1.0144521749493104E-5</v>
      </c>
      <c r="V20">
        <f>Calculation!$B$22</f>
        <v>1.0144521749493104E-5</v>
      </c>
      <c r="W20">
        <f>Calculation!$B$22</f>
        <v>1.0144521749493104E-5</v>
      </c>
      <c r="X20">
        <f>Calculation!$B$22</f>
        <v>1.0144521749493104E-5</v>
      </c>
      <c r="Y20">
        <f>Calculation!$B$22</f>
        <v>1.0144521749493104E-5</v>
      </c>
      <c r="Z20">
        <f>Calculation!$B$22</f>
        <v>1.0144521749493104E-5</v>
      </c>
      <c r="AA20">
        <f>Calculation!$B$22</f>
        <v>1.0144521749493104E-5</v>
      </c>
      <c r="AB20">
        <f>Calculation!$B$22</f>
        <v>1.0144521749493104E-5</v>
      </c>
      <c r="AC20">
        <f>Calculation!$B$22</f>
        <v>1.0144521749493104E-5</v>
      </c>
      <c r="AD20">
        <f>Calculation!$B$22</f>
        <v>1.0144521749493104E-5</v>
      </c>
      <c r="AE20">
        <f>Calculation!$B$22</f>
        <v>1.0144521749493104E-5</v>
      </c>
      <c r="AF20">
        <f>Calculation!$B$22</f>
        <v>1.0144521749493104E-5</v>
      </c>
      <c r="AG20">
        <f>Calculation!$B$22</f>
        <v>1.0144521749493104E-5</v>
      </c>
    </row>
    <row r="21" spans="1:33" ht="15" customHeight="1" x14ac:dyDescent="0.3">
      <c r="A21" t="s">
        <v>73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 ht="15" customHeight="1" x14ac:dyDescent="0.3">
      <c r="A22" s="13" t="s">
        <v>74</v>
      </c>
      <c r="B22">
        <v>0</v>
      </c>
      <c r="C2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52" ht="14.4" x14ac:dyDescent="0.3"/>
    <row r="53" ht="14.4" x14ac:dyDescent="0.3"/>
    <row r="54" ht="14.4" x14ac:dyDescent="0.3"/>
    <row r="55" ht="14.4" x14ac:dyDescent="0.3"/>
    <row r="56" ht="14.4" x14ac:dyDescent="0.3"/>
    <row r="57" ht="14.4" x14ac:dyDescent="0.3"/>
    <row r="58" ht="14.4" x14ac:dyDescent="0.3"/>
    <row r="59" ht="14.4" x14ac:dyDescent="0.3"/>
    <row r="60" ht="14.4" x14ac:dyDescent="0.3"/>
    <row r="61" ht="14.4" x14ac:dyDescent="0.3"/>
    <row r="62" ht="14.4" x14ac:dyDescent="0.3"/>
    <row r="63" ht="14.4" x14ac:dyDescent="0.3"/>
    <row r="64" ht="14.4" x14ac:dyDescent="0.3"/>
    <row r="65" ht="14.4" x14ac:dyDescent="0.3"/>
    <row r="66" ht="14.4" x14ac:dyDescent="0.3"/>
    <row r="67" ht="14.4" x14ac:dyDescent="0.3"/>
    <row r="68" ht="14.4" x14ac:dyDescent="0.3"/>
    <row r="69" ht="14.4" x14ac:dyDescent="0.3"/>
    <row r="70" ht="14.4" x14ac:dyDescent="0.3"/>
    <row r="71" ht="14.4" x14ac:dyDescent="0.3"/>
    <row r="72" ht="14.4" x14ac:dyDescent="0.3"/>
    <row r="73" ht="14.4" x14ac:dyDescent="0.3"/>
    <row r="74" ht="14.4" x14ac:dyDescent="0.3"/>
    <row r="75" ht="14.4" x14ac:dyDescent="0.3"/>
    <row r="76" ht="14.4" x14ac:dyDescent="0.3"/>
    <row r="77" ht="14.4" x14ac:dyDescent="0.3"/>
    <row r="78" ht="14.4" x14ac:dyDescent="0.3"/>
    <row r="79" ht="14.4" x14ac:dyDescent="0.3"/>
    <row r="80" ht="14.4" x14ac:dyDescent="0.3"/>
    <row r="81" ht="14.4" x14ac:dyDescent="0.3"/>
    <row r="82" ht="14.4" x14ac:dyDescent="0.3"/>
    <row r="83" ht="14.4" x14ac:dyDescent="0.3"/>
    <row r="84" ht="14.4" x14ac:dyDescent="0.3"/>
    <row r="85" ht="14.4" x14ac:dyDescent="0.3"/>
    <row r="86" ht="14.4" x14ac:dyDescent="0.3"/>
    <row r="87" ht="14.4" x14ac:dyDescent="0.3"/>
    <row r="88" ht="14.4" x14ac:dyDescent="0.3"/>
    <row r="89" ht="14.4" x14ac:dyDescent="0.3"/>
    <row r="90" ht="14.4" x14ac:dyDescent="0.3"/>
    <row r="91" ht="14.4" x14ac:dyDescent="0.3"/>
    <row r="92" ht="14.4" x14ac:dyDescent="0.3"/>
    <row r="93" ht="14.4" x14ac:dyDescent="0.3"/>
    <row r="94" ht="14.4" x14ac:dyDescent="0.3"/>
    <row r="95" ht="14.4" x14ac:dyDescent="0.3"/>
    <row r="96" ht="14.4" x14ac:dyDescent="0.3"/>
    <row r="97" ht="14.4" x14ac:dyDescent="0.3"/>
    <row r="98" ht="14.4" x14ac:dyDescent="0.3"/>
    <row r="99" ht="14.4" x14ac:dyDescent="0.3"/>
    <row r="100" ht="14.4" x14ac:dyDescent="0.3"/>
    <row r="101" ht="14.4" x14ac:dyDescent="0.3"/>
    <row r="102" ht="14.4" x14ac:dyDescent="0.3"/>
    <row r="103" ht="14.4" x14ac:dyDescent="0.3"/>
    <row r="104" ht="14.4" x14ac:dyDescent="0.3"/>
    <row r="105" ht="14.4" x14ac:dyDescent="0.3"/>
    <row r="106" ht="14.4" x14ac:dyDescent="0.3"/>
    <row r="107" ht="14.4" x14ac:dyDescent="0.3"/>
    <row r="108" ht="14.4" x14ac:dyDescent="0.3"/>
    <row r="109" ht="14.4" x14ac:dyDescent="0.3"/>
    <row r="110" ht="14.4" x14ac:dyDescent="0.3"/>
    <row r="111" ht="14.4" x14ac:dyDescent="0.3"/>
    <row r="112" ht="14.4" x14ac:dyDescent="0.3"/>
    <row r="113" ht="14.4" x14ac:dyDescent="0.3"/>
    <row r="114" ht="14.4" x14ac:dyDescent="0.3"/>
    <row r="115" ht="14.4" x14ac:dyDescent="0.3"/>
    <row r="116" ht="14.4" x14ac:dyDescent="0.3"/>
    <row r="117" ht="14.4" x14ac:dyDescent="0.3"/>
    <row r="118" ht="14.4" x14ac:dyDescent="0.3"/>
    <row r="119" ht="14.4" x14ac:dyDescent="0.3"/>
    <row r="120" ht="14.4" x14ac:dyDescent="0.3"/>
    <row r="121" ht="14.4" x14ac:dyDescent="0.3"/>
    <row r="122" ht="14.4" x14ac:dyDescent="0.3"/>
    <row r="123" ht="14.4" x14ac:dyDescent="0.3"/>
    <row r="124" ht="14.4" x14ac:dyDescent="0.3"/>
    <row r="125" ht="14.4" x14ac:dyDescent="0.3"/>
    <row r="126" ht="14.4" x14ac:dyDescent="0.3"/>
    <row r="127" ht="14.4" x14ac:dyDescent="0.3"/>
    <row r="128" ht="14.4" x14ac:dyDescent="0.3"/>
    <row r="129" ht="14.4" x14ac:dyDescent="0.3"/>
    <row r="130" ht="14.4" x14ac:dyDescent="0.3"/>
    <row r="131" ht="14.4" x14ac:dyDescent="0.3"/>
    <row r="132" ht="14.4" x14ac:dyDescent="0.3"/>
    <row r="133" ht="14.4" x14ac:dyDescent="0.3"/>
    <row r="134" ht="14.4" x14ac:dyDescent="0.3"/>
    <row r="135" ht="14.4" x14ac:dyDescent="0.3"/>
    <row r="136" ht="14.4" x14ac:dyDescent="0.3"/>
    <row r="137" ht="14.4" x14ac:dyDescent="0.3"/>
    <row r="138" ht="14.4" x14ac:dyDescent="0.3"/>
    <row r="139" ht="14.4" x14ac:dyDescent="0.3"/>
    <row r="140" ht="14.4" x14ac:dyDescent="0.3"/>
    <row r="141" ht="14.4" x14ac:dyDescent="0.3"/>
    <row r="142" ht="14.4" x14ac:dyDescent="0.3"/>
    <row r="143" ht="14.4" x14ac:dyDescent="0.3"/>
    <row r="144" ht="14.4" x14ac:dyDescent="0.3"/>
    <row r="145" ht="14.4" x14ac:dyDescent="0.3"/>
    <row r="146" ht="14.4" x14ac:dyDescent="0.3"/>
    <row r="147" ht="14.4" x14ac:dyDescent="0.3"/>
    <row r="148" ht="14.4" x14ac:dyDescent="0.3"/>
    <row r="149" ht="14.4" x14ac:dyDescent="0.3"/>
    <row r="150" ht="14.4" x14ac:dyDescent="0.3"/>
    <row r="151" ht="14.4" x14ac:dyDescent="0.3"/>
    <row r="152" ht="14.4" x14ac:dyDescent="0.3"/>
    <row r="153" ht="14.4" x14ac:dyDescent="0.3"/>
    <row r="154" ht="14.4" x14ac:dyDescent="0.3"/>
    <row r="155" ht="14.4" x14ac:dyDescent="0.3"/>
    <row r="156" ht="14.4" x14ac:dyDescent="0.3"/>
    <row r="157" ht="14.4" x14ac:dyDescent="0.3"/>
    <row r="158" ht="14.4" x14ac:dyDescent="0.3"/>
    <row r="159" ht="14.4" x14ac:dyDescent="0.3"/>
    <row r="160" ht="14.4" x14ac:dyDescent="0.3"/>
    <row r="161" ht="14.4" x14ac:dyDescent="0.3"/>
    <row r="162" ht="14.4" x14ac:dyDescent="0.3"/>
    <row r="163" ht="14.4" x14ac:dyDescent="0.3"/>
    <row r="164" ht="14.4" x14ac:dyDescent="0.3"/>
    <row r="165" ht="14.4" x14ac:dyDescent="0.3"/>
    <row r="166" ht="14.4" x14ac:dyDescent="0.3"/>
    <row r="167" ht="14.4" x14ac:dyDescent="0.3"/>
    <row r="168" ht="14.4" x14ac:dyDescent="0.3"/>
    <row r="169" ht="14.4" x14ac:dyDescent="0.3"/>
    <row r="170" ht="14.4" x14ac:dyDescent="0.3"/>
    <row r="171" ht="14.4" x14ac:dyDescent="0.3"/>
    <row r="172" ht="14.4" x14ac:dyDescent="0.3"/>
    <row r="173" ht="14.4" x14ac:dyDescent="0.3"/>
    <row r="174" ht="14.4" x14ac:dyDescent="0.3"/>
    <row r="175" ht="14.4" x14ac:dyDescent="0.3"/>
    <row r="176" ht="14.4" x14ac:dyDescent="0.3"/>
    <row r="177" ht="14.4" x14ac:dyDescent="0.3"/>
    <row r="178" ht="14.4" x14ac:dyDescent="0.3"/>
    <row r="179" ht="14.4" x14ac:dyDescent="0.3"/>
    <row r="180" ht="14.4" x14ac:dyDescent="0.3"/>
    <row r="181" ht="14.4" x14ac:dyDescent="0.3"/>
    <row r="182" ht="14.4" x14ac:dyDescent="0.3"/>
    <row r="183" ht="14.4" x14ac:dyDescent="0.3"/>
    <row r="184" ht="14.4" x14ac:dyDescent="0.3"/>
    <row r="185" ht="14.4" x14ac:dyDescent="0.3"/>
    <row r="186" ht="14.4" x14ac:dyDescent="0.3"/>
    <row r="187" ht="14.4" x14ac:dyDescent="0.3"/>
    <row r="188" ht="14.4" x14ac:dyDescent="0.3"/>
    <row r="189" ht="14.4" x14ac:dyDescent="0.3"/>
    <row r="190" ht="14.4" x14ac:dyDescent="0.3"/>
    <row r="191" ht="14.4" x14ac:dyDescent="0.3"/>
    <row r="192" ht="14.4" x14ac:dyDescent="0.3"/>
    <row r="193" ht="14.4" x14ac:dyDescent="0.3"/>
    <row r="194" ht="14.4" x14ac:dyDescent="0.3"/>
    <row r="195" ht="14.4" x14ac:dyDescent="0.3"/>
    <row r="196" ht="14.4" x14ac:dyDescent="0.3"/>
    <row r="197" ht="14.4" x14ac:dyDescent="0.3"/>
    <row r="198" ht="14.4" x14ac:dyDescent="0.3"/>
    <row r="199" ht="14.4" x14ac:dyDescent="0.3"/>
    <row r="200" ht="14.4" x14ac:dyDescent="0.3"/>
    <row r="201" ht="14.4" x14ac:dyDescent="0.3"/>
    <row r="202" ht="14.4" x14ac:dyDescent="0.3"/>
    <row r="203" ht="14.4" x14ac:dyDescent="0.3"/>
    <row r="204" ht="14.4" x14ac:dyDescent="0.3"/>
    <row r="205" ht="14.4" x14ac:dyDescent="0.3"/>
    <row r="206" ht="14.4" x14ac:dyDescent="0.3"/>
    <row r="207" ht="14.4" x14ac:dyDescent="0.3"/>
    <row r="208" ht="14.4" x14ac:dyDescent="0.3"/>
    <row r="209" ht="14.4" x14ac:dyDescent="0.3"/>
    <row r="210" ht="14.4" x14ac:dyDescent="0.3"/>
    <row r="211" ht="14.4" x14ac:dyDescent="0.3"/>
    <row r="212" ht="14.4" x14ac:dyDescent="0.3"/>
    <row r="213" ht="14.4" x14ac:dyDescent="0.3"/>
    <row r="214" ht="14.4" x14ac:dyDescent="0.3"/>
    <row r="215" ht="14.4" x14ac:dyDescent="0.3"/>
    <row r="216" ht="14.4" x14ac:dyDescent="0.3"/>
    <row r="217" ht="14.4" x14ac:dyDescent="0.3"/>
    <row r="218" ht="14.4" x14ac:dyDescent="0.3"/>
    <row r="219" ht="14.4" x14ac:dyDescent="0.3"/>
    <row r="220" ht="14.4" x14ac:dyDescent="0.3"/>
    <row r="221" ht="14.4" x14ac:dyDescent="0.3"/>
    <row r="222" ht="14.4" x14ac:dyDescent="0.3"/>
    <row r="223" ht="14.4" x14ac:dyDescent="0.3"/>
    <row r="224" ht="14.4" x14ac:dyDescent="0.3"/>
    <row r="225" ht="14.4" x14ac:dyDescent="0.3"/>
    <row r="226" ht="14.4" x14ac:dyDescent="0.3"/>
    <row r="227" ht="14.4" x14ac:dyDescent="0.3"/>
    <row r="228" ht="14.4" x14ac:dyDescent="0.3"/>
    <row r="229" ht="14.4" x14ac:dyDescent="0.3"/>
    <row r="230" ht="14.4" x14ac:dyDescent="0.3"/>
    <row r="231" ht="14.4" x14ac:dyDescent="0.3"/>
    <row r="232" ht="14.4" x14ac:dyDescent="0.3"/>
    <row r="233" ht="14.4" x14ac:dyDescent="0.3"/>
    <row r="234" ht="14.4" x14ac:dyDescent="0.3"/>
    <row r="235" ht="14.4" x14ac:dyDescent="0.3"/>
    <row r="236" ht="14.4" x14ac:dyDescent="0.3"/>
    <row r="237" ht="14.4" x14ac:dyDescent="0.3"/>
    <row r="238" ht="14.4" x14ac:dyDescent="0.3"/>
    <row r="239" ht="14.4" x14ac:dyDescent="0.3"/>
    <row r="240" ht="14.4" x14ac:dyDescent="0.3"/>
    <row r="241" ht="14.4" x14ac:dyDescent="0.3"/>
    <row r="242" ht="14.4" x14ac:dyDescent="0.3"/>
    <row r="243" ht="14.4" x14ac:dyDescent="0.3"/>
    <row r="244" ht="14.4" x14ac:dyDescent="0.3"/>
    <row r="245" ht="14.4" x14ac:dyDescent="0.3"/>
    <row r="246" ht="14.4" x14ac:dyDescent="0.3"/>
    <row r="247" ht="14.4" x14ac:dyDescent="0.3"/>
    <row r="248" ht="14.4" x14ac:dyDescent="0.3"/>
    <row r="249" ht="14.4" x14ac:dyDescent="0.3"/>
    <row r="250" ht="14.4" x14ac:dyDescent="0.3"/>
    <row r="251" ht="14.4" x14ac:dyDescent="0.3"/>
    <row r="252" ht="14.4" x14ac:dyDescent="0.3"/>
    <row r="253" ht="14.4" x14ac:dyDescent="0.3"/>
    <row r="254" ht="14.4" x14ac:dyDescent="0.3"/>
    <row r="255" ht="14.4" x14ac:dyDescent="0.3"/>
    <row r="256" ht="14.4" x14ac:dyDescent="0.3"/>
    <row r="257" ht="14.4" x14ac:dyDescent="0.3"/>
    <row r="258" ht="14.4" x14ac:dyDescent="0.3"/>
    <row r="259" ht="14.4" x14ac:dyDescent="0.3"/>
    <row r="260" ht="14.4" x14ac:dyDescent="0.3"/>
    <row r="261" ht="14.4" x14ac:dyDescent="0.3"/>
    <row r="262" ht="14.4" x14ac:dyDescent="0.3"/>
    <row r="263" ht="14.4" x14ac:dyDescent="0.3"/>
    <row r="264" ht="14.4" x14ac:dyDescent="0.3"/>
    <row r="265" ht="14.4" x14ac:dyDescent="0.3"/>
    <row r="266" ht="14.4" x14ac:dyDescent="0.3"/>
    <row r="267" ht="14.4" x14ac:dyDescent="0.3"/>
    <row r="268" ht="14.4" x14ac:dyDescent="0.3"/>
    <row r="269" ht="14.4" x14ac:dyDescent="0.3"/>
    <row r="270" ht="14.4" x14ac:dyDescent="0.3"/>
    <row r="271" ht="14.4" x14ac:dyDescent="0.3"/>
    <row r="272" ht="14.4" x14ac:dyDescent="0.3"/>
    <row r="273" ht="14.4" x14ac:dyDescent="0.3"/>
    <row r="274" ht="14.4" x14ac:dyDescent="0.3"/>
    <row r="275" ht="14.4" x14ac:dyDescent="0.3"/>
    <row r="276" ht="14.4" x14ac:dyDescent="0.3"/>
    <row r="277" ht="14.4" x14ac:dyDescent="0.3"/>
    <row r="278" ht="14.4" x14ac:dyDescent="0.3"/>
    <row r="279" ht="14.4" x14ac:dyDescent="0.3"/>
    <row r="280" ht="14.4" x14ac:dyDescent="0.3"/>
    <row r="281" ht="14.4" x14ac:dyDescent="0.3"/>
    <row r="282" ht="14.4" x14ac:dyDescent="0.3"/>
    <row r="283" ht="14.4" x14ac:dyDescent="0.3"/>
    <row r="284" ht="14.4" x14ac:dyDescent="0.3"/>
    <row r="285" ht="14.4" x14ac:dyDescent="0.3"/>
    <row r="286" ht="14.4" x14ac:dyDescent="0.3"/>
    <row r="287" ht="14.4" x14ac:dyDescent="0.3"/>
    <row r="288" ht="14.4" x14ac:dyDescent="0.3"/>
    <row r="289" ht="14.4" x14ac:dyDescent="0.3"/>
    <row r="290" ht="14.4" x14ac:dyDescent="0.3"/>
    <row r="291" ht="14.4" x14ac:dyDescent="0.3"/>
    <row r="292" ht="14.4" x14ac:dyDescent="0.3"/>
    <row r="293" ht="14.4" x14ac:dyDescent="0.3"/>
    <row r="294" ht="14.4" x14ac:dyDescent="0.3"/>
    <row r="295" ht="14.4" x14ac:dyDescent="0.3"/>
    <row r="296" ht="14.4" x14ac:dyDescent="0.3"/>
    <row r="297" ht="14.4" x14ac:dyDescent="0.3"/>
    <row r="298" ht="14.4" x14ac:dyDescent="0.3"/>
    <row r="299" ht="14.4" x14ac:dyDescent="0.3"/>
    <row r="300" ht="14.4" x14ac:dyDescent="0.3"/>
    <row r="301" ht="14.4" x14ac:dyDescent="0.3"/>
    <row r="302" ht="14.4" x14ac:dyDescent="0.3"/>
    <row r="303" ht="14.4" x14ac:dyDescent="0.3"/>
    <row r="304" ht="14.4" x14ac:dyDescent="0.3"/>
    <row r="305" ht="14.4" x14ac:dyDescent="0.3"/>
    <row r="306" ht="14.4" x14ac:dyDescent="0.3"/>
    <row r="307" ht="14.4" x14ac:dyDescent="0.3"/>
    <row r="308" ht="14.4" x14ac:dyDescent="0.3"/>
    <row r="309" ht="14.4" x14ac:dyDescent="0.3"/>
    <row r="310" ht="14.4" x14ac:dyDescent="0.3"/>
    <row r="311" ht="14.4" x14ac:dyDescent="0.3"/>
    <row r="312" ht="14.4" x14ac:dyDescent="0.3"/>
    <row r="313" ht="14.4" x14ac:dyDescent="0.3"/>
    <row r="314" ht="14.4" x14ac:dyDescent="0.3"/>
    <row r="315" ht="14.4" x14ac:dyDescent="0.3"/>
    <row r="316" ht="14.4" x14ac:dyDescent="0.3"/>
    <row r="317" ht="14.4" x14ac:dyDescent="0.3"/>
    <row r="318" ht="14.4" x14ac:dyDescent="0.3"/>
    <row r="319" ht="14.4" x14ac:dyDescent="0.3"/>
    <row r="320" ht="14.4" x14ac:dyDescent="0.3"/>
    <row r="321" ht="14.4" x14ac:dyDescent="0.3"/>
    <row r="322" ht="14.4" x14ac:dyDescent="0.3"/>
    <row r="323" ht="14.4" x14ac:dyDescent="0.3"/>
    <row r="324" ht="14.4" x14ac:dyDescent="0.3"/>
    <row r="325" ht="14.4" x14ac:dyDescent="0.3"/>
    <row r="326" ht="14.4" x14ac:dyDescent="0.3"/>
    <row r="327" ht="14.4" x14ac:dyDescent="0.3"/>
    <row r="328" ht="14.4" x14ac:dyDescent="0.3"/>
    <row r="329" ht="14.4" x14ac:dyDescent="0.3"/>
    <row r="330" ht="14.4" x14ac:dyDescent="0.3"/>
    <row r="331" ht="14.4" x14ac:dyDescent="0.3"/>
    <row r="332" ht="14.4" x14ac:dyDescent="0.3"/>
    <row r="333" ht="14.4" x14ac:dyDescent="0.3"/>
    <row r="334" ht="14.4" x14ac:dyDescent="0.3"/>
    <row r="335" ht="14.4" x14ac:dyDescent="0.3"/>
    <row r="336" ht="14.4" x14ac:dyDescent="0.3"/>
    <row r="337" ht="14.4" x14ac:dyDescent="0.3"/>
    <row r="338" ht="14.4" x14ac:dyDescent="0.3"/>
    <row r="339" ht="14.4" x14ac:dyDescent="0.3"/>
    <row r="340" ht="14.4" x14ac:dyDescent="0.3"/>
    <row r="341" ht="14.4" x14ac:dyDescent="0.3"/>
    <row r="342" ht="14.4" x14ac:dyDescent="0.3"/>
    <row r="343" ht="14.4" x14ac:dyDescent="0.3"/>
    <row r="344" ht="14.4" x14ac:dyDescent="0.3"/>
    <row r="345" ht="14.4" x14ac:dyDescent="0.3"/>
    <row r="346" ht="14.4" x14ac:dyDescent="0.3"/>
    <row r="347" ht="14.4" x14ac:dyDescent="0.3"/>
    <row r="348" ht="14.4" x14ac:dyDescent="0.3"/>
    <row r="349" ht="14.4" x14ac:dyDescent="0.3"/>
    <row r="350" ht="14.4" x14ac:dyDescent="0.3"/>
    <row r="351" ht="14.4" x14ac:dyDescent="0.3"/>
    <row r="352" ht="14.4" x14ac:dyDescent="0.3"/>
    <row r="353" ht="14.4" x14ac:dyDescent="0.3"/>
    <row r="354" ht="14.4" x14ac:dyDescent="0.3"/>
    <row r="355" ht="14.4" x14ac:dyDescent="0.3"/>
    <row r="356" ht="14.4" x14ac:dyDescent="0.3"/>
    <row r="357" ht="14.4" x14ac:dyDescent="0.3"/>
    <row r="358" ht="14.4" x14ac:dyDescent="0.3"/>
    <row r="359" ht="14.4" x14ac:dyDescent="0.3"/>
    <row r="360" ht="14.4" x14ac:dyDescent="0.3"/>
    <row r="361" ht="14.4" x14ac:dyDescent="0.3"/>
    <row r="362" ht="14.4" x14ac:dyDescent="0.3"/>
    <row r="363" ht="14.4" x14ac:dyDescent="0.3"/>
    <row r="364" ht="14.4" x14ac:dyDescent="0.3"/>
    <row r="365" ht="14.4" x14ac:dyDescent="0.3"/>
    <row r="366" ht="14.4" x14ac:dyDescent="0.3"/>
    <row r="367" ht="14.4" x14ac:dyDescent="0.3"/>
    <row r="368" ht="14.4" x14ac:dyDescent="0.3"/>
    <row r="369" ht="14.4" x14ac:dyDescent="0.3"/>
    <row r="370" ht="14.4" x14ac:dyDescent="0.3"/>
    <row r="371" ht="14.4" x14ac:dyDescent="0.3"/>
    <row r="372" ht="14.4" x14ac:dyDescent="0.3"/>
    <row r="373" ht="14.4" x14ac:dyDescent="0.3"/>
    <row r="374" ht="14.4" x14ac:dyDescent="0.3"/>
    <row r="375" ht="14.4" x14ac:dyDescent="0.3"/>
    <row r="376" ht="14.4" x14ac:dyDescent="0.3"/>
    <row r="377" ht="14.4" x14ac:dyDescent="0.3"/>
    <row r="378" ht="14.4" x14ac:dyDescent="0.3"/>
    <row r="379" ht="14.4" x14ac:dyDescent="0.3"/>
    <row r="380" ht="14.4" x14ac:dyDescent="0.3"/>
    <row r="381" ht="14.4" x14ac:dyDescent="0.3"/>
    <row r="382" ht="14.4" x14ac:dyDescent="0.3"/>
    <row r="383" ht="14.4" x14ac:dyDescent="0.3"/>
    <row r="384" ht="14.4" x14ac:dyDescent="0.3"/>
    <row r="385" ht="14.4" x14ac:dyDescent="0.3"/>
    <row r="386" ht="14.4" x14ac:dyDescent="0.3"/>
    <row r="387" ht="14.4" x14ac:dyDescent="0.3"/>
    <row r="388" ht="14.4" x14ac:dyDescent="0.3"/>
    <row r="389" ht="14.4" x14ac:dyDescent="0.3"/>
    <row r="390" ht="14.4" x14ac:dyDescent="0.3"/>
    <row r="391" ht="14.4" x14ac:dyDescent="0.3"/>
    <row r="392" ht="14.4" x14ac:dyDescent="0.3"/>
    <row r="393" ht="14.4" x14ac:dyDescent="0.3"/>
    <row r="394" ht="14.4" x14ac:dyDescent="0.3"/>
    <row r="395" ht="14.4" x14ac:dyDescent="0.3"/>
    <row r="396" ht="14.4" x14ac:dyDescent="0.3"/>
    <row r="397" ht="14.4" x14ac:dyDescent="0.3"/>
    <row r="398" ht="14.4" x14ac:dyDescent="0.3"/>
    <row r="399" ht="14.4" x14ac:dyDescent="0.3"/>
    <row r="400" ht="14.4" x14ac:dyDescent="0.3"/>
    <row r="401" ht="14.4" x14ac:dyDescent="0.3"/>
    <row r="402" ht="14.4" x14ac:dyDescent="0.3"/>
    <row r="403" ht="14.4" x14ac:dyDescent="0.3"/>
    <row r="404" ht="14.4" x14ac:dyDescent="0.3"/>
    <row r="405" ht="14.4" x14ac:dyDescent="0.3"/>
    <row r="406" ht="14.4" x14ac:dyDescent="0.3"/>
    <row r="407" ht="14.4" x14ac:dyDescent="0.3"/>
    <row r="408" ht="14.4" x14ac:dyDescent="0.3"/>
    <row r="409" ht="14.4" x14ac:dyDescent="0.3"/>
    <row r="410" ht="14.4" x14ac:dyDescent="0.3"/>
    <row r="411" ht="14.4" x14ac:dyDescent="0.3"/>
    <row r="412" ht="14.4" x14ac:dyDescent="0.3"/>
    <row r="413" ht="14.4" x14ac:dyDescent="0.3"/>
    <row r="414" ht="14.4" x14ac:dyDescent="0.3"/>
    <row r="415" ht="14.4" x14ac:dyDescent="0.3"/>
    <row r="416" ht="14.4" x14ac:dyDescent="0.3"/>
    <row r="417" ht="14.4" x14ac:dyDescent="0.3"/>
    <row r="418" ht="14.4" x14ac:dyDescent="0.3"/>
    <row r="419" ht="14.4" x14ac:dyDescent="0.3"/>
    <row r="420" ht="14.4" x14ac:dyDescent="0.3"/>
    <row r="421" ht="14.4" x14ac:dyDescent="0.3"/>
    <row r="422" ht="14.4" x14ac:dyDescent="0.3"/>
    <row r="423" ht="14.4" x14ac:dyDescent="0.3"/>
    <row r="424" ht="14.4" x14ac:dyDescent="0.3"/>
    <row r="425" ht="14.4" x14ac:dyDescent="0.3"/>
    <row r="426" ht="14.4" x14ac:dyDescent="0.3"/>
    <row r="427" ht="14.4" x14ac:dyDescent="0.3"/>
    <row r="428" ht="14.4" x14ac:dyDescent="0.3"/>
    <row r="429" ht="14.4" x14ac:dyDescent="0.3"/>
    <row r="430" ht="14.4" x14ac:dyDescent="0.3"/>
    <row r="431" ht="14.4" x14ac:dyDescent="0.3"/>
    <row r="432" ht="14.4" x14ac:dyDescent="0.3"/>
    <row r="433" ht="14.4" x14ac:dyDescent="0.3"/>
    <row r="434" ht="14.4" x14ac:dyDescent="0.3"/>
    <row r="435" ht="14.4" x14ac:dyDescent="0.3"/>
    <row r="436" ht="14.4" x14ac:dyDescent="0.3"/>
    <row r="437" ht="14.4" x14ac:dyDescent="0.3"/>
    <row r="438" ht="14.4" x14ac:dyDescent="0.3"/>
    <row r="439" ht="14.4" x14ac:dyDescent="0.3"/>
    <row r="440" ht="14.4" x14ac:dyDescent="0.3"/>
    <row r="441" ht="14.4" x14ac:dyDescent="0.3"/>
    <row r="442" ht="14.4" x14ac:dyDescent="0.3"/>
    <row r="443" ht="14.4" x14ac:dyDescent="0.3"/>
    <row r="444" ht="14.4" x14ac:dyDescent="0.3"/>
    <row r="445" ht="14.4" x14ac:dyDescent="0.3"/>
    <row r="446" ht="14.4" x14ac:dyDescent="0.3"/>
    <row r="447" ht="14.4" x14ac:dyDescent="0.3"/>
    <row r="448" ht="14.4" x14ac:dyDescent="0.3"/>
    <row r="449" ht="14.4" x14ac:dyDescent="0.3"/>
    <row r="450" ht="14.4" x14ac:dyDescent="0.3"/>
    <row r="451" ht="14.4" x14ac:dyDescent="0.3"/>
    <row r="452" ht="14.4" x14ac:dyDescent="0.3"/>
    <row r="453" ht="14.4" x14ac:dyDescent="0.3"/>
    <row r="454" ht="14.4" x14ac:dyDescent="0.3"/>
    <row r="455" ht="14.4" x14ac:dyDescent="0.3"/>
    <row r="456" ht="14.4" x14ac:dyDescent="0.3"/>
    <row r="457" ht="14.4" x14ac:dyDescent="0.3"/>
    <row r="458" ht="14.4" x14ac:dyDescent="0.3"/>
    <row r="459" ht="14.4" x14ac:dyDescent="0.3"/>
    <row r="460" ht="14.4" x14ac:dyDescent="0.3"/>
    <row r="461" ht="14.4" x14ac:dyDescent="0.3"/>
    <row r="462" ht="14.4" x14ac:dyDescent="0.3"/>
    <row r="463" ht="14.4" x14ac:dyDescent="0.3"/>
    <row r="464" ht="14.4" x14ac:dyDescent="0.3"/>
    <row r="465" ht="14.4" x14ac:dyDescent="0.3"/>
    <row r="466" ht="14.4" x14ac:dyDescent="0.3"/>
    <row r="467" ht="14.4" x14ac:dyDescent="0.3"/>
    <row r="468" ht="14.4" x14ac:dyDescent="0.3"/>
    <row r="469" ht="14.4" x14ac:dyDescent="0.3"/>
    <row r="470" ht="14.4" x14ac:dyDescent="0.3"/>
    <row r="471" ht="14.4" x14ac:dyDescent="0.3"/>
    <row r="472" ht="14.4" x14ac:dyDescent="0.3"/>
    <row r="473" ht="14.4" x14ac:dyDescent="0.3"/>
    <row r="474" ht="14.4" x14ac:dyDescent="0.3"/>
    <row r="475" ht="14.4" x14ac:dyDescent="0.3"/>
    <row r="476" ht="14.4" x14ac:dyDescent="0.3"/>
    <row r="477" ht="14.4" x14ac:dyDescent="0.3"/>
    <row r="478" ht="14.4" x14ac:dyDescent="0.3"/>
    <row r="479" ht="14.4" x14ac:dyDescent="0.3"/>
    <row r="480" ht="14.4" x14ac:dyDescent="0.3"/>
    <row r="481" ht="14.4" x14ac:dyDescent="0.3"/>
    <row r="482" ht="14.4" x14ac:dyDescent="0.3"/>
    <row r="483" ht="14.4" x14ac:dyDescent="0.3"/>
    <row r="484" ht="14.4" x14ac:dyDescent="0.3"/>
    <row r="485" ht="14.4" x14ac:dyDescent="0.3"/>
    <row r="486" ht="14.4" x14ac:dyDescent="0.3"/>
    <row r="487" ht="14.4" x14ac:dyDescent="0.3"/>
    <row r="488" ht="14.4" x14ac:dyDescent="0.3"/>
    <row r="489" ht="14.4" x14ac:dyDescent="0.3"/>
    <row r="490" ht="14.4" x14ac:dyDescent="0.3"/>
    <row r="491" ht="14.4" x14ac:dyDescent="0.3"/>
    <row r="492" ht="14.4" x14ac:dyDescent="0.3"/>
    <row r="493" ht="14.4" x14ac:dyDescent="0.3"/>
    <row r="494" ht="14.4" x14ac:dyDescent="0.3"/>
    <row r="495" ht="14.4" x14ac:dyDescent="0.3"/>
    <row r="496" ht="14.4" x14ac:dyDescent="0.3"/>
    <row r="497" ht="14.4" x14ac:dyDescent="0.3"/>
    <row r="498" ht="14.4" x14ac:dyDescent="0.3"/>
    <row r="499" ht="14.4" x14ac:dyDescent="0.3"/>
    <row r="500" ht="14.4" x14ac:dyDescent="0.3"/>
    <row r="501" ht="14.4" x14ac:dyDescent="0.3"/>
    <row r="502" ht="14.4" x14ac:dyDescent="0.3"/>
    <row r="503" ht="14.4" x14ac:dyDescent="0.3"/>
    <row r="504" ht="14.4" x14ac:dyDescent="0.3"/>
    <row r="505" ht="14.4" x14ac:dyDescent="0.3"/>
    <row r="506" ht="14.4" x14ac:dyDescent="0.3"/>
    <row r="507" ht="14.4" x14ac:dyDescent="0.3"/>
    <row r="508" ht="14.4" x14ac:dyDescent="0.3"/>
    <row r="509" ht="14.4" x14ac:dyDescent="0.3"/>
    <row r="510" ht="14.4" x14ac:dyDescent="0.3"/>
    <row r="511" ht="14.4" x14ac:dyDescent="0.3"/>
    <row r="512" ht="14.4" x14ac:dyDescent="0.3"/>
    <row r="513" ht="14.4" x14ac:dyDescent="0.3"/>
    <row r="514" ht="14.4" x14ac:dyDescent="0.3"/>
    <row r="515" ht="14.4" x14ac:dyDescent="0.3"/>
    <row r="516" ht="14.4" x14ac:dyDescent="0.3"/>
    <row r="517" ht="14.4" x14ac:dyDescent="0.3"/>
    <row r="518" ht="14.4" x14ac:dyDescent="0.3"/>
    <row r="519" ht="14.4" x14ac:dyDescent="0.3"/>
    <row r="520" ht="14.4" x14ac:dyDescent="0.3"/>
    <row r="521" ht="14.4" x14ac:dyDescent="0.3"/>
    <row r="522" ht="14.4" x14ac:dyDescent="0.3"/>
    <row r="523" ht="14.4" x14ac:dyDescent="0.3"/>
    <row r="524" ht="14.4" x14ac:dyDescent="0.3"/>
    <row r="525" ht="14.4" x14ac:dyDescent="0.3"/>
    <row r="526" ht="14.4" x14ac:dyDescent="0.3"/>
    <row r="527" ht="14.4" x14ac:dyDescent="0.3"/>
    <row r="528" ht="14.4" x14ac:dyDescent="0.3"/>
    <row r="529" ht="14.4" x14ac:dyDescent="0.3"/>
    <row r="530" ht="14.4" x14ac:dyDescent="0.3"/>
    <row r="531" ht="14.4" x14ac:dyDescent="0.3"/>
    <row r="532" ht="14.4" x14ac:dyDescent="0.3"/>
    <row r="533" ht="14.4" x14ac:dyDescent="0.3"/>
    <row r="534" ht="14.4" x14ac:dyDescent="0.3"/>
    <row r="535" ht="14.4" x14ac:dyDescent="0.3"/>
    <row r="536" ht="14.4" x14ac:dyDescent="0.3"/>
    <row r="537" ht="14.4" x14ac:dyDescent="0.3"/>
    <row r="538" ht="14.4" x14ac:dyDescent="0.3"/>
    <row r="539" ht="14.4" x14ac:dyDescent="0.3"/>
    <row r="540" ht="14.4" x14ac:dyDescent="0.3"/>
    <row r="541" ht="14.4" x14ac:dyDescent="0.3"/>
    <row r="542" ht="14.4" x14ac:dyDescent="0.3"/>
    <row r="543" ht="14.4" x14ac:dyDescent="0.3"/>
    <row r="544" ht="14.4" x14ac:dyDescent="0.3"/>
    <row r="545" ht="14.4" x14ac:dyDescent="0.3"/>
    <row r="546" ht="14.4" x14ac:dyDescent="0.3"/>
    <row r="547" ht="14.4" x14ac:dyDescent="0.3"/>
    <row r="548" ht="14.4" x14ac:dyDescent="0.3"/>
    <row r="549" ht="14.4" x14ac:dyDescent="0.3"/>
    <row r="550" ht="14.4" x14ac:dyDescent="0.3"/>
    <row r="551" ht="14.4" x14ac:dyDescent="0.3"/>
    <row r="552" ht="14.4" x14ac:dyDescent="0.3"/>
    <row r="553" ht="14.4" x14ac:dyDescent="0.3"/>
    <row r="554" ht="14.4" x14ac:dyDescent="0.3"/>
    <row r="555" ht="14.4" x14ac:dyDescent="0.3"/>
    <row r="556" ht="14.4" x14ac:dyDescent="0.3"/>
    <row r="557" ht="14.4" x14ac:dyDescent="0.3"/>
    <row r="558" ht="14.4" x14ac:dyDescent="0.3"/>
    <row r="559" ht="14.4" x14ac:dyDescent="0.3"/>
    <row r="560" ht="14.4" x14ac:dyDescent="0.3"/>
    <row r="561" ht="14.4" x14ac:dyDescent="0.3"/>
    <row r="562" ht="14.4" x14ac:dyDescent="0.3"/>
    <row r="563" ht="14.4" x14ac:dyDescent="0.3"/>
    <row r="564" ht="14.4" x14ac:dyDescent="0.3"/>
    <row r="565" ht="14.4" x14ac:dyDescent="0.3"/>
    <row r="566" ht="14.4" x14ac:dyDescent="0.3"/>
    <row r="567" ht="14.4" x14ac:dyDescent="0.3"/>
    <row r="568" ht="14.4" x14ac:dyDescent="0.3"/>
    <row r="569" ht="14.4" x14ac:dyDescent="0.3"/>
    <row r="570" ht="14.4" x14ac:dyDescent="0.3"/>
    <row r="571" ht="14.4" x14ac:dyDescent="0.3"/>
    <row r="572" ht="14.4" x14ac:dyDescent="0.3"/>
    <row r="573" ht="14.4" x14ac:dyDescent="0.3"/>
    <row r="574" ht="14.4" x14ac:dyDescent="0.3"/>
    <row r="575" ht="14.4" x14ac:dyDescent="0.3"/>
    <row r="576" ht="14.4" x14ac:dyDescent="0.3"/>
    <row r="577" ht="14.4" x14ac:dyDescent="0.3"/>
    <row r="578" ht="14.4" x14ac:dyDescent="0.3"/>
    <row r="579" ht="14.4" x14ac:dyDescent="0.3"/>
    <row r="580" ht="14.4" x14ac:dyDescent="0.3"/>
    <row r="581" ht="14.4" x14ac:dyDescent="0.3"/>
    <row r="582" ht="14.4" x14ac:dyDescent="0.3"/>
    <row r="583" ht="14.4" x14ac:dyDescent="0.3"/>
    <row r="584" ht="14.4" x14ac:dyDescent="0.3"/>
    <row r="585" ht="14.4" x14ac:dyDescent="0.3"/>
    <row r="586" ht="14.4" x14ac:dyDescent="0.3"/>
    <row r="587" ht="14.4" x14ac:dyDescent="0.3"/>
    <row r="588" ht="14.4" x14ac:dyDescent="0.3"/>
    <row r="589" ht="14.4" x14ac:dyDescent="0.3"/>
    <row r="590" ht="14.4" x14ac:dyDescent="0.3"/>
    <row r="591" ht="14.4" x14ac:dyDescent="0.3"/>
    <row r="592" ht="14.4" x14ac:dyDescent="0.3"/>
    <row r="593" ht="14.4" x14ac:dyDescent="0.3"/>
    <row r="594" ht="14.4" x14ac:dyDescent="0.3"/>
    <row r="595" ht="14.4" x14ac:dyDescent="0.3"/>
    <row r="596" ht="14.4" x14ac:dyDescent="0.3"/>
    <row r="597" ht="14.4" x14ac:dyDescent="0.3"/>
    <row r="598" ht="14.4" x14ac:dyDescent="0.3"/>
    <row r="599" ht="14.4" x14ac:dyDescent="0.3"/>
    <row r="600" ht="14.4" x14ac:dyDescent="0.3"/>
    <row r="601" ht="14.4" x14ac:dyDescent="0.3"/>
    <row r="602" ht="14.4" x14ac:dyDescent="0.3"/>
    <row r="603" ht="14.4" x14ac:dyDescent="0.3"/>
    <row r="604" ht="14.4" x14ac:dyDescent="0.3"/>
    <row r="605" ht="14.4" x14ac:dyDescent="0.3"/>
    <row r="606" ht="14.4" x14ac:dyDescent="0.3"/>
    <row r="607" ht="14.4" x14ac:dyDescent="0.3"/>
    <row r="608" ht="14.4" x14ac:dyDescent="0.3"/>
    <row r="609" ht="14.4" x14ac:dyDescent="0.3"/>
    <row r="610" ht="14.4" x14ac:dyDescent="0.3"/>
    <row r="611" ht="14.4" x14ac:dyDescent="0.3"/>
    <row r="612" ht="14.4" x14ac:dyDescent="0.3"/>
    <row r="613" ht="14.4" x14ac:dyDescent="0.3"/>
    <row r="614" ht="14.4" x14ac:dyDescent="0.3"/>
    <row r="615" ht="14.4" x14ac:dyDescent="0.3"/>
    <row r="616" ht="14.4" x14ac:dyDescent="0.3"/>
    <row r="617" ht="14.4" x14ac:dyDescent="0.3"/>
    <row r="618" ht="14.4" x14ac:dyDescent="0.3"/>
    <row r="619" ht="14.4" x14ac:dyDescent="0.3"/>
    <row r="620" ht="14.4" x14ac:dyDescent="0.3"/>
    <row r="621" ht="14.4" x14ac:dyDescent="0.3"/>
    <row r="622" ht="14.4" x14ac:dyDescent="0.3"/>
    <row r="623" ht="14.4" x14ac:dyDescent="0.3"/>
    <row r="624" ht="14.4" x14ac:dyDescent="0.3"/>
    <row r="625" ht="14.4" x14ac:dyDescent="0.3"/>
    <row r="626" ht="14.4" x14ac:dyDescent="0.3"/>
    <row r="627" ht="14.4" x14ac:dyDescent="0.3"/>
    <row r="628" ht="14.4" x14ac:dyDescent="0.3"/>
    <row r="629" ht="14.4" x14ac:dyDescent="0.3"/>
    <row r="630" ht="14.4" x14ac:dyDescent="0.3"/>
    <row r="631" ht="14.4" x14ac:dyDescent="0.3"/>
    <row r="632" ht="14.4" x14ac:dyDescent="0.3"/>
    <row r="633" ht="14.4" x14ac:dyDescent="0.3"/>
    <row r="634" ht="14.4" x14ac:dyDescent="0.3"/>
    <row r="635" ht="14.4" x14ac:dyDescent="0.3"/>
    <row r="636" ht="14.4" x14ac:dyDescent="0.3"/>
    <row r="637" ht="14.4" x14ac:dyDescent="0.3"/>
    <row r="638" ht="14.4" x14ac:dyDescent="0.3"/>
    <row r="639" ht="14.4" x14ac:dyDescent="0.3"/>
    <row r="640" ht="14.4" x14ac:dyDescent="0.3"/>
    <row r="641" ht="14.4" x14ac:dyDescent="0.3"/>
    <row r="642" ht="14.4" x14ac:dyDescent="0.3"/>
    <row r="643" ht="14.4" x14ac:dyDescent="0.3"/>
    <row r="644" ht="14.4" x14ac:dyDescent="0.3"/>
    <row r="645" ht="14.4" x14ac:dyDescent="0.3"/>
    <row r="646" ht="14.4" x14ac:dyDescent="0.3"/>
    <row r="647" ht="14.4" x14ac:dyDescent="0.3"/>
    <row r="648" ht="14.4" x14ac:dyDescent="0.3"/>
    <row r="649" ht="14.4" x14ac:dyDescent="0.3"/>
    <row r="650" ht="14.4" x14ac:dyDescent="0.3"/>
    <row r="651" ht="14.4" x14ac:dyDescent="0.3"/>
    <row r="652" ht="14.4" x14ac:dyDescent="0.3"/>
    <row r="653" ht="14.4" x14ac:dyDescent="0.3"/>
    <row r="654" ht="14.4" x14ac:dyDescent="0.3"/>
    <row r="655" ht="14.4" x14ac:dyDescent="0.3"/>
    <row r="656" ht="14.4" x14ac:dyDescent="0.3"/>
    <row r="657" ht="14.4" x14ac:dyDescent="0.3"/>
    <row r="658" ht="14.4" x14ac:dyDescent="0.3"/>
    <row r="659" ht="14.4" x14ac:dyDescent="0.3"/>
    <row r="660" ht="14.4" x14ac:dyDescent="0.3"/>
    <row r="661" ht="14.4" x14ac:dyDescent="0.3"/>
    <row r="662" ht="14.4" x14ac:dyDescent="0.3"/>
    <row r="663" ht="14.4" x14ac:dyDescent="0.3"/>
    <row r="664" ht="14.4" x14ac:dyDescent="0.3"/>
    <row r="665" ht="14.4" x14ac:dyDescent="0.3"/>
    <row r="666" ht="14.4" x14ac:dyDescent="0.3"/>
    <row r="667" ht="14.4" x14ac:dyDescent="0.3"/>
    <row r="668" ht="14.4" x14ac:dyDescent="0.3"/>
    <row r="669" ht="14.4" x14ac:dyDescent="0.3"/>
    <row r="670" ht="14.4" x14ac:dyDescent="0.3"/>
    <row r="671" ht="14.4" x14ac:dyDescent="0.3"/>
    <row r="672" ht="14.4" x14ac:dyDescent="0.3"/>
    <row r="673" ht="14.4" x14ac:dyDescent="0.3"/>
    <row r="674" ht="14.4" x14ac:dyDescent="0.3"/>
    <row r="675" ht="14.4" x14ac:dyDescent="0.3"/>
    <row r="676" ht="14.4" x14ac:dyDescent="0.3"/>
    <row r="677" ht="14.4" x14ac:dyDescent="0.3"/>
    <row r="678" ht="14.4" x14ac:dyDescent="0.3"/>
    <row r="679" ht="14.4" x14ac:dyDescent="0.3"/>
    <row r="680" ht="14.4" x14ac:dyDescent="0.3"/>
    <row r="681" ht="14.4" x14ac:dyDescent="0.3"/>
    <row r="682" ht="14.4" x14ac:dyDescent="0.3"/>
    <row r="683" ht="14.4" x14ac:dyDescent="0.3"/>
    <row r="684" ht="14.4" x14ac:dyDescent="0.3"/>
    <row r="685" ht="14.4" x14ac:dyDescent="0.3"/>
    <row r="686" ht="14.4" x14ac:dyDescent="0.3"/>
    <row r="687" ht="14.4" x14ac:dyDescent="0.3"/>
    <row r="688" ht="14.4" x14ac:dyDescent="0.3"/>
    <row r="689" ht="14.4" x14ac:dyDescent="0.3"/>
    <row r="690" ht="14.4" x14ac:dyDescent="0.3"/>
    <row r="691" ht="14.4" x14ac:dyDescent="0.3"/>
    <row r="692" ht="14.4" x14ac:dyDescent="0.3"/>
    <row r="693" ht="14.4" x14ac:dyDescent="0.3"/>
    <row r="694" ht="14.4" x14ac:dyDescent="0.3"/>
    <row r="695" ht="14.4" x14ac:dyDescent="0.3"/>
    <row r="696" ht="14.4" x14ac:dyDescent="0.3"/>
    <row r="697" ht="14.4" x14ac:dyDescent="0.3"/>
    <row r="698" ht="14.4" x14ac:dyDescent="0.3"/>
    <row r="699" ht="14.4" x14ac:dyDescent="0.3"/>
    <row r="700" ht="14.4" x14ac:dyDescent="0.3"/>
    <row r="701" ht="14.4" x14ac:dyDescent="0.3"/>
    <row r="702" ht="14.4" x14ac:dyDescent="0.3"/>
    <row r="703" ht="14.4" x14ac:dyDescent="0.3"/>
    <row r="704" ht="14.4" x14ac:dyDescent="0.3"/>
    <row r="705" ht="14.4" x14ac:dyDescent="0.3"/>
    <row r="706" ht="14.4" x14ac:dyDescent="0.3"/>
    <row r="707" ht="14.4" x14ac:dyDescent="0.3"/>
    <row r="708" ht="14.4" x14ac:dyDescent="0.3"/>
    <row r="709" ht="14.4" x14ac:dyDescent="0.3"/>
    <row r="710" ht="14.4" x14ac:dyDescent="0.3"/>
    <row r="711" ht="14.4" x14ac:dyDescent="0.3"/>
    <row r="712" ht="14.4" x14ac:dyDescent="0.3"/>
    <row r="713" ht="14.4" x14ac:dyDescent="0.3"/>
    <row r="714" ht="14.4" x14ac:dyDescent="0.3"/>
    <row r="715" ht="14.4" x14ac:dyDescent="0.3"/>
    <row r="716" ht="14.4" x14ac:dyDescent="0.3"/>
    <row r="717" ht="14.4" x14ac:dyDescent="0.3"/>
    <row r="718" ht="14.4" x14ac:dyDescent="0.3"/>
    <row r="719" ht="14.4" x14ac:dyDescent="0.3"/>
    <row r="720" ht="14.4" x14ac:dyDescent="0.3"/>
    <row r="721" ht="14.4" x14ac:dyDescent="0.3"/>
    <row r="722" ht="14.4" x14ac:dyDescent="0.3"/>
    <row r="723" ht="14.4" x14ac:dyDescent="0.3"/>
    <row r="724" ht="14.4" x14ac:dyDescent="0.3"/>
    <row r="725" ht="14.4" x14ac:dyDescent="0.3"/>
    <row r="726" ht="14.4" x14ac:dyDescent="0.3"/>
    <row r="727" ht="14.4" x14ac:dyDescent="0.3"/>
    <row r="728" ht="14.4" x14ac:dyDescent="0.3"/>
    <row r="729" ht="14.4" x14ac:dyDescent="0.3"/>
    <row r="730" ht="14.4" x14ac:dyDescent="0.3"/>
    <row r="731" ht="14.4" x14ac:dyDescent="0.3"/>
    <row r="732" ht="14.4" x14ac:dyDescent="0.3"/>
    <row r="733" ht="14.4" x14ac:dyDescent="0.3"/>
    <row r="734" ht="14.4" x14ac:dyDescent="0.3"/>
    <row r="735" ht="14.4" x14ac:dyDescent="0.3"/>
    <row r="736" ht="14.4" x14ac:dyDescent="0.3"/>
    <row r="737" ht="14.4" x14ac:dyDescent="0.3"/>
    <row r="738" ht="14.4" x14ac:dyDescent="0.3"/>
    <row r="739" ht="14.4" x14ac:dyDescent="0.3"/>
    <row r="740" ht="14.4" x14ac:dyDescent="0.3"/>
    <row r="741" ht="14.4" x14ac:dyDescent="0.3"/>
    <row r="742" ht="14.4" x14ac:dyDescent="0.3"/>
    <row r="743" ht="14.4" x14ac:dyDescent="0.3"/>
    <row r="744" ht="14.4" x14ac:dyDescent="0.3"/>
    <row r="745" ht="14.4" x14ac:dyDescent="0.3"/>
    <row r="746" ht="14.4" x14ac:dyDescent="0.3"/>
    <row r="747" ht="14.4" x14ac:dyDescent="0.3"/>
    <row r="748" ht="14.4" x14ac:dyDescent="0.3"/>
    <row r="749" ht="14.4" x14ac:dyDescent="0.3"/>
    <row r="750" ht="14.4" x14ac:dyDescent="0.3"/>
    <row r="751" ht="14.4" x14ac:dyDescent="0.3"/>
    <row r="752" ht="14.4" x14ac:dyDescent="0.3"/>
    <row r="753" ht="14.4" x14ac:dyDescent="0.3"/>
    <row r="754" ht="14.4" x14ac:dyDescent="0.3"/>
    <row r="755" ht="14.4" x14ac:dyDescent="0.3"/>
    <row r="756" ht="14.4" x14ac:dyDescent="0.3"/>
    <row r="757" ht="14.4" x14ac:dyDescent="0.3"/>
    <row r="758" ht="14.4" x14ac:dyDescent="0.3"/>
    <row r="759" ht="14.4" x14ac:dyDescent="0.3"/>
    <row r="760" ht="14.4" x14ac:dyDescent="0.3"/>
    <row r="761" ht="14.4" x14ac:dyDescent="0.3"/>
    <row r="762" ht="14.4" x14ac:dyDescent="0.3"/>
    <row r="763" ht="14.4" x14ac:dyDescent="0.3"/>
    <row r="764" ht="14.4" x14ac:dyDescent="0.3"/>
    <row r="765" ht="14.4" x14ac:dyDescent="0.3"/>
    <row r="766" ht="14.4" x14ac:dyDescent="0.3"/>
    <row r="767" ht="14.4" x14ac:dyDescent="0.3"/>
    <row r="768" ht="14.4" x14ac:dyDescent="0.3"/>
    <row r="769" ht="14.4" x14ac:dyDescent="0.3"/>
    <row r="770" ht="14.4" x14ac:dyDescent="0.3"/>
    <row r="771" ht="14.4" x14ac:dyDescent="0.3"/>
    <row r="772" ht="14.4" x14ac:dyDescent="0.3"/>
    <row r="773" ht="14.4" x14ac:dyDescent="0.3"/>
    <row r="774" ht="14.4" x14ac:dyDescent="0.3"/>
    <row r="775" ht="14.4" x14ac:dyDescent="0.3"/>
    <row r="776" ht="14.4" x14ac:dyDescent="0.3"/>
    <row r="777" ht="14.4" x14ac:dyDescent="0.3"/>
    <row r="778" ht="14.4" x14ac:dyDescent="0.3"/>
    <row r="779" ht="14.4" x14ac:dyDescent="0.3"/>
    <row r="780" ht="14.4" x14ac:dyDescent="0.3"/>
    <row r="781" ht="14.4" x14ac:dyDescent="0.3"/>
    <row r="782" ht="14.4" x14ac:dyDescent="0.3"/>
    <row r="783" ht="14.4" x14ac:dyDescent="0.3"/>
    <row r="784" ht="14.4" x14ac:dyDescent="0.3"/>
    <row r="785" ht="14.4" x14ac:dyDescent="0.3"/>
    <row r="786" ht="14.4" x14ac:dyDescent="0.3"/>
    <row r="787" ht="14.4" x14ac:dyDescent="0.3"/>
    <row r="788" ht="14.4" x14ac:dyDescent="0.3"/>
    <row r="789" ht="14.4" x14ac:dyDescent="0.3"/>
    <row r="790" ht="14.4" x14ac:dyDescent="0.3"/>
    <row r="791" ht="14.4" x14ac:dyDescent="0.3"/>
    <row r="792" ht="14.4" x14ac:dyDescent="0.3"/>
    <row r="793" ht="14.4" x14ac:dyDescent="0.3"/>
    <row r="794" ht="14.4" x14ac:dyDescent="0.3"/>
    <row r="795" ht="14.4" x14ac:dyDescent="0.3"/>
    <row r="796" ht="14.4" x14ac:dyDescent="0.3"/>
    <row r="797" ht="14.4" x14ac:dyDescent="0.3"/>
    <row r="798" ht="14.4" x14ac:dyDescent="0.3"/>
    <row r="799" ht="14.4" x14ac:dyDescent="0.3"/>
    <row r="800" ht="14.4" x14ac:dyDescent="0.3"/>
    <row r="801" ht="14.4" x14ac:dyDescent="0.3"/>
    <row r="802" ht="14.4" x14ac:dyDescent="0.3"/>
    <row r="803" ht="14.4" x14ac:dyDescent="0.3"/>
    <row r="804" ht="14.4" x14ac:dyDescent="0.3"/>
    <row r="805" ht="14.4" x14ac:dyDescent="0.3"/>
    <row r="806" ht="14.4" x14ac:dyDescent="0.3"/>
    <row r="807" ht="14.4" x14ac:dyDescent="0.3"/>
    <row r="808" ht="14.4" x14ac:dyDescent="0.3"/>
    <row r="809" ht="14.4" x14ac:dyDescent="0.3"/>
    <row r="810" ht="14.4" x14ac:dyDescent="0.3"/>
    <row r="811" ht="14.4" x14ac:dyDescent="0.3"/>
    <row r="812" ht="14.4" x14ac:dyDescent="0.3"/>
    <row r="813" ht="14.4" x14ac:dyDescent="0.3"/>
    <row r="814" ht="14.4" x14ac:dyDescent="0.3"/>
    <row r="815" ht="14.4" x14ac:dyDescent="0.3"/>
    <row r="816" ht="14.4" x14ac:dyDescent="0.3"/>
    <row r="817" ht="14.4" x14ac:dyDescent="0.3"/>
    <row r="818" ht="14.4" x14ac:dyDescent="0.3"/>
    <row r="819" ht="14.4" x14ac:dyDescent="0.3"/>
    <row r="820" ht="14.4" x14ac:dyDescent="0.3"/>
    <row r="821" ht="14.4" x14ac:dyDescent="0.3"/>
    <row r="822" ht="14.4" x14ac:dyDescent="0.3"/>
    <row r="823" ht="14.4" x14ac:dyDescent="0.3"/>
    <row r="824" ht="14.4" x14ac:dyDescent="0.3"/>
    <row r="825" ht="14.4" x14ac:dyDescent="0.3"/>
    <row r="826" ht="14.4" x14ac:dyDescent="0.3"/>
    <row r="827" ht="14.4" x14ac:dyDescent="0.3"/>
    <row r="828" ht="14.4" x14ac:dyDescent="0.3"/>
    <row r="829" ht="14.4" x14ac:dyDescent="0.3"/>
    <row r="830" ht="14.4" x14ac:dyDescent="0.3"/>
    <row r="831" ht="14.4" x14ac:dyDescent="0.3"/>
    <row r="832" ht="14.4" x14ac:dyDescent="0.3"/>
    <row r="833" ht="14.4" x14ac:dyDescent="0.3"/>
    <row r="834" ht="14.4" x14ac:dyDescent="0.3"/>
    <row r="835" ht="14.4" x14ac:dyDescent="0.3"/>
    <row r="836" ht="14.4" x14ac:dyDescent="0.3"/>
    <row r="837" ht="14.4" x14ac:dyDescent="0.3"/>
    <row r="838" ht="14.4" x14ac:dyDescent="0.3"/>
    <row r="839" ht="14.4" x14ac:dyDescent="0.3"/>
    <row r="840" ht="14.4" x14ac:dyDescent="0.3"/>
    <row r="841" ht="14.4" x14ac:dyDescent="0.3"/>
    <row r="842" ht="14.4" x14ac:dyDescent="0.3"/>
    <row r="843" ht="14.4" x14ac:dyDescent="0.3"/>
    <row r="844" ht="14.4" x14ac:dyDescent="0.3"/>
    <row r="845" ht="14.4" x14ac:dyDescent="0.3"/>
    <row r="846" ht="14.4" x14ac:dyDescent="0.3"/>
    <row r="847" ht="14.4" x14ac:dyDescent="0.3"/>
    <row r="848" ht="14.4" x14ac:dyDescent="0.3"/>
    <row r="849" ht="14.4" x14ac:dyDescent="0.3"/>
    <row r="850" ht="14.4" x14ac:dyDescent="0.3"/>
    <row r="851" ht="14.4" x14ac:dyDescent="0.3"/>
    <row r="852" ht="14.4" x14ac:dyDescent="0.3"/>
    <row r="853" ht="14.4" x14ac:dyDescent="0.3"/>
    <row r="854" ht="14.4" x14ac:dyDescent="0.3"/>
    <row r="855" ht="14.4" x14ac:dyDescent="0.3"/>
    <row r="856" ht="14.4" x14ac:dyDescent="0.3"/>
    <row r="857" ht="14.4" x14ac:dyDescent="0.3"/>
    <row r="858" ht="14.4" x14ac:dyDescent="0.3"/>
    <row r="859" ht="14.4" x14ac:dyDescent="0.3"/>
    <row r="860" ht="14.4" x14ac:dyDescent="0.3"/>
    <row r="861" ht="14.4" x14ac:dyDescent="0.3"/>
    <row r="862" ht="14.4" x14ac:dyDescent="0.3"/>
    <row r="863" ht="14.4" x14ac:dyDescent="0.3"/>
    <row r="864" ht="14.4" x14ac:dyDescent="0.3"/>
    <row r="865" ht="14.4" x14ac:dyDescent="0.3"/>
    <row r="866" ht="14.4" x14ac:dyDescent="0.3"/>
    <row r="867" ht="14.4" x14ac:dyDescent="0.3"/>
    <row r="868" ht="14.4" x14ac:dyDescent="0.3"/>
    <row r="869" ht="14.4" x14ac:dyDescent="0.3"/>
    <row r="870" ht="14.4" x14ac:dyDescent="0.3"/>
    <row r="871" ht="14.4" x14ac:dyDescent="0.3"/>
    <row r="872" ht="14.4" x14ac:dyDescent="0.3"/>
    <row r="873" ht="14.4" x14ac:dyDescent="0.3"/>
    <row r="874" ht="14.4" x14ac:dyDescent="0.3"/>
    <row r="875" ht="14.4" x14ac:dyDescent="0.3"/>
    <row r="876" ht="14.4" x14ac:dyDescent="0.3"/>
    <row r="877" ht="14.4" x14ac:dyDescent="0.3"/>
    <row r="878" ht="14.4" x14ac:dyDescent="0.3"/>
    <row r="879" ht="14.4" x14ac:dyDescent="0.3"/>
    <row r="880" ht="14.4" x14ac:dyDescent="0.3"/>
    <row r="881" ht="14.4" x14ac:dyDescent="0.3"/>
    <row r="882" ht="14.4" x14ac:dyDescent="0.3"/>
    <row r="883" ht="14.4" x14ac:dyDescent="0.3"/>
    <row r="884" ht="14.4" x14ac:dyDescent="0.3"/>
    <row r="885" ht="14.4" x14ac:dyDescent="0.3"/>
    <row r="886" ht="14.4" x14ac:dyDescent="0.3"/>
    <row r="887" ht="14.4" x14ac:dyDescent="0.3"/>
    <row r="888" ht="14.4" x14ac:dyDescent="0.3"/>
    <row r="889" ht="14.4" x14ac:dyDescent="0.3"/>
    <row r="890" ht="14.4" x14ac:dyDescent="0.3"/>
    <row r="891" ht="14.4" x14ac:dyDescent="0.3"/>
    <row r="892" ht="14.4" x14ac:dyDescent="0.3"/>
    <row r="893" ht="14.4" x14ac:dyDescent="0.3"/>
    <row r="894" ht="14.4" x14ac:dyDescent="0.3"/>
    <row r="895" ht="14.4" x14ac:dyDescent="0.3"/>
    <row r="896" ht="14.4" x14ac:dyDescent="0.3"/>
    <row r="897" ht="14.4" x14ac:dyDescent="0.3"/>
    <row r="898" ht="14.4" x14ac:dyDescent="0.3"/>
    <row r="899" ht="14.4" x14ac:dyDescent="0.3"/>
    <row r="900" ht="14.4" x14ac:dyDescent="0.3"/>
    <row r="901" ht="14.4" x14ac:dyDescent="0.3"/>
    <row r="902" ht="14.4" x14ac:dyDescent="0.3"/>
    <row r="903" ht="14.4" x14ac:dyDescent="0.3"/>
    <row r="904" ht="14.4" x14ac:dyDescent="0.3"/>
    <row r="905" ht="14.4" x14ac:dyDescent="0.3"/>
    <row r="906" ht="14.4" x14ac:dyDescent="0.3"/>
    <row r="907" ht="14.4" x14ac:dyDescent="0.3"/>
    <row r="908" ht="14.4" x14ac:dyDescent="0.3"/>
    <row r="909" ht="14.4" x14ac:dyDescent="0.3"/>
    <row r="910" ht="14.4" x14ac:dyDescent="0.3"/>
    <row r="911" ht="14.4" x14ac:dyDescent="0.3"/>
    <row r="912" ht="14.4" x14ac:dyDescent="0.3"/>
    <row r="913" ht="14.4" x14ac:dyDescent="0.3"/>
    <row r="914" ht="14.4" x14ac:dyDescent="0.3"/>
    <row r="915" ht="14.4" x14ac:dyDescent="0.3"/>
    <row r="916" ht="14.4" x14ac:dyDescent="0.3"/>
    <row r="917" ht="14.4" x14ac:dyDescent="0.3"/>
    <row r="918" ht="14.4" x14ac:dyDescent="0.3"/>
    <row r="919" ht="14.4" x14ac:dyDescent="0.3"/>
    <row r="920" ht="14.4" x14ac:dyDescent="0.3"/>
    <row r="921" ht="14.4" x14ac:dyDescent="0.3"/>
    <row r="922" ht="14.4" x14ac:dyDescent="0.3"/>
    <row r="923" ht="14.4" x14ac:dyDescent="0.3"/>
    <row r="924" ht="14.4" x14ac:dyDescent="0.3"/>
    <row r="925" ht="14.4" x14ac:dyDescent="0.3"/>
    <row r="926" ht="14.4" x14ac:dyDescent="0.3"/>
    <row r="927" ht="14.4" x14ac:dyDescent="0.3"/>
    <row r="928" ht="14.4" x14ac:dyDescent="0.3"/>
    <row r="929" ht="14.4" x14ac:dyDescent="0.3"/>
    <row r="930" ht="14.4" x14ac:dyDescent="0.3"/>
    <row r="931" ht="14.4" x14ac:dyDescent="0.3"/>
    <row r="932" ht="14.4" x14ac:dyDescent="0.3"/>
    <row r="933" ht="14.4" x14ac:dyDescent="0.3"/>
    <row r="934" ht="14.4" x14ac:dyDescent="0.3"/>
    <row r="935" ht="14.4" x14ac:dyDescent="0.3"/>
    <row r="936" ht="14.4" x14ac:dyDescent="0.3"/>
    <row r="937" ht="14.4" x14ac:dyDescent="0.3"/>
    <row r="938" ht="14.4" x14ac:dyDescent="0.3"/>
    <row r="939" ht="14.4" x14ac:dyDescent="0.3"/>
    <row r="940" ht="14.4" x14ac:dyDescent="0.3"/>
    <row r="941" ht="14.4" x14ac:dyDescent="0.3"/>
    <row r="942" ht="14.4" x14ac:dyDescent="0.3"/>
    <row r="943" ht="14.4" x14ac:dyDescent="0.3"/>
    <row r="944" ht="14.4" x14ac:dyDescent="0.3"/>
    <row r="945" ht="14.4" x14ac:dyDescent="0.3"/>
    <row r="946" ht="14.4" x14ac:dyDescent="0.3"/>
    <row r="947" ht="14.4" x14ac:dyDescent="0.3"/>
    <row r="948" ht="14.4" x14ac:dyDescent="0.3"/>
    <row r="949" ht="14.4" x14ac:dyDescent="0.3"/>
    <row r="950" ht="14.4" x14ac:dyDescent="0.3"/>
    <row r="951" ht="14.4" x14ac:dyDescent="0.3"/>
    <row r="952" ht="14.4" x14ac:dyDescent="0.3"/>
    <row r="953" ht="14.4" x14ac:dyDescent="0.3"/>
    <row r="954" ht="14.4" x14ac:dyDescent="0.3"/>
    <row r="955" ht="14.4" x14ac:dyDescent="0.3"/>
    <row r="956" ht="14.4" x14ac:dyDescent="0.3"/>
    <row r="957" ht="14.4" x14ac:dyDescent="0.3"/>
    <row r="958" ht="14.4" x14ac:dyDescent="0.3"/>
    <row r="959" ht="14.4" x14ac:dyDescent="0.3"/>
    <row r="960" ht="14.4" x14ac:dyDescent="0.3"/>
    <row r="961" ht="14.4" x14ac:dyDescent="0.3"/>
    <row r="962" ht="14.4" x14ac:dyDescent="0.3"/>
    <row r="963" ht="14.4" x14ac:dyDescent="0.3"/>
    <row r="964" ht="14.4" x14ac:dyDescent="0.3"/>
    <row r="965" ht="14.4" x14ac:dyDescent="0.3"/>
    <row r="966" ht="14.4" x14ac:dyDescent="0.3"/>
    <row r="967" ht="14.4" x14ac:dyDescent="0.3"/>
    <row r="968" ht="14.4" x14ac:dyDescent="0.3"/>
    <row r="969" ht="14.4" x14ac:dyDescent="0.3"/>
    <row r="970" ht="14.4" x14ac:dyDescent="0.3"/>
    <row r="971" ht="14.4" x14ac:dyDescent="0.3"/>
    <row r="972" ht="14.4" x14ac:dyDescent="0.3"/>
    <row r="973" ht="14.4" x14ac:dyDescent="0.3"/>
    <row r="974" ht="14.4" x14ac:dyDescent="0.3"/>
    <row r="975" ht="14.4" x14ac:dyDescent="0.3"/>
    <row r="976" ht="14.4" x14ac:dyDescent="0.3"/>
    <row r="977" ht="14.4" x14ac:dyDescent="0.3"/>
    <row r="978" ht="14.4" x14ac:dyDescent="0.3"/>
    <row r="979" ht="14.4" x14ac:dyDescent="0.3"/>
    <row r="980" ht="14.4" x14ac:dyDescent="0.3"/>
    <row r="981" ht="14.4" x14ac:dyDescent="0.3"/>
    <row r="982" ht="14.4" x14ac:dyDescent="0.3"/>
    <row r="983" ht="14.4" x14ac:dyDescent="0.3"/>
    <row r="984" ht="14.4" x14ac:dyDescent="0.3"/>
    <row r="985" ht="14.4" x14ac:dyDescent="0.3"/>
    <row r="986" ht="14.4" x14ac:dyDescent="0.3"/>
    <row r="987" ht="14.4" x14ac:dyDescent="0.3"/>
    <row r="988" ht="14.4" x14ac:dyDescent="0.3"/>
    <row r="989" ht="14.4" x14ac:dyDescent="0.3"/>
    <row r="990" ht="14.4" x14ac:dyDescent="0.3"/>
    <row r="991" ht="14.4" x14ac:dyDescent="0.3"/>
    <row r="992" ht="14.4" x14ac:dyDescent="0.3"/>
    <row r="993" ht="14.4" x14ac:dyDescent="0.3"/>
    <row r="994" ht="14.4" x14ac:dyDescent="0.3"/>
    <row r="995" ht="14.4" x14ac:dyDescent="0.3"/>
    <row r="996" ht="14.4" x14ac:dyDescent="0.3"/>
    <row r="997" ht="14.4" x14ac:dyDescent="0.3"/>
    <row r="998" ht="14.4" x14ac:dyDescent="0.3"/>
    <row r="999" ht="14.4" x14ac:dyDescent="0.3"/>
    <row r="1000" ht="14.4" x14ac:dyDescent="0.3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41622-61DA-48E6-85C7-30F8998502BE}">
  <sheetPr>
    <tabColor rgb="FF2F5496"/>
  </sheetPr>
  <dimension ref="A1:AG1000"/>
  <sheetViews>
    <sheetView workbookViewId="0">
      <selection activeCell="C12" sqref="C12"/>
    </sheetView>
  </sheetViews>
  <sheetFormatPr defaultColWidth="9.33203125" defaultRowHeight="15" customHeight="1" x14ac:dyDescent="0.3"/>
  <cols>
    <col min="1" max="1" width="26.5546875" customWidth="1"/>
    <col min="2" max="2" width="11.6640625" bestFit="1" customWidth="1"/>
  </cols>
  <sheetData>
    <row r="1" spans="1:33" ht="15" customHeight="1" x14ac:dyDescent="0.3">
      <c r="A1" t="s">
        <v>53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ht="15" customHeight="1" x14ac:dyDescent="0.3">
      <c r="A2" t="s">
        <v>54</v>
      </c>
      <c r="B2">
        <f>Calculation!$B$31</f>
        <v>4.1052124687857637E-6</v>
      </c>
      <c r="C2">
        <f>Calculation!$B$31</f>
        <v>4.1052124687857637E-6</v>
      </c>
      <c r="D2">
        <f>Calculation!$B$31</f>
        <v>4.1052124687857637E-6</v>
      </c>
      <c r="E2">
        <f>Calculation!$B$31</f>
        <v>4.1052124687857637E-6</v>
      </c>
      <c r="F2">
        <f>Calculation!$B$31</f>
        <v>4.1052124687857637E-6</v>
      </c>
      <c r="G2">
        <f>Calculation!$B$31</f>
        <v>4.1052124687857637E-6</v>
      </c>
      <c r="H2">
        <f>Calculation!$B$31</f>
        <v>4.1052124687857637E-6</v>
      </c>
      <c r="I2">
        <f>Calculation!$B$31</f>
        <v>4.1052124687857637E-6</v>
      </c>
      <c r="J2">
        <f>Calculation!$B$31</f>
        <v>4.1052124687857637E-6</v>
      </c>
      <c r="K2">
        <f>Calculation!$B$31</f>
        <v>4.1052124687857637E-6</v>
      </c>
      <c r="L2">
        <f>Calculation!$B$31</f>
        <v>4.1052124687857637E-6</v>
      </c>
      <c r="M2">
        <f>Calculation!$B$31</f>
        <v>4.1052124687857637E-6</v>
      </c>
      <c r="N2">
        <f>Calculation!$B$31</f>
        <v>4.1052124687857637E-6</v>
      </c>
      <c r="O2">
        <f>Calculation!$B$31</f>
        <v>4.1052124687857637E-6</v>
      </c>
      <c r="P2">
        <f>Calculation!$B$31</f>
        <v>4.1052124687857637E-6</v>
      </c>
      <c r="Q2">
        <f>Calculation!$B$31</f>
        <v>4.1052124687857637E-6</v>
      </c>
      <c r="R2">
        <f>Calculation!$B$31</f>
        <v>4.1052124687857637E-6</v>
      </c>
      <c r="S2">
        <f>Calculation!$B$31</f>
        <v>4.1052124687857637E-6</v>
      </c>
      <c r="T2">
        <f>Calculation!$B$31</f>
        <v>4.1052124687857637E-6</v>
      </c>
      <c r="U2">
        <f>Calculation!$B$31</f>
        <v>4.1052124687857637E-6</v>
      </c>
      <c r="V2">
        <f>Calculation!$B$31</f>
        <v>4.1052124687857637E-6</v>
      </c>
      <c r="W2">
        <f>Calculation!$B$31</f>
        <v>4.1052124687857637E-6</v>
      </c>
      <c r="X2">
        <f>Calculation!$B$31</f>
        <v>4.1052124687857637E-6</v>
      </c>
      <c r="Y2">
        <f>Calculation!$B$31</f>
        <v>4.1052124687857637E-6</v>
      </c>
      <c r="Z2">
        <f>Calculation!$B$31</f>
        <v>4.1052124687857637E-6</v>
      </c>
      <c r="AA2">
        <f>Calculation!$B$31</f>
        <v>4.1052124687857637E-6</v>
      </c>
      <c r="AB2">
        <f>Calculation!$B$31</f>
        <v>4.1052124687857637E-6</v>
      </c>
      <c r="AC2">
        <f>Calculation!$B$31</f>
        <v>4.1052124687857637E-6</v>
      </c>
      <c r="AD2">
        <f>Calculation!$B$31</f>
        <v>4.1052124687857637E-6</v>
      </c>
      <c r="AE2">
        <f>Calculation!$B$31</f>
        <v>4.1052124687857637E-6</v>
      </c>
      <c r="AF2">
        <f>Calculation!$B$31</f>
        <v>4.1052124687857637E-6</v>
      </c>
      <c r="AG2">
        <f>Calculation!$B$31</f>
        <v>4.1052124687857637E-6</v>
      </c>
    </row>
    <row r="3" spans="1:33" ht="15" customHeight="1" x14ac:dyDescent="0.3">
      <c r="A3" t="s">
        <v>55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</row>
    <row r="4" spans="1:33" ht="15" customHeight="1" x14ac:dyDescent="0.3">
      <c r="A4" t="s">
        <v>56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</row>
    <row r="5" spans="1:33" ht="15" customHeight="1" x14ac:dyDescent="0.3">
      <c r="A5" t="s">
        <v>57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ht="15" customHeight="1" x14ac:dyDescent="0.3">
      <c r="A6" t="s">
        <v>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ht="15" customHeight="1" x14ac:dyDescent="0.3">
      <c r="A7" t="s">
        <v>59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ht="15" customHeight="1" x14ac:dyDescent="0.3">
      <c r="A8" t="s">
        <v>60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ht="15" customHeight="1" x14ac:dyDescent="0.3">
      <c r="A9" t="s">
        <v>61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ht="15" customHeight="1" x14ac:dyDescent="0.3">
      <c r="A10" t="s">
        <v>62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</row>
    <row r="11" spans="1:33" ht="15" customHeight="1" x14ac:dyDescent="0.3">
      <c r="A11" t="s">
        <v>63</v>
      </c>
      <c r="B11" s="12">
        <f>Calculation!$B$13</f>
        <v>8.1337630999305873E-7</v>
      </c>
      <c r="C11" s="12">
        <f>Calculation!$B$13</f>
        <v>8.1337630999305873E-7</v>
      </c>
      <c r="D11" s="12">
        <f>Calculation!$B$13</f>
        <v>8.1337630999305873E-7</v>
      </c>
      <c r="E11" s="12">
        <f>Calculation!$B$13</f>
        <v>8.1337630999305873E-7</v>
      </c>
      <c r="F11" s="12">
        <f>Calculation!$B$13</f>
        <v>8.1337630999305873E-7</v>
      </c>
      <c r="G11" s="12">
        <f>Calculation!$B$13</f>
        <v>8.1337630999305873E-7</v>
      </c>
      <c r="H11" s="12">
        <f>Calculation!$B$13</f>
        <v>8.1337630999305873E-7</v>
      </c>
      <c r="I11" s="12">
        <f>Calculation!$B$13</f>
        <v>8.1337630999305873E-7</v>
      </c>
      <c r="J11" s="12">
        <f>Calculation!$B$13</f>
        <v>8.1337630999305873E-7</v>
      </c>
      <c r="K11" s="12">
        <f>Calculation!$B$13</f>
        <v>8.1337630999305873E-7</v>
      </c>
      <c r="L11" s="12">
        <f>Calculation!$B$13</f>
        <v>8.1337630999305873E-7</v>
      </c>
      <c r="M11" s="12">
        <f>Calculation!$B$13</f>
        <v>8.1337630999305873E-7</v>
      </c>
      <c r="N11" s="12">
        <f>Calculation!$B$13</f>
        <v>8.1337630999305873E-7</v>
      </c>
      <c r="O11" s="12">
        <f>Calculation!$B$13</f>
        <v>8.1337630999305873E-7</v>
      </c>
      <c r="P11" s="12">
        <f>Calculation!$B$13</f>
        <v>8.1337630999305873E-7</v>
      </c>
      <c r="Q11" s="12">
        <f>Calculation!$B$13</f>
        <v>8.1337630999305873E-7</v>
      </c>
      <c r="R11" s="12">
        <f>Calculation!$B$13</f>
        <v>8.1337630999305873E-7</v>
      </c>
      <c r="S11" s="12">
        <f>Calculation!$B$13</f>
        <v>8.1337630999305873E-7</v>
      </c>
      <c r="T11" s="12">
        <f>Calculation!$B$13</f>
        <v>8.1337630999305873E-7</v>
      </c>
      <c r="U11" s="12">
        <f>Calculation!$B$13</f>
        <v>8.1337630999305873E-7</v>
      </c>
      <c r="V11" s="12">
        <f>Calculation!$B$13</f>
        <v>8.1337630999305873E-7</v>
      </c>
      <c r="W11" s="12">
        <f>Calculation!$B$13</f>
        <v>8.1337630999305873E-7</v>
      </c>
      <c r="X11" s="12">
        <f>Calculation!$B$13</f>
        <v>8.1337630999305873E-7</v>
      </c>
      <c r="Y11" s="12">
        <f>Calculation!$B$13</f>
        <v>8.1337630999305873E-7</v>
      </c>
      <c r="Z11" s="12">
        <f>Calculation!$B$13</f>
        <v>8.1337630999305873E-7</v>
      </c>
      <c r="AA11" s="12">
        <f>Calculation!$B$13</f>
        <v>8.1337630999305873E-7</v>
      </c>
      <c r="AB11" s="12">
        <f>Calculation!$B$13</f>
        <v>8.1337630999305873E-7</v>
      </c>
      <c r="AC11" s="12">
        <f>Calculation!$B$13</f>
        <v>8.1337630999305873E-7</v>
      </c>
      <c r="AD11" s="12">
        <f>Calculation!$B$13</f>
        <v>8.1337630999305873E-7</v>
      </c>
      <c r="AE11" s="12">
        <f>Calculation!$B$13</f>
        <v>8.1337630999305873E-7</v>
      </c>
      <c r="AF11" s="12">
        <f>Calculation!$B$13</f>
        <v>8.1337630999305873E-7</v>
      </c>
      <c r="AG11" s="12">
        <f>Calculation!$B$13</f>
        <v>8.1337630999305873E-7</v>
      </c>
    </row>
    <row r="12" spans="1:33" ht="15" customHeight="1" x14ac:dyDescent="0.3">
      <c r="A12" t="s">
        <v>64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ht="15" customHeight="1" x14ac:dyDescent="0.3">
      <c r="A13" t="s">
        <v>65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ht="15" customHeight="1" x14ac:dyDescent="0.3">
      <c r="A14" t="s">
        <v>66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</row>
    <row r="15" spans="1:33" ht="15" customHeight="1" x14ac:dyDescent="0.3">
      <c r="A15" t="s">
        <v>67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ht="15" customHeight="1" x14ac:dyDescent="0.3">
      <c r="A16" t="s">
        <v>68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ht="15" customHeight="1" x14ac:dyDescent="0.3">
      <c r="A17" t="s">
        <v>69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</row>
    <row r="18" spans="1:33" ht="15" customHeight="1" x14ac:dyDescent="0.3">
      <c r="A18" t="s">
        <v>70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</row>
    <row r="19" spans="1:33" ht="15" customHeight="1" x14ac:dyDescent="0.3">
      <c r="A19" t="s">
        <v>71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</row>
    <row r="20" spans="1:33" ht="15" customHeight="1" x14ac:dyDescent="0.3">
      <c r="A20" t="s">
        <v>72</v>
      </c>
      <c r="B20">
        <f>Calculation!$B$22</f>
        <v>1.0144521749493104E-5</v>
      </c>
      <c r="C20">
        <f>Calculation!$B$22</f>
        <v>1.0144521749493104E-5</v>
      </c>
      <c r="D20">
        <f>Calculation!$B$22</f>
        <v>1.0144521749493104E-5</v>
      </c>
      <c r="E20">
        <f>Calculation!$B$22</f>
        <v>1.0144521749493104E-5</v>
      </c>
      <c r="F20">
        <f>Calculation!$B$22</f>
        <v>1.0144521749493104E-5</v>
      </c>
      <c r="G20">
        <f>Calculation!$B$22</f>
        <v>1.0144521749493104E-5</v>
      </c>
      <c r="H20">
        <f>Calculation!$B$22</f>
        <v>1.0144521749493104E-5</v>
      </c>
      <c r="I20">
        <f>Calculation!$B$22</f>
        <v>1.0144521749493104E-5</v>
      </c>
      <c r="J20">
        <f>Calculation!$B$22</f>
        <v>1.0144521749493104E-5</v>
      </c>
      <c r="K20">
        <f>Calculation!$B$22</f>
        <v>1.0144521749493104E-5</v>
      </c>
      <c r="L20">
        <f>Calculation!$B$22</f>
        <v>1.0144521749493104E-5</v>
      </c>
      <c r="M20">
        <f>Calculation!$B$22</f>
        <v>1.0144521749493104E-5</v>
      </c>
      <c r="N20">
        <f>Calculation!$B$22</f>
        <v>1.0144521749493104E-5</v>
      </c>
      <c r="O20">
        <f>Calculation!$B$22</f>
        <v>1.0144521749493104E-5</v>
      </c>
      <c r="P20">
        <f>Calculation!$B$22</f>
        <v>1.0144521749493104E-5</v>
      </c>
      <c r="Q20">
        <f>Calculation!$B$22</f>
        <v>1.0144521749493104E-5</v>
      </c>
      <c r="R20">
        <f>Calculation!$B$22</f>
        <v>1.0144521749493104E-5</v>
      </c>
      <c r="S20">
        <f>Calculation!$B$22</f>
        <v>1.0144521749493104E-5</v>
      </c>
      <c r="T20">
        <f>Calculation!$B$22</f>
        <v>1.0144521749493104E-5</v>
      </c>
      <c r="U20">
        <f>Calculation!$B$22</f>
        <v>1.0144521749493104E-5</v>
      </c>
      <c r="V20">
        <f>Calculation!$B$22</f>
        <v>1.0144521749493104E-5</v>
      </c>
      <c r="W20">
        <f>Calculation!$B$22</f>
        <v>1.0144521749493104E-5</v>
      </c>
      <c r="X20">
        <f>Calculation!$B$22</f>
        <v>1.0144521749493104E-5</v>
      </c>
      <c r="Y20">
        <f>Calculation!$B$22</f>
        <v>1.0144521749493104E-5</v>
      </c>
      <c r="Z20">
        <f>Calculation!$B$22</f>
        <v>1.0144521749493104E-5</v>
      </c>
      <c r="AA20">
        <f>Calculation!$B$22</f>
        <v>1.0144521749493104E-5</v>
      </c>
      <c r="AB20">
        <f>Calculation!$B$22</f>
        <v>1.0144521749493104E-5</v>
      </c>
      <c r="AC20">
        <f>Calculation!$B$22</f>
        <v>1.0144521749493104E-5</v>
      </c>
      <c r="AD20">
        <f>Calculation!$B$22</f>
        <v>1.0144521749493104E-5</v>
      </c>
      <c r="AE20">
        <f>Calculation!$B$22</f>
        <v>1.0144521749493104E-5</v>
      </c>
      <c r="AF20">
        <f>Calculation!$B$22</f>
        <v>1.0144521749493104E-5</v>
      </c>
      <c r="AG20">
        <f>Calculation!$B$22</f>
        <v>1.0144521749493104E-5</v>
      </c>
    </row>
    <row r="21" spans="1:33" ht="15" customHeight="1" x14ac:dyDescent="0.3">
      <c r="A21" t="s">
        <v>73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 ht="15" customHeight="1" x14ac:dyDescent="0.3">
      <c r="A22" s="13" t="s">
        <v>74</v>
      </c>
      <c r="B22">
        <v>0</v>
      </c>
      <c r="C2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52" ht="14.4" x14ac:dyDescent="0.3"/>
    <row r="53" ht="14.4" x14ac:dyDescent="0.3"/>
    <row r="54" ht="14.4" x14ac:dyDescent="0.3"/>
    <row r="55" ht="14.4" x14ac:dyDescent="0.3"/>
    <row r="56" ht="14.4" x14ac:dyDescent="0.3"/>
    <row r="57" ht="14.4" x14ac:dyDescent="0.3"/>
    <row r="58" ht="14.4" x14ac:dyDescent="0.3"/>
    <row r="59" ht="14.4" x14ac:dyDescent="0.3"/>
    <row r="60" ht="14.4" x14ac:dyDescent="0.3"/>
    <row r="61" ht="14.4" x14ac:dyDescent="0.3"/>
    <row r="62" ht="14.4" x14ac:dyDescent="0.3"/>
    <row r="63" ht="14.4" x14ac:dyDescent="0.3"/>
    <row r="64" ht="14.4" x14ac:dyDescent="0.3"/>
    <row r="65" ht="14.4" x14ac:dyDescent="0.3"/>
    <row r="66" ht="14.4" x14ac:dyDescent="0.3"/>
    <row r="67" ht="14.4" x14ac:dyDescent="0.3"/>
    <row r="68" ht="14.4" x14ac:dyDescent="0.3"/>
    <row r="69" ht="14.4" x14ac:dyDescent="0.3"/>
    <row r="70" ht="14.4" x14ac:dyDescent="0.3"/>
    <row r="71" ht="14.4" x14ac:dyDescent="0.3"/>
    <row r="72" ht="14.4" x14ac:dyDescent="0.3"/>
    <row r="73" ht="14.4" x14ac:dyDescent="0.3"/>
    <row r="74" ht="14.4" x14ac:dyDescent="0.3"/>
    <row r="75" ht="14.4" x14ac:dyDescent="0.3"/>
    <row r="76" ht="14.4" x14ac:dyDescent="0.3"/>
    <row r="77" ht="14.4" x14ac:dyDescent="0.3"/>
    <row r="78" ht="14.4" x14ac:dyDescent="0.3"/>
    <row r="79" ht="14.4" x14ac:dyDescent="0.3"/>
    <row r="80" ht="14.4" x14ac:dyDescent="0.3"/>
    <row r="81" ht="14.4" x14ac:dyDescent="0.3"/>
    <row r="82" ht="14.4" x14ac:dyDescent="0.3"/>
    <row r="83" ht="14.4" x14ac:dyDescent="0.3"/>
    <row r="84" ht="14.4" x14ac:dyDescent="0.3"/>
    <row r="85" ht="14.4" x14ac:dyDescent="0.3"/>
    <row r="86" ht="14.4" x14ac:dyDescent="0.3"/>
    <row r="87" ht="14.4" x14ac:dyDescent="0.3"/>
    <row r="88" ht="14.4" x14ac:dyDescent="0.3"/>
    <row r="89" ht="14.4" x14ac:dyDescent="0.3"/>
    <row r="90" ht="14.4" x14ac:dyDescent="0.3"/>
    <row r="91" ht="14.4" x14ac:dyDescent="0.3"/>
    <row r="92" ht="14.4" x14ac:dyDescent="0.3"/>
    <row r="93" ht="14.4" x14ac:dyDescent="0.3"/>
    <row r="94" ht="14.4" x14ac:dyDescent="0.3"/>
    <row r="95" ht="14.4" x14ac:dyDescent="0.3"/>
    <row r="96" ht="14.4" x14ac:dyDescent="0.3"/>
    <row r="97" ht="14.4" x14ac:dyDescent="0.3"/>
    <row r="98" ht="14.4" x14ac:dyDescent="0.3"/>
    <row r="99" ht="14.4" x14ac:dyDescent="0.3"/>
    <row r="100" ht="14.4" x14ac:dyDescent="0.3"/>
    <row r="101" ht="14.4" x14ac:dyDescent="0.3"/>
    <row r="102" ht="14.4" x14ac:dyDescent="0.3"/>
    <row r="103" ht="14.4" x14ac:dyDescent="0.3"/>
    <row r="104" ht="14.4" x14ac:dyDescent="0.3"/>
    <row r="105" ht="14.4" x14ac:dyDescent="0.3"/>
    <row r="106" ht="14.4" x14ac:dyDescent="0.3"/>
    <row r="107" ht="14.4" x14ac:dyDescent="0.3"/>
    <row r="108" ht="14.4" x14ac:dyDescent="0.3"/>
    <row r="109" ht="14.4" x14ac:dyDescent="0.3"/>
    <row r="110" ht="14.4" x14ac:dyDescent="0.3"/>
    <row r="111" ht="14.4" x14ac:dyDescent="0.3"/>
    <row r="112" ht="14.4" x14ac:dyDescent="0.3"/>
    <row r="113" ht="14.4" x14ac:dyDescent="0.3"/>
    <row r="114" ht="14.4" x14ac:dyDescent="0.3"/>
    <row r="115" ht="14.4" x14ac:dyDescent="0.3"/>
    <row r="116" ht="14.4" x14ac:dyDescent="0.3"/>
    <row r="117" ht="14.4" x14ac:dyDescent="0.3"/>
    <row r="118" ht="14.4" x14ac:dyDescent="0.3"/>
    <row r="119" ht="14.4" x14ac:dyDescent="0.3"/>
    <row r="120" ht="14.4" x14ac:dyDescent="0.3"/>
    <row r="121" ht="14.4" x14ac:dyDescent="0.3"/>
    <row r="122" ht="14.4" x14ac:dyDescent="0.3"/>
    <row r="123" ht="14.4" x14ac:dyDescent="0.3"/>
    <row r="124" ht="14.4" x14ac:dyDescent="0.3"/>
    <row r="125" ht="14.4" x14ac:dyDescent="0.3"/>
    <row r="126" ht="14.4" x14ac:dyDescent="0.3"/>
    <row r="127" ht="14.4" x14ac:dyDescent="0.3"/>
    <row r="128" ht="14.4" x14ac:dyDescent="0.3"/>
    <row r="129" ht="14.4" x14ac:dyDescent="0.3"/>
    <row r="130" ht="14.4" x14ac:dyDescent="0.3"/>
    <row r="131" ht="14.4" x14ac:dyDescent="0.3"/>
    <row r="132" ht="14.4" x14ac:dyDescent="0.3"/>
    <row r="133" ht="14.4" x14ac:dyDescent="0.3"/>
    <row r="134" ht="14.4" x14ac:dyDescent="0.3"/>
    <row r="135" ht="14.4" x14ac:dyDescent="0.3"/>
    <row r="136" ht="14.4" x14ac:dyDescent="0.3"/>
    <row r="137" ht="14.4" x14ac:dyDescent="0.3"/>
    <row r="138" ht="14.4" x14ac:dyDescent="0.3"/>
    <row r="139" ht="14.4" x14ac:dyDescent="0.3"/>
    <row r="140" ht="14.4" x14ac:dyDescent="0.3"/>
    <row r="141" ht="14.4" x14ac:dyDescent="0.3"/>
    <row r="142" ht="14.4" x14ac:dyDescent="0.3"/>
    <row r="143" ht="14.4" x14ac:dyDescent="0.3"/>
    <row r="144" ht="14.4" x14ac:dyDescent="0.3"/>
    <row r="145" ht="14.4" x14ac:dyDescent="0.3"/>
    <row r="146" ht="14.4" x14ac:dyDescent="0.3"/>
    <row r="147" ht="14.4" x14ac:dyDescent="0.3"/>
    <row r="148" ht="14.4" x14ac:dyDescent="0.3"/>
    <row r="149" ht="14.4" x14ac:dyDescent="0.3"/>
    <row r="150" ht="14.4" x14ac:dyDescent="0.3"/>
    <row r="151" ht="14.4" x14ac:dyDescent="0.3"/>
    <row r="152" ht="14.4" x14ac:dyDescent="0.3"/>
    <row r="153" ht="14.4" x14ac:dyDescent="0.3"/>
    <row r="154" ht="14.4" x14ac:dyDescent="0.3"/>
    <row r="155" ht="14.4" x14ac:dyDescent="0.3"/>
    <row r="156" ht="14.4" x14ac:dyDescent="0.3"/>
    <row r="157" ht="14.4" x14ac:dyDescent="0.3"/>
    <row r="158" ht="14.4" x14ac:dyDescent="0.3"/>
    <row r="159" ht="14.4" x14ac:dyDescent="0.3"/>
    <row r="160" ht="14.4" x14ac:dyDescent="0.3"/>
    <row r="161" ht="14.4" x14ac:dyDescent="0.3"/>
    <row r="162" ht="14.4" x14ac:dyDescent="0.3"/>
    <row r="163" ht="14.4" x14ac:dyDescent="0.3"/>
    <row r="164" ht="14.4" x14ac:dyDescent="0.3"/>
    <row r="165" ht="14.4" x14ac:dyDescent="0.3"/>
    <row r="166" ht="14.4" x14ac:dyDescent="0.3"/>
    <row r="167" ht="14.4" x14ac:dyDescent="0.3"/>
    <row r="168" ht="14.4" x14ac:dyDescent="0.3"/>
    <row r="169" ht="14.4" x14ac:dyDescent="0.3"/>
    <row r="170" ht="14.4" x14ac:dyDescent="0.3"/>
    <row r="171" ht="14.4" x14ac:dyDescent="0.3"/>
    <row r="172" ht="14.4" x14ac:dyDescent="0.3"/>
    <row r="173" ht="14.4" x14ac:dyDescent="0.3"/>
    <row r="174" ht="14.4" x14ac:dyDescent="0.3"/>
    <row r="175" ht="14.4" x14ac:dyDescent="0.3"/>
    <row r="176" ht="14.4" x14ac:dyDescent="0.3"/>
    <row r="177" ht="14.4" x14ac:dyDescent="0.3"/>
    <row r="178" ht="14.4" x14ac:dyDescent="0.3"/>
    <row r="179" ht="14.4" x14ac:dyDescent="0.3"/>
    <row r="180" ht="14.4" x14ac:dyDescent="0.3"/>
    <row r="181" ht="14.4" x14ac:dyDescent="0.3"/>
    <row r="182" ht="14.4" x14ac:dyDescent="0.3"/>
    <row r="183" ht="14.4" x14ac:dyDescent="0.3"/>
    <row r="184" ht="14.4" x14ac:dyDescent="0.3"/>
    <row r="185" ht="14.4" x14ac:dyDescent="0.3"/>
    <row r="186" ht="14.4" x14ac:dyDescent="0.3"/>
    <row r="187" ht="14.4" x14ac:dyDescent="0.3"/>
    <row r="188" ht="14.4" x14ac:dyDescent="0.3"/>
    <row r="189" ht="14.4" x14ac:dyDescent="0.3"/>
    <row r="190" ht="14.4" x14ac:dyDescent="0.3"/>
    <row r="191" ht="14.4" x14ac:dyDescent="0.3"/>
    <row r="192" ht="14.4" x14ac:dyDescent="0.3"/>
    <row r="193" ht="14.4" x14ac:dyDescent="0.3"/>
    <row r="194" ht="14.4" x14ac:dyDescent="0.3"/>
    <row r="195" ht="14.4" x14ac:dyDescent="0.3"/>
    <row r="196" ht="14.4" x14ac:dyDescent="0.3"/>
    <row r="197" ht="14.4" x14ac:dyDescent="0.3"/>
    <row r="198" ht="14.4" x14ac:dyDescent="0.3"/>
    <row r="199" ht="14.4" x14ac:dyDescent="0.3"/>
    <row r="200" ht="14.4" x14ac:dyDescent="0.3"/>
    <row r="201" ht="14.4" x14ac:dyDescent="0.3"/>
    <row r="202" ht="14.4" x14ac:dyDescent="0.3"/>
    <row r="203" ht="14.4" x14ac:dyDescent="0.3"/>
    <row r="204" ht="14.4" x14ac:dyDescent="0.3"/>
    <row r="205" ht="14.4" x14ac:dyDescent="0.3"/>
    <row r="206" ht="14.4" x14ac:dyDescent="0.3"/>
    <row r="207" ht="14.4" x14ac:dyDescent="0.3"/>
    <row r="208" ht="14.4" x14ac:dyDescent="0.3"/>
    <row r="209" ht="14.4" x14ac:dyDescent="0.3"/>
    <row r="210" ht="14.4" x14ac:dyDescent="0.3"/>
    <row r="211" ht="14.4" x14ac:dyDescent="0.3"/>
    <row r="212" ht="14.4" x14ac:dyDescent="0.3"/>
    <row r="213" ht="14.4" x14ac:dyDescent="0.3"/>
    <row r="214" ht="14.4" x14ac:dyDescent="0.3"/>
    <row r="215" ht="14.4" x14ac:dyDescent="0.3"/>
    <row r="216" ht="14.4" x14ac:dyDescent="0.3"/>
    <row r="217" ht="14.4" x14ac:dyDescent="0.3"/>
    <row r="218" ht="14.4" x14ac:dyDescent="0.3"/>
    <row r="219" ht="14.4" x14ac:dyDescent="0.3"/>
    <row r="220" ht="14.4" x14ac:dyDescent="0.3"/>
    <row r="221" ht="14.4" x14ac:dyDescent="0.3"/>
    <row r="222" ht="14.4" x14ac:dyDescent="0.3"/>
    <row r="223" ht="14.4" x14ac:dyDescent="0.3"/>
    <row r="224" ht="14.4" x14ac:dyDescent="0.3"/>
    <row r="225" ht="14.4" x14ac:dyDescent="0.3"/>
    <row r="226" ht="14.4" x14ac:dyDescent="0.3"/>
    <row r="227" ht="14.4" x14ac:dyDescent="0.3"/>
    <row r="228" ht="14.4" x14ac:dyDescent="0.3"/>
    <row r="229" ht="14.4" x14ac:dyDescent="0.3"/>
    <row r="230" ht="14.4" x14ac:dyDescent="0.3"/>
    <row r="231" ht="14.4" x14ac:dyDescent="0.3"/>
    <row r="232" ht="14.4" x14ac:dyDescent="0.3"/>
    <row r="233" ht="14.4" x14ac:dyDescent="0.3"/>
    <row r="234" ht="14.4" x14ac:dyDescent="0.3"/>
    <row r="235" ht="14.4" x14ac:dyDescent="0.3"/>
    <row r="236" ht="14.4" x14ac:dyDescent="0.3"/>
    <row r="237" ht="14.4" x14ac:dyDescent="0.3"/>
    <row r="238" ht="14.4" x14ac:dyDescent="0.3"/>
    <row r="239" ht="14.4" x14ac:dyDescent="0.3"/>
    <row r="240" ht="14.4" x14ac:dyDescent="0.3"/>
    <row r="241" ht="14.4" x14ac:dyDescent="0.3"/>
    <row r="242" ht="14.4" x14ac:dyDescent="0.3"/>
    <row r="243" ht="14.4" x14ac:dyDescent="0.3"/>
    <row r="244" ht="14.4" x14ac:dyDescent="0.3"/>
    <row r="245" ht="14.4" x14ac:dyDescent="0.3"/>
    <row r="246" ht="14.4" x14ac:dyDescent="0.3"/>
    <row r="247" ht="14.4" x14ac:dyDescent="0.3"/>
    <row r="248" ht="14.4" x14ac:dyDescent="0.3"/>
    <row r="249" ht="14.4" x14ac:dyDescent="0.3"/>
    <row r="250" ht="14.4" x14ac:dyDescent="0.3"/>
    <row r="251" ht="14.4" x14ac:dyDescent="0.3"/>
    <row r="252" ht="14.4" x14ac:dyDescent="0.3"/>
    <row r="253" ht="14.4" x14ac:dyDescent="0.3"/>
    <row r="254" ht="14.4" x14ac:dyDescent="0.3"/>
    <row r="255" ht="14.4" x14ac:dyDescent="0.3"/>
    <row r="256" ht="14.4" x14ac:dyDescent="0.3"/>
    <row r="257" ht="14.4" x14ac:dyDescent="0.3"/>
    <row r="258" ht="14.4" x14ac:dyDescent="0.3"/>
    <row r="259" ht="14.4" x14ac:dyDescent="0.3"/>
    <row r="260" ht="14.4" x14ac:dyDescent="0.3"/>
    <row r="261" ht="14.4" x14ac:dyDescent="0.3"/>
    <row r="262" ht="14.4" x14ac:dyDescent="0.3"/>
    <row r="263" ht="14.4" x14ac:dyDescent="0.3"/>
    <row r="264" ht="14.4" x14ac:dyDescent="0.3"/>
    <row r="265" ht="14.4" x14ac:dyDescent="0.3"/>
    <row r="266" ht="14.4" x14ac:dyDescent="0.3"/>
    <row r="267" ht="14.4" x14ac:dyDescent="0.3"/>
    <row r="268" ht="14.4" x14ac:dyDescent="0.3"/>
    <row r="269" ht="14.4" x14ac:dyDescent="0.3"/>
    <row r="270" ht="14.4" x14ac:dyDescent="0.3"/>
    <row r="271" ht="14.4" x14ac:dyDescent="0.3"/>
    <row r="272" ht="14.4" x14ac:dyDescent="0.3"/>
    <row r="273" ht="14.4" x14ac:dyDescent="0.3"/>
    <row r="274" ht="14.4" x14ac:dyDescent="0.3"/>
    <row r="275" ht="14.4" x14ac:dyDescent="0.3"/>
    <row r="276" ht="14.4" x14ac:dyDescent="0.3"/>
    <row r="277" ht="14.4" x14ac:dyDescent="0.3"/>
    <row r="278" ht="14.4" x14ac:dyDescent="0.3"/>
    <row r="279" ht="14.4" x14ac:dyDescent="0.3"/>
    <row r="280" ht="14.4" x14ac:dyDescent="0.3"/>
    <row r="281" ht="14.4" x14ac:dyDescent="0.3"/>
    <row r="282" ht="14.4" x14ac:dyDescent="0.3"/>
    <row r="283" ht="14.4" x14ac:dyDescent="0.3"/>
    <row r="284" ht="14.4" x14ac:dyDescent="0.3"/>
    <row r="285" ht="14.4" x14ac:dyDescent="0.3"/>
    <row r="286" ht="14.4" x14ac:dyDescent="0.3"/>
    <row r="287" ht="14.4" x14ac:dyDescent="0.3"/>
    <row r="288" ht="14.4" x14ac:dyDescent="0.3"/>
    <row r="289" ht="14.4" x14ac:dyDescent="0.3"/>
    <row r="290" ht="14.4" x14ac:dyDescent="0.3"/>
    <row r="291" ht="14.4" x14ac:dyDescent="0.3"/>
    <row r="292" ht="14.4" x14ac:dyDescent="0.3"/>
    <row r="293" ht="14.4" x14ac:dyDescent="0.3"/>
    <row r="294" ht="14.4" x14ac:dyDescent="0.3"/>
    <row r="295" ht="14.4" x14ac:dyDescent="0.3"/>
    <row r="296" ht="14.4" x14ac:dyDescent="0.3"/>
    <row r="297" ht="14.4" x14ac:dyDescent="0.3"/>
    <row r="298" ht="14.4" x14ac:dyDescent="0.3"/>
    <row r="299" ht="14.4" x14ac:dyDescent="0.3"/>
    <row r="300" ht="14.4" x14ac:dyDescent="0.3"/>
    <row r="301" ht="14.4" x14ac:dyDescent="0.3"/>
    <row r="302" ht="14.4" x14ac:dyDescent="0.3"/>
    <row r="303" ht="14.4" x14ac:dyDescent="0.3"/>
    <row r="304" ht="14.4" x14ac:dyDescent="0.3"/>
    <row r="305" ht="14.4" x14ac:dyDescent="0.3"/>
    <row r="306" ht="14.4" x14ac:dyDescent="0.3"/>
    <row r="307" ht="14.4" x14ac:dyDescent="0.3"/>
    <row r="308" ht="14.4" x14ac:dyDescent="0.3"/>
    <row r="309" ht="14.4" x14ac:dyDescent="0.3"/>
    <row r="310" ht="14.4" x14ac:dyDescent="0.3"/>
    <row r="311" ht="14.4" x14ac:dyDescent="0.3"/>
    <row r="312" ht="14.4" x14ac:dyDescent="0.3"/>
    <row r="313" ht="14.4" x14ac:dyDescent="0.3"/>
    <row r="314" ht="14.4" x14ac:dyDescent="0.3"/>
    <row r="315" ht="14.4" x14ac:dyDescent="0.3"/>
    <row r="316" ht="14.4" x14ac:dyDescent="0.3"/>
    <row r="317" ht="14.4" x14ac:dyDescent="0.3"/>
    <row r="318" ht="14.4" x14ac:dyDescent="0.3"/>
    <row r="319" ht="14.4" x14ac:dyDescent="0.3"/>
    <row r="320" ht="14.4" x14ac:dyDescent="0.3"/>
    <row r="321" ht="14.4" x14ac:dyDescent="0.3"/>
    <row r="322" ht="14.4" x14ac:dyDescent="0.3"/>
    <row r="323" ht="14.4" x14ac:dyDescent="0.3"/>
    <row r="324" ht="14.4" x14ac:dyDescent="0.3"/>
    <row r="325" ht="14.4" x14ac:dyDescent="0.3"/>
    <row r="326" ht="14.4" x14ac:dyDescent="0.3"/>
    <row r="327" ht="14.4" x14ac:dyDescent="0.3"/>
    <row r="328" ht="14.4" x14ac:dyDescent="0.3"/>
    <row r="329" ht="14.4" x14ac:dyDescent="0.3"/>
    <row r="330" ht="14.4" x14ac:dyDescent="0.3"/>
    <row r="331" ht="14.4" x14ac:dyDescent="0.3"/>
    <row r="332" ht="14.4" x14ac:dyDescent="0.3"/>
    <row r="333" ht="14.4" x14ac:dyDescent="0.3"/>
    <row r="334" ht="14.4" x14ac:dyDescent="0.3"/>
    <row r="335" ht="14.4" x14ac:dyDescent="0.3"/>
    <row r="336" ht="14.4" x14ac:dyDescent="0.3"/>
    <row r="337" ht="14.4" x14ac:dyDescent="0.3"/>
    <row r="338" ht="14.4" x14ac:dyDescent="0.3"/>
    <row r="339" ht="14.4" x14ac:dyDescent="0.3"/>
    <row r="340" ht="14.4" x14ac:dyDescent="0.3"/>
    <row r="341" ht="14.4" x14ac:dyDescent="0.3"/>
    <row r="342" ht="14.4" x14ac:dyDescent="0.3"/>
    <row r="343" ht="14.4" x14ac:dyDescent="0.3"/>
    <row r="344" ht="14.4" x14ac:dyDescent="0.3"/>
    <row r="345" ht="14.4" x14ac:dyDescent="0.3"/>
    <row r="346" ht="14.4" x14ac:dyDescent="0.3"/>
    <row r="347" ht="14.4" x14ac:dyDescent="0.3"/>
    <row r="348" ht="14.4" x14ac:dyDescent="0.3"/>
    <row r="349" ht="14.4" x14ac:dyDescent="0.3"/>
    <row r="350" ht="14.4" x14ac:dyDescent="0.3"/>
    <row r="351" ht="14.4" x14ac:dyDescent="0.3"/>
    <row r="352" ht="14.4" x14ac:dyDescent="0.3"/>
    <row r="353" ht="14.4" x14ac:dyDescent="0.3"/>
    <row r="354" ht="14.4" x14ac:dyDescent="0.3"/>
    <row r="355" ht="14.4" x14ac:dyDescent="0.3"/>
    <row r="356" ht="14.4" x14ac:dyDescent="0.3"/>
    <row r="357" ht="14.4" x14ac:dyDescent="0.3"/>
    <row r="358" ht="14.4" x14ac:dyDescent="0.3"/>
    <row r="359" ht="14.4" x14ac:dyDescent="0.3"/>
    <row r="360" ht="14.4" x14ac:dyDescent="0.3"/>
    <row r="361" ht="14.4" x14ac:dyDescent="0.3"/>
    <row r="362" ht="14.4" x14ac:dyDescent="0.3"/>
    <row r="363" ht="14.4" x14ac:dyDescent="0.3"/>
    <row r="364" ht="14.4" x14ac:dyDescent="0.3"/>
    <row r="365" ht="14.4" x14ac:dyDescent="0.3"/>
    <row r="366" ht="14.4" x14ac:dyDescent="0.3"/>
    <row r="367" ht="14.4" x14ac:dyDescent="0.3"/>
    <row r="368" ht="14.4" x14ac:dyDescent="0.3"/>
    <row r="369" ht="14.4" x14ac:dyDescent="0.3"/>
    <row r="370" ht="14.4" x14ac:dyDescent="0.3"/>
    <row r="371" ht="14.4" x14ac:dyDescent="0.3"/>
    <row r="372" ht="14.4" x14ac:dyDescent="0.3"/>
    <row r="373" ht="14.4" x14ac:dyDescent="0.3"/>
    <row r="374" ht="14.4" x14ac:dyDescent="0.3"/>
    <row r="375" ht="14.4" x14ac:dyDescent="0.3"/>
    <row r="376" ht="14.4" x14ac:dyDescent="0.3"/>
    <row r="377" ht="14.4" x14ac:dyDescent="0.3"/>
    <row r="378" ht="14.4" x14ac:dyDescent="0.3"/>
    <row r="379" ht="14.4" x14ac:dyDescent="0.3"/>
    <row r="380" ht="14.4" x14ac:dyDescent="0.3"/>
    <row r="381" ht="14.4" x14ac:dyDescent="0.3"/>
    <row r="382" ht="14.4" x14ac:dyDescent="0.3"/>
    <row r="383" ht="14.4" x14ac:dyDescent="0.3"/>
    <row r="384" ht="14.4" x14ac:dyDescent="0.3"/>
    <row r="385" ht="14.4" x14ac:dyDescent="0.3"/>
    <row r="386" ht="14.4" x14ac:dyDescent="0.3"/>
    <row r="387" ht="14.4" x14ac:dyDescent="0.3"/>
    <row r="388" ht="14.4" x14ac:dyDescent="0.3"/>
    <row r="389" ht="14.4" x14ac:dyDescent="0.3"/>
    <row r="390" ht="14.4" x14ac:dyDescent="0.3"/>
    <row r="391" ht="14.4" x14ac:dyDescent="0.3"/>
    <row r="392" ht="14.4" x14ac:dyDescent="0.3"/>
    <row r="393" ht="14.4" x14ac:dyDescent="0.3"/>
    <row r="394" ht="14.4" x14ac:dyDescent="0.3"/>
    <row r="395" ht="14.4" x14ac:dyDescent="0.3"/>
    <row r="396" ht="14.4" x14ac:dyDescent="0.3"/>
    <row r="397" ht="14.4" x14ac:dyDescent="0.3"/>
    <row r="398" ht="14.4" x14ac:dyDescent="0.3"/>
    <row r="399" ht="14.4" x14ac:dyDescent="0.3"/>
    <row r="400" ht="14.4" x14ac:dyDescent="0.3"/>
    <row r="401" ht="14.4" x14ac:dyDescent="0.3"/>
    <row r="402" ht="14.4" x14ac:dyDescent="0.3"/>
    <row r="403" ht="14.4" x14ac:dyDescent="0.3"/>
    <row r="404" ht="14.4" x14ac:dyDescent="0.3"/>
    <row r="405" ht="14.4" x14ac:dyDescent="0.3"/>
    <row r="406" ht="14.4" x14ac:dyDescent="0.3"/>
    <row r="407" ht="14.4" x14ac:dyDescent="0.3"/>
    <row r="408" ht="14.4" x14ac:dyDescent="0.3"/>
    <row r="409" ht="14.4" x14ac:dyDescent="0.3"/>
    <row r="410" ht="14.4" x14ac:dyDescent="0.3"/>
    <row r="411" ht="14.4" x14ac:dyDescent="0.3"/>
    <row r="412" ht="14.4" x14ac:dyDescent="0.3"/>
    <row r="413" ht="14.4" x14ac:dyDescent="0.3"/>
    <row r="414" ht="14.4" x14ac:dyDescent="0.3"/>
    <row r="415" ht="14.4" x14ac:dyDescent="0.3"/>
    <row r="416" ht="14.4" x14ac:dyDescent="0.3"/>
    <row r="417" ht="14.4" x14ac:dyDescent="0.3"/>
    <row r="418" ht="14.4" x14ac:dyDescent="0.3"/>
    <row r="419" ht="14.4" x14ac:dyDescent="0.3"/>
    <row r="420" ht="14.4" x14ac:dyDescent="0.3"/>
    <row r="421" ht="14.4" x14ac:dyDescent="0.3"/>
    <row r="422" ht="14.4" x14ac:dyDescent="0.3"/>
    <row r="423" ht="14.4" x14ac:dyDescent="0.3"/>
    <row r="424" ht="14.4" x14ac:dyDescent="0.3"/>
    <row r="425" ht="14.4" x14ac:dyDescent="0.3"/>
    <row r="426" ht="14.4" x14ac:dyDescent="0.3"/>
    <row r="427" ht="14.4" x14ac:dyDescent="0.3"/>
    <row r="428" ht="14.4" x14ac:dyDescent="0.3"/>
    <row r="429" ht="14.4" x14ac:dyDescent="0.3"/>
    <row r="430" ht="14.4" x14ac:dyDescent="0.3"/>
    <row r="431" ht="14.4" x14ac:dyDescent="0.3"/>
    <row r="432" ht="14.4" x14ac:dyDescent="0.3"/>
    <row r="433" ht="14.4" x14ac:dyDescent="0.3"/>
    <row r="434" ht="14.4" x14ac:dyDescent="0.3"/>
    <row r="435" ht="14.4" x14ac:dyDescent="0.3"/>
    <row r="436" ht="14.4" x14ac:dyDescent="0.3"/>
    <row r="437" ht="14.4" x14ac:dyDescent="0.3"/>
    <row r="438" ht="14.4" x14ac:dyDescent="0.3"/>
    <row r="439" ht="14.4" x14ac:dyDescent="0.3"/>
    <row r="440" ht="14.4" x14ac:dyDescent="0.3"/>
    <row r="441" ht="14.4" x14ac:dyDescent="0.3"/>
    <row r="442" ht="14.4" x14ac:dyDescent="0.3"/>
    <row r="443" ht="14.4" x14ac:dyDescent="0.3"/>
    <row r="444" ht="14.4" x14ac:dyDescent="0.3"/>
    <row r="445" ht="14.4" x14ac:dyDescent="0.3"/>
    <row r="446" ht="14.4" x14ac:dyDescent="0.3"/>
    <row r="447" ht="14.4" x14ac:dyDescent="0.3"/>
    <row r="448" ht="14.4" x14ac:dyDescent="0.3"/>
    <row r="449" ht="14.4" x14ac:dyDescent="0.3"/>
    <row r="450" ht="14.4" x14ac:dyDescent="0.3"/>
    <row r="451" ht="14.4" x14ac:dyDescent="0.3"/>
    <row r="452" ht="14.4" x14ac:dyDescent="0.3"/>
    <row r="453" ht="14.4" x14ac:dyDescent="0.3"/>
    <row r="454" ht="14.4" x14ac:dyDescent="0.3"/>
    <row r="455" ht="14.4" x14ac:dyDescent="0.3"/>
    <row r="456" ht="14.4" x14ac:dyDescent="0.3"/>
    <row r="457" ht="14.4" x14ac:dyDescent="0.3"/>
    <row r="458" ht="14.4" x14ac:dyDescent="0.3"/>
    <row r="459" ht="14.4" x14ac:dyDescent="0.3"/>
    <row r="460" ht="14.4" x14ac:dyDescent="0.3"/>
    <row r="461" ht="14.4" x14ac:dyDescent="0.3"/>
    <row r="462" ht="14.4" x14ac:dyDescent="0.3"/>
    <row r="463" ht="14.4" x14ac:dyDescent="0.3"/>
    <row r="464" ht="14.4" x14ac:dyDescent="0.3"/>
    <row r="465" ht="14.4" x14ac:dyDescent="0.3"/>
    <row r="466" ht="14.4" x14ac:dyDescent="0.3"/>
    <row r="467" ht="14.4" x14ac:dyDescent="0.3"/>
    <row r="468" ht="14.4" x14ac:dyDescent="0.3"/>
    <row r="469" ht="14.4" x14ac:dyDescent="0.3"/>
    <row r="470" ht="14.4" x14ac:dyDescent="0.3"/>
    <row r="471" ht="14.4" x14ac:dyDescent="0.3"/>
    <row r="472" ht="14.4" x14ac:dyDescent="0.3"/>
    <row r="473" ht="14.4" x14ac:dyDescent="0.3"/>
    <row r="474" ht="14.4" x14ac:dyDescent="0.3"/>
    <row r="475" ht="14.4" x14ac:dyDescent="0.3"/>
    <row r="476" ht="14.4" x14ac:dyDescent="0.3"/>
    <row r="477" ht="14.4" x14ac:dyDescent="0.3"/>
    <row r="478" ht="14.4" x14ac:dyDescent="0.3"/>
    <row r="479" ht="14.4" x14ac:dyDescent="0.3"/>
    <row r="480" ht="14.4" x14ac:dyDescent="0.3"/>
    <row r="481" ht="14.4" x14ac:dyDescent="0.3"/>
    <row r="482" ht="14.4" x14ac:dyDescent="0.3"/>
    <row r="483" ht="14.4" x14ac:dyDescent="0.3"/>
    <row r="484" ht="14.4" x14ac:dyDescent="0.3"/>
    <row r="485" ht="14.4" x14ac:dyDescent="0.3"/>
    <row r="486" ht="14.4" x14ac:dyDescent="0.3"/>
    <row r="487" ht="14.4" x14ac:dyDescent="0.3"/>
    <row r="488" ht="14.4" x14ac:dyDescent="0.3"/>
    <row r="489" ht="14.4" x14ac:dyDescent="0.3"/>
    <row r="490" ht="14.4" x14ac:dyDescent="0.3"/>
    <row r="491" ht="14.4" x14ac:dyDescent="0.3"/>
    <row r="492" ht="14.4" x14ac:dyDescent="0.3"/>
    <row r="493" ht="14.4" x14ac:dyDescent="0.3"/>
    <row r="494" ht="14.4" x14ac:dyDescent="0.3"/>
    <row r="495" ht="14.4" x14ac:dyDescent="0.3"/>
    <row r="496" ht="14.4" x14ac:dyDescent="0.3"/>
    <row r="497" ht="14.4" x14ac:dyDescent="0.3"/>
    <row r="498" ht="14.4" x14ac:dyDescent="0.3"/>
    <row r="499" ht="14.4" x14ac:dyDescent="0.3"/>
    <row r="500" ht="14.4" x14ac:dyDescent="0.3"/>
    <row r="501" ht="14.4" x14ac:dyDescent="0.3"/>
    <row r="502" ht="14.4" x14ac:dyDescent="0.3"/>
    <row r="503" ht="14.4" x14ac:dyDescent="0.3"/>
    <row r="504" ht="14.4" x14ac:dyDescent="0.3"/>
    <row r="505" ht="14.4" x14ac:dyDescent="0.3"/>
    <row r="506" ht="14.4" x14ac:dyDescent="0.3"/>
    <row r="507" ht="14.4" x14ac:dyDescent="0.3"/>
    <row r="508" ht="14.4" x14ac:dyDescent="0.3"/>
    <row r="509" ht="14.4" x14ac:dyDescent="0.3"/>
    <row r="510" ht="14.4" x14ac:dyDescent="0.3"/>
    <row r="511" ht="14.4" x14ac:dyDescent="0.3"/>
    <row r="512" ht="14.4" x14ac:dyDescent="0.3"/>
    <row r="513" ht="14.4" x14ac:dyDescent="0.3"/>
    <row r="514" ht="14.4" x14ac:dyDescent="0.3"/>
    <row r="515" ht="14.4" x14ac:dyDescent="0.3"/>
    <row r="516" ht="14.4" x14ac:dyDescent="0.3"/>
    <row r="517" ht="14.4" x14ac:dyDescent="0.3"/>
    <row r="518" ht="14.4" x14ac:dyDescent="0.3"/>
    <row r="519" ht="14.4" x14ac:dyDescent="0.3"/>
    <row r="520" ht="14.4" x14ac:dyDescent="0.3"/>
    <row r="521" ht="14.4" x14ac:dyDescent="0.3"/>
    <row r="522" ht="14.4" x14ac:dyDescent="0.3"/>
    <row r="523" ht="14.4" x14ac:dyDescent="0.3"/>
    <row r="524" ht="14.4" x14ac:dyDescent="0.3"/>
    <row r="525" ht="14.4" x14ac:dyDescent="0.3"/>
    <row r="526" ht="14.4" x14ac:dyDescent="0.3"/>
    <row r="527" ht="14.4" x14ac:dyDescent="0.3"/>
    <row r="528" ht="14.4" x14ac:dyDescent="0.3"/>
    <row r="529" ht="14.4" x14ac:dyDescent="0.3"/>
    <row r="530" ht="14.4" x14ac:dyDescent="0.3"/>
    <row r="531" ht="14.4" x14ac:dyDescent="0.3"/>
    <row r="532" ht="14.4" x14ac:dyDescent="0.3"/>
    <row r="533" ht="14.4" x14ac:dyDescent="0.3"/>
    <row r="534" ht="14.4" x14ac:dyDescent="0.3"/>
    <row r="535" ht="14.4" x14ac:dyDescent="0.3"/>
    <row r="536" ht="14.4" x14ac:dyDescent="0.3"/>
    <row r="537" ht="14.4" x14ac:dyDescent="0.3"/>
    <row r="538" ht="14.4" x14ac:dyDescent="0.3"/>
    <row r="539" ht="14.4" x14ac:dyDescent="0.3"/>
    <row r="540" ht="14.4" x14ac:dyDescent="0.3"/>
    <row r="541" ht="14.4" x14ac:dyDescent="0.3"/>
    <row r="542" ht="14.4" x14ac:dyDescent="0.3"/>
    <row r="543" ht="14.4" x14ac:dyDescent="0.3"/>
    <row r="544" ht="14.4" x14ac:dyDescent="0.3"/>
    <row r="545" ht="14.4" x14ac:dyDescent="0.3"/>
    <row r="546" ht="14.4" x14ac:dyDescent="0.3"/>
    <row r="547" ht="14.4" x14ac:dyDescent="0.3"/>
    <row r="548" ht="14.4" x14ac:dyDescent="0.3"/>
    <row r="549" ht="14.4" x14ac:dyDescent="0.3"/>
    <row r="550" ht="14.4" x14ac:dyDescent="0.3"/>
    <row r="551" ht="14.4" x14ac:dyDescent="0.3"/>
    <row r="552" ht="14.4" x14ac:dyDescent="0.3"/>
    <row r="553" ht="14.4" x14ac:dyDescent="0.3"/>
    <row r="554" ht="14.4" x14ac:dyDescent="0.3"/>
    <row r="555" ht="14.4" x14ac:dyDescent="0.3"/>
    <row r="556" ht="14.4" x14ac:dyDescent="0.3"/>
    <row r="557" ht="14.4" x14ac:dyDescent="0.3"/>
    <row r="558" ht="14.4" x14ac:dyDescent="0.3"/>
    <row r="559" ht="14.4" x14ac:dyDescent="0.3"/>
    <row r="560" ht="14.4" x14ac:dyDescent="0.3"/>
    <row r="561" ht="14.4" x14ac:dyDescent="0.3"/>
    <row r="562" ht="14.4" x14ac:dyDescent="0.3"/>
    <row r="563" ht="14.4" x14ac:dyDescent="0.3"/>
    <row r="564" ht="14.4" x14ac:dyDescent="0.3"/>
    <row r="565" ht="14.4" x14ac:dyDescent="0.3"/>
    <row r="566" ht="14.4" x14ac:dyDescent="0.3"/>
    <row r="567" ht="14.4" x14ac:dyDescent="0.3"/>
    <row r="568" ht="14.4" x14ac:dyDescent="0.3"/>
    <row r="569" ht="14.4" x14ac:dyDescent="0.3"/>
    <row r="570" ht="14.4" x14ac:dyDescent="0.3"/>
    <row r="571" ht="14.4" x14ac:dyDescent="0.3"/>
    <row r="572" ht="14.4" x14ac:dyDescent="0.3"/>
    <row r="573" ht="14.4" x14ac:dyDescent="0.3"/>
    <row r="574" ht="14.4" x14ac:dyDescent="0.3"/>
    <row r="575" ht="14.4" x14ac:dyDescent="0.3"/>
    <row r="576" ht="14.4" x14ac:dyDescent="0.3"/>
    <row r="577" ht="14.4" x14ac:dyDescent="0.3"/>
    <row r="578" ht="14.4" x14ac:dyDescent="0.3"/>
    <row r="579" ht="14.4" x14ac:dyDescent="0.3"/>
    <row r="580" ht="14.4" x14ac:dyDescent="0.3"/>
    <row r="581" ht="14.4" x14ac:dyDescent="0.3"/>
    <row r="582" ht="14.4" x14ac:dyDescent="0.3"/>
    <row r="583" ht="14.4" x14ac:dyDescent="0.3"/>
    <row r="584" ht="14.4" x14ac:dyDescent="0.3"/>
    <row r="585" ht="14.4" x14ac:dyDescent="0.3"/>
    <row r="586" ht="14.4" x14ac:dyDescent="0.3"/>
    <row r="587" ht="14.4" x14ac:dyDescent="0.3"/>
    <row r="588" ht="14.4" x14ac:dyDescent="0.3"/>
    <row r="589" ht="14.4" x14ac:dyDescent="0.3"/>
    <row r="590" ht="14.4" x14ac:dyDescent="0.3"/>
    <row r="591" ht="14.4" x14ac:dyDescent="0.3"/>
    <row r="592" ht="14.4" x14ac:dyDescent="0.3"/>
    <row r="593" ht="14.4" x14ac:dyDescent="0.3"/>
    <row r="594" ht="14.4" x14ac:dyDescent="0.3"/>
    <row r="595" ht="14.4" x14ac:dyDescent="0.3"/>
    <row r="596" ht="14.4" x14ac:dyDescent="0.3"/>
    <row r="597" ht="14.4" x14ac:dyDescent="0.3"/>
    <row r="598" ht="14.4" x14ac:dyDescent="0.3"/>
    <row r="599" ht="14.4" x14ac:dyDescent="0.3"/>
    <row r="600" ht="14.4" x14ac:dyDescent="0.3"/>
    <row r="601" ht="14.4" x14ac:dyDescent="0.3"/>
    <row r="602" ht="14.4" x14ac:dyDescent="0.3"/>
    <row r="603" ht="14.4" x14ac:dyDescent="0.3"/>
    <row r="604" ht="14.4" x14ac:dyDescent="0.3"/>
    <row r="605" ht="14.4" x14ac:dyDescent="0.3"/>
    <row r="606" ht="14.4" x14ac:dyDescent="0.3"/>
    <row r="607" ht="14.4" x14ac:dyDescent="0.3"/>
    <row r="608" ht="14.4" x14ac:dyDescent="0.3"/>
    <row r="609" ht="14.4" x14ac:dyDescent="0.3"/>
    <row r="610" ht="14.4" x14ac:dyDescent="0.3"/>
    <row r="611" ht="14.4" x14ac:dyDescent="0.3"/>
    <row r="612" ht="14.4" x14ac:dyDescent="0.3"/>
    <row r="613" ht="14.4" x14ac:dyDescent="0.3"/>
    <row r="614" ht="14.4" x14ac:dyDescent="0.3"/>
    <row r="615" ht="14.4" x14ac:dyDescent="0.3"/>
    <row r="616" ht="14.4" x14ac:dyDescent="0.3"/>
    <row r="617" ht="14.4" x14ac:dyDescent="0.3"/>
    <row r="618" ht="14.4" x14ac:dyDescent="0.3"/>
    <row r="619" ht="14.4" x14ac:dyDescent="0.3"/>
    <row r="620" ht="14.4" x14ac:dyDescent="0.3"/>
    <row r="621" ht="14.4" x14ac:dyDescent="0.3"/>
    <row r="622" ht="14.4" x14ac:dyDescent="0.3"/>
    <row r="623" ht="14.4" x14ac:dyDescent="0.3"/>
    <row r="624" ht="14.4" x14ac:dyDescent="0.3"/>
    <row r="625" ht="14.4" x14ac:dyDescent="0.3"/>
    <row r="626" ht="14.4" x14ac:dyDescent="0.3"/>
    <row r="627" ht="14.4" x14ac:dyDescent="0.3"/>
    <row r="628" ht="14.4" x14ac:dyDescent="0.3"/>
    <row r="629" ht="14.4" x14ac:dyDescent="0.3"/>
    <row r="630" ht="14.4" x14ac:dyDescent="0.3"/>
    <row r="631" ht="14.4" x14ac:dyDescent="0.3"/>
    <row r="632" ht="14.4" x14ac:dyDescent="0.3"/>
    <row r="633" ht="14.4" x14ac:dyDescent="0.3"/>
    <row r="634" ht="14.4" x14ac:dyDescent="0.3"/>
    <row r="635" ht="14.4" x14ac:dyDescent="0.3"/>
    <row r="636" ht="14.4" x14ac:dyDescent="0.3"/>
    <row r="637" ht="14.4" x14ac:dyDescent="0.3"/>
    <row r="638" ht="14.4" x14ac:dyDescent="0.3"/>
    <row r="639" ht="14.4" x14ac:dyDescent="0.3"/>
    <row r="640" ht="14.4" x14ac:dyDescent="0.3"/>
    <row r="641" ht="14.4" x14ac:dyDescent="0.3"/>
    <row r="642" ht="14.4" x14ac:dyDescent="0.3"/>
    <row r="643" ht="14.4" x14ac:dyDescent="0.3"/>
    <row r="644" ht="14.4" x14ac:dyDescent="0.3"/>
    <row r="645" ht="14.4" x14ac:dyDescent="0.3"/>
    <row r="646" ht="14.4" x14ac:dyDescent="0.3"/>
    <row r="647" ht="14.4" x14ac:dyDescent="0.3"/>
    <row r="648" ht="14.4" x14ac:dyDescent="0.3"/>
    <row r="649" ht="14.4" x14ac:dyDescent="0.3"/>
    <row r="650" ht="14.4" x14ac:dyDescent="0.3"/>
    <row r="651" ht="14.4" x14ac:dyDescent="0.3"/>
    <row r="652" ht="14.4" x14ac:dyDescent="0.3"/>
    <row r="653" ht="14.4" x14ac:dyDescent="0.3"/>
    <row r="654" ht="14.4" x14ac:dyDescent="0.3"/>
    <row r="655" ht="14.4" x14ac:dyDescent="0.3"/>
    <row r="656" ht="14.4" x14ac:dyDescent="0.3"/>
    <row r="657" ht="14.4" x14ac:dyDescent="0.3"/>
    <row r="658" ht="14.4" x14ac:dyDescent="0.3"/>
    <row r="659" ht="14.4" x14ac:dyDescent="0.3"/>
    <row r="660" ht="14.4" x14ac:dyDescent="0.3"/>
    <row r="661" ht="14.4" x14ac:dyDescent="0.3"/>
    <row r="662" ht="14.4" x14ac:dyDescent="0.3"/>
    <row r="663" ht="14.4" x14ac:dyDescent="0.3"/>
    <row r="664" ht="14.4" x14ac:dyDescent="0.3"/>
    <row r="665" ht="14.4" x14ac:dyDescent="0.3"/>
    <row r="666" ht="14.4" x14ac:dyDescent="0.3"/>
    <row r="667" ht="14.4" x14ac:dyDescent="0.3"/>
    <row r="668" ht="14.4" x14ac:dyDescent="0.3"/>
    <row r="669" ht="14.4" x14ac:dyDescent="0.3"/>
    <row r="670" ht="14.4" x14ac:dyDescent="0.3"/>
    <row r="671" ht="14.4" x14ac:dyDescent="0.3"/>
    <row r="672" ht="14.4" x14ac:dyDescent="0.3"/>
    <row r="673" ht="14.4" x14ac:dyDescent="0.3"/>
    <row r="674" ht="14.4" x14ac:dyDescent="0.3"/>
    <row r="675" ht="14.4" x14ac:dyDescent="0.3"/>
    <row r="676" ht="14.4" x14ac:dyDescent="0.3"/>
    <row r="677" ht="14.4" x14ac:dyDescent="0.3"/>
    <row r="678" ht="14.4" x14ac:dyDescent="0.3"/>
    <row r="679" ht="14.4" x14ac:dyDescent="0.3"/>
    <row r="680" ht="14.4" x14ac:dyDescent="0.3"/>
    <row r="681" ht="14.4" x14ac:dyDescent="0.3"/>
    <row r="682" ht="14.4" x14ac:dyDescent="0.3"/>
    <row r="683" ht="14.4" x14ac:dyDescent="0.3"/>
    <row r="684" ht="14.4" x14ac:dyDescent="0.3"/>
    <row r="685" ht="14.4" x14ac:dyDescent="0.3"/>
    <row r="686" ht="14.4" x14ac:dyDescent="0.3"/>
    <row r="687" ht="14.4" x14ac:dyDescent="0.3"/>
    <row r="688" ht="14.4" x14ac:dyDescent="0.3"/>
    <row r="689" ht="14.4" x14ac:dyDescent="0.3"/>
    <row r="690" ht="14.4" x14ac:dyDescent="0.3"/>
    <row r="691" ht="14.4" x14ac:dyDescent="0.3"/>
    <row r="692" ht="14.4" x14ac:dyDescent="0.3"/>
    <row r="693" ht="14.4" x14ac:dyDescent="0.3"/>
    <row r="694" ht="14.4" x14ac:dyDescent="0.3"/>
    <row r="695" ht="14.4" x14ac:dyDescent="0.3"/>
    <row r="696" ht="14.4" x14ac:dyDescent="0.3"/>
    <row r="697" ht="14.4" x14ac:dyDescent="0.3"/>
    <row r="698" ht="14.4" x14ac:dyDescent="0.3"/>
    <row r="699" ht="14.4" x14ac:dyDescent="0.3"/>
    <row r="700" ht="14.4" x14ac:dyDescent="0.3"/>
    <row r="701" ht="14.4" x14ac:dyDescent="0.3"/>
    <row r="702" ht="14.4" x14ac:dyDescent="0.3"/>
    <row r="703" ht="14.4" x14ac:dyDescent="0.3"/>
    <row r="704" ht="14.4" x14ac:dyDescent="0.3"/>
    <row r="705" ht="14.4" x14ac:dyDescent="0.3"/>
    <row r="706" ht="14.4" x14ac:dyDescent="0.3"/>
    <row r="707" ht="14.4" x14ac:dyDescent="0.3"/>
    <row r="708" ht="14.4" x14ac:dyDescent="0.3"/>
    <row r="709" ht="14.4" x14ac:dyDescent="0.3"/>
    <row r="710" ht="14.4" x14ac:dyDescent="0.3"/>
    <row r="711" ht="14.4" x14ac:dyDescent="0.3"/>
    <row r="712" ht="14.4" x14ac:dyDescent="0.3"/>
    <row r="713" ht="14.4" x14ac:dyDescent="0.3"/>
    <row r="714" ht="14.4" x14ac:dyDescent="0.3"/>
    <row r="715" ht="14.4" x14ac:dyDescent="0.3"/>
    <row r="716" ht="14.4" x14ac:dyDescent="0.3"/>
    <row r="717" ht="14.4" x14ac:dyDescent="0.3"/>
    <row r="718" ht="14.4" x14ac:dyDescent="0.3"/>
    <row r="719" ht="14.4" x14ac:dyDescent="0.3"/>
    <row r="720" ht="14.4" x14ac:dyDescent="0.3"/>
    <row r="721" ht="14.4" x14ac:dyDescent="0.3"/>
    <row r="722" ht="14.4" x14ac:dyDescent="0.3"/>
    <row r="723" ht="14.4" x14ac:dyDescent="0.3"/>
    <row r="724" ht="14.4" x14ac:dyDescent="0.3"/>
    <row r="725" ht="14.4" x14ac:dyDescent="0.3"/>
    <row r="726" ht="14.4" x14ac:dyDescent="0.3"/>
    <row r="727" ht="14.4" x14ac:dyDescent="0.3"/>
    <row r="728" ht="14.4" x14ac:dyDescent="0.3"/>
    <row r="729" ht="14.4" x14ac:dyDescent="0.3"/>
    <row r="730" ht="14.4" x14ac:dyDescent="0.3"/>
    <row r="731" ht="14.4" x14ac:dyDescent="0.3"/>
    <row r="732" ht="14.4" x14ac:dyDescent="0.3"/>
    <row r="733" ht="14.4" x14ac:dyDescent="0.3"/>
    <row r="734" ht="14.4" x14ac:dyDescent="0.3"/>
    <row r="735" ht="14.4" x14ac:dyDescent="0.3"/>
    <row r="736" ht="14.4" x14ac:dyDescent="0.3"/>
    <row r="737" ht="14.4" x14ac:dyDescent="0.3"/>
    <row r="738" ht="14.4" x14ac:dyDescent="0.3"/>
    <row r="739" ht="14.4" x14ac:dyDescent="0.3"/>
    <row r="740" ht="14.4" x14ac:dyDescent="0.3"/>
    <row r="741" ht="14.4" x14ac:dyDescent="0.3"/>
    <row r="742" ht="14.4" x14ac:dyDescent="0.3"/>
    <row r="743" ht="14.4" x14ac:dyDescent="0.3"/>
    <row r="744" ht="14.4" x14ac:dyDescent="0.3"/>
    <row r="745" ht="14.4" x14ac:dyDescent="0.3"/>
    <row r="746" ht="14.4" x14ac:dyDescent="0.3"/>
    <row r="747" ht="14.4" x14ac:dyDescent="0.3"/>
    <row r="748" ht="14.4" x14ac:dyDescent="0.3"/>
    <row r="749" ht="14.4" x14ac:dyDescent="0.3"/>
    <row r="750" ht="14.4" x14ac:dyDescent="0.3"/>
    <row r="751" ht="14.4" x14ac:dyDescent="0.3"/>
    <row r="752" ht="14.4" x14ac:dyDescent="0.3"/>
    <row r="753" ht="14.4" x14ac:dyDescent="0.3"/>
    <row r="754" ht="14.4" x14ac:dyDescent="0.3"/>
    <row r="755" ht="14.4" x14ac:dyDescent="0.3"/>
    <row r="756" ht="14.4" x14ac:dyDescent="0.3"/>
    <row r="757" ht="14.4" x14ac:dyDescent="0.3"/>
    <row r="758" ht="14.4" x14ac:dyDescent="0.3"/>
    <row r="759" ht="14.4" x14ac:dyDescent="0.3"/>
    <row r="760" ht="14.4" x14ac:dyDescent="0.3"/>
    <row r="761" ht="14.4" x14ac:dyDescent="0.3"/>
    <row r="762" ht="14.4" x14ac:dyDescent="0.3"/>
    <row r="763" ht="14.4" x14ac:dyDescent="0.3"/>
    <row r="764" ht="14.4" x14ac:dyDescent="0.3"/>
    <row r="765" ht="14.4" x14ac:dyDescent="0.3"/>
    <row r="766" ht="14.4" x14ac:dyDescent="0.3"/>
    <row r="767" ht="14.4" x14ac:dyDescent="0.3"/>
    <row r="768" ht="14.4" x14ac:dyDescent="0.3"/>
    <row r="769" ht="14.4" x14ac:dyDescent="0.3"/>
    <row r="770" ht="14.4" x14ac:dyDescent="0.3"/>
    <row r="771" ht="14.4" x14ac:dyDescent="0.3"/>
    <row r="772" ht="14.4" x14ac:dyDescent="0.3"/>
    <row r="773" ht="14.4" x14ac:dyDescent="0.3"/>
    <row r="774" ht="14.4" x14ac:dyDescent="0.3"/>
    <row r="775" ht="14.4" x14ac:dyDescent="0.3"/>
    <row r="776" ht="14.4" x14ac:dyDescent="0.3"/>
    <row r="777" ht="14.4" x14ac:dyDescent="0.3"/>
    <row r="778" ht="14.4" x14ac:dyDescent="0.3"/>
    <row r="779" ht="14.4" x14ac:dyDescent="0.3"/>
    <row r="780" ht="14.4" x14ac:dyDescent="0.3"/>
    <row r="781" ht="14.4" x14ac:dyDescent="0.3"/>
    <row r="782" ht="14.4" x14ac:dyDescent="0.3"/>
    <row r="783" ht="14.4" x14ac:dyDescent="0.3"/>
    <row r="784" ht="14.4" x14ac:dyDescent="0.3"/>
    <row r="785" ht="14.4" x14ac:dyDescent="0.3"/>
    <row r="786" ht="14.4" x14ac:dyDescent="0.3"/>
    <row r="787" ht="14.4" x14ac:dyDescent="0.3"/>
    <row r="788" ht="14.4" x14ac:dyDescent="0.3"/>
    <row r="789" ht="14.4" x14ac:dyDescent="0.3"/>
    <row r="790" ht="14.4" x14ac:dyDescent="0.3"/>
    <row r="791" ht="14.4" x14ac:dyDescent="0.3"/>
    <row r="792" ht="14.4" x14ac:dyDescent="0.3"/>
    <row r="793" ht="14.4" x14ac:dyDescent="0.3"/>
    <row r="794" ht="14.4" x14ac:dyDescent="0.3"/>
    <row r="795" ht="14.4" x14ac:dyDescent="0.3"/>
    <row r="796" ht="14.4" x14ac:dyDescent="0.3"/>
    <row r="797" ht="14.4" x14ac:dyDescent="0.3"/>
    <row r="798" ht="14.4" x14ac:dyDescent="0.3"/>
    <row r="799" ht="14.4" x14ac:dyDescent="0.3"/>
    <row r="800" ht="14.4" x14ac:dyDescent="0.3"/>
    <row r="801" ht="14.4" x14ac:dyDescent="0.3"/>
    <row r="802" ht="14.4" x14ac:dyDescent="0.3"/>
    <row r="803" ht="14.4" x14ac:dyDescent="0.3"/>
    <row r="804" ht="14.4" x14ac:dyDescent="0.3"/>
    <row r="805" ht="14.4" x14ac:dyDescent="0.3"/>
    <row r="806" ht="14.4" x14ac:dyDescent="0.3"/>
    <row r="807" ht="14.4" x14ac:dyDescent="0.3"/>
    <row r="808" ht="14.4" x14ac:dyDescent="0.3"/>
    <row r="809" ht="14.4" x14ac:dyDescent="0.3"/>
    <row r="810" ht="14.4" x14ac:dyDescent="0.3"/>
    <row r="811" ht="14.4" x14ac:dyDescent="0.3"/>
    <row r="812" ht="14.4" x14ac:dyDescent="0.3"/>
    <row r="813" ht="14.4" x14ac:dyDescent="0.3"/>
    <row r="814" ht="14.4" x14ac:dyDescent="0.3"/>
    <row r="815" ht="14.4" x14ac:dyDescent="0.3"/>
    <row r="816" ht="14.4" x14ac:dyDescent="0.3"/>
    <row r="817" ht="14.4" x14ac:dyDescent="0.3"/>
    <row r="818" ht="14.4" x14ac:dyDescent="0.3"/>
    <row r="819" ht="14.4" x14ac:dyDescent="0.3"/>
    <row r="820" ht="14.4" x14ac:dyDescent="0.3"/>
    <row r="821" ht="14.4" x14ac:dyDescent="0.3"/>
    <row r="822" ht="14.4" x14ac:dyDescent="0.3"/>
    <row r="823" ht="14.4" x14ac:dyDescent="0.3"/>
    <row r="824" ht="14.4" x14ac:dyDescent="0.3"/>
    <row r="825" ht="14.4" x14ac:dyDescent="0.3"/>
    <row r="826" ht="14.4" x14ac:dyDescent="0.3"/>
    <row r="827" ht="14.4" x14ac:dyDescent="0.3"/>
    <row r="828" ht="14.4" x14ac:dyDescent="0.3"/>
    <row r="829" ht="14.4" x14ac:dyDescent="0.3"/>
    <row r="830" ht="14.4" x14ac:dyDescent="0.3"/>
    <row r="831" ht="14.4" x14ac:dyDescent="0.3"/>
    <row r="832" ht="14.4" x14ac:dyDescent="0.3"/>
    <row r="833" ht="14.4" x14ac:dyDescent="0.3"/>
    <row r="834" ht="14.4" x14ac:dyDescent="0.3"/>
    <row r="835" ht="14.4" x14ac:dyDescent="0.3"/>
    <row r="836" ht="14.4" x14ac:dyDescent="0.3"/>
    <row r="837" ht="14.4" x14ac:dyDescent="0.3"/>
    <row r="838" ht="14.4" x14ac:dyDescent="0.3"/>
    <row r="839" ht="14.4" x14ac:dyDescent="0.3"/>
    <row r="840" ht="14.4" x14ac:dyDescent="0.3"/>
    <row r="841" ht="14.4" x14ac:dyDescent="0.3"/>
    <row r="842" ht="14.4" x14ac:dyDescent="0.3"/>
    <row r="843" ht="14.4" x14ac:dyDescent="0.3"/>
    <row r="844" ht="14.4" x14ac:dyDescent="0.3"/>
    <row r="845" ht="14.4" x14ac:dyDescent="0.3"/>
    <row r="846" ht="14.4" x14ac:dyDescent="0.3"/>
    <row r="847" ht="14.4" x14ac:dyDescent="0.3"/>
    <row r="848" ht="14.4" x14ac:dyDescent="0.3"/>
    <row r="849" ht="14.4" x14ac:dyDescent="0.3"/>
    <row r="850" ht="14.4" x14ac:dyDescent="0.3"/>
    <row r="851" ht="14.4" x14ac:dyDescent="0.3"/>
    <row r="852" ht="14.4" x14ac:dyDescent="0.3"/>
    <row r="853" ht="14.4" x14ac:dyDescent="0.3"/>
    <row r="854" ht="14.4" x14ac:dyDescent="0.3"/>
    <row r="855" ht="14.4" x14ac:dyDescent="0.3"/>
    <row r="856" ht="14.4" x14ac:dyDescent="0.3"/>
    <row r="857" ht="14.4" x14ac:dyDescent="0.3"/>
    <row r="858" ht="14.4" x14ac:dyDescent="0.3"/>
    <row r="859" ht="14.4" x14ac:dyDescent="0.3"/>
    <row r="860" ht="14.4" x14ac:dyDescent="0.3"/>
    <row r="861" ht="14.4" x14ac:dyDescent="0.3"/>
    <row r="862" ht="14.4" x14ac:dyDescent="0.3"/>
    <row r="863" ht="14.4" x14ac:dyDescent="0.3"/>
    <row r="864" ht="14.4" x14ac:dyDescent="0.3"/>
    <row r="865" ht="14.4" x14ac:dyDescent="0.3"/>
    <row r="866" ht="14.4" x14ac:dyDescent="0.3"/>
    <row r="867" ht="14.4" x14ac:dyDescent="0.3"/>
    <row r="868" ht="14.4" x14ac:dyDescent="0.3"/>
    <row r="869" ht="14.4" x14ac:dyDescent="0.3"/>
    <row r="870" ht="14.4" x14ac:dyDescent="0.3"/>
    <row r="871" ht="14.4" x14ac:dyDescent="0.3"/>
    <row r="872" ht="14.4" x14ac:dyDescent="0.3"/>
    <row r="873" ht="14.4" x14ac:dyDescent="0.3"/>
    <row r="874" ht="14.4" x14ac:dyDescent="0.3"/>
    <row r="875" ht="14.4" x14ac:dyDescent="0.3"/>
    <row r="876" ht="14.4" x14ac:dyDescent="0.3"/>
    <row r="877" ht="14.4" x14ac:dyDescent="0.3"/>
    <row r="878" ht="14.4" x14ac:dyDescent="0.3"/>
    <row r="879" ht="14.4" x14ac:dyDescent="0.3"/>
    <row r="880" ht="14.4" x14ac:dyDescent="0.3"/>
    <row r="881" ht="14.4" x14ac:dyDescent="0.3"/>
    <row r="882" ht="14.4" x14ac:dyDescent="0.3"/>
    <row r="883" ht="14.4" x14ac:dyDescent="0.3"/>
    <row r="884" ht="14.4" x14ac:dyDescent="0.3"/>
    <row r="885" ht="14.4" x14ac:dyDescent="0.3"/>
    <row r="886" ht="14.4" x14ac:dyDescent="0.3"/>
    <row r="887" ht="14.4" x14ac:dyDescent="0.3"/>
    <row r="888" ht="14.4" x14ac:dyDescent="0.3"/>
    <row r="889" ht="14.4" x14ac:dyDescent="0.3"/>
    <row r="890" ht="14.4" x14ac:dyDescent="0.3"/>
    <row r="891" ht="14.4" x14ac:dyDescent="0.3"/>
    <row r="892" ht="14.4" x14ac:dyDescent="0.3"/>
    <row r="893" ht="14.4" x14ac:dyDescent="0.3"/>
    <row r="894" ht="14.4" x14ac:dyDescent="0.3"/>
    <row r="895" ht="14.4" x14ac:dyDescent="0.3"/>
    <row r="896" ht="14.4" x14ac:dyDescent="0.3"/>
    <row r="897" ht="14.4" x14ac:dyDescent="0.3"/>
    <row r="898" ht="14.4" x14ac:dyDescent="0.3"/>
    <row r="899" ht="14.4" x14ac:dyDescent="0.3"/>
    <row r="900" ht="14.4" x14ac:dyDescent="0.3"/>
    <row r="901" ht="14.4" x14ac:dyDescent="0.3"/>
    <row r="902" ht="14.4" x14ac:dyDescent="0.3"/>
    <row r="903" ht="14.4" x14ac:dyDescent="0.3"/>
    <row r="904" ht="14.4" x14ac:dyDescent="0.3"/>
    <row r="905" ht="14.4" x14ac:dyDescent="0.3"/>
    <row r="906" ht="14.4" x14ac:dyDescent="0.3"/>
    <row r="907" ht="14.4" x14ac:dyDescent="0.3"/>
    <row r="908" ht="14.4" x14ac:dyDescent="0.3"/>
    <row r="909" ht="14.4" x14ac:dyDescent="0.3"/>
    <row r="910" ht="14.4" x14ac:dyDescent="0.3"/>
    <row r="911" ht="14.4" x14ac:dyDescent="0.3"/>
    <row r="912" ht="14.4" x14ac:dyDescent="0.3"/>
    <row r="913" ht="14.4" x14ac:dyDescent="0.3"/>
    <row r="914" ht="14.4" x14ac:dyDescent="0.3"/>
    <row r="915" ht="14.4" x14ac:dyDescent="0.3"/>
    <row r="916" ht="14.4" x14ac:dyDescent="0.3"/>
    <row r="917" ht="14.4" x14ac:dyDescent="0.3"/>
    <row r="918" ht="14.4" x14ac:dyDescent="0.3"/>
    <row r="919" ht="14.4" x14ac:dyDescent="0.3"/>
    <row r="920" ht="14.4" x14ac:dyDescent="0.3"/>
    <row r="921" ht="14.4" x14ac:dyDescent="0.3"/>
    <row r="922" ht="14.4" x14ac:dyDescent="0.3"/>
    <row r="923" ht="14.4" x14ac:dyDescent="0.3"/>
    <row r="924" ht="14.4" x14ac:dyDescent="0.3"/>
    <row r="925" ht="14.4" x14ac:dyDescent="0.3"/>
    <row r="926" ht="14.4" x14ac:dyDescent="0.3"/>
    <row r="927" ht="14.4" x14ac:dyDescent="0.3"/>
    <row r="928" ht="14.4" x14ac:dyDescent="0.3"/>
    <row r="929" ht="14.4" x14ac:dyDescent="0.3"/>
    <row r="930" ht="14.4" x14ac:dyDescent="0.3"/>
    <row r="931" ht="14.4" x14ac:dyDescent="0.3"/>
    <row r="932" ht="14.4" x14ac:dyDescent="0.3"/>
    <row r="933" ht="14.4" x14ac:dyDescent="0.3"/>
    <row r="934" ht="14.4" x14ac:dyDescent="0.3"/>
    <row r="935" ht="14.4" x14ac:dyDescent="0.3"/>
    <row r="936" ht="14.4" x14ac:dyDescent="0.3"/>
    <row r="937" ht="14.4" x14ac:dyDescent="0.3"/>
    <row r="938" ht="14.4" x14ac:dyDescent="0.3"/>
    <row r="939" ht="14.4" x14ac:dyDescent="0.3"/>
    <row r="940" ht="14.4" x14ac:dyDescent="0.3"/>
    <row r="941" ht="14.4" x14ac:dyDescent="0.3"/>
    <row r="942" ht="14.4" x14ac:dyDescent="0.3"/>
    <row r="943" ht="14.4" x14ac:dyDescent="0.3"/>
    <row r="944" ht="14.4" x14ac:dyDescent="0.3"/>
    <row r="945" ht="14.4" x14ac:dyDescent="0.3"/>
    <row r="946" ht="14.4" x14ac:dyDescent="0.3"/>
    <row r="947" ht="14.4" x14ac:dyDescent="0.3"/>
    <row r="948" ht="14.4" x14ac:dyDescent="0.3"/>
    <row r="949" ht="14.4" x14ac:dyDescent="0.3"/>
    <row r="950" ht="14.4" x14ac:dyDescent="0.3"/>
    <row r="951" ht="14.4" x14ac:dyDescent="0.3"/>
    <row r="952" ht="14.4" x14ac:dyDescent="0.3"/>
    <row r="953" ht="14.4" x14ac:dyDescent="0.3"/>
    <row r="954" ht="14.4" x14ac:dyDescent="0.3"/>
    <row r="955" ht="14.4" x14ac:dyDescent="0.3"/>
    <row r="956" ht="14.4" x14ac:dyDescent="0.3"/>
    <row r="957" ht="14.4" x14ac:dyDescent="0.3"/>
    <row r="958" ht="14.4" x14ac:dyDescent="0.3"/>
    <row r="959" ht="14.4" x14ac:dyDescent="0.3"/>
    <row r="960" ht="14.4" x14ac:dyDescent="0.3"/>
    <row r="961" ht="14.4" x14ac:dyDescent="0.3"/>
    <row r="962" ht="14.4" x14ac:dyDescent="0.3"/>
    <row r="963" ht="14.4" x14ac:dyDescent="0.3"/>
    <row r="964" ht="14.4" x14ac:dyDescent="0.3"/>
    <row r="965" ht="14.4" x14ac:dyDescent="0.3"/>
    <row r="966" ht="14.4" x14ac:dyDescent="0.3"/>
    <row r="967" ht="14.4" x14ac:dyDescent="0.3"/>
    <row r="968" ht="14.4" x14ac:dyDescent="0.3"/>
    <row r="969" ht="14.4" x14ac:dyDescent="0.3"/>
    <row r="970" ht="14.4" x14ac:dyDescent="0.3"/>
    <row r="971" ht="14.4" x14ac:dyDescent="0.3"/>
    <row r="972" ht="14.4" x14ac:dyDescent="0.3"/>
    <row r="973" ht="14.4" x14ac:dyDescent="0.3"/>
    <row r="974" ht="14.4" x14ac:dyDescent="0.3"/>
    <row r="975" ht="14.4" x14ac:dyDescent="0.3"/>
    <row r="976" ht="14.4" x14ac:dyDescent="0.3"/>
    <row r="977" ht="14.4" x14ac:dyDescent="0.3"/>
    <row r="978" ht="14.4" x14ac:dyDescent="0.3"/>
    <row r="979" ht="14.4" x14ac:dyDescent="0.3"/>
    <row r="980" ht="14.4" x14ac:dyDescent="0.3"/>
    <row r="981" ht="14.4" x14ac:dyDescent="0.3"/>
    <row r="982" ht="14.4" x14ac:dyDescent="0.3"/>
    <row r="983" ht="14.4" x14ac:dyDescent="0.3"/>
    <row r="984" ht="14.4" x14ac:dyDescent="0.3"/>
    <row r="985" ht="14.4" x14ac:dyDescent="0.3"/>
    <row r="986" ht="14.4" x14ac:dyDescent="0.3"/>
    <row r="987" ht="14.4" x14ac:dyDescent="0.3"/>
    <row r="988" ht="14.4" x14ac:dyDescent="0.3"/>
    <row r="989" ht="14.4" x14ac:dyDescent="0.3"/>
    <row r="990" ht="14.4" x14ac:dyDescent="0.3"/>
    <row r="991" ht="14.4" x14ac:dyDescent="0.3"/>
    <row r="992" ht="14.4" x14ac:dyDescent="0.3"/>
    <row r="993" ht="14.4" x14ac:dyDescent="0.3"/>
    <row r="994" ht="14.4" x14ac:dyDescent="0.3"/>
    <row r="995" ht="14.4" x14ac:dyDescent="0.3"/>
    <row r="996" ht="14.4" x14ac:dyDescent="0.3"/>
    <row r="997" ht="14.4" x14ac:dyDescent="0.3"/>
    <row r="998" ht="14.4" x14ac:dyDescent="0.3"/>
    <row r="999" ht="14.4" x14ac:dyDescent="0.3"/>
    <row r="1000" ht="14.4" x14ac:dyDescent="0.3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431A8-5137-486D-AD75-02162C679C4B}">
  <sheetPr>
    <tabColor rgb="FF2F5496"/>
  </sheetPr>
  <dimension ref="A1:AG1000"/>
  <sheetViews>
    <sheetView workbookViewId="0">
      <selection activeCell="R2" sqref="R2"/>
    </sheetView>
  </sheetViews>
  <sheetFormatPr defaultColWidth="9.33203125" defaultRowHeight="15" customHeight="1" x14ac:dyDescent="0.3"/>
  <cols>
    <col min="1" max="1" width="26.5546875" customWidth="1"/>
    <col min="2" max="2" width="11.6640625" bestFit="1" customWidth="1"/>
  </cols>
  <sheetData>
    <row r="1" spans="1:33" ht="15" customHeight="1" x14ac:dyDescent="0.3">
      <c r="A1" t="s">
        <v>53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ht="15" customHeight="1" x14ac:dyDescent="0.3">
      <c r="A2" t="s">
        <v>54</v>
      </c>
      <c r="B2">
        <f>Calculation!$B$31</f>
        <v>4.1052124687857637E-6</v>
      </c>
      <c r="C2">
        <f>Calculation!$B$31</f>
        <v>4.1052124687857637E-6</v>
      </c>
      <c r="D2">
        <f>Calculation!$B$31</f>
        <v>4.1052124687857637E-6</v>
      </c>
      <c r="E2">
        <f>Calculation!$B$31</f>
        <v>4.1052124687857637E-6</v>
      </c>
      <c r="F2">
        <f>Calculation!$B$31</f>
        <v>4.1052124687857637E-6</v>
      </c>
      <c r="G2">
        <f>Calculation!$B$31</f>
        <v>4.1052124687857637E-6</v>
      </c>
      <c r="H2">
        <f>Calculation!$B$31</f>
        <v>4.1052124687857637E-6</v>
      </c>
      <c r="I2">
        <f>Calculation!$B$31</f>
        <v>4.1052124687857637E-6</v>
      </c>
      <c r="J2">
        <f>Calculation!$B$31</f>
        <v>4.1052124687857637E-6</v>
      </c>
      <c r="K2">
        <f>Calculation!$B$31</f>
        <v>4.1052124687857637E-6</v>
      </c>
      <c r="L2">
        <f>Calculation!$B$31</f>
        <v>4.1052124687857637E-6</v>
      </c>
      <c r="M2">
        <f>Calculation!$B$31</f>
        <v>4.1052124687857637E-6</v>
      </c>
      <c r="N2">
        <f>Calculation!$B$31</f>
        <v>4.1052124687857637E-6</v>
      </c>
      <c r="O2">
        <f>Calculation!$B$31</f>
        <v>4.1052124687857637E-6</v>
      </c>
      <c r="P2">
        <f>Calculation!$B$31</f>
        <v>4.1052124687857637E-6</v>
      </c>
      <c r="Q2">
        <f>Calculation!$B$31</f>
        <v>4.1052124687857637E-6</v>
      </c>
      <c r="R2">
        <f>Calculation!$B$31</f>
        <v>4.1052124687857637E-6</v>
      </c>
      <c r="S2">
        <f>Calculation!$B$31</f>
        <v>4.1052124687857637E-6</v>
      </c>
      <c r="T2">
        <f>Calculation!$B$31</f>
        <v>4.1052124687857637E-6</v>
      </c>
      <c r="U2">
        <f>Calculation!$B$31</f>
        <v>4.1052124687857637E-6</v>
      </c>
      <c r="V2">
        <f>Calculation!$B$31</f>
        <v>4.1052124687857637E-6</v>
      </c>
      <c r="W2">
        <f>Calculation!$B$31</f>
        <v>4.1052124687857637E-6</v>
      </c>
      <c r="X2">
        <f>Calculation!$B$31</f>
        <v>4.1052124687857637E-6</v>
      </c>
      <c r="Y2">
        <f>Calculation!$B$31</f>
        <v>4.1052124687857637E-6</v>
      </c>
      <c r="Z2">
        <f>Calculation!$B$31</f>
        <v>4.1052124687857637E-6</v>
      </c>
      <c r="AA2">
        <f>Calculation!$B$31</f>
        <v>4.1052124687857637E-6</v>
      </c>
      <c r="AB2">
        <f>Calculation!$B$31</f>
        <v>4.1052124687857637E-6</v>
      </c>
      <c r="AC2">
        <f>Calculation!$B$31</f>
        <v>4.1052124687857637E-6</v>
      </c>
      <c r="AD2">
        <f>Calculation!$B$31</f>
        <v>4.1052124687857637E-6</v>
      </c>
      <c r="AE2">
        <f>Calculation!$B$31</f>
        <v>4.1052124687857637E-6</v>
      </c>
      <c r="AF2">
        <f>Calculation!$B$31</f>
        <v>4.1052124687857637E-6</v>
      </c>
      <c r="AG2">
        <f>Calculation!$B$31</f>
        <v>4.1052124687857637E-6</v>
      </c>
    </row>
    <row r="3" spans="1:33" ht="15" customHeight="1" x14ac:dyDescent="0.3">
      <c r="A3" t="s">
        <v>55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</row>
    <row r="4" spans="1:33" ht="15" customHeight="1" x14ac:dyDescent="0.3">
      <c r="A4" t="s">
        <v>56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</row>
    <row r="5" spans="1:33" ht="15" customHeight="1" x14ac:dyDescent="0.3">
      <c r="A5" t="s">
        <v>57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ht="15" customHeight="1" x14ac:dyDescent="0.3">
      <c r="A6" t="s">
        <v>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ht="15" customHeight="1" x14ac:dyDescent="0.3">
      <c r="A7" t="s">
        <v>59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ht="15" customHeight="1" x14ac:dyDescent="0.3">
      <c r="A8" t="s">
        <v>60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ht="15" customHeight="1" x14ac:dyDescent="0.3">
      <c r="A9" t="s">
        <v>61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ht="15" customHeight="1" x14ac:dyDescent="0.3">
      <c r="A10" t="s">
        <v>62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</row>
    <row r="11" spans="1:33" ht="15" customHeight="1" x14ac:dyDescent="0.3">
      <c r="A11" t="s">
        <v>63</v>
      </c>
      <c r="B11" s="12">
        <f>Calculation!$B$13</f>
        <v>8.1337630999305873E-7</v>
      </c>
      <c r="C11" s="12">
        <f>Calculation!$B$13</f>
        <v>8.1337630999305873E-7</v>
      </c>
      <c r="D11" s="12">
        <f>Calculation!$B$13</f>
        <v>8.1337630999305873E-7</v>
      </c>
      <c r="E11" s="12">
        <f>Calculation!$B$13</f>
        <v>8.1337630999305873E-7</v>
      </c>
      <c r="F11" s="12">
        <f>Calculation!$B$13</f>
        <v>8.1337630999305873E-7</v>
      </c>
      <c r="G11" s="12">
        <f>Calculation!$B$13</f>
        <v>8.1337630999305873E-7</v>
      </c>
      <c r="H11" s="12">
        <f>Calculation!$B$13</f>
        <v>8.1337630999305873E-7</v>
      </c>
      <c r="I11" s="12">
        <f>Calculation!$B$13</f>
        <v>8.1337630999305873E-7</v>
      </c>
      <c r="J11" s="12">
        <f>Calculation!$B$13</f>
        <v>8.1337630999305873E-7</v>
      </c>
      <c r="K11" s="12">
        <f>Calculation!$B$13</f>
        <v>8.1337630999305873E-7</v>
      </c>
      <c r="L11" s="12">
        <f>Calculation!$B$13</f>
        <v>8.1337630999305873E-7</v>
      </c>
      <c r="M11" s="12">
        <f>Calculation!$B$13</f>
        <v>8.1337630999305873E-7</v>
      </c>
      <c r="N11" s="12">
        <f>Calculation!$B$13</f>
        <v>8.1337630999305873E-7</v>
      </c>
      <c r="O11" s="12">
        <f>Calculation!$B$13</f>
        <v>8.1337630999305873E-7</v>
      </c>
      <c r="P11" s="12">
        <f>Calculation!$B$13</f>
        <v>8.1337630999305873E-7</v>
      </c>
      <c r="Q11" s="12">
        <f>Calculation!$B$13</f>
        <v>8.1337630999305873E-7</v>
      </c>
      <c r="R11" s="12">
        <f>Calculation!$B$13</f>
        <v>8.1337630999305873E-7</v>
      </c>
      <c r="S11" s="12">
        <f>Calculation!$B$13</f>
        <v>8.1337630999305873E-7</v>
      </c>
      <c r="T11" s="12">
        <f>Calculation!$B$13</f>
        <v>8.1337630999305873E-7</v>
      </c>
      <c r="U11" s="12">
        <f>Calculation!$B$13</f>
        <v>8.1337630999305873E-7</v>
      </c>
      <c r="V11" s="12">
        <f>Calculation!$B$13</f>
        <v>8.1337630999305873E-7</v>
      </c>
      <c r="W11" s="12">
        <f>Calculation!$B$13</f>
        <v>8.1337630999305873E-7</v>
      </c>
      <c r="X11" s="12">
        <f>Calculation!$B$13</f>
        <v>8.1337630999305873E-7</v>
      </c>
      <c r="Y11" s="12">
        <f>Calculation!$B$13</f>
        <v>8.1337630999305873E-7</v>
      </c>
      <c r="Z11" s="12">
        <f>Calculation!$B$13</f>
        <v>8.1337630999305873E-7</v>
      </c>
      <c r="AA11" s="12">
        <f>Calculation!$B$13</f>
        <v>8.1337630999305873E-7</v>
      </c>
      <c r="AB11" s="12">
        <f>Calculation!$B$13</f>
        <v>8.1337630999305873E-7</v>
      </c>
      <c r="AC11" s="12">
        <f>Calculation!$B$13</f>
        <v>8.1337630999305873E-7</v>
      </c>
      <c r="AD11" s="12">
        <f>Calculation!$B$13</f>
        <v>8.1337630999305873E-7</v>
      </c>
      <c r="AE11" s="12">
        <f>Calculation!$B$13</f>
        <v>8.1337630999305873E-7</v>
      </c>
      <c r="AF11" s="12">
        <f>Calculation!$B$13</f>
        <v>8.1337630999305873E-7</v>
      </c>
      <c r="AG11" s="12">
        <f>Calculation!$B$13</f>
        <v>8.1337630999305873E-7</v>
      </c>
    </row>
    <row r="12" spans="1:33" ht="15" customHeight="1" x14ac:dyDescent="0.3">
      <c r="A12" t="s">
        <v>64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ht="15" customHeight="1" x14ac:dyDescent="0.3">
      <c r="A13" t="s">
        <v>65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ht="15" customHeight="1" x14ac:dyDescent="0.3">
      <c r="A14" t="s">
        <v>66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</row>
    <row r="15" spans="1:33" ht="15" customHeight="1" x14ac:dyDescent="0.3">
      <c r="A15" t="s">
        <v>67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ht="15" customHeight="1" x14ac:dyDescent="0.3">
      <c r="A16" t="s">
        <v>68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ht="15" customHeight="1" x14ac:dyDescent="0.3">
      <c r="A17" t="s">
        <v>69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</row>
    <row r="18" spans="1:33" ht="15" customHeight="1" x14ac:dyDescent="0.3">
      <c r="A18" t="s">
        <v>70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</row>
    <row r="19" spans="1:33" ht="15" customHeight="1" x14ac:dyDescent="0.3">
      <c r="A19" t="s">
        <v>71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</row>
    <row r="20" spans="1:33" ht="15" customHeight="1" x14ac:dyDescent="0.3">
      <c r="A20" t="s">
        <v>72</v>
      </c>
      <c r="B20">
        <f>Calculation!$B$22</f>
        <v>1.0144521749493104E-5</v>
      </c>
      <c r="C20">
        <f>Calculation!$B$22</f>
        <v>1.0144521749493104E-5</v>
      </c>
      <c r="D20">
        <f>Calculation!$B$22</f>
        <v>1.0144521749493104E-5</v>
      </c>
      <c r="E20">
        <f>Calculation!$B$22</f>
        <v>1.0144521749493104E-5</v>
      </c>
      <c r="F20">
        <f>Calculation!$B$22</f>
        <v>1.0144521749493104E-5</v>
      </c>
      <c r="G20">
        <f>Calculation!$B$22</f>
        <v>1.0144521749493104E-5</v>
      </c>
      <c r="H20">
        <f>Calculation!$B$22</f>
        <v>1.0144521749493104E-5</v>
      </c>
      <c r="I20">
        <f>Calculation!$B$22</f>
        <v>1.0144521749493104E-5</v>
      </c>
      <c r="J20">
        <f>Calculation!$B$22</f>
        <v>1.0144521749493104E-5</v>
      </c>
      <c r="K20">
        <f>Calculation!$B$22</f>
        <v>1.0144521749493104E-5</v>
      </c>
      <c r="L20">
        <f>Calculation!$B$22</f>
        <v>1.0144521749493104E-5</v>
      </c>
      <c r="M20">
        <f>Calculation!$B$22</f>
        <v>1.0144521749493104E-5</v>
      </c>
      <c r="N20">
        <f>Calculation!$B$22</f>
        <v>1.0144521749493104E-5</v>
      </c>
      <c r="O20">
        <f>Calculation!$B$22</f>
        <v>1.0144521749493104E-5</v>
      </c>
      <c r="P20">
        <f>Calculation!$B$22</f>
        <v>1.0144521749493104E-5</v>
      </c>
      <c r="Q20">
        <f>Calculation!$B$22</f>
        <v>1.0144521749493104E-5</v>
      </c>
      <c r="R20">
        <f>Calculation!$B$22</f>
        <v>1.0144521749493104E-5</v>
      </c>
      <c r="S20">
        <f>Calculation!$B$22</f>
        <v>1.0144521749493104E-5</v>
      </c>
      <c r="T20">
        <f>Calculation!$B$22</f>
        <v>1.0144521749493104E-5</v>
      </c>
      <c r="U20">
        <f>Calculation!$B$22</f>
        <v>1.0144521749493104E-5</v>
      </c>
      <c r="V20">
        <f>Calculation!$B$22</f>
        <v>1.0144521749493104E-5</v>
      </c>
      <c r="W20">
        <f>Calculation!$B$22</f>
        <v>1.0144521749493104E-5</v>
      </c>
      <c r="X20">
        <f>Calculation!$B$22</f>
        <v>1.0144521749493104E-5</v>
      </c>
      <c r="Y20">
        <f>Calculation!$B$22</f>
        <v>1.0144521749493104E-5</v>
      </c>
      <c r="Z20">
        <f>Calculation!$B$22</f>
        <v>1.0144521749493104E-5</v>
      </c>
      <c r="AA20">
        <f>Calculation!$B$22</f>
        <v>1.0144521749493104E-5</v>
      </c>
      <c r="AB20">
        <f>Calculation!$B$22</f>
        <v>1.0144521749493104E-5</v>
      </c>
      <c r="AC20">
        <f>Calculation!$B$22</f>
        <v>1.0144521749493104E-5</v>
      </c>
      <c r="AD20">
        <f>Calculation!$B$22</f>
        <v>1.0144521749493104E-5</v>
      </c>
      <c r="AE20">
        <f>Calculation!$B$22</f>
        <v>1.0144521749493104E-5</v>
      </c>
      <c r="AF20">
        <f>Calculation!$B$22</f>
        <v>1.0144521749493104E-5</v>
      </c>
      <c r="AG20">
        <f>Calculation!$B$22</f>
        <v>1.0144521749493104E-5</v>
      </c>
    </row>
    <row r="21" spans="1:33" ht="15" customHeight="1" x14ac:dyDescent="0.3">
      <c r="A21" t="s">
        <v>73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 ht="15" customHeight="1" x14ac:dyDescent="0.3">
      <c r="A22" s="13" t="s">
        <v>74</v>
      </c>
      <c r="B22">
        <v>0</v>
      </c>
      <c r="C2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52" ht="14.4" x14ac:dyDescent="0.3"/>
    <row r="53" ht="14.4" x14ac:dyDescent="0.3"/>
    <row r="54" ht="14.4" x14ac:dyDescent="0.3"/>
    <row r="55" ht="14.4" x14ac:dyDescent="0.3"/>
    <row r="56" ht="14.4" x14ac:dyDescent="0.3"/>
    <row r="57" ht="14.4" x14ac:dyDescent="0.3"/>
    <row r="58" ht="14.4" x14ac:dyDescent="0.3"/>
    <row r="59" ht="14.4" x14ac:dyDescent="0.3"/>
    <row r="60" ht="14.4" x14ac:dyDescent="0.3"/>
    <row r="61" ht="14.4" x14ac:dyDescent="0.3"/>
    <row r="62" ht="14.4" x14ac:dyDescent="0.3"/>
    <row r="63" ht="14.4" x14ac:dyDescent="0.3"/>
    <row r="64" ht="14.4" x14ac:dyDescent="0.3"/>
    <row r="65" ht="14.4" x14ac:dyDescent="0.3"/>
    <row r="66" ht="14.4" x14ac:dyDescent="0.3"/>
    <row r="67" ht="14.4" x14ac:dyDescent="0.3"/>
    <row r="68" ht="14.4" x14ac:dyDescent="0.3"/>
    <row r="69" ht="14.4" x14ac:dyDescent="0.3"/>
    <row r="70" ht="14.4" x14ac:dyDescent="0.3"/>
    <row r="71" ht="14.4" x14ac:dyDescent="0.3"/>
    <row r="72" ht="14.4" x14ac:dyDescent="0.3"/>
    <row r="73" ht="14.4" x14ac:dyDescent="0.3"/>
    <row r="74" ht="14.4" x14ac:dyDescent="0.3"/>
    <row r="75" ht="14.4" x14ac:dyDescent="0.3"/>
    <row r="76" ht="14.4" x14ac:dyDescent="0.3"/>
    <row r="77" ht="14.4" x14ac:dyDescent="0.3"/>
    <row r="78" ht="14.4" x14ac:dyDescent="0.3"/>
    <row r="79" ht="14.4" x14ac:dyDescent="0.3"/>
    <row r="80" ht="14.4" x14ac:dyDescent="0.3"/>
    <row r="81" ht="14.4" x14ac:dyDescent="0.3"/>
    <row r="82" ht="14.4" x14ac:dyDescent="0.3"/>
    <row r="83" ht="14.4" x14ac:dyDescent="0.3"/>
    <row r="84" ht="14.4" x14ac:dyDescent="0.3"/>
    <row r="85" ht="14.4" x14ac:dyDescent="0.3"/>
    <row r="86" ht="14.4" x14ac:dyDescent="0.3"/>
    <row r="87" ht="14.4" x14ac:dyDescent="0.3"/>
    <row r="88" ht="14.4" x14ac:dyDescent="0.3"/>
    <row r="89" ht="14.4" x14ac:dyDescent="0.3"/>
    <row r="90" ht="14.4" x14ac:dyDescent="0.3"/>
    <row r="91" ht="14.4" x14ac:dyDescent="0.3"/>
    <row r="92" ht="14.4" x14ac:dyDescent="0.3"/>
    <row r="93" ht="14.4" x14ac:dyDescent="0.3"/>
    <row r="94" ht="14.4" x14ac:dyDescent="0.3"/>
    <row r="95" ht="14.4" x14ac:dyDescent="0.3"/>
    <row r="96" ht="14.4" x14ac:dyDescent="0.3"/>
    <row r="97" ht="14.4" x14ac:dyDescent="0.3"/>
    <row r="98" ht="14.4" x14ac:dyDescent="0.3"/>
    <row r="99" ht="14.4" x14ac:dyDescent="0.3"/>
    <row r="100" ht="14.4" x14ac:dyDescent="0.3"/>
    <row r="101" ht="14.4" x14ac:dyDescent="0.3"/>
    <row r="102" ht="14.4" x14ac:dyDescent="0.3"/>
    <row r="103" ht="14.4" x14ac:dyDescent="0.3"/>
    <row r="104" ht="14.4" x14ac:dyDescent="0.3"/>
    <row r="105" ht="14.4" x14ac:dyDescent="0.3"/>
    <row r="106" ht="14.4" x14ac:dyDescent="0.3"/>
    <row r="107" ht="14.4" x14ac:dyDescent="0.3"/>
    <row r="108" ht="14.4" x14ac:dyDescent="0.3"/>
    <row r="109" ht="14.4" x14ac:dyDescent="0.3"/>
    <row r="110" ht="14.4" x14ac:dyDescent="0.3"/>
    <row r="111" ht="14.4" x14ac:dyDescent="0.3"/>
    <row r="112" ht="14.4" x14ac:dyDescent="0.3"/>
    <row r="113" ht="14.4" x14ac:dyDescent="0.3"/>
    <row r="114" ht="14.4" x14ac:dyDescent="0.3"/>
    <row r="115" ht="14.4" x14ac:dyDescent="0.3"/>
    <row r="116" ht="14.4" x14ac:dyDescent="0.3"/>
    <row r="117" ht="14.4" x14ac:dyDescent="0.3"/>
    <row r="118" ht="14.4" x14ac:dyDescent="0.3"/>
    <row r="119" ht="14.4" x14ac:dyDescent="0.3"/>
    <row r="120" ht="14.4" x14ac:dyDescent="0.3"/>
    <row r="121" ht="14.4" x14ac:dyDescent="0.3"/>
    <row r="122" ht="14.4" x14ac:dyDescent="0.3"/>
    <row r="123" ht="14.4" x14ac:dyDescent="0.3"/>
    <row r="124" ht="14.4" x14ac:dyDescent="0.3"/>
    <row r="125" ht="14.4" x14ac:dyDescent="0.3"/>
    <row r="126" ht="14.4" x14ac:dyDescent="0.3"/>
    <row r="127" ht="14.4" x14ac:dyDescent="0.3"/>
    <row r="128" ht="14.4" x14ac:dyDescent="0.3"/>
    <row r="129" ht="14.4" x14ac:dyDescent="0.3"/>
    <row r="130" ht="14.4" x14ac:dyDescent="0.3"/>
    <row r="131" ht="14.4" x14ac:dyDescent="0.3"/>
    <row r="132" ht="14.4" x14ac:dyDescent="0.3"/>
    <row r="133" ht="14.4" x14ac:dyDescent="0.3"/>
    <row r="134" ht="14.4" x14ac:dyDescent="0.3"/>
    <row r="135" ht="14.4" x14ac:dyDescent="0.3"/>
    <row r="136" ht="14.4" x14ac:dyDescent="0.3"/>
    <row r="137" ht="14.4" x14ac:dyDescent="0.3"/>
    <row r="138" ht="14.4" x14ac:dyDescent="0.3"/>
    <row r="139" ht="14.4" x14ac:dyDescent="0.3"/>
    <row r="140" ht="14.4" x14ac:dyDescent="0.3"/>
    <row r="141" ht="14.4" x14ac:dyDescent="0.3"/>
    <row r="142" ht="14.4" x14ac:dyDescent="0.3"/>
    <row r="143" ht="14.4" x14ac:dyDescent="0.3"/>
    <row r="144" ht="14.4" x14ac:dyDescent="0.3"/>
    <row r="145" ht="14.4" x14ac:dyDescent="0.3"/>
    <row r="146" ht="14.4" x14ac:dyDescent="0.3"/>
    <row r="147" ht="14.4" x14ac:dyDescent="0.3"/>
    <row r="148" ht="14.4" x14ac:dyDescent="0.3"/>
    <row r="149" ht="14.4" x14ac:dyDescent="0.3"/>
    <row r="150" ht="14.4" x14ac:dyDescent="0.3"/>
    <row r="151" ht="14.4" x14ac:dyDescent="0.3"/>
    <row r="152" ht="14.4" x14ac:dyDescent="0.3"/>
    <row r="153" ht="14.4" x14ac:dyDescent="0.3"/>
    <row r="154" ht="14.4" x14ac:dyDescent="0.3"/>
    <row r="155" ht="14.4" x14ac:dyDescent="0.3"/>
    <row r="156" ht="14.4" x14ac:dyDescent="0.3"/>
    <row r="157" ht="14.4" x14ac:dyDescent="0.3"/>
    <row r="158" ht="14.4" x14ac:dyDescent="0.3"/>
    <row r="159" ht="14.4" x14ac:dyDescent="0.3"/>
    <row r="160" ht="14.4" x14ac:dyDescent="0.3"/>
    <row r="161" ht="14.4" x14ac:dyDescent="0.3"/>
    <row r="162" ht="14.4" x14ac:dyDescent="0.3"/>
    <row r="163" ht="14.4" x14ac:dyDescent="0.3"/>
    <row r="164" ht="14.4" x14ac:dyDescent="0.3"/>
    <row r="165" ht="14.4" x14ac:dyDescent="0.3"/>
    <row r="166" ht="14.4" x14ac:dyDescent="0.3"/>
    <row r="167" ht="14.4" x14ac:dyDescent="0.3"/>
    <row r="168" ht="14.4" x14ac:dyDescent="0.3"/>
    <row r="169" ht="14.4" x14ac:dyDescent="0.3"/>
    <row r="170" ht="14.4" x14ac:dyDescent="0.3"/>
    <row r="171" ht="14.4" x14ac:dyDescent="0.3"/>
    <row r="172" ht="14.4" x14ac:dyDescent="0.3"/>
    <row r="173" ht="14.4" x14ac:dyDescent="0.3"/>
    <row r="174" ht="14.4" x14ac:dyDescent="0.3"/>
    <row r="175" ht="14.4" x14ac:dyDescent="0.3"/>
    <row r="176" ht="14.4" x14ac:dyDescent="0.3"/>
    <row r="177" ht="14.4" x14ac:dyDescent="0.3"/>
    <row r="178" ht="14.4" x14ac:dyDescent="0.3"/>
    <row r="179" ht="14.4" x14ac:dyDescent="0.3"/>
    <row r="180" ht="14.4" x14ac:dyDescent="0.3"/>
    <row r="181" ht="14.4" x14ac:dyDescent="0.3"/>
    <row r="182" ht="14.4" x14ac:dyDescent="0.3"/>
    <row r="183" ht="14.4" x14ac:dyDescent="0.3"/>
    <row r="184" ht="14.4" x14ac:dyDescent="0.3"/>
    <row r="185" ht="14.4" x14ac:dyDescent="0.3"/>
    <row r="186" ht="14.4" x14ac:dyDescent="0.3"/>
    <row r="187" ht="14.4" x14ac:dyDescent="0.3"/>
    <row r="188" ht="14.4" x14ac:dyDescent="0.3"/>
    <row r="189" ht="14.4" x14ac:dyDescent="0.3"/>
    <row r="190" ht="14.4" x14ac:dyDescent="0.3"/>
    <row r="191" ht="14.4" x14ac:dyDescent="0.3"/>
    <row r="192" ht="14.4" x14ac:dyDescent="0.3"/>
    <row r="193" ht="14.4" x14ac:dyDescent="0.3"/>
    <row r="194" ht="14.4" x14ac:dyDescent="0.3"/>
    <row r="195" ht="14.4" x14ac:dyDescent="0.3"/>
    <row r="196" ht="14.4" x14ac:dyDescent="0.3"/>
    <row r="197" ht="14.4" x14ac:dyDescent="0.3"/>
    <row r="198" ht="14.4" x14ac:dyDescent="0.3"/>
    <row r="199" ht="14.4" x14ac:dyDescent="0.3"/>
    <row r="200" ht="14.4" x14ac:dyDescent="0.3"/>
    <row r="201" ht="14.4" x14ac:dyDescent="0.3"/>
    <row r="202" ht="14.4" x14ac:dyDescent="0.3"/>
    <row r="203" ht="14.4" x14ac:dyDescent="0.3"/>
    <row r="204" ht="14.4" x14ac:dyDescent="0.3"/>
    <row r="205" ht="14.4" x14ac:dyDescent="0.3"/>
    <row r="206" ht="14.4" x14ac:dyDescent="0.3"/>
    <row r="207" ht="14.4" x14ac:dyDescent="0.3"/>
    <row r="208" ht="14.4" x14ac:dyDescent="0.3"/>
    <row r="209" ht="14.4" x14ac:dyDescent="0.3"/>
    <row r="210" ht="14.4" x14ac:dyDescent="0.3"/>
    <row r="211" ht="14.4" x14ac:dyDescent="0.3"/>
    <row r="212" ht="14.4" x14ac:dyDescent="0.3"/>
    <row r="213" ht="14.4" x14ac:dyDescent="0.3"/>
    <row r="214" ht="14.4" x14ac:dyDescent="0.3"/>
    <row r="215" ht="14.4" x14ac:dyDescent="0.3"/>
    <row r="216" ht="14.4" x14ac:dyDescent="0.3"/>
    <row r="217" ht="14.4" x14ac:dyDescent="0.3"/>
    <row r="218" ht="14.4" x14ac:dyDescent="0.3"/>
    <row r="219" ht="14.4" x14ac:dyDescent="0.3"/>
    <row r="220" ht="14.4" x14ac:dyDescent="0.3"/>
    <row r="221" ht="14.4" x14ac:dyDescent="0.3"/>
    <row r="222" ht="14.4" x14ac:dyDescent="0.3"/>
    <row r="223" ht="14.4" x14ac:dyDescent="0.3"/>
    <row r="224" ht="14.4" x14ac:dyDescent="0.3"/>
    <row r="225" ht="14.4" x14ac:dyDescent="0.3"/>
    <row r="226" ht="14.4" x14ac:dyDescent="0.3"/>
    <row r="227" ht="14.4" x14ac:dyDescent="0.3"/>
    <row r="228" ht="14.4" x14ac:dyDescent="0.3"/>
    <row r="229" ht="14.4" x14ac:dyDescent="0.3"/>
    <row r="230" ht="14.4" x14ac:dyDescent="0.3"/>
    <row r="231" ht="14.4" x14ac:dyDescent="0.3"/>
    <row r="232" ht="14.4" x14ac:dyDescent="0.3"/>
    <row r="233" ht="14.4" x14ac:dyDescent="0.3"/>
    <row r="234" ht="14.4" x14ac:dyDescent="0.3"/>
    <row r="235" ht="14.4" x14ac:dyDescent="0.3"/>
    <row r="236" ht="14.4" x14ac:dyDescent="0.3"/>
    <row r="237" ht="14.4" x14ac:dyDescent="0.3"/>
    <row r="238" ht="14.4" x14ac:dyDescent="0.3"/>
    <row r="239" ht="14.4" x14ac:dyDescent="0.3"/>
    <row r="240" ht="14.4" x14ac:dyDescent="0.3"/>
    <row r="241" ht="14.4" x14ac:dyDescent="0.3"/>
    <row r="242" ht="14.4" x14ac:dyDescent="0.3"/>
    <row r="243" ht="14.4" x14ac:dyDescent="0.3"/>
    <row r="244" ht="14.4" x14ac:dyDescent="0.3"/>
    <row r="245" ht="14.4" x14ac:dyDescent="0.3"/>
    <row r="246" ht="14.4" x14ac:dyDescent="0.3"/>
    <row r="247" ht="14.4" x14ac:dyDescent="0.3"/>
    <row r="248" ht="14.4" x14ac:dyDescent="0.3"/>
    <row r="249" ht="14.4" x14ac:dyDescent="0.3"/>
    <row r="250" ht="14.4" x14ac:dyDescent="0.3"/>
    <row r="251" ht="14.4" x14ac:dyDescent="0.3"/>
    <row r="252" ht="14.4" x14ac:dyDescent="0.3"/>
    <row r="253" ht="14.4" x14ac:dyDescent="0.3"/>
    <row r="254" ht="14.4" x14ac:dyDescent="0.3"/>
    <row r="255" ht="14.4" x14ac:dyDescent="0.3"/>
    <row r="256" ht="14.4" x14ac:dyDescent="0.3"/>
    <row r="257" ht="14.4" x14ac:dyDescent="0.3"/>
    <row r="258" ht="14.4" x14ac:dyDescent="0.3"/>
    <row r="259" ht="14.4" x14ac:dyDescent="0.3"/>
    <row r="260" ht="14.4" x14ac:dyDescent="0.3"/>
    <row r="261" ht="14.4" x14ac:dyDescent="0.3"/>
    <row r="262" ht="14.4" x14ac:dyDescent="0.3"/>
    <row r="263" ht="14.4" x14ac:dyDescent="0.3"/>
    <row r="264" ht="14.4" x14ac:dyDescent="0.3"/>
    <row r="265" ht="14.4" x14ac:dyDescent="0.3"/>
    <row r="266" ht="14.4" x14ac:dyDescent="0.3"/>
    <row r="267" ht="14.4" x14ac:dyDescent="0.3"/>
    <row r="268" ht="14.4" x14ac:dyDescent="0.3"/>
    <row r="269" ht="14.4" x14ac:dyDescent="0.3"/>
    <row r="270" ht="14.4" x14ac:dyDescent="0.3"/>
    <row r="271" ht="14.4" x14ac:dyDescent="0.3"/>
    <row r="272" ht="14.4" x14ac:dyDescent="0.3"/>
    <row r="273" ht="14.4" x14ac:dyDescent="0.3"/>
    <row r="274" ht="14.4" x14ac:dyDescent="0.3"/>
    <row r="275" ht="14.4" x14ac:dyDescent="0.3"/>
    <row r="276" ht="14.4" x14ac:dyDescent="0.3"/>
    <row r="277" ht="14.4" x14ac:dyDescent="0.3"/>
    <row r="278" ht="14.4" x14ac:dyDescent="0.3"/>
    <row r="279" ht="14.4" x14ac:dyDescent="0.3"/>
    <row r="280" ht="14.4" x14ac:dyDescent="0.3"/>
    <row r="281" ht="14.4" x14ac:dyDescent="0.3"/>
    <row r="282" ht="14.4" x14ac:dyDescent="0.3"/>
    <row r="283" ht="14.4" x14ac:dyDescent="0.3"/>
    <row r="284" ht="14.4" x14ac:dyDescent="0.3"/>
    <row r="285" ht="14.4" x14ac:dyDescent="0.3"/>
    <row r="286" ht="14.4" x14ac:dyDescent="0.3"/>
    <row r="287" ht="14.4" x14ac:dyDescent="0.3"/>
    <row r="288" ht="14.4" x14ac:dyDescent="0.3"/>
    <row r="289" ht="14.4" x14ac:dyDescent="0.3"/>
    <row r="290" ht="14.4" x14ac:dyDescent="0.3"/>
    <row r="291" ht="14.4" x14ac:dyDescent="0.3"/>
    <row r="292" ht="14.4" x14ac:dyDescent="0.3"/>
    <row r="293" ht="14.4" x14ac:dyDescent="0.3"/>
    <row r="294" ht="14.4" x14ac:dyDescent="0.3"/>
    <row r="295" ht="14.4" x14ac:dyDescent="0.3"/>
    <row r="296" ht="14.4" x14ac:dyDescent="0.3"/>
    <row r="297" ht="14.4" x14ac:dyDescent="0.3"/>
    <row r="298" ht="14.4" x14ac:dyDescent="0.3"/>
    <row r="299" ht="14.4" x14ac:dyDescent="0.3"/>
    <row r="300" ht="14.4" x14ac:dyDescent="0.3"/>
    <row r="301" ht="14.4" x14ac:dyDescent="0.3"/>
    <row r="302" ht="14.4" x14ac:dyDescent="0.3"/>
    <row r="303" ht="14.4" x14ac:dyDescent="0.3"/>
    <row r="304" ht="14.4" x14ac:dyDescent="0.3"/>
    <row r="305" ht="14.4" x14ac:dyDescent="0.3"/>
    <row r="306" ht="14.4" x14ac:dyDescent="0.3"/>
    <row r="307" ht="14.4" x14ac:dyDescent="0.3"/>
    <row r="308" ht="14.4" x14ac:dyDescent="0.3"/>
    <row r="309" ht="14.4" x14ac:dyDescent="0.3"/>
    <row r="310" ht="14.4" x14ac:dyDescent="0.3"/>
    <row r="311" ht="14.4" x14ac:dyDescent="0.3"/>
    <row r="312" ht="14.4" x14ac:dyDescent="0.3"/>
    <row r="313" ht="14.4" x14ac:dyDescent="0.3"/>
    <row r="314" ht="14.4" x14ac:dyDescent="0.3"/>
    <row r="315" ht="14.4" x14ac:dyDescent="0.3"/>
    <row r="316" ht="14.4" x14ac:dyDescent="0.3"/>
    <row r="317" ht="14.4" x14ac:dyDescent="0.3"/>
    <row r="318" ht="14.4" x14ac:dyDescent="0.3"/>
    <row r="319" ht="14.4" x14ac:dyDescent="0.3"/>
    <row r="320" ht="14.4" x14ac:dyDescent="0.3"/>
    <row r="321" ht="14.4" x14ac:dyDescent="0.3"/>
    <row r="322" ht="14.4" x14ac:dyDescent="0.3"/>
    <row r="323" ht="14.4" x14ac:dyDescent="0.3"/>
    <row r="324" ht="14.4" x14ac:dyDescent="0.3"/>
    <row r="325" ht="14.4" x14ac:dyDescent="0.3"/>
    <row r="326" ht="14.4" x14ac:dyDescent="0.3"/>
    <row r="327" ht="14.4" x14ac:dyDescent="0.3"/>
    <row r="328" ht="14.4" x14ac:dyDescent="0.3"/>
    <row r="329" ht="14.4" x14ac:dyDescent="0.3"/>
    <row r="330" ht="14.4" x14ac:dyDescent="0.3"/>
    <row r="331" ht="14.4" x14ac:dyDescent="0.3"/>
    <row r="332" ht="14.4" x14ac:dyDescent="0.3"/>
    <row r="333" ht="14.4" x14ac:dyDescent="0.3"/>
    <row r="334" ht="14.4" x14ac:dyDescent="0.3"/>
    <row r="335" ht="14.4" x14ac:dyDescent="0.3"/>
    <row r="336" ht="14.4" x14ac:dyDescent="0.3"/>
    <row r="337" ht="14.4" x14ac:dyDescent="0.3"/>
    <row r="338" ht="14.4" x14ac:dyDescent="0.3"/>
    <row r="339" ht="14.4" x14ac:dyDescent="0.3"/>
    <row r="340" ht="14.4" x14ac:dyDescent="0.3"/>
    <row r="341" ht="14.4" x14ac:dyDescent="0.3"/>
    <row r="342" ht="14.4" x14ac:dyDescent="0.3"/>
    <row r="343" ht="14.4" x14ac:dyDescent="0.3"/>
    <row r="344" ht="14.4" x14ac:dyDescent="0.3"/>
    <row r="345" ht="14.4" x14ac:dyDescent="0.3"/>
    <row r="346" ht="14.4" x14ac:dyDescent="0.3"/>
    <row r="347" ht="14.4" x14ac:dyDescent="0.3"/>
    <row r="348" ht="14.4" x14ac:dyDescent="0.3"/>
    <row r="349" ht="14.4" x14ac:dyDescent="0.3"/>
    <row r="350" ht="14.4" x14ac:dyDescent="0.3"/>
    <row r="351" ht="14.4" x14ac:dyDescent="0.3"/>
    <row r="352" ht="14.4" x14ac:dyDescent="0.3"/>
    <row r="353" ht="14.4" x14ac:dyDescent="0.3"/>
    <row r="354" ht="14.4" x14ac:dyDescent="0.3"/>
    <row r="355" ht="14.4" x14ac:dyDescent="0.3"/>
    <row r="356" ht="14.4" x14ac:dyDescent="0.3"/>
    <row r="357" ht="14.4" x14ac:dyDescent="0.3"/>
    <row r="358" ht="14.4" x14ac:dyDescent="0.3"/>
    <row r="359" ht="14.4" x14ac:dyDescent="0.3"/>
    <row r="360" ht="14.4" x14ac:dyDescent="0.3"/>
    <row r="361" ht="14.4" x14ac:dyDescent="0.3"/>
    <row r="362" ht="14.4" x14ac:dyDescent="0.3"/>
    <row r="363" ht="14.4" x14ac:dyDescent="0.3"/>
    <row r="364" ht="14.4" x14ac:dyDescent="0.3"/>
    <row r="365" ht="14.4" x14ac:dyDescent="0.3"/>
    <row r="366" ht="14.4" x14ac:dyDescent="0.3"/>
    <row r="367" ht="14.4" x14ac:dyDescent="0.3"/>
    <row r="368" ht="14.4" x14ac:dyDescent="0.3"/>
    <row r="369" ht="14.4" x14ac:dyDescent="0.3"/>
    <row r="370" ht="14.4" x14ac:dyDescent="0.3"/>
    <row r="371" ht="14.4" x14ac:dyDescent="0.3"/>
    <row r="372" ht="14.4" x14ac:dyDescent="0.3"/>
    <row r="373" ht="14.4" x14ac:dyDescent="0.3"/>
    <row r="374" ht="14.4" x14ac:dyDescent="0.3"/>
    <row r="375" ht="14.4" x14ac:dyDescent="0.3"/>
    <row r="376" ht="14.4" x14ac:dyDescent="0.3"/>
    <row r="377" ht="14.4" x14ac:dyDescent="0.3"/>
    <row r="378" ht="14.4" x14ac:dyDescent="0.3"/>
    <row r="379" ht="14.4" x14ac:dyDescent="0.3"/>
    <row r="380" ht="14.4" x14ac:dyDescent="0.3"/>
    <row r="381" ht="14.4" x14ac:dyDescent="0.3"/>
    <row r="382" ht="14.4" x14ac:dyDescent="0.3"/>
    <row r="383" ht="14.4" x14ac:dyDescent="0.3"/>
    <row r="384" ht="14.4" x14ac:dyDescent="0.3"/>
    <row r="385" ht="14.4" x14ac:dyDescent="0.3"/>
    <row r="386" ht="14.4" x14ac:dyDescent="0.3"/>
    <row r="387" ht="14.4" x14ac:dyDescent="0.3"/>
    <row r="388" ht="14.4" x14ac:dyDescent="0.3"/>
    <row r="389" ht="14.4" x14ac:dyDescent="0.3"/>
    <row r="390" ht="14.4" x14ac:dyDescent="0.3"/>
    <row r="391" ht="14.4" x14ac:dyDescent="0.3"/>
    <row r="392" ht="14.4" x14ac:dyDescent="0.3"/>
    <row r="393" ht="14.4" x14ac:dyDescent="0.3"/>
    <row r="394" ht="14.4" x14ac:dyDescent="0.3"/>
    <row r="395" ht="14.4" x14ac:dyDescent="0.3"/>
    <row r="396" ht="14.4" x14ac:dyDescent="0.3"/>
    <row r="397" ht="14.4" x14ac:dyDescent="0.3"/>
    <row r="398" ht="14.4" x14ac:dyDescent="0.3"/>
    <row r="399" ht="14.4" x14ac:dyDescent="0.3"/>
    <row r="400" ht="14.4" x14ac:dyDescent="0.3"/>
    <row r="401" ht="14.4" x14ac:dyDescent="0.3"/>
    <row r="402" ht="14.4" x14ac:dyDescent="0.3"/>
    <row r="403" ht="14.4" x14ac:dyDescent="0.3"/>
    <row r="404" ht="14.4" x14ac:dyDescent="0.3"/>
    <row r="405" ht="14.4" x14ac:dyDescent="0.3"/>
    <row r="406" ht="14.4" x14ac:dyDescent="0.3"/>
    <row r="407" ht="14.4" x14ac:dyDescent="0.3"/>
    <row r="408" ht="14.4" x14ac:dyDescent="0.3"/>
    <row r="409" ht="14.4" x14ac:dyDescent="0.3"/>
    <row r="410" ht="14.4" x14ac:dyDescent="0.3"/>
    <row r="411" ht="14.4" x14ac:dyDescent="0.3"/>
    <row r="412" ht="14.4" x14ac:dyDescent="0.3"/>
    <row r="413" ht="14.4" x14ac:dyDescent="0.3"/>
    <row r="414" ht="14.4" x14ac:dyDescent="0.3"/>
    <row r="415" ht="14.4" x14ac:dyDescent="0.3"/>
    <row r="416" ht="14.4" x14ac:dyDescent="0.3"/>
    <row r="417" ht="14.4" x14ac:dyDescent="0.3"/>
    <row r="418" ht="14.4" x14ac:dyDescent="0.3"/>
    <row r="419" ht="14.4" x14ac:dyDescent="0.3"/>
    <row r="420" ht="14.4" x14ac:dyDescent="0.3"/>
    <row r="421" ht="14.4" x14ac:dyDescent="0.3"/>
    <row r="422" ht="14.4" x14ac:dyDescent="0.3"/>
    <row r="423" ht="14.4" x14ac:dyDescent="0.3"/>
    <row r="424" ht="14.4" x14ac:dyDescent="0.3"/>
    <row r="425" ht="14.4" x14ac:dyDescent="0.3"/>
    <row r="426" ht="14.4" x14ac:dyDescent="0.3"/>
    <row r="427" ht="14.4" x14ac:dyDescent="0.3"/>
    <row r="428" ht="14.4" x14ac:dyDescent="0.3"/>
    <row r="429" ht="14.4" x14ac:dyDescent="0.3"/>
    <row r="430" ht="14.4" x14ac:dyDescent="0.3"/>
    <row r="431" ht="14.4" x14ac:dyDescent="0.3"/>
    <row r="432" ht="14.4" x14ac:dyDescent="0.3"/>
    <row r="433" ht="14.4" x14ac:dyDescent="0.3"/>
    <row r="434" ht="14.4" x14ac:dyDescent="0.3"/>
    <row r="435" ht="14.4" x14ac:dyDescent="0.3"/>
    <row r="436" ht="14.4" x14ac:dyDescent="0.3"/>
    <row r="437" ht="14.4" x14ac:dyDescent="0.3"/>
    <row r="438" ht="14.4" x14ac:dyDescent="0.3"/>
    <row r="439" ht="14.4" x14ac:dyDescent="0.3"/>
    <row r="440" ht="14.4" x14ac:dyDescent="0.3"/>
    <row r="441" ht="14.4" x14ac:dyDescent="0.3"/>
    <row r="442" ht="14.4" x14ac:dyDescent="0.3"/>
    <row r="443" ht="14.4" x14ac:dyDescent="0.3"/>
    <row r="444" ht="14.4" x14ac:dyDescent="0.3"/>
    <row r="445" ht="14.4" x14ac:dyDescent="0.3"/>
    <row r="446" ht="14.4" x14ac:dyDescent="0.3"/>
    <row r="447" ht="14.4" x14ac:dyDescent="0.3"/>
    <row r="448" ht="14.4" x14ac:dyDescent="0.3"/>
    <row r="449" ht="14.4" x14ac:dyDescent="0.3"/>
    <row r="450" ht="14.4" x14ac:dyDescent="0.3"/>
    <row r="451" ht="14.4" x14ac:dyDescent="0.3"/>
    <row r="452" ht="14.4" x14ac:dyDescent="0.3"/>
    <row r="453" ht="14.4" x14ac:dyDescent="0.3"/>
    <row r="454" ht="14.4" x14ac:dyDescent="0.3"/>
    <row r="455" ht="14.4" x14ac:dyDescent="0.3"/>
    <row r="456" ht="14.4" x14ac:dyDescent="0.3"/>
    <row r="457" ht="14.4" x14ac:dyDescent="0.3"/>
    <row r="458" ht="14.4" x14ac:dyDescent="0.3"/>
    <row r="459" ht="14.4" x14ac:dyDescent="0.3"/>
    <row r="460" ht="14.4" x14ac:dyDescent="0.3"/>
    <row r="461" ht="14.4" x14ac:dyDescent="0.3"/>
    <row r="462" ht="14.4" x14ac:dyDescent="0.3"/>
    <row r="463" ht="14.4" x14ac:dyDescent="0.3"/>
    <row r="464" ht="14.4" x14ac:dyDescent="0.3"/>
    <row r="465" ht="14.4" x14ac:dyDescent="0.3"/>
    <row r="466" ht="14.4" x14ac:dyDescent="0.3"/>
    <row r="467" ht="14.4" x14ac:dyDescent="0.3"/>
    <row r="468" ht="14.4" x14ac:dyDescent="0.3"/>
    <row r="469" ht="14.4" x14ac:dyDescent="0.3"/>
    <row r="470" ht="14.4" x14ac:dyDescent="0.3"/>
    <row r="471" ht="14.4" x14ac:dyDescent="0.3"/>
    <row r="472" ht="14.4" x14ac:dyDescent="0.3"/>
    <row r="473" ht="14.4" x14ac:dyDescent="0.3"/>
    <row r="474" ht="14.4" x14ac:dyDescent="0.3"/>
    <row r="475" ht="14.4" x14ac:dyDescent="0.3"/>
    <row r="476" ht="14.4" x14ac:dyDescent="0.3"/>
    <row r="477" ht="14.4" x14ac:dyDescent="0.3"/>
    <row r="478" ht="14.4" x14ac:dyDescent="0.3"/>
    <row r="479" ht="14.4" x14ac:dyDescent="0.3"/>
    <row r="480" ht="14.4" x14ac:dyDescent="0.3"/>
    <row r="481" ht="14.4" x14ac:dyDescent="0.3"/>
    <row r="482" ht="14.4" x14ac:dyDescent="0.3"/>
    <row r="483" ht="14.4" x14ac:dyDescent="0.3"/>
    <row r="484" ht="14.4" x14ac:dyDescent="0.3"/>
    <row r="485" ht="14.4" x14ac:dyDescent="0.3"/>
    <row r="486" ht="14.4" x14ac:dyDescent="0.3"/>
    <row r="487" ht="14.4" x14ac:dyDescent="0.3"/>
    <row r="488" ht="14.4" x14ac:dyDescent="0.3"/>
    <row r="489" ht="14.4" x14ac:dyDescent="0.3"/>
    <row r="490" ht="14.4" x14ac:dyDescent="0.3"/>
    <row r="491" ht="14.4" x14ac:dyDescent="0.3"/>
    <row r="492" ht="14.4" x14ac:dyDescent="0.3"/>
    <row r="493" ht="14.4" x14ac:dyDescent="0.3"/>
    <row r="494" ht="14.4" x14ac:dyDescent="0.3"/>
    <row r="495" ht="14.4" x14ac:dyDescent="0.3"/>
    <row r="496" ht="14.4" x14ac:dyDescent="0.3"/>
    <row r="497" ht="14.4" x14ac:dyDescent="0.3"/>
    <row r="498" ht="14.4" x14ac:dyDescent="0.3"/>
    <row r="499" ht="14.4" x14ac:dyDescent="0.3"/>
    <row r="500" ht="14.4" x14ac:dyDescent="0.3"/>
    <row r="501" ht="14.4" x14ac:dyDescent="0.3"/>
    <row r="502" ht="14.4" x14ac:dyDescent="0.3"/>
    <row r="503" ht="14.4" x14ac:dyDescent="0.3"/>
    <row r="504" ht="14.4" x14ac:dyDescent="0.3"/>
    <row r="505" ht="14.4" x14ac:dyDescent="0.3"/>
    <row r="506" ht="14.4" x14ac:dyDescent="0.3"/>
    <row r="507" ht="14.4" x14ac:dyDescent="0.3"/>
    <row r="508" ht="14.4" x14ac:dyDescent="0.3"/>
    <row r="509" ht="14.4" x14ac:dyDescent="0.3"/>
    <row r="510" ht="14.4" x14ac:dyDescent="0.3"/>
    <row r="511" ht="14.4" x14ac:dyDescent="0.3"/>
    <row r="512" ht="14.4" x14ac:dyDescent="0.3"/>
    <row r="513" ht="14.4" x14ac:dyDescent="0.3"/>
    <row r="514" ht="14.4" x14ac:dyDescent="0.3"/>
    <row r="515" ht="14.4" x14ac:dyDescent="0.3"/>
    <row r="516" ht="14.4" x14ac:dyDescent="0.3"/>
    <row r="517" ht="14.4" x14ac:dyDescent="0.3"/>
    <row r="518" ht="14.4" x14ac:dyDescent="0.3"/>
    <row r="519" ht="14.4" x14ac:dyDescent="0.3"/>
    <row r="520" ht="14.4" x14ac:dyDescent="0.3"/>
    <row r="521" ht="14.4" x14ac:dyDescent="0.3"/>
    <row r="522" ht="14.4" x14ac:dyDescent="0.3"/>
    <row r="523" ht="14.4" x14ac:dyDescent="0.3"/>
    <row r="524" ht="14.4" x14ac:dyDescent="0.3"/>
    <row r="525" ht="14.4" x14ac:dyDescent="0.3"/>
    <row r="526" ht="14.4" x14ac:dyDescent="0.3"/>
    <row r="527" ht="14.4" x14ac:dyDescent="0.3"/>
    <row r="528" ht="14.4" x14ac:dyDescent="0.3"/>
    <row r="529" ht="14.4" x14ac:dyDescent="0.3"/>
    <row r="530" ht="14.4" x14ac:dyDescent="0.3"/>
    <row r="531" ht="14.4" x14ac:dyDescent="0.3"/>
    <row r="532" ht="14.4" x14ac:dyDescent="0.3"/>
    <row r="533" ht="14.4" x14ac:dyDescent="0.3"/>
    <row r="534" ht="14.4" x14ac:dyDescent="0.3"/>
    <row r="535" ht="14.4" x14ac:dyDescent="0.3"/>
    <row r="536" ht="14.4" x14ac:dyDescent="0.3"/>
    <row r="537" ht="14.4" x14ac:dyDescent="0.3"/>
    <row r="538" ht="14.4" x14ac:dyDescent="0.3"/>
    <row r="539" ht="14.4" x14ac:dyDescent="0.3"/>
    <row r="540" ht="14.4" x14ac:dyDescent="0.3"/>
    <row r="541" ht="14.4" x14ac:dyDescent="0.3"/>
    <row r="542" ht="14.4" x14ac:dyDescent="0.3"/>
    <row r="543" ht="14.4" x14ac:dyDescent="0.3"/>
    <row r="544" ht="14.4" x14ac:dyDescent="0.3"/>
    <row r="545" ht="14.4" x14ac:dyDescent="0.3"/>
    <row r="546" ht="14.4" x14ac:dyDescent="0.3"/>
    <row r="547" ht="14.4" x14ac:dyDescent="0.3"/>
    <row r="548" ht="14.4" x14ac:dyDescent="0.3"/>
    <row r="549" ht="14.4" x14ac:dyDescent="0.3"/>
    <row r="550" ht="14.4" x14ac:dyDescent="0.3"/>
    <row r="551" ht="14.4" x14ac:dyDescent="0.3"/>
    <row r="552" ht="14.4" x14ac:dyDescent="0.3"/>
    <row r="553" ht="14.4" x14ac:dyDescent="0.3"/>
    <row r="554" ht="14.4" x14ac:dyDescent="0.3"/>
    <row r="555" ht="14.4" x14ac:dyDescent="0.3"/>
    <row r="556" ht="14.4" x14ac:dyDescent="0.3"/>
    <row r="557" ht="14.4" x14ac:dyDescent="0.3"/>
    <row r="558" ht="14.4" x14ac:dyDescent="0.3"/>
    <row r="559" ht="14.4" x14ac:dyDescent="0.3"/>
    <row r="560" ht="14.4" x14ac:dyDescent="0.3"/>
    <row r="561" ht="14.4" x14ac:dyDescent="0.3"/>
    <row r="562" ht="14.4" x14ac:dyDescent="0.3"/>
    <row r="563" ht="14.4" x14ac:dyDescent="0.3"/>
    <row r="564" ht="14.4" x14ac:dyDescent="0.3"/>
    <row r="565" ht="14.4" x14ac:dyDescent="0.3"/>
    <row r="566" ht="14.4" x14ac:dyDescent="0.3"/>
    <row r="567" ht="14.4" x14ac:dyDescent="0.3"/>
    <row r="568" ht="14.4" x14ac:dyDescent="0.3"/>
    <row r="569" ht="14.4" x14ac:dyDescent="0.3"/>
    <row r="570" ht="14.4" x14ac:dyDescent="0.3"/>
    <row r="571" ht="14.4" x14ac:dyDescent="0.3"/>
    <row r="572" ht="14.4" x14ac:dyDescent="0.3"/>
    <row r="573" ht="14.4" x14ac:dyDescent="0.3"/>
    <row r="574" ht="14.4" x14ac:dyDescent="0.3"/>
    <row r="575" ht="14.4" x14ac:dyDescent="0.3"/>
    <row r="576" ht="14.4" x14ac:dyDescent="0.3"/>
    <row r="577" ht="14.4" x14ac:dyDescent="0.3"/>
    <row r="578" ht="14.4" x14ac:dyDescent="0.3"/>
    <row r="579" ht="14.4" x14ac:dyDescent="0.3"/>
    <row r="580" ht="14.4" x14ac:dyDescent="0.3"/>
    <row r="581" ht="14.4" x14ac:dyDescent="0.3"/>
    <row r="582" ht="14.4" x14ac:dyDescent="0.3"/>
    <row r="583" ht="14.4" x14ac:dyDescent="0.3"/>
    <row r="584" ht="14.4" x14ac:dyDescent="0.3"/>
    <row r="585" ht="14.4" x14ac:dyDescent="0.3"/>
    <row r="586" ht="14.4" x14ac:dyDescent="0.3"/>
    <row r="587" ht="14.4" x14ac:dyDescent="0.3"/>
    <row r="588" ht="14.4" x14ac:dyDescent="0.3"/>
    <row r="589" ht="14.4" x14ac:dyDescent="0.3"/>
    <row r="590" ht="14.4" x14ac:dyDescent="0.3"/>
    <row r="591" ht="14.4" x14ac:dyDescent="0.3"/>
    <row r="592" ht="14.4" x14ac:dyDescent="0.3"/>
    <row r="593" ht="14.4" x14ac:dyDescent="0.3"/>
    <row r="594" ht="14.4" x14ac:dyDescent="0.3"/>
    <row r="595" ht="14.4" x14ac:dyDescent="0.3"/>
    <row r="596" ht="14.4" x14ac:dyDescent="0.3"/>
    <row r="597" ht="14.4" x14ac:dyDescent="0.3"/>
    <row r="598" ht="14.4" x14ac:dyDescent="0.3"/>
    <row r="599" ht="14.4" x14ac:dyDescent="0.3"/>
    <row r="600" ht="14.4" x14ac:dyDescent="0.3"/>
    <row r="601" ht="14.4" x14ac:dyDescent="0.3"/>
    <row r="602" ht="14.4" x14ac:dyDescent="0.3"/>
    <row r="603" ht="14.4" x14ac:dyDescent="0.3"/>
    <row r="604" ht="14.4" x14ac:dyDescent="0.3"/>
    <row r="605" ht="14.4" x14ac:dyDescent="0.3"/>
    <row r="606" ht="14.4" x14ac:dyDescent="0.3"/>
    <row r="607" ht="14.4" x14ac:dyDescent="0.3"/>
    <row r="608" ht="14.4" x14ac:dyDescent="0.3"/>
    <row r="609" ht="14.4" x14ac:dyDescent="0.3"/>
    <row r="610" ht="14.4" x14ac:dyDescent="0.3"/>
    <row r="611" ht="14.4" x14ac:dyDescent="0.3"/>
    <row r="612" ht="14.4" x14ac:dyDescent="0.3"/>
    <row r="613" ht="14.4" x14ac:dyDescent="0.3"/>
    <row r="614" ht="14.4" x14ac:dyDescent="0.3"/>
    <row r="615" ht="14.4" x14ac:dyDescent="0.3"/>
    <row r="616" ht="14.4" x14ac:dyDescent="0.3"/>
    <row r="617" ht="14.4" x14ac:dyDescent="0.3"/>
    <row r="618" ht="14.4" x14ac:dyDescent="0.3"/>
    <row r="619" ht="14.4" x14ac:dyDescent="0.3"/>
    <row r="620" ht="14.4" x14ac:dyDescent="0.3"/>
    <row r="621" ht="14.4" x14ac:dyDescent="0.3"/>
    <row r="622" ht="14.4" x14ac:dyDescent="0.3"/>
    <row r="623" ht="14.4" x14ac:dyDescent="0.3"/>
    <row r="624" ht="14.4" x14ac:dyDescent="0.3"/>
    <row r="625" ht="14.4" x14ac:dyDescent="0.3"/>
    <row r="626" ht="14.4" x14ac:dyDescent="0.3"/>
    <row r="627" ht="14.4" x14ac:dyDescent="0.3"/>
    <row r="628" ht="14.4" x14ac:dyDescent="0.3"/>
    <row r="629" ht="14.4" x14ac:dyDescent="0.3"/>
    <row r="630" ht="14.4" x14ac:dyDescent="0.3"/>
    <row r="631" ht="14.4" x14ac:dyDescent="0.3"/>
    <row r="632" ht="14.4" x14ac:dyDescent="0.3"/>
    <row r="633" ht="14.4" x14ac:dyDescent="0.3"/>
    <row r="634" ht="14.4" x14ac:dyDescent="0.3"/>
    <row r="635" ht="14.4" x14ac:dyDescent="0.3"/>
    <row r="636" ht="14.4" x14ac:dyDescent="0.3"/>
    <row r="637" ht="14.4" x14ac:dyDescent="0.3"/>
    <row r="638" ht="14.4" x14ac:dyDescent="0.3"/>
    <row r="639" ht="14.4" x14ac:dyDescent="0.3"/>
    <row r="640" ht="14.4" x14ac:dyDescent="0.3"/>
    <row r="641" ht="14.4" x14ac:dyDescent="0.3"/>
    <row r="642" ht="14.4" x14ac:dyDescent="0.3"/>
    <row r="643" ht="14.4" x14ac:dyDescent="0.3"/>
    <row r="644" ht="14.4" x14ac:dyDescent="0.3"/>
    <row r="645" ht="14.4" x14ac:dyDescent="0.3"/>
    <row r="646" ht="14.4" x14ac:dyDescent="0.3"/>
    <row r="647" ht="14.4" x14ac:dyDescent="0.3"/>
    <row r="648" ht="14.4" x14ac:dyDescent="0.3"/>
    <row r="649" ht="14.4" x14ac:dyDescent="0.3"/>
    <row r="650" ht="14.4" x14ac:dyDescent="0.3"/>
    <row r="651" ht="14.4" x14ac:dyDescent="0.3"/>
    <row r="652" ht="14.4" x14ac:dyDescent="0.3"/>
    <row r="653" ht="14.4" x14ac:dyDescent="0.3"/>
    <row r="654" ht="14.4" x14ac:dyDescent="0.3"/>
    <row r="655" ht="14.4" x14ac:dyDescent="0.3"/>
    <row r="656" ht="14.4" x14ac:dyDescent="0.3"/>
    <row r="657" ht="14.4" x14ac:dyDescent="0.3"/>
    <row r="658" ht="14.4" x14ac:dyDescent="0.3"/>
    <row r="659" ht="14.4" x14ac:dyDescent="0.3"/>
    <row r="660" ht="14.4" x14ac:dyDescent="0.3"/>
    <row r="661" ht="14.4" x14ac:dyDescent="0.3"/>
    <row r="662" ht="14.4" x14ac:dyDescent="0.3"/>
    <row r="663" ht="14.4" x14ac:dyDescent="0.3"/>
    <row r="664" ht="14.4" x14ac:dyDescent="0.3"/>
    <row r="665" ht="14.4" x14ac:dyDescent="0.3"/>
    <row r="666" ht="14.4" x14ac:dyDescent="0.3"/>
    <row r="667" ht="14.4" x14ac:dyDescent="0.3"/>
    <row r="668" ht="14.4" x14ac:dyDescent="0.3"/>
    <row r="669" ht="14.4" x14ac:dyDescent="0.3"/>
    <row r="670" ht="14.4" x14ac:dyDescent="0.3"/>
    <row r="671" ht="14.4" x14ac:dyDescent="0.3"/>
    <row r="672" ht="14.4" x14ac:dyDescent="0.3"/>
    <row r="673" ht="14.4" x14ac:dyDescent="0.3"/>
    <row r="674" ht="14.4" x14ac:dyDescent="0.3"/>
    <row r="675" ht="14.4" x14ac:dyDescent="0.3"/>
    <row r="676" ht="14.4" x14ac:dyDescent="0.3"/>
    <row r="677" ht="14.4" x14ac:dyDescent="0.3"/>
    <row r="678" ht="14.4" x14ac:dyDescent="0.3"/>
    <row r="679" ht="14.4" x14ac:dyDescent="0.3"/>
    <row r="680" ht="14.4" x14ac:dyDescent="0.3"/>
    <row r="681" ht="14.4" x14ac:dyDescent="0.3"/>
    <row r="682" ht="14.4" x14ac:dyDescent="0.3"/>
    <row r="683" ht="14.4" x14ac:dyDescent="0.3"/>
    <row r="684" ht="14.4" x14ac:dyDescent="0.3"/>
    <row r="685" ht="14.4" x14ac:dyDescent="0.3"/>
    <row r="686" ht="14.4" x14ac:dyDescent="0.3"/>
    <row r="687" ht="14.4" x14ac:dyDescent="0.3"/>
    <row r="688" ht="14.4" x14ac:dyDescent="0.3"/>
    <row r="689" ht="14.4" x14ac:dyDescent="0.3"/>
    <row r="690" ht="14.4" x14ac:dyDescent="0.3"/>
    <row r="691" ht="14.4" x14ac:dyDescent="0.3"/>
    <row r="692" ht="14.4" x14ac:dyDescent="0.3"/>
    <row r="693" ht="14.4" x14ac:dyDescent="0.3"/>
    <row r="694" ht="14.4" x14ac:dyDescent="0.3"/>
    <row r="695" ht="14.4" x14ac:dyDescent="0.3"/>
    <row r="696" ht="14.4" x14ac:dyDescent="0.3"/>
    <row r="697" ht="14.4" x14ac:dyDescent="0.3"/>
    <row r="698" ht="14.4" x14ac:dyDescent="0.3"/>
    <row r="699" ht="14.4" x14ac:dyDescent="0.3"/>
    <row r="700" ht="14.4" x14ac:dyDescent="0.3"/>
    <row r="701" ht="14.4" x14ac:dyDescent="0.3"/>
    <row r="702" ht="14.4" x14ac:dyDescent="0.3"/>
    <row r="703" ht="14.4" x14ac:dyDescent="0.3"/>
    <row r="704" ht="14.4" x14ac:dyDescent="0.3"/>
    <row r="705" ht="14.4" x14ac:dyDescent="0.3"/>
    <row r="706" ht="14.4" x14ac:dyDescent="0.3"/>
    <row r="707" ht="14.4" x14ac:dyDescent="0.3"/>
    <row r="708" ht="14.4" x14ac:dyDescent="0.3"/>
    <row r="709" ht="14.4" x14ac:dyDescent="0.3"/>
    <row r="710" ht="14.4" x14ac:dyDescent="0.3"/>
    <row r="711" ht="14.4" x14ac:dyDescent="0.3"/>
    <row r="712" ht="14.4" x14ac:dyDescent="0.3"/>
    <row r="713" ht="14.4" x14ac:dyDescent="0.3"/>
    <row r="714" ht="14.4" x14ac:dyDescent="0.3"/>
    <row r="715" ht="14.4" x14ac:dyDescent="0.3"/>
    <row r="716" ht="14.4" x14ac:dyDescent="0.3"/>
    <row r="717" ht="14.4" x14ac:dyDescent="0.3"/>
    <row r="718" ht="14.4" x14ac:dyDescent="0.3"/>
    <row r="719" ht="14.4" x14ac:dyDescent="0.3"/>
    <row r="720" ht="14.4" x14ac:dyDescent="0.3"/>
    <row r="721" ht="14.4" x14ac:dyDescent="0.3"/>
    <row r="722" ht="14.4" x14ac:dyDescent="0.3"/>
    <row r="723" ht="14.4" x14ac:dyDescent="0.3"/>
    <row r="724" ht="14.4" x14ac:dyDescent="0.3"/>
    <row r="725" ht="14.4" x14ac:dyDescent="0.3"/>
    <row r="726" ht="14.4" x14ac:dyDescent="0.3"/>
    <row r="727" ht="14.4" x14ac:dyDescent="0.3"/>
    <row r="728" ht="14.4" x14ac:dyDescent="0.3"/>
    <row r="729" ht="14.4" x14ac:dyDescent="0.3"/>
    <row r="730" ht="14.4" x14ac:dyDescent="0.3"/>
    <row r="731" ht="14.4" x14ac:dyDescent="0.3"/>
    <row r="732" ht="14.4" x14ac:dyDescent="0.3"/>
    <row r="733" ht="14.4" x14ac:dyDescent="0.3"/>
    <row r="734" ht="14.4" x14ac:dyDescent="0.3"/>
    <row r="735" ht="14.4" x14ac:dyDescent="0.3"/>
    <row r="736" ht="14.4" x14ac:dyDescent="0.3"/>
    <row r="737" ht="14.4" x14ac:dyDescent="0.3"/>
    <row r="738" ht="14.4" x14ac:dyDescent="0.3"/>
    <row r="739" ht="14.4" x14ac:dyDescent="0.3"/>
    <row r="740" ht="14.4" x14ac:dyDescent="0.3"/>
    <row r="741" ht="14.4" x14ac:dyDescent="0.3"/>
    <row r="742" ht="14.4" x14ac:dyDescent="0.3"/>
    <row r="743" ht="14.4" x14ac:dyDescent="0.3"/>
    <row r="744" ht="14.4" x14ac:dyDescent="0.3"/>
    <row r="745" ht="14.4" x14ac:dyDescent="0.3"/>
    <row r="746" ht="14.4" x14ac:dyDescent="0.3"/>
    <row r="747" ht="14.4" x14ac:dyDescent="0.3"/>
    <row r="748" ht="14.4" x14ac:dyDescent="0.3"/>
    <row r="749" ht="14.4" x14ac:dyDescent="0.3"/>
    <row r="750" ht="14.4" x14ac:dyDescent="0.3"/>
    <row r="751" ht="14.4" x14ac:dyDescent="0.3"/>
    <row r="752" ht="14.4" x14ac:dyDescent="0.3"/>
    <row r="753" ht="14.4" x14ac:dyDescent="0.3"/>
    <row r="754" ht="14.4" x14ac:dyDescent="0.3"/>
    <row r="755" ht="14.4" x14ac:dyDescent="0.3"/>
    <row r="756" ht="14.4" x14ac:dyDescent="0.3"/>
    <row r="757" ht="14.4" x14ac:dyDescent="0.3"/>
    <row r="758" ht="14.4" x14ac:dyDescent="0.3"/>
    <row r="759" ht="14.4" x14ac:dyDescent="0.3"/>
    <row r="760" ht="14.4" x14ac:dyDescent="0.3"/>
    <row r="761" ht="14.4" x14ac:dyDescent="0.3"/>
    <row r="762" ht="14.4" x14ac:dyDescent="0.3"/>
    <row r="763" ht="14.4" x14ac:dyDescent="0.3"/>
    <row r="764" ht="14.4" x14ac:dyDescent="0.3"/>
    <row r="765" ht="14.4" x14ac:dyDescent="0.3"/>
    <row r="766" ht="14.4" x14ac:dyDescent="0.3"/>
    <row r="767" ht="14.4" x14ac:dyDescent="0.3"/>
    <row r="768" ht="14.4" x14ac:dyDescent="0.3"/>
    <row r="769" ht="14.4" x14ac:dyDescent="0.3"/>
    <row r="770" ht="14.4" x14ac:dyDescent="0.3"/>
    <row r="771" ht="14.4" x14ac:dyDescent="0.3"/>
    <row r="772" ht="14.4" x14ac:dyDescent="0.3"/>
    <row r="773" ht="14.4" x14ac:dyDescent="0.3"/>
    <row r="774" ht="14.4" x14ac:dyDescent="0.3"/>
    <row r="775" ht="14.4" x14ac:dyDescent="0.3"/>
    <row r="776" ht="14.4" x14ac:dyDescent="0.3"/>
    <row r="777" ht="14.4" x14ac:dyDescent="0.3"/>
    <row r="778" ht="14.4" x14ac:dyDescent="0.3"/>
    <row r="779" ht="14.4" x14ac:dyDescent="0.3"/>
    <row r="780" ht="14.4" x14ac:dyDescent="0.3"/>
    <row r="781" ht="14.4" x14ac:dyDescent="0.3"/>
    <row r="782" ht="14.4" x14ac:dyDescent="0.3"/>
    <row r="783" ht="14.4" x14ac:dyDescent="0.3"/>
    <row r="784" ht="14.4" x14ac:dyDescent="0.3"/>
    <row r="785" ht="14.4" x14ac:dyDescent="0.3"/>
    <row r="786" ht="14.4" x14ac:dyDescent="0.3"/>
    <row r="787" ht="14.4" x14ac:dyDescent="0.3"/>
    <row r="788" ht="14.4" x14ac:dyDescent="0.3"/>
    <row r="789" ht="14.4" x14ac:dyDescent="0.3"/>
    <row r="790" ht="14.4" x14ac:dyDescent="0.3"/>
    <row r="791" ht="14.4" x14ac:dyDescent="0.3"/>
    <row r="792" ht="14.4" x14ac:dyDescent="0.3"/>
    <row r="793" ht="14.4" x14ac:dyDescent="0.3"/>
    <row r="794" ht="14.4" x14ac:dyDescent="0.3"/>
    <row r="795" ht="14.4" x14ac:dyDescent="0.3"/>
    <row r="796" ht="14.4" x14ac:dyDescent="0.3"/>
    <row r="797" ht="14.4" x14ac:dyDescent="0.3"/>
    <row r="798" ht="14.4" x14ac:dyDescent="0.3"/>
    <row r="799" ht="14.4" x14ac:dyDescent="0.3"/>
    <row r="800" ht="14.4" x14ac:dyDescent="0.3"/>
    <row r="801" ht="14.4" x14ac:dyDescent="0.3"/>
    <row r="802" ht="14.4" x14ac:dyDescent="0.3"/>
    <row r="803" ht="14.4" x14ac:dyDescent="0.3"/>
    <row r="804" ht="14.4" x14ac:dyDescent="0.3"/>
    <row r="805" ht="14.4" x14ac:dyDescent="0.3"/>
    <row r="806" ht="14.4" x14ac:dyDescent="0.3"/>
    <row r="807" ht="14.4" x14ac:dyDescent="0.3"/>
    <row r="808" ht="14.4" x14ac:dyDescent="0.3"/>
    <row r="809" ht="14.4" x14ac:dyDescent="0.3"/>
    <row r="810" ht="14.4" x14ac:dyDescent="0.3"/>
    <row r="811" ht="14.4" x14ac:dyDescent="0.3"/>
    <row r="812" ht="14.4" x14ac:dyDescent="0.3"/>
    <row r="813" ht="14.4" x14ac:dyDescent="0.3"/>
    <row r="814" ht="14.4" x14ac:dyDescent="0.3"/>
    <row r="815" ht="14.4" x14ac:dyDescent="0.3"/>
    <row r="816" ht="14.4" x14ac:dyDescent="0.3"/>
    <row r="817" ht="14.4" x14ac:dyDescent="0.3"/>
    <row r="818" ht="14.4" x14ac:dyDescent="0.3"/>
    <row r="819" ht="14.4" x14ac:dyDescent="0.3"/>
    <row r="820" ht="14.4" x14ac:dyDescent="0.3"/>
    <row r="821" ht="14.4" x14ac:dyDescent="0.3"/>
    <row r="822" ht="14.4" x14ac:dyDescent="0.3"/>
    <row r="823" ht="14.4" x14ac:dyDescent="0.3"/>
    <row r="824" ht="14.4" x14ac:dyDescent="0.3"/>
    <row r="825" ht="14.4" x14ac:dyDescent="0.3"/>
    <row r="826" ht="14.4" x14ac:dyDescent="0.3"/>
    <row r="827" ht="14.4" x14ac:dyDescent="0.3"/>
    <row r="828" ht="14.4" x14ac:dyDescent="0.3"/>
    <row r="829" ht="14.4" x14ac:dyDescent="0.3"/>
    <row r="830" ht="14.4" x14ac:dyDescent="0.3"/>
    <row r="831" ht="14.4" x14ac:dyDescent="0.3"/>
    <row r="832" ht="14.4" x14ac:dyDescent="0.3"/>
    <row r="833" ht="14.4" x14ac:dyDescent="0.3"/>
    <row r="834" ht="14.4" x14ac:dyDescent="0.3"/>
    <row r="835" ht="14.4" x14ac:dyDescent="0.3"/>
    <row r="836" ht="14.4" x14ac:dyDescent="0.3"/>
    <row r="837" ht="14.4" x14ac:dyDescent="0.3"/>
    <row r="838" ht="14.4" x14ac:dyDescent="0.3"/>
    <row r="839" ht="14.4" x14ac:dyDescent="0.3"/>
    <row r="840" ht="14.4" x14ac:dyDescent="0.3"/>
    <row r="841" ht="14.4" x14ac:dyDescent="0.3"/>
    <row r="842" ht="14.4" x14ac:dyDescent="0.3"/>
    <row r="843" ht="14.4" x14ac:dyDescent="0.3"/>
    <row r="844" ht="14.4" x14ac:dyDescent="0.3"/>
    <row r="845" ht="14.4" x14ac:dyDescent="0.3"/>
    <row r="846" ht="14.4" x14ac:dyDescent="0.3"/>
    <row r="847" ht="14.4" x14ac:dyDescent="0.3"/>
    <row r="848" ht="14.4" x14ac:dyDescent="0.3"/>
    <row r="849" ht="14.4" x14ac:dyDescent="0.3"/>
    <row r="850" ht="14.4" x14ac:dyDescent="0.3"/>
    <row r="851" ht="14.4" x14ac:dyDescent="0.3"/>
    <row r="852" ht="14.4" x14ac:dyDescent="0.3"/>
    <row r="853" ht="14.4" x14ac:dyDescent="0.3"/>
    <row r="854" ht="14.4" x14ac:dyDescent="0.3"/>
    <row r="855" ht="14.4" x14ac:dyDescent="0.3"/>
    <row r="856" ht="14.4" x14ac:dyDescent="0.3"/>
    <row r="857" ht="14.4" x14ac:dyDescent="0.3"/>
    <row r="858" ht="14.4" x14ac:dyDescent="0.3"/>
    <row r="859" ht="14.4" x14ac:dyDescent="0.3"/>
    <row r="860" ht="14.4" x14ac:dyDescent="0.3"/>
    <row r="861" ht="14.4" x14ac:dyDescent="0.3"/>
    <row r="862" ht="14.4" x14ac:dyDescent="0.3"/>
    <row r="863" ht="14.4" x14ac:dyDescent="0.3"/>
    <row r="864" ht="14.4" x14ac:dyDescent="0.3"/>
    <row r="865" ht="14.4" x14ac:dyDescent="0.3"/>
    <row r="866" ht="14.4" x14ac:dyDescent="0.3"/>
    <row r="867" ht="14.4" x14ac:dyDescent="0.3"/>
    <row r="868" ht="14.4" x14ac:dyDescent="0.3"/>
    <row r="869" ht="14.4" x14ac:dyDescent="0.3"/>
    <row r="870" ht="14.4" x14ac:dyDescent="0.3"/>
    <row r="871" ht="14.4" x14ac:dyDescent="0.3"/>
    <row r="872" ht="14.4" x14ac:dyDescent="0.3"/>
    <row r="873" ht="14.4" x14ac:dyDescent="0.3"/>
    <row r="874" ht="14.4" x14ac:dyDescent="0.3"/>
    <row r="875" ht="14.4" x14ac:dyDescent="0.3"/>
    <row r="876" ht="14.4" x14ac:dyDescent="0.3"/>
    <row r="877" ht="14.4" x14ac:dyDescent="0.3"/>
    <row r="878" ht="14.4" x14ac:dyDescent="0.3"/>
    <row r="879" ht="14.4" x14ac:dyDescent="0.3"/>
    <row r="880" ht="14.4" x14ac:dyDescent="0.3"/>
    <row r="881" ht="14.4" x14ac:dyDescent="0.3"/>
    <row r="882" ht="14.4" x14ac:dyDescent="0.3"/>
    <row r="883" ht="14.4" x14ac:dyDescent="0.3"/>
    <row r="884" ht="14.4" x14ac:dyDescent="0.3"/>
    <row r="885" ht="14.4" x14ac:dyDescent="0.3"/>
    <row r="886" ht="14.4" x14ac:dyDescent="0.3"/>
    <row r="887" ht="14.4" x14ac:dyDescent="0.3"/>
    <row r="888" ht="14.4" x14ac:dyDescent="0.3"/>
    <row r="889" ht="14.4" x14ac:dyDescent="0.3"/>
    <row r="890" ht="14.4" x14ac:dyDescent="0.3"/>
    <row r="891" ht="14.4" x14ac:dyDescent="0.3"/>
    <row r="892" ht="14.4" x14ac:dyDescent="0.3"/>
    <row r="893" ht="14.4" x14ac:dyDescent="0.3"/>
    <row r="894" ht="14.4" x14ac:dyDescent="0.3"/>
    <row r="895" ht="14.4" x14ac:dyDescent="0.3"/>
    <row r="896" ht="14.4" x14ac:dyDescent="0.3"/>
    <row r="897" ht="14.4" x14ac:dyDescent="0.3"/>
    <row r="898" ht="14.4" x14ac:dyDescent="0.3"/>
    <row r="899" ht="14.4" x14ac:dyDescent="0.3"/>
    <row r="900" ht="14.4" x14ac:dyDescent="0.3"/>
    <row r="901" ht="14.4" x14ac:dyDescent="0.3"/>
    <row r="902" ht="14.4" x14ac:dyDescent="0.3"/>
    <row r="903" ht="14.4" x14ac:dyDescent="0.3"/>
    <row r="904" ht="14.4" x14ac:dyDescent="0.3"/>
    <row r="905" ht="14.4" x14ac:dyDescent="0.3"/>
    <row r="906" ht="14.4" x14ac:dyDescent="0.3"/>
    <row r="907" ht="14.4" x14ac:dyDescent="0.3"/>
    <row r="908" ht="14.4" x14ac:dyDescent="0.3"/>
    <row r="909" ht="14.4" x14ac:dyDescent="0.3"/>
    <row r="910" ht="14.4" x14ac:dyDescent="0.3"/>
    <row r="911" ht="14.4" x14ac:dyDescent="0.3"/>
    <row r="912" ht="14.4" x14ac:dyDescent="0.3"/>
    <row r="913" ht="14.4" x14ac:dyDescent="0.3"/>
    <row r="914" ht="14.4" x14ac:dyDescent="0.3"/>
    <row r="915" ht="14.4" x14ac:dyDescent="0.3"/>
    <row r="916" ht="14.4" x14ac:dyDescent="0.3"/>
    <row r="917" ht="14.4" x14ac:dyDescent="0.3"/>
    <row r="918" ht="14.4" x14ac:dyDescent="0.3"/>
    <row r="919" ht="14.4" x14ac:dyDescent="0.3"/>
    <row r="920" ht="14.4" x14ac:dyDescent="0.3"/>
    <row r="921" ht="14.4" x14ac:dyDescent="0.3"/>
    <row r="922" ht="14.4" x14ac:dyDescent="0.3"/>
    <row r="923" ht="14.4" x14ac:dyDescent="0.3"/>
    <row r="924" ht="14.4" x14ac:dyDescent="0.3"/>
    <row r="925" ht="14.4" x14ac:dyDescent="0.3"/>
    <row r="926" ht="14.4" x14ac:dyDescent="0.3"/>
    <row r="927" ht="14.4" x14ac:dyDescent="0.3"/>
    <row r="928" ht="14.4" x14ac:dyDescent="0.3"/>
    <row r="929" ht="14.4" x14ac:dyDescent="0.3"/>
    <row r="930" ht="14.4" x14ac:dyDescent="0.3"/>
    <row r="931" ht="14.4" x14ac:dyDescent="0.3"/>
    <row r="932" ht="14.4" x14ac:dyDescent="0.3"/>
    <row r="933" ht="14.4" x14ac:dyDescent="0.3"/>
    <row r="934" ht="14.4" x14ac:dyDescent="0.3"/>
    <row r="935" ht="14.4" x14ac:dyDescent="0.3"/>
    <row r="936" ht="14.4" x14ac:dyDescent="0.3"/>
    <row r="937" ht="14.4" x14ac:dyDescent="0.3"/>
    <row r="938" ht="14.4" x14ac:dyDescent="0.3"/>
    <row r="939" ht="14.4" x14ac:dyDescent="0.3"/>
    <row r="940" ht="14.4" x14ac:dyDescent="0.3"/>
    <row r="941" ht="14.4" x14ac:dyDescent="0.3"/>
    <row r="942" ht="14.4" x14ac:dyDescent="0.3"/>
    <row r="943" ht="14.4" x14ac:dyDescent="0.3"/>
    <row r="944" ht="14.4" x14ac:dyDescent="0.3"/>
    <row r="945" ht="14.4" x14ac:dyDescent="0.3"/>
    <row r="946" ht="14.4" x14ac:dyDescent="0.3"/>
    <row r="947" ht="14.4" x14ac:dyDescent="0.3"/>
    <row r="948" ht="14.4" x14ac:dyDescent="0.3"/>
    <row r="949" ht="14.4" x14ac:dyDescent="0.3"/>
    <row r="950" ht="14.4" x14ac:dyDescent="0.3"/>
    <row r="951" ht="14.4" x14ac:dyDescent="0.3"/>
    <row r="952" ht="14.4" x14ac:dyDescent="0.3"/>
    <row r="953" ht="14.4" x14ac:dyDescent="0.3"/>
    <row r="954" ht="14.4" x14ac:dyDescent="0.3"/>
    <row r="955" ht="14.4" x14ac:dyDescent="0.3"/>
    <row r="956" ht="14.4" x14ac:dyDescent="0.3"/>
    <row r="957" ht="14.4" x14ac:dyDescent="0.3"/>
    <row r="958" ht="14.4" x14ac:dyDescent="0.3"/>
    <row r="959" ht="14.4" x14ac:dyDescent="0.3"/>
    <row r="960" ht="14.4" x14ac:dyDescent="0.3"/>
    <row r="961" ht="14.4" x14ac:dyDescent="0.3"/>
    <row r="962" ht="14.4" x14ac:dyDescent="0.3"/>
    <row r="963" ht="14.4" x14ac:dyDescent="0.3"/>
    <row r="964" ht="14.4" x14ac:dyDescent="0.3"/>
    <row r="965" ht="14.4" x14ac:dyDescent="0.3"/>
    <row r="966" ht="14.4" x14ac:dyDescent="0.3"/>
    <row r="967" ht="14.4" x14ac:dyDescent="0.3"/>
    <row r="968" ht="14.4" x14ac:dyDescent="0.3"/>
    <row r="969" ht="14.4" x14ac:dyDescent="0.3"/>
    <row r="970" ht="14.4" x14ac:dyDescent="0.3"/>
    <row r="971" ht="14.4" x14ac:dyDescent="0.3"/>
    <row r="972" ht="14.4" x14ac:dyDescent="0.3"/>
    <row r="973" ht="14.4" x14ac:dyDescent="0.3"/>
    <row r="974" ht="14.4" x14ac:dyDescent="0.3"/>
    <row r="975" ht="14.4" x14ac:dyDescent="0.3"/>
    <row r="976" ht="14.4" x14ac:dyDescent="0.3"/>
    <row r="977" ht="14.4" x14ac:dyDescent="0.3"/>
    <row r="978" ht="14.4" x14ac:dyDescent="0.3"/>
    <row r="979" ht="14.4" x14ac:dyDescent="0.3"/>
    <row r="980" ht="14.4" x14ac:dyDescent="0.3"/>
    <row r="981" ht="14.4" x14ac:dyDescent="0.3"/>
    <row r="982" ht="14.4" x14ac:dyDescent="0.3"/>
    <row r="983" ht="14.4" x14ac:dyDescent="0.3"/>
    <row r="984" ht="14.4" x14ac:dyDescent="0.3"/>
    <row r="985" ht="14.4" x14ac:dyDescent="0.3"/>
    <row r="986" ht="14.4" x14ac:dyDescent="0.3"/>
    <row r="987" ht="14.4" x14ac:dyDescent="0.3"/>
    <row r="988" ht="14.4" x14ac:dyDescent="0.3"/>
    <row r="989" ht="14.4" x14ac:dyDescent="0.3"/>
    <row r="990" ht="14.4" x14ac:dyDescent="0.3"/>
    <row r="991" ht="14.4" x14ac:dyDescent="0.3"/>
    <row r="992" ht="14.4" x14ac:dyDescent="0.3"/>
    <row r="993" ht="14.4" x14ac:dyDescent="0.3"/>
    <row r="994" ht="14.4" x14ac:dyDescent="0.3"/>
    <row r="995" ht="14.4" x14ac:dyDescent="0.3"/>
    <row r="996" ht="14.4" x14ac:dyDescent="0.3"/>
    <row r="997" ht="14.4" x14ac:dyDescent="0.3"/>
    <row r="998" ht="14.4" x14ac:dyDescent="0.3"/>
    <row r="999" ht="14.4" x14ac:dyDescent="0.3"/>
    <row r="1000" ht="14.4" x14ac:dyDescent="0.3"/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F0DEB-1599-4BDA-9749-1D3A7964D5F1}">
  <sheetPr>
    <tabColor rgb="FF2F5496"/>
  </sheetPr>
  <dimension ref="A1:AG1000"/>
  <sheetViews>
    <sheetView workbookViewId="0"/>
  </sheetViews>
  <sheetFormatPr defaultColWidth="9.33203125" defaultRowHeight="15" customHeight="1" x14ac:dyDescent="0.3"/>
  <cols>
    <col min="1" max="1" width="26.5546875" customWidth="1"/>
    <col min="2" max="2" width="11.6640625" bestFit="1" customWidth="1"/>
  </cols>
  <sheetData>
    <row r="1" spans="1:33" ht="15" customHeight="1" x14ac:dyDescent="0.3">
      <c r="A1" t="s">
        <v>53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ht="15" customHeight="1" x14ac:dyDescent="0.3">
      <c r="A2" t="s">
        <v>54</v>
      </c>
      <c r="B2">
        <f>Calculation!$B$31</f>
        <v>4.1052124687857637E-6</v>
      </c>
      <c r="C2">
        <f>Calculation!$B$31</f>
        <v>4.1052124687857637E-6</v>
      </c>
      <c r="D2">
        <f>Calculation!$B$31</f>
        <v>4.1052124687857637E-6</v>
      </c>
      <c r="E2">
        <f>Calculation!$B$31</f>
        <v>4.1052124687857637E-6</v>
      </c>
      <c r="F2">
        <f>Calculation!$B$31</f>
        <v>4.1052124687857637E-6</v>
      </c>
      <c r="G2">
        <f>Calculation!$B$31</f>
        <v>4.1052124687857637E-6</v>
      </c>
      <c r="H2">
        <f>Calculation!$B$31</f>
        <v>4.1052124687857637E-6</v>
      </c>
      <c r="I2">
        <f>Calculation!$B$31</f>
        <v>4.1052124687857637E-6</v>
      </c>
      <c r="J2">
        <f>Calculation!$B$31</f>
        <v>4.1052124687857637E-6</v>
      </c>
      <c r="K2">
        <f>Calculation!$B$31</f>
        <v>4.1052124687857637E-6</v>
      </c>
      <c r="L2">
        <f>Calculation!$B$31</f>
        <v>4.1052124687857637E-6</v>
      </c>
      <c r="M2">
        <f>Calculation!$B$31</f>
        <v>4.1052124687857637E-6</v>
      </c>
      <c r="N2">
        <f>Calculation!$B$31</f>
        <v>4.1052124687857637E-6</v>
      </c>
      <c r="O2">
        <f>Calculation!$B$31</f>
        <v>4.1052124687857637E-6</v>
      </c>
      <c r="P2">
        <f>Calculation!$B$31</f>
        <v>4.1052124687857637E-6</v>
      </c>
      <c r="Q2">
        <f>Calculation!$B$31</f>
        <v>4.1052124687857637E-6</v>
      </c>
      <c r="R2">
        <f>Calculation!$B$31</f>
        <v>4.1052124687857637E-6</v>
      </c>
      <c r="S2">
        <f>Calculation!$B$31</f>
        <v>4.1052124687857637E-6</v>
      </c>
      <c r="T2">
        <f>Calculation!$B$31</f>
        <v>4.1052124687857637E-6</v>
      </c>
      <c r="U2">
        <f>Calculation!$B$31</f>
        <v>4.1052124687857637E-6</v>
      </c>
      <c r="V2">
        <f>Calculation!$B$31</f>
        <v>4.1052124687857637E-6</v>
      </c>
      <c r="W2">
        <f>Calculation!$B$31</f>
        <v>4.1052124687857637E-6</v>
      </c>
      <c r="X2">
        <f>Calculation!$B$31</f>
        <v>4.1052124687857637E-6</v>
      </c>
      <c r="Y2">
        <f>Calculation!$B$31</f>
        <v>4.1052124687857637E-6</v>
      </c>
      <c r="Z2">
        <f>Calculation!$B$31</f>
        <v>4.1052124687857637E-6</v>
      </c>
      <c r="AA2">
        <f>Calculation!$B$31</f>
        <v>4.1052124687857637E-6</v>
      </c>
      <c r="AB2">
        <f>Calculation!$B$31</f>
        <v>4.1052124687857637E-6</v>
      </c>
      <c r="AC2">
        <f>Calculation!$B$31</f>
        <v>4.1052124687857637E-6</v>
      </c>
      <c r="AD2">
        <f>Calculation!$B$31</f>
        <v>4.1052124687857637E-6</v>
      </c>
      <c r="AE2">
        <f>Calculation!$B$31</f>
        <v>4.1052124687857637E-6</v>
      </c>
      <c r="AF2">
        <f>Calculation!$B$31</f>
        <v>4.1052124687857637E-6</v>
      </c>
      <c r="AG2">
        <f>Calculation!$B$31</f>
        <v>4.1052124687857637E-6</v>
      </c>
    </row>
    <row r="3" spans="1:33" ht="15" customHeight="1" x14ac:dyDescent="0.3">
      <c r="A3" t="s">
        <v>55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</row>
    <row r="4" spans="1:33" ht="15" customHeight="1" x14ac:dyDescent="0.3">
      <c r="A4" t="s">
        <v>56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</row>
    <row r="5" spans="1:33" ht="15" customHeight="1" x14ac:dyDescent="0.3">
      <c r="A5" t="s">
        <v>57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ht="15" customHeight="1" x14ac:dyDescent="0.3">
      <c r="A6" t="s">
        <v>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ht="15" customHeight="1" x14ac:dyDescent="0.3">
      <c r="A7" t="s">
        <v>59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ht="15" customHeight="1" x14ac:dyDescent="0.3">
      <c r="A8" t="s">
        <v>60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ht="15" customHeight="1" x14ac:dyDescent="0.3">
      <c r="A9" t="s">
        <v>61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ht="15" customHeight="1" x14ac:dyDescent="0.3">
      <c r="A10" t="s">
        <v>62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</row>
    <row r="11" spans="1:33" ht="15" customHeight="1" x14ac:dyDescent="0.3">
      <c r="A11" t="s">
        <v>63</v>
      </c>
      <c r="B11" s="12">
        <f>Calculation!$B$13</f>
        <v>8.1337630999305873E-7</v>
      </c>
      <c r="C11" s="12">
        <f>Calculation!$B$13</f>
        <v>8.1337630999305873E-7</v>
      </c>
      <c r="D11" s="12">
        <f>Calculation!$B$13</f>
        <v>8.1337630999305873E-7</v>
      </c>
      <c r="E11" s="12">
        <f>Calculation!$B$13</f>
        <v>8.1337630999305873E-7</v>
      </c>
      <c r="F11" s="12">
        <f>Calculation!$B$13</f>
        <v>8.1337630999305873E-7</v>
      </c>
      <c r="G11" s="12">
        <f>Calculation!$B$13</f>
        <v>8.1337630999305873E-7</v>
      </c>
      <c r="H11" s="12">
        <f>Calculation!$B$13</f>
        <v>8.1337630999305873E-7</v>
      </c>
      <c r="I11" s="12">
        <f>Calculation!$B$13</f>
        <v>8.1337630999305873E-7</v>
      </c>
      <c r="J11" s="12">
        <f>Calculation!$B$13</f>
        <v>8.1337630999305873E-7</v>
      </c>
      <c r="K11" s="12">
        <f>Calculation!$B$13</f>
        <v>8.1337630999305873E-7</v>
      </c>
      <c r="L11" s="12">
        <f>Calculation!$B$13</f>
        <v>8.1337630999305873E-7</v>
      </c>
      <c r="M11" s="12">
        <f>Calculation!$B$13</f>
        <v>8.1337630999305873E-7</v>
      </c>
      <c r="N11" s="12">
        <f>Calculation!$B$13</f>
        <v>8.1337630999305873E-7</v>
      </c>
      <c r="O11" s="12">
        <f>Calculation!$B$13</f>
        <v>8.1337630999305873E-7</v>
      </c>
      <c r="P11" s="12">
        <f>Calculation!$B$13</f>
        <v>8.1337630999305873E-7</v>
      </c>
      <c r="Q11" s="12">
        <f>Calculation!$B$13</f>
        <v>8.1337630999305873E-7</v>
      </c>
      <c r="R11" s="12">
        <f>Calculation!$B$13</f>
        <v>8.1337630999305873E-7</v>
      </c>
      <c r="S11" s="12">
        <f>Calculation!$B$13</f>
        <v>8.1337630999305873E-7</v>
      </c>
      <c r="T11" s="12">
        <f>Calculation!$B$13</f>
        <v>8.1337630999305873E-7</v>
      </c>
      <c r="U11" s="12">
        <f>Calculation!$B$13</f>
        <v>8.1337630999305873E-7</v>
      </c>
      <c r="V11" s="12">
        <f>Calculation!$B$13</f>
        <v>8.1337630999305873E-7</v>
      </c>
      <c r="W11" s="12">
        <f>Calculation!$B$13</f>
        <v>8.1337630999305873E-7</v>
      </c>
      <c r="X11" s="12">
        <f>Calculation!$B$13</f>
        <v>8.1337630999305873E-7</v>
      </c>
      <c r="Y11" s="12">
        <f>Calculation!$B$13</f>
        <v>8.1337630999305873E-7</v>
      </c>
      <c r="Z11" s="12">
        <f>Calculation!$B$13</f>
        <v>8.1337630999305873E-7</v>
      </c>
      <c r="AA11" s="12">
        <f>Calculation!$B$13</f>
        <v>8.1337630999305873E-7</v>
      </c>
      <c r="AB11" s="12">
        <f>Calculation!$B$13</f>
        <v>8.1337630999305873E-7</v>
      </c>
      <c r="AC11" s="12">
        <f>Calculation!$B$13</f>
        <v>8.1337630999305873E-7</v>
      </c>
      <c r="AD11" s="12">
        <f>Calculation!$B$13</f>
        <v>8.1337630999305873E-7</v>
      </c>
      <c r="AE11" s="12">
        <f>Calculation!$B$13</f>
        <v>8.1337630999305873E-7</v>
      </c>
      <c r="AF11" s="12">
        <f>Calculation!$B$13</f>
        <v>8.1337630999305873E-7</v>
      </c>
      <c r="AG11" s="12">
        <f>Calculation!$B$13</f>
        <v>8.1337630999305873E-7</v>
      </c>
    </row>
    <row r="12" spans="1:33" ht="15" customHeight="1" x14ac:dyDescent="0.3">
      <c r="A12" t="s">
        <v>64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ht="15" customHeight="1" x14ac:dyDescent="0.3">
      <c r="A13" t="s">
        <v>65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ht="15" customHeight="1" x14ac:dyDescent="0.3">
      <c r="A14" t="s">
        <v>66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</row>
    <row r="15" spans="1:33" ht="15" customHeight="1" x14ac:dyDescent="0.3">
      <c r="A15" t="s">
        <v>67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ht="15" customHeight="1" x14ac:dyDescent="0.3">
      <c r="A16" t="s">
        <v>68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ht="15" customHeight="1" x14ac:dyDescent="0.3">
      <c r="A17" t="s">
        <v>69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</row>
    <row r="18" spans="1:33" ht="15" customHeight="1" x14ac:dyDescent="0.3">
      <c r="A18" t="s">
        <v>70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</row>
    <row r="19" spans="1:33" ht="15" customHeight="1" x14ac:dyDescent="0.3">
      <c r="A19" t="s">
        <v>71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</row>
    <row r="20" spans="1:33" ht="15" customHeight="1" x14ac:dyDescent="0.3">
      <c r="A20" t="s">
        <v>72</v>
      </c>
      <c r="B20">
        <f>Calculation!$B$22</f>
        <v>1.0144521749493104E-5</v>
      </c>
      <c r="C20">
        <f>Calculation!$B$22</f>
        <v>1.0144521749493104E-5</v>
      </c>
      <c r="D20">
        <f>Calculation!$B$22</f>
        <v>1.0144521749493104E-5</v>
      </c>
      <c r="E20">
        <f>Calculation!$B$22</f>
        <v>1.0144521749493104E-5</v>
      </c>
      <c r="F20">
        <f>Calculation!$B$22</f>
        <v>1.0144521749493104E-5</v>
      </c>
      <c r="G20">
        <f>Calculation!$B$22</f>
        <v>1.0144521749493104E-5</v>
      </c>
      <c r="H20">
        <f>Calculation!$B$22</f>
        <v>1.0144521749493104E-5</v>
      </c>
      <c r="I20">
        <f>Calculation!$B$22</f>
        <v>1.0144521749493104E-5</v>
      </c>
      <c r="J20">
        <f>Calculation!$B$22</f>
        <v>1.0144521749493104E-5</v>
      </c>
      <c r="K20">
        <f>Calculation!$B$22</f>
        <v>1.0144521749493104E-5</v>
      </c>
      <c r="L20">
        <f>Calculation!$B$22</f>
        <v>1.0144521749493104E-5</v>
      </c>
      <c r="M20">
        <f>Calculation!$B$22</f>
        <v>1.0144521749493104E-5</v>
      </c>
      <c r="N20">
        <f>Calculation!$B$22</f>
        <v>1.0144521749493104E-5</v>
      </c>
      <c r="O20">
        <f>Calculation!$B$22</f>
        <v>1.0144521749493104E-5</v>
      </c>
      <c r="P20">
        <f>Calculation!$B$22</f>
        <v>1.0144521749493104E-5</v>
      </c>
      <c r="Q20">
        <f>Calculation!$B$22</f>
        <v>1.0144521749493104E-5</v>
      </c>
      <c r="R20">
        <f>Calculation!$B$22</f>
        <v>1.0144521749493104E-5</v>
      </c>
      <c r="S20">
        <f>Calculation!$B$22</f>
        <v>1.0144521749493104E-5</v>
      </c>
      <c r="T20">
        <f>Calculation!$B$22</f>
        <v>1.0144521749493104E-5</v>
      </c>
      <c r="U20">
        <f>Calculation!$B$22</f>
        <v>1.0144521749493104E-5</v>
      </c>
      <c r="V20">
        <f>Calculation!$B$22</f>
        <v>1.0144521749493104E-5</v>
      </c>
      <c r="W20">
        <f>Calculation!$B$22</f>
        <v>1.0144521749493104E-5</v>
      </c>
      <c r="X20">
        <f>Calculation!$B$22</f>
        <v>1.0144521749493104E-5</v>
      </c>
      <c r="Y20">
        <f>Calculation!$B$22</f>
        <v>1.0144521749493104E-5</v>
      </c>
      <c r="Z20">
        <f>Calculation!$B$22</f>
        <v>1.0144521749493104E-5</v>
      </c>
      <c r="AA20">
        <f>Calculation!$B$22</f>
        <v>1.0144521749493104E-5</v>
      </c>
      <c r="AB20">
        <f>Calculation!$B$22</f>
        <v>1.0144521749493104E-5</v>
      </c>
      <c r="AC20">
        <f>Calculation!$B$22</f>
        <v>1.0144521749493104E-5</v>
      </c>
      <c r="AD20">
        <f>Calculation!$B$22</f>
        <v>1.0144521749493104E-5</v>
      </c>
      <c r="AE20">
        <f>Calculation!$B$22</f>
        <v>1.0144521749493104E-5</v>
      </c>
      <c r="AF20">
        <f>Calculation!$B$22</f>
        <v>1.0144521749493104E-5</v>
      </c>
      <c r="AG20">
        <f>Calculation!$B$22</f>
        <v>1.0144521749493104E-5</v>
      </c>
    </row>
    <row r="21" spans="1:33" ht="15" customHeight="1" x14ac:dyDescent="0.3">
      <c r="A21" t="s">
        <v>73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 ht="15" customHeight="1" x14ac:dyDescent="0.3">
      <c r="A22" s="13" t="s">
        <v>74</v>
      </c>
      <c r="B22">
        <v>0</v>
      </c>
      <c r="C2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52" ht="14.4" x14ac:dyDescent="0.3"/>
    <row r="53" ht="14.4" x14ac:dyDescent="0.3"/>
    <row r="54" ht="14.4" x14ac:dyDescent="0.3"/>
    <row r="55" ht="14.4" x14ac:dyDescent="0.3"/>
    <row r="56" ht="14.4" x14ac:dyDescent="0.3"/>
    <row r="57" ht="14.4" x14ac:dyDescent="0.3"/>
    <row r="58" ht="14.4" x14ac:dyDescent="0.3"/>
    <row r="59" ht="14.4" x14ac:dyDescent="0.3"/>
    <row r="60" ht="14.4" x14ac:dyDescent="0.3"/>
    <row r="61" ht="14.4" x14ac:dyDescent="0.3"/>
    <row r="62" ht="14.4" x14ac:dyDescent="0.3"/>
    <row r="63" ht="14.4" x14ac:dyDescent="0.3"/>
    <row r="64" ht="14.4" x14ac:dyDescent="0.3"/>
    <row r="65" ht="14.4" x14ac:dyDescent="0.3"/>
    <row r="66" ht="14.4" x14ac:dyDescent="0.3"/>
    <row r="67" ht="14.4" x14ac:dyDescent="0.3"/>
    <row r="68" ht="14.4" x14ac:dyDescent="0.3"/>
    <row r="69" ht="14.4" x14ac:dyDescent="0.3"/>
    <row r="70" ht="14.4" x14ac:dyDescent="0.3"/>
    <row r="71" ht="14.4" x14ac:dyDescent="0.3"/>
    <row r="72" ht="14.4" x14ac:dyDescent="0.3"/>
    <row r="73" ht="14.4" x14ac:dyDescent="0.3"/>
    <row r="74" ht="14.4" x14ac:dyDescent="0.3"/>
    <row r="75" ht="14.4" x14ac:dyDescent="0.3"/>
    <row r="76" ht="14.4" x14ac:dyDescent="0.3"/>
    <row r="77" ht="14.4" x14ac:dyDescent="0.3"/>
    <row r="78" ht="14.4" x14ac:dyDescent="0.3"/>
    <row r="79" ht="14.4" x14ac:dyDescent="0.3"/>
    <row r="80" ht="14.4" x14ac:dyDescent="0.3"/>
    <row r="81" ht="14.4" x14ac:dyDescent="0.3"/>
    <row r="82" ht="14.4" x14ac:dyDescent="0.3"/>
    <row r="83" ht="14.4" x14ac:dyDescent="0.3"/>
    <row r="84" ht="14.4" x14ac:dyDescent="0.3"/>
    <row r="85" ht="14.4" x14ac:dyDescent="0.3"/>
    <row r="86" ht="14.4" x14ac:dyDescent="0.3"/>
    <row r="87" ht="14.4" x14ac:dyDescent="0.3"/>
    <row r="88" ht="14.4" x14ac:dyDescent="0.3"/>
    <row r="89" ht="14.4" x14ac:dyDescent="0.3"/>
    <row r="90" ht="14.4" x14ac:dyDescent="0.3"/>
    <row r="91" ht="14.4" x14ac:dyDescent="0.3"/>
    <row r="92" ht="14.4" x14ac:dyDescent="0.3"/>
    <row r="93" ht="14.4" x14ac:dyDescent="0.3"/>
    <row r="94" ht="14.4" x14ac:dyDescent="0.3"/>
    <row r="95" ht="14.4" x14ac:dyDescent="0.3"/>
    <row r="96" ht="14.4" x14ac:dyDescent="0.3"/>
    <row r="97" ht="14.4" x14ac:dyDescent="0.3"/>
    <row r="98" ht="14.4" x14ac:dyDescent="0.3"/>
    <row r="99" ht="14.4" x14ac:dyDescent="0.3"/>
    <row r="100" ht="14.4" x14ac:dyDescent="0.3"/>
    <row r="101" ht="14.4" x14ac:dyDescent="0.3"/>
    <row r="102" ht="14.4" x14ac:dyDescent="0.3"/>
    <row r="103" ht="14.4" x14ac:dyDescent="0.3"/>
    <row r="104" ht="14.4" x14ac:dyDescent="0.3"/>
    <row r="105" ht="14.4" x14ac:dyDescent="0.3"/>
    <row r="106" ht="14.4" x14ac:dyDescent="0.3"/>
    <row r="107" ht="14.4" x14ac:dyDescent="0.3"/>
    <row r="108" ht="14.4" x14ac:dyDescent="0.3"/>
    <row r="109" ht="14.4" x14ac:dyDescent="0.3"/>
    <row r="110" ht="14.4" x14ac:dyDescent="0.3"/>
    <row r="111" ht="14.4" x14ac:dyDescent="0.3"/>
    <row r="112" ht="14.4" x14ac:dyDescent="0.3"/>
    <row r="113" ht="14.4" x14ac:dyDescent="0.3"/>
    <row r="114" ht="14.4" x14ac:dyDescent="0.3"/>
    <row r="115" ht="14.4" x14ac:dyDescent="0.3"/>
    <row r="116" ht="14.4" x14ac:dyDescent="0.3"/>
    <row r="117" ht="14.4" x14ac:dyDescent="0.3"/>
    <row r="118" ht="14.4" x14ac:dyDescent="0.3"/>
    <row r="119" ht="14.4" x14ac:dyDescent="0.3"/>
    <row r="120" ht="14.4" x14ac:dyDescent="0.3"/>
    <row r="121" ht="14.4" x14ac:dyDescent="0.3"/>
    <row r="122" ht="14.4" x14ac:dyDescent="0.3"/>
    <row r="123" ht="14.4" x14ac:dyDescent="0.3"/>
    <row r="124" ht="14.4" x14ac:dyDescent="0.3"/>
    <row r="125" ht="14.4" x14ac:dyDescent="0.3"/>
    <row r="126" ht="14.4" x14ac:dyDescent="0.3"/>
    <row r="127" ht="14.4" x14ac:dyDescent="0.3"/>
    <row r="128" ht="14.4" x14ac:dyDescent="0.3"/>
    <row r="129" ht="14.4" x14ac:dyDescent="0.3"/>
    <row r="130" ht="14.4" x14ac:dyDescent="0.3"/>
    <row r="131" ht="14.4" x14ac:dyDescent="0.3"/>
    <row r="132" ht="14.4" x14ac:dyDescent="0.3"/>
    <row r="133" ht="14.4" x14ac:dyDescent="0.3"/>
    <row r="134" ht="14.4" x14ac:dyDescent="0.3"/>
    <row r="135" ht="14.4" x14ac:dyDescent="0.3"/>
    <row r="136" ht="14.4" x14ac:dyDescent="0.3"/>
    <row r="137" ht="14.4" x14ac:dyDescent="0.3"/>
    <row r="138" ht="14.4" x14ac:dyDescent="0.3"/>
    <row r="139" ht="14.4" x14ac:dyDescent="0.3"/>
    <row r="140" ht="14.4" x14ac:dyDescent="0.3"/>
    <row r="141" ht="14.4" x14ac:dyDescent="0.3"/>
    <row r="142" ht="14.4" x14ac:dyDescent="0.3"/>
    <row r="143" ht="14.4" x14ac:dyDescent="0.3"/>
    <row r="144" ht="14.4" x14ac:dyDescent="0.3"/>
    <row r="145" ht="14.4" x14ac:dyDescent="0.3"/>
    <row r="146" ht="14.4" x14ac:dyDescent="0.3"/>
    <row r="147" ht="14.4" x14ac:dyDescent="0.3"/>
    <row r="148" ht="14.4" x14ac:dyDescent="0.3"/>
    <row r="149" ht="14.4" x14ac:dyDescent="0.3"/>
    <row r="150" ht="14.4" x14ac:dyDescent="0.3"/>
    <row r="151" ht="14.4" x14ac:dyDescent="0.3"/>
    <row r="152" ht="14.4" x14ac:dyDescent="0.3"/>
    <row r="153" ht="14.4" x14ac:dyDescent="0.3"/>
    <row r="154" ht="14.4" x14ac:dyDescent="0.3"/>
    <row r="155" ht="14.4" x14ac:dyDescent="0.3"/>
    <row r="156" ht="14.4" x14ac:dyDescent="0.3"/>
    <row r="157" ht="14.4" x14ac:dyDescent="0.3"/>
    <row r="158" ht="14.4" x14ac:dyDescent="0.3"/>
    <row r="159" ht="14.4" x14ac:dyDescent="0.3"/>
    <row r="160" ht="14.4" x14ac:dyDescent="0.3"/>
    <row r="161" ht="14.4" x14ac:dyDescent="0.3"/>
    <row r="162" ht="14.4" x14ac:dyDescent="0.3"/>
    <row r="163" ht="14.4" x14ac:dyDescent="0.3"/>
    <row r="164" ht="14.4" x14ac:dyDescent="0.3"/>
    <row r="165" ht="14.4" x14ac:dyDescent="0.3"/>
    <row r="166" ht="14.4" x14ac:dyDescent="0.3"/>
    <row r="167" ht="14.4" x14ac:dyDescent="0.3"/>
    <row r="168" ht="14.4" x14ac:dyDescent="0.3"/>
    <row r="169" ht="14.4" x14ac:dyDescent="0.3"/>
    <row r="170" ht="14.4" x14ac:dyDescent="0.3"/>
    <row r="171" ht="14.4" x14ac:dyDescent="0.3"/>
    <row r="172" ht="14.4" x14ac:dyDescent="0.3"/>
    <row r="173" ht="14.4" x14ac:dyDescent="0.3"/>
    <row r="174" ht="14.4" x14ac:dyDescent="0.3"/>
    <row r="175" ht="14.4" x14ac:dyDescent="0.3"/>
    <row r="176" ht="14.4" x14ac:dyDescent="0.3"/>
    <row r="177" ht="14.4" x14ac:dyDescent="0.3"/>
    <row r="178" ht="14.4" x14ac:dyDescent="0.3"/>
    <row r="179" ht="14.4" x14ac:dyDescent="0.3"/>
    <row r="180" ht="14.4" x14ac:dyDescent="0.3"/>
    <row r="181" ht="14.4" x14ac:dyDescent="0.3"/>
    <row r="182" ht="14.4" x14ac:dyDescent="0.3"/>
    <row r="183" ht="14.4" x14ac:dyDescent="0.3"/>
    <row r="184" ht="14.4" x14ac:dyDescent="0.3"/>
    <row r="185" ht="14.4" x14ac:dyDescent="0.3"/>
    <row r="186" ht="14.4" x14ac:dyDescent="0.3"/>
    <row r="187" ht="14.4" x14ac:dyDescent="0.3"/>
    <row r="188" ht="14.4" x14ac:dyDescent="0.3"/>
    <row r="189" ht="14.4" x14ac:dyDescent="0.3"/>
    <row r="190" ht="14.4" x14ac:dyDescent="0.3"/>
    <row r="191" ht="14.4" x14ac:dyDescent="0.3"/>
    <row r="192" ht="14.4" x14ac:dyDescent="0.3"/>
    <row r="193" ht="14.4" x14ac:dyDescent="0.3"/>
    <row r="194" ht="14.4" x14ac:dyDescent="0.3"/>
    <row r="195" ht="14.4" x14ac:dyDescent="0.3"/>
    <row r="196" ht="14.4" x14ac:dyDescent="0.3"/>
    <row r="197" ht="14.4" x14ac:dyDescent="0.3"/>
    <row r="198" ht="14.4" x14ac:dyDescent="0.3"/>
    <row r="199" ht="14.4" x14ac:dyDescent="0.3"/>
    <row r="200" ht="14.4" x14ac:dyDescent="0.3"/>
    <row r="201" ht="14.4" x14ac:dyDescent="0.3"/>
    <row r="202" ht="14.4" x14ac:dyDescent="0.3"/>
    <row r="203" ht="14.4" x14ac:dyDescent="0.3"/>
    <row r="204" ht="14.4" x14ac:dyDescent="0.3"/>
    <row r="205" ht="14.4" x14ac:dyDescent="0.3"/>
    <row r="206" ht="14.4" x14ac:dyDescent="0.3"/>
    <row r="207" ht="14.4" x14ac:dyDescent="0.3"/>
    <row r="208" ht="14.4" x14ac:dyDescent="0.3"/>
    <row r="209" ht="14.4" x14ac:dyDescent="0.3"/>
    <row r="210" ht="14.4" x14ac:dyDescent="0.3"/>
    <row r="211" ht="14.4" x14ac:dyDescent="0.3"/>
    <row r="212" ht="14.4" x14ac:dyDescent="0.3"/>
    <row r="213" ht="14.4" x14ac:dyDescent="0.3"/>
    <row r="214" ht="14.4" x14ac:dyDescent="0.3"/>
    <row r="215" ht="14.4" x14ac:dyDescent="0.3"/>
    <row r="216" ht="14.4" x14ac:dyDescent="0.3"/>
    <row r="217" ht="14.4" x14ac:dyDescent="0.3"/>
    <row r="218" ht="14.4" x14ac:dyDescent="0.3"/>
    <row r="219" ht="14.4" x14ac:dyDescent="0.3"/>
    <row r="220" ht="14.4" x14ac:dyDescent="0.3"/>
    <row r="221" ht="14.4" x14ac:dyDescent="0.3"/>
    <row r="222" ht="14.4" x14ac:dyDescent="0.3"/>
    <row r="223" ht="14.4" x14ac:dyDescent="0.3"/>
    <row r="224" ht="14.4" x14ac:dyDescent="0.3"/>
    <row r="225" ht="14.4" x14ac:dyDescent="0.3"/>
    <row r="226" ht="14.4" x14ac:dyDescent="0.3"/>
    <row r="227" ht="14.4" x14ac:dyDescent="0.3"/>
    <row r="228" ht="14.4" x14ac:dyDescent="0.3"/>
    <row r="229" ht="14.4" x14ac:dyDescent="0.3"/>
    <row r="230" ht="14.4" x14ac:dyDescent="0.3"/>
    <row r="231" ht="14.4" x14ac:dyDescent="0.3"/>
    <row r="232" ht="14.4" x14ac:dyDescent="0.3"/>
    <row r="233" ht="14.4" x14ac:dyDescent="0.3"/>
    <row r="234" ht="14.4" x14ac:dyDescent="0.3"/>
    <row r="235" ht="14.4" x14ac:dyDescent="0.3"/>
    <row r="236" ht="14.4" x14ac:dyDescent="0.3"/>
    <row r="237" ht="14.4" x14ac:dyDescent="0.3"/>
    <row r="238" ht="14.4" x14ac:dyDescent="0.3"/>
    <row r="239" ht="14.4" x14ac:dyDescent="0.3"/>
    <row r="240" ht="14.4" x14ac:dyDescent="0.3"/>
    <row r="241" ht="14.4" x14ac:dyDescent="0.3"/>
    <row r="242" ht="14.4" x14ac:dyDescent="0.3"/>
    <row r="243" ht="14.4" x14ac:dyDescent="0.3"/>
    <row r="244" ht="14.4" x14ac:dyDescent="0.3"/>
    <row r="245" ht="14.4" x14ac:dyDescent="0.3"/>
    <row r="246" ht="14.4" x14ac:dyDescent="0.3"/>
    <row r="247" ht="14.4" x14ac:dyDescent="0.3"/>
    <row r="248" ht="14.4" x14ac:dyDescent="0.3"/>
    <row r="249" ht="14.4" x14ac:dyDescent="0.3"/>
    <row r="250" ht="14.4" x14ac:dyDescent="0.3"/>
    <row r="251" ht="14.4" x14ac:dyDescent="0.3"/>
    <row r="252" ht="14.4" x14ac:dyDescent="0.3"/>
    <row r="253" ht="14.4" x14ac:dyDescent="0.3"/>
    <row r="254" ht="14.4" x14ac:dyDescent="0.3"/>
    <row r="255" ht="14.4" x14ac:dyDescent="0.3"/>
    <row r="256" ht="14.4" x14ac:dyDescent="0.3"/>
    <row r="257" ht="14.4" x14ac:dyDescent="0.3"/>
    <row r="258" ht="14.4" x14ac:dyDescent="0.3"/>
    <row r="259" ht="14.4" x14ac:dyDescent="0.3"/>
    <row r="260" ht="14.4" x14ac:dyDescent="0.3"/>
    <row r="261" ht="14.4" x14ac:dyDescent="0.3"/>
    <row r="262" ht="14.4" x14ac:dyDescent="0.3"/>
    <row r="263" ht="14.4" x14ac:dyDescent="0.3"/>
    <row r="264" ht="14.4" x14ac:dyDescent="0.3"/>
    <row r="265" ht="14.4" x14ac:dyDescent="0.3"/>
    <row r="266" ht="14.4" x14ac:dyDescent="0.3"/>
    <row r="267" ht="14.4" x14ac:dyDescent="0.3"/>
    <row r="268" ht="14.4" x14ac:dyDescent="0.3"/>
    <row r="269" ht="14.4" x14ac:dyDescent="0.3"/>
    <row r="270" ht="14.4" x14ac:dyDescent="0.3"/>
    <row r="271" ht="14.4" x14ac:dyDescent="0.3"/>
    <row r="272" ht="14.4" x14ac:dyDescent="0.3"/>
    <row r="273" ht="14.4" x14ac:dyDescent="0.3"/>
    <row r="274" ht="14.4" x14ac:dyDescent="0.3"/>
    <row r="275" ht="14.4" x14ac:dyDescent="0.3"/>
    <row r="276" ht="14.4" x14ac:dyDescent="0.3"/>
    <row r="277" ht="14.4" x14ac:dyDescent="0.3"/>
    <row r="278" ht="14.4" x14ac:dyDescent="0.3"/>
    <row r="279" ht="14.4" x14ac:dyDescent="0.3"/>
    <row r="280" ht="14.4" x14ac:dyDescent="0.3"/>
    <row r="281" ht="14.4" x14ac:dyDescent="0.3"/>
    <row r="282" ht="14.4" x14ac:dyDescent="0.3"/>
    <row r="283" ht="14.4" x14ac:dyDescent="0.3"/>
    <row r="284" ht="14.4" x14ac:dyDescent="0.3"/>
    <row r="285" ht="14.4" x14ac:dyDescent="0.3"/>
    <row r="286" ht="14.4" x14ac:dyDescent="0.3"/>
    <row r="287" ht="14.4" x14ac:dyDescent="0.3"/>
    <row r="288" ht="14.4" x14ac:dyDescent="0.3"/>
    <row r="289" ht="14.4" x14ac:dyDescent="0.3"/>
    <row r="290" ht="14.4" x14ac:dyDescent="0.3"/>
    <row r="291" ht="14.4" x14ac:dyDescent="0.3"/>
    <row r="292" ht="14.4" x14ac:dyDescent="0.3"/>
    <row r="293" ht="14.4" x14ac:dyDescent="0.3"/>
    <row r="294" ht="14.4" x14ac:dyDescent="0.3"/>
    <row r="295" ht="14.4" x14ac:dyDescent="0.3"/>
    <row r="296" ht="14.4" x14ac:dyDescent="0.3"/>
    <row r="297" ht="14.4" x14ac:dyDescent="0.3"/>
    <row r="298" ht="14.4" x14ac:dyDescent="0.3"/>
    <row r="299" ht="14.4" x14ac:dyDescent="0.3"/>
    <row r="300" ht="14.4" x14ac:dyDescent="0.3"/>
    <row r="301" ht="14.4" x14ac:dyDescent="0.3"/>
    <row r="302" ht="14.4" x14ac:dyDescent="0.3"/>
    <row r="303" ht="14.4" x14ac:dyDescent="0.3"/>
    <row r="304" ht="14.4" x14ac:dyDescent="0.3"/>
    <row r="305" ht="14.4" x14ac:dyDescent="0.3"/>
    <row r="306" ht="14.4" x14ac:dyDescent="0.3"/>
    <row r="307" ht="14.4" x14ac:dyDescent="0.3"/>
    <row r="308" ht="14.4" x14ac:dyDescent="0.3"/>
    <row r="309" ht="14.4" x14ac:dyDescent="0.3"/>
    <row r="310" ht="14.4" x14ac:dyDescent="0.3"/>
    <row r="311" ht="14.4" x14ac:dyDescent="0.3"/>
    <row r="312" ht="14.4" x14ac:dyDescent="0.3"/>
    <row r="313" ht="14.4" x14ac:dyDescent="0.3"/>
    <row r="314" ht="14.4" x14ac:dyDescent="0.3"/>
    <row r="315" ht="14.4" x14ac:dyDescent="0.3"/>
    <row r="316" ht="14.4" x14ac:dyDescent="0.3"/>
    <row r="317" ht="14.4" x14ac:dyDescent="0.3"/>
    <row r="318" ht="14.4" x14ac:dyDescent="0.3"/>
    <row r="319" ht="14.4" x14ac:dyDescent="0.3"/>
    <row r="320" ht="14.4" x14ac:dyDescent="0.3"/>
    <row r="321" ht="14.4" x14ac:dyDescent="0.3"/>
    <row r="322" ht="14.4" x14ac:dyDescent="0.3"/>
    <row r="323" ht="14.4" x14ac:dyDescent="0.3"/>
    <row r="324" ht="14.4" x14ac:dyDescent="0.3"/>
    <row r="325" ht="14.4" x14ac:dyDescent="0.3"/>
    <row r="326" ht="14.4" x14ac:dyDescent="0.3"/>
    <row r="327" ht="14.4" x14ac:dyDescent="0.3"/>
    <row r="328" ht="14.4" x14ac:dyDescent="0.3"/>
    <row r="329" ht="14.4" x14ac:dyDescent="0.3"/>
    <row r="330" ht="14.4" x14ac:dyDescent="0.3"/>
    <row r="331" ht="14.4" x14ac:dyDescent="0.3"/>
    <row r="332" ht="14.4" x14ac:dyDescent="0.3"/>
    <row r="333" ht="14.4" x14ac:dyDescent="0.3"/>
    <row r="334" ht="14.4" x14ac:dyDescent="0.3"/>
    <row r="335" ht="14.4" x14ac:dyDescent="0.3"/>
    <row r="336" ht="14.4" x14ac:dyDescent="0.3"/>
    <row r="337" ht="14.4" x14ac:dyDescent="0.3"/>
    <row r="338" ht="14.4" x14ac:dyDescent="0.3"/>
    <row r="339" ht="14.4" x14ac:dyDescent="0.3"/>
    <row r="340" ht="14.4" x14ac:dyDescent="0.3"/>
    <row r="341" ht="14.4" x14ac:dyDescent="0.3"/>
    <row r="342" ht="14.4" x14ac:dyDescent="0.3"/>
    <row r="343" ht="14.4" x14ac:dyDescent="0.3"/>
    <row r="344" ht="14.4" x14ac:dyDescent="0.3"/>
    <row r="345" ht="14.4" x14ac:dyDescent="0.3"/>
    <row r="346" ht="14.4" x14ac:dyDescent="0.3"/>
    <row r="347" ht="14.4" x14ac:dyDescent="0.3"/>
    <row r="348" ht="14.4" x14ac:dyDescent="0.3"/>
    <row r="349" ht="14.4" x14ac:dyDescent="0.3"/>
    <row r="350" ht="14.4" x14ac:dyDescent="0.3"/>
    <row r="351" ht="14.4" x14ac:dyDescent="0.3"/>
    <row r="352" ht="14.4" x14ac:dyDescent="0.3"/>
    <row r="353" ht="14.4" x14ac:dyDescent="0.3"/>
    <row r="354" ht="14.4" x14ac:dyDescent="0.3"/>
    <row r="355" ht="14.4" x14ac:dyDescent="0.3"/>
    <row r="356" ht="14.4" x14ac:dyDescent="0.3"/>
    <row r="357" ht="14.4" x14ac:dyDescent="0.3"/>
    <row r="358" ht="14.4" x14ac:dyDescent="0.3"/>
    <row r="359" ht="14.4" x14ac:dyDescent="0.3"/>
    <row r="360" ht="14.4" x14ac:dyDescent="0.3"/>
    <row r="361" ht="14.4" x14ac:dyDescent="0.3"/>
    <row r="362" ht="14.4" x14ac:dyDescent="0.3"/>
    <row r="363" ht="14.4" x14ac:dyDescent="0.3"/>
    <row r="364" ht="14.4" x14ac:dyDescent="0.3"/>
    <row r="365" ht="14.4" x14ac:dyDescent="0.3"/>
    <row r="366" ht="14.4" x14ac:dyDescent="0.3"/>
    <row r="367" ht="14.4" x14ac:dyDescent="0.3"/>
    <row r="368" ht="14.4" x14ac:dyDescent="0.3"/>
    <row r="369" ht="14.4" x14ac:dyDescent="0.3"/>
    <row r="370" ht="14.4" x14ac:dyDescent="0.3"/>
    <row r="371" ht="14.4" x14ac:dyDescent="0.3"/>
    <row r="372" ht="14.4" x14ac:dyDescent="0.3"/>
    <row r="373" ht="14.4" x14ac:dyDescent="0.3"/>
    <row r="374" ht="14.4" x14ac:dyDescent="0.3"/>
    <row r="375" ht="14.4" x14ac:dyDescent="0.3"/>
    <row r="376" ht="14.4" x14ac:dyDescent="0.3"/>
    <row r="377" ht="14.4" x14ac:dyDescent="0.3"/>
    <row r="378" ht="14.4" x14ac:dyDescent="0.3"/>
    <row r="379" ht="14.4" x14ac:dyDescent="0.3"/>
    <row r="380" ht="14.4" x14ac:dyDescent="0.3"/>
    <row r="381" ht="14.4" x14ac:dyDescent="0.3"/>
    <row r="382" ht="14.4" x14ac:dyDescent="0.3"/>
    <row r="383" ht="14.4" x14ac:dyDescent="0.3"/>
    <row r="384" ht="14.4" x14ac:dyDescent="0.3"/>
    <row r="385" ht="14.4" x14ac:dyDescent="0.3"/>
    <row r="386" ht="14.4" x14ac:dyDescent="0.3"/>
    <row r="387" ht="14.4" x14ac:dyDescent="0.3"/>
    <row r="388" ht="14.4" x14ac:dyDescent="0.3"/>
    <row r="389" ht="14.4" x14ac:dyDescent="0.3"/>
    <row r="390" ht="14.4" x14ac:dyDescent="0.3"/>
    <row r="391" ht="14.4" x14ac:dyDescent="0.3"/>
    <row r="392" ht="14.4" x14ac:dyDescent="0.3"/>
    <row r="393" ht="14.4" x14ac:dyDescent="0.3"/>
    <row r="394" ht="14.4" x14ac:dyDescent="0.3"/>
    <row r="395" ht="14.4" x14ac:dyDescent="0.3"/>
    <row r="396" ht="14.4" x14ac:dyDescent="0.3"/>
    <row r="397" ht="14.4" x14ac:dyDescent="0.3"/>
    <row r="398" ht="14.4" x14ac:dyDescent="0.3"/>
    <row r="399" ht="14.4" x14ac:dyDescent="0.3"/>
    <row r="400" ht="14.4" x14ac:dyDescent="0.3"/>
    <row r="401" ht="14.4" x14ac:dyDescent="0.3"/>
    <row r="402" ht="14.4" x14ac:dyDescent="0.3"/>
    <row r="403" ht="14.4" x14ac:dyDescent="0.3"/>
    <row r="404" ht="14.4" x14ac:dyDescent="0.3"/>
    <row r="405" ht="14.4" x14ac:dyDescent="0.3"/>
    <row r="406" ht="14.4" x14ac:dyDescent="0.3"/>
    <row r="407" ht="14.4" x14ac:dyDescent="0.3"/>
    <row r="408" ht="14.4" x14ac:dyDescent="0.3"/>
    <row r="409" ht="14.4" x14ac:dyDescent="0.3"/>
    <row r="410" ht="14.4" x14ac:dyDescent="0.3"/>
    <row r="411" ht="14.4" x14ac:dyDescent="0.3"/>
    <row r="412" ht="14.4" x14ac:dyDescent="0.3"/>
    <row r="413" ht="14.4" x14ac:dyDescent="0.3"/>
    <row r="414" ht="14.4" x14ac:dyDescent="0.3"/>
    <row r="415" ht="14.4" x14ac:dyDescent="0.3"/>
    <row r="416" ht="14.4" x14ac:dyDescent="0.3"/>
    <row r="417" ht="14.4" x14ac:dyDescent="0.3"/>
    <row r="418" ht="14.4" x14ac:dyDescent="0.3"/>
    <row r="419" ht="14.4" x14ac:dyDescent="0.3"/>
    <row r="420" ht="14.4" x14ac:dyDescent="0.3"/>
    <row r="421" ht="14.4" x14ac:dyDescent="0.3"/>
    <row r="422" ht="14.4" x14ac:dyDescent="0.3"/>
    <row r="423" ht="14.4" x14ac:dyDescent="0.3"/>
    <row r="424" ht="14.4" x14ac:dyDescent="0.3"/>
    <row r="425" ht="14.4" x14ac:dyDescent="0.3"/>
    <row r="426" ht="14.4" x14ac:dyDescent="0.3"/>
    <row r="427" ht="14.4" x14ac:dyDescent="0.3"/>
    <row r="428" ht="14.4" x14ac:dyDescent="0.3"/>
    <row r="429" ht="14.4" x14ac:dyDescent="0.3"/>
    <row r="430" ht="14.4" x14ac:dyDescent="0.3"/>
    <row r="431" ht="14.4" x14ac:dyDescent="0.3"/>
    <row r="432" ht="14.4" x14ac:dyDescent="0.3"/>
    <row r="433" ht="14.4" x14ac:dyDescent="0.3"/>
    <row r="434" ht="14.4" x14ac:dyDescent="0.3"/>
    <row r="435" ht="14.4" x14ac:dyDescent="0.3"/>
    <row r="436" ht="14.4" x14ac:dyDescent="0.3"/>
    <row r="437" ht="14.4" x14ac:dyDescent="0.3"/>
    <row r="438" ht="14.4" x14ac:dyDescent="0.3"/>
    <row r="439" ht="14.4" x14ac:dyDescent="0.3"/>
    <row r="440" ht="14.4" x14ac:dyDescent="0.3"/>
    <row r="441" ht="14.4" x14ac:dyDescent="0.3"/>
    <row r="442" ht="14.4" x14ac:dyDescent="0.3"/>
    <row r="443" ht="14.4" x14ac:dyDescent="0.3"/>
    <row r="444" ht="14.4" x14ac:dyDescent="0.3"/>
    <row r="445" ht="14.4" x14ac:dyDescent="0.3"/>
    <row r="446" ht="14.4" x14ac:dyDescent="0.3"/>
    <row r="447" ht="14.4" x14ac:dyDescent="0.3"/>
    <row r="448" ht="14.4" x14ac:dyDescent="0.3"/>
    <row r="449" ht="14.4" x14ac:dyDescent="0.3"/>
    <row r="450" ht="14.4" x14ac:dyDescent="0.3"/>
    <row r="451" ht="14.4" x14ac:dyDescent="0.3"/>
    <row r="452" ht="14.4" x14ac:dyDescent="0.3"/>
    <row r="453" ht="14.4" x14ac:dyDescent="0.3"/>
    <row r="454" ht="14.4" x14ac:dyDescent="0.3"/>
    <row r="455" ht="14.4" x14ac:dyDescent="0.3"/>
    <row r="456" ht="14.4" x14ac:dyDescent="0.3"/>
    <row r="457" ht="14.4" x14ac:dyDescent="0.3"/>
    <row r="458" ht="14.4" x14ac:dyDescent="0.3"/>
    <row r="459" ht="14.4" x14ac:dyDescent="0.3"/>
    <row r="460" ht="14.4" x14ac:dyDescent="0.3"/>
    <row r="461" ht="14.4" x14ac:dyDescent="0.3"/>
    <row r="462" ht="14.4" x14ac:dyDescent="0.3"/>
    <row r="463" ht="14.4" x14ac:dyDescent="0.3"/>
    <row r="464" ht="14.4" x14ac:dyDescent="0.3"/>
    <row r="465" ht="14.4" x14ac:dyDescent="0.3"/>
    <row r="466" ht="14.4" x14ac:dyDescent="0.3"/>
    <row r="467" ht="14.4" x14ac:dyDescent="0.3"/>
    <row r="468" ht="14.4" x14ac:dyDescent="0.3"/>
    <row r="469" ht="14.4" x14ac:dyDescent="0.3"/>
    <row r="470" ht="14.4" x14ac:dyDescent="0.3"/>
    <row r="471" ht="14.4" x14ac:dyDescent="0.3"/>
    <row r="472" ht="14.4" x14ac:dyDescent="0.3"/>
    <row r="473" ht="14.4" x14ac:dyDescent="0.3"/>
    <row r="474" ht="14.4" x14ac:dyDescent="0.3"/>
    <row r="475" ht="14.4" x14ac:dyDescent="0.3"/>
    <row r="476" ht="14.4" x14ac:dyDescent="0.3"/>
    <row r="477" ht="14.4" x14ac:dyDescent="0.3"/>
    <row r="478" ht="14.4" x14ac:dyDescent="0.3"/>
    <row r="479" ht="14.4" x14ac:dyDescent="0.3"/>
    <row r="480" ht="14.4" x14ac:dyDescent="0.3"/>
    <row r="481" ht="14.4" x14ac:dyDescent="0.3"/>
    <row r="482" ht="14.4" x14ac:dyDescent="0.3"/>
    <row r="483" ht="14.4" x14ac:dyDescent="0.3"/>
    <row r="484" ht="14.4" x14ac:dyDescent="0.3"/>
    <row r="485" ht="14.4" x14ac:dyDescent="0.3"/>
    <row r="486" ht="14.4" x14ac:dyDescent="0.3"/>
    <row r="487" ht="14.4" x14ac:dyDescent="0.3"/>
    <row r="488" ht="14.4" x14ac:dyDescent="0.3"/>
    <row r="489" ht="14.4" x14ac:dyDescent="0.3"/>
    <row r="490" ht="14.4" x14ac:dyDescent="0.3"/>
    <row r="491" ht="14.4" x14ac:dyDescent="0.3"/>
    <row r="492" ht="14.4" x14ac:dyDescent="0.3"/>
    <row r="493" ht="14.4" x14ac:dyDescent="0.3"/>
    <row r="494" ht="14.4" x14ac:dyDescent="0.3"/>
    <row r="495" ht="14.4" x14ac:dyDescent="0.3"/>
    <row r="496" ht="14.4" x14ac:dyDescent="0.3"/>
    <row r="497" ht="14.4" x14ac:dyDescent="0.3"/>
    <row r="498" ht="14.4" x14ac:dyDescent="0.3"/>
    <row r="499" ht="14.4" x14ac:dyDescent="0.3"/>
    <row r="500" ht="14.4" x14ac:dyDescent="0.3"/>
    <row r="501" ht="14.4" x14ac:dyDescent="0.3"/>
    <row r="502" ht="14.4" x14ac:dyDescent="0.3"/>
    <row r="503" ht="14.4" x14ac:dyDescent="0.3"/>
    <row r="504" ht="14.4" x14ac:dyDescent="0.3"/>
    <row r="505" ht="14.4" x14ac:dyDescent="0.3"/>
    <row r="506" ht="14.4" x14ac:dyDescent="0.3"/>
    <row r="507" ht="14.4" x14ac:dyDescent="0.3"/>
    <row r="508" ht="14.4" x14ac:dyDescent="0.3"/>
    <row r="509" ht="14.4" x14ac:dyDescent="0.3"/>
    <row r="510" ht="14.4" x14ac:dyDescent="0.3"/>
    <row r="511" ht="14.4" x14ac:dyDescent="0.3"/>
    <row r="512" ht="14.4" x14ac:dyDescent="0.3"/>
    <row r="513" ht="14.4" x14ac:dyDescent="0.3"/>
    <row r="514" ht="14.4" x14ac:dyDescent="0.3"/>
    <row r="515" ht="14.4" x14ac:dyDescent="0.3"/>
    <row r="516" ht="14.4" x14ac:dyDescent="0.3"/>
    <row r="517" ht="14.4" x14ac:dyDescent="0.3"/>
    <row r="518" ht="14.4" x14ac:dyDescent="0.3"/>
    <row r="519" ht="14.4" x14ac:dyDescent="0.3"/>
    <row r="520" ht="14.4" x14ac:dyDescent="0.3"/>
    <row r="521" ht="14.4" x14ac:dyDescent="0.3"/>
    <row r="522" ht="14.4" x14ac:dyDescent="0.3"/>
    <row r="523" ht="14.4" x14ac:dyDescent="0.3"/>
    <row r="524" ht="14.4" x14ac:dyDescent="0.3"/>
    <row r="525" ht="14.4" x14ac:dyDescent="0.3"/>
    <row r="526" ht="14.4" x14ac:dyDescent="0.3"/>
    <row r="527" ht="14.4" x14ac:dyDescent="0.3"/>
    <row r="528" ht="14.4" x14ac:dyDescent="0.3"/>
    <row r="529" ht="14.4" x14ac:dyDescent="0.3"/>
    <row r="530" ht="14.4" x14ac:dyDescent="0.3"/>
    <row r="531" ht="14.4" x14ac:dyDescent="0.3"/>
    <row r="532" ht="14.4" x14ac:dyDescent="0.3"/>
    <row r="533" ht="14.4" x14ac:dyDescent="0.3"/>
    <row r="534" ht="14.4" x14ac:dyDescent="0.3"/>
    <row r="535" ht="14.4" x14ac:dyDescent="0.3"/>
    <row r="536" ht="14.4" x14ac:dyDescent="0.3"/>
    <row r="537" ht="14.4" x14ac:dyDescent="0.3"/>
    <row r="538" ht="14.4" x14ac:dyDescent="0.3"/>
    <row r="539" ht="14.4" x14ac:dyDescent="0.3"/>
    <row r="540" ht="14.4" x14ac:dyDescent="0.3"/>
    <row r="541" ht="14.4" x14ac:dyDescent="0.3"/>
    <row r="542" ht="14.4" x14ac:dyDescent="0.3"/>
    <row r="543" ht="14.4" x14ac:dyDescent="0.3"/>
    <row r="544" ht="14.4" x14ac:dyDescent="0.3"/>
    <row r="545" ht="14.4" x14ac:dyDescent="0.3"/>
    <row r="546" ht="14.4" x14ac:dyDescent="0.3"/>
    <row r="547" ht="14.4" x14ac:dyDescent="0.3"/>
    <row r="548" ht="14.4" x14ac:dyDescent="0.3"/>
    <row r="549" ht="14.4" x14ac:dyDescent="0.3"/>
    <row r="550" ht="14.4" x14ac:dyDescent="0.3"/>
    <row r="551" ht="14.4" x14ac:dyDescent="0.3"/>
    <row r="552" ht="14.4" x14ac:dyDescent="0.3"/>
    <row r="553" ht="14.4" x14ac:dyDescent="0.3"/>
    <row r="554" ht="14.4" x14ac:dyDescent="0.3"/>
    <row r="555" ht="14.4" x14ac:dyDescent="0.3"/>
    <row r="556" ht="14.4" x14ac:dyDescent="0.3"/>
    <row r="557" ht="14.4" x14ac:dyDescent="0.3"/>
    <row r="558" ht="14.4" x14ac:dyDescent="0.3"/>
    <row r="559" ht="14.4" x14ac:dyDescent="0.3"/>
    <row r="560" ht="14.4" x14ac:dyDescent="0.3"/>
    <row r="561" ht="14.4" x14ac:dyDescent="0.3"/>
    <row r="562" ht="14.4" x14ac:dyDescent="0.3"/>
    <row r="563" ht="14.4" x14ac:dyDescent="0.3"/>
    <row r="564" ht="14.4" x14ac:dyDescent="0.3"/>
    <row r="565" ht="14.4" x14ac:dyDescent="0.3"/>
    <row r="566" ht="14.4" x14ac:dyDescent="0.3"/>
    <row r="567" ht="14.4" x14ac:dyDescent="0.3"/>
    <row r="568" ht="14.4" x14ac:dyDescent="0.3"/>
    <row r="569" ht="14.4" x14ac:dyDescent="0.3"/>
    <row r="570" ht="14.4" x14ac:dyDescent="0.3"/>
    <row r="571" ht="14.4" x14ac:dyDescent="0.3"/>
    <row r="572" ht="14.4" x14ac:dyDescent="0.3"/>
    <row r="573" ht="14.4" x14ac:dyDescent="0.3"/>
    <row r="574" ht="14.4" x14ac:dyDescent="0.3"/>
    <row r="575" ht="14.4" x14ac:dyDescent="0.3"/>
    <row r="576" ht="14.4" x14ac:dyDescent="0.3"/>
    <row r="577" ht="14.4" x14ac:dyDescent="0.3"/>
    <row r="578" ht="14.4" x14ac:dyDescent="0.3"/>
    <row r="579" ht="14.4" x14ac:dyDescent="0.3"/>
    <row r="580" ht="14.4" x14ac:dyDescent="0.3"/>
    <row r="581" ht="14.4" x14ac:dyDescent="0.3"/>
    <row r="582" ht="14.4" x14ac:dyDescent="0.3"/>
    <row r="583" ht="14.4" x14ac:dyDescent="0.3"/>
    <row r="584" ht="14.4" x14ac:dyDescent="0.3"/>
    <row r="585" ht="14.4" x14ac:dyDescent="0.3"/>
    <row r="586" ht="14.4" x14ac:dyDescent="0.3"/>
    <row r="587" ht="14.4" x14ac:dyDescent="0.3"/>
    <row r="588" ht="14.4" x14ac:dyDescent="0.3"/>
    <row r="589" ht="14.4" x14ac:dyDescent="0.3"/>
    <row r="590" ht="14.4" x14ac:dyDescent="0.3"/>
    <row r="591" ht="14.4" x14ac:dyDescent="0.3"/>
    <row r="592" ht="14.4" x14ac:dyDescent="0.3"/>
    <row r="593" ht="14.4" x14ac:dyDescent="0.3"/>
    <row r="594" ht="14.4" x14ac:dyDescent="0.3"/>
    <row r="595" ht="14.4" x14ac:dyDescent="0.3"/>
    <row r="596" ht="14.4" x14ac:dyDescent="0.3"/>
    <row r="597" ht="14.4" x14ac:dyDescent="0.3"/>
    <row r="598" ht="14.4" x14ac:dyDescent="0.3"/>
    <row r="599" ht="14.4" x14ac:dyDescent="0.3"/>
    <row r="600" ht="14.4" x14ac:dyDescent="0.3"/>
    <row r="601" ht="14.4" x14ac:dyDescent="0.3"/>
    <row r="602" ht="14.4" x14ac:dyDescent="0.3"/>
    <row r="603" ht="14.4" x14ac:dyDescent="0.3"/>
    <row r="604" ht="14.4" x14ac:dyDescent="0.3"/>
    <row r="605" ht="14.4" x14ac:dyDescent="0.3"/>
    <row r="606" ht="14.4" x14ac:dyDescent="0.3"/>
    <row r="607" ht="14.4" x14ac:dyDescent="0.3"/>
    <row r="608" ht="14.4" x14ac:dyDescent="0.3"/>
    <row r="609" ht="14.4" x14ac:dyDescent="0.3"/>
    <row r="610" ht="14.4" x14ac:dyDescent="0.3"/>
    <row r="611" ht="14.4" x14ac:dyDescent="0.3"/>
    <row r="612" ht="14.4" x14ac:dyDescent="0.3"/>
    <row r="613" ht="14.4" x14ac:dyDescent="0.3"/>
    <row r="614" ht="14.4" x14ac:dyDescent="0.3"/>
    <row r="615" ht="14.4" x14ac:dyDescent="0.3"/>
    <row r="616" ht="14.4" x14ac:dyDescent="0.3"/>
    <row r="617" ht="14.4" x14ac:dyDescent="0.3"/>
    <row r="618" ht="14.4" x14ac:dyDescent="0.3"/>
    <row r="619" ht="14.4" x14ac:dyDescent="0.3"/>
    <row r="620" ht="14.4" x14ac:dyDescent="0.3"/>
    <row r="621" ht="14.4" x14ac:dyDescent="0.3"/>
    <row r="622" ht="14.4" x14ac:dyDescent="0.3"/>
    <row r="623" ht="14.4" x14ac:dyDescent="0.3"/>
    <row r="624" ht="14.4" x14ac:dyDescent="0.3"/>
    <row r="625" ht="14.4" x14ac:dyDescent="0.3"/>
    <row r="626" ht="14.4" x14ac:dyDescent="0.3"/>
    <row r="627" ht="14.4" x14ac:dyDescent="0.3"/>
    <row r="628" ht="14.4" x14ac:dyDescent="0.3"/>
    <row r="629" ht="14.4" x14ac:dyDescent="0.3"/>
    <row r="630" ht="14.4" x14ac:dyDescent="0.3"/>
    <row r="631" ht="14.4" x14ac:dyDescent="0.3"/>
    <row r="632" ht="14.4" x14ac:dyDescent="0.3"/>
    <row r="633" ht="14.4" x14ac:dyDescent="0.3"/>
    <row r="634" ht="14.4" x14ac:dyDescent="0.3"/>
    <row r="635" ht="14.4" x14ac:dyDescent="0.3"/>
    <row r="636" ht="14.4" x14ac:dyDescent="0.3"/>
    <row r="637" ht="14.4" x14ac:dyDescent="0.3"/>
    <row r="638" ht="14.4" x14ac:dyDescent="0.3"/>
    <row r="639" ht="14.4" x14ac:dyDescent="0.3"/>
    <row r="640" ht="14.4" x14ac:dyDescent="0.3"/>
    <row r="641" ht="14.4" x14ac:dyDescent="0.3"/>
    <row r="642" ht="14.4" x14ac:dyDescent="0.3"/>
    <row r="643" ht="14.4" x14ac:dyDescent="0.3"/>
    <row r="644" ht="14.4" x14ac:dyDescent="0.3"/>
    <row r="645" ht="14.4" x14ac:dyDescent="0.3"/>
    <row r="646" ht="14.4" x14ac:dyDescent="0.3"/>
    <row r="647" ht="14.4" x14ac:dyDescent="0.3"/>
    <row r="648" ht="14.4" x14ac:dyDescent="0.3"/>
    <row r="649" ht="14.4" x14ac:dyDescent="0.3"/>
    <row r="650" ht="14.4" x14ac:dyDescent="0.3"/>
    <row r="651" ht="14.4" x14ac:dyDescent="0.3"/>
    <row r="652" ht="14.4" x14ac:dyDescent="0.3"/>
    <row r="653" ht="14.4" x14ac:dyDescent="0.3"/>
    <row r="654" ht="14.4" x14ac:dyDescent="0.3"/>
    <row r="655" ht="14.4" x14ac:dyDescent="0.3"/>
    <row r="656" ht="14.4" x14ac:dyDescent="0.3"/>
    <row r="657" ht="14.4" x14ac:dyDescent="0.3"/>
    <row r="658" ht="14.4" x14ac:dyDescent="0.3"/>
    <row r="659" ht="14.4" x14ac:dyDescent="0.3"/>
    <row r="660" ht="14.4" x14ac:dyDescent="0.3"/>
    <row r="661" ht="14.4" x14ac:dyDescent="0.3"/>
    <row r="662" ht="14.4" x14ac:dyDescent="0.3"/>
    <row r="663" ht="14.4" x14ac:dyDescent="0.3"/>
    <row r="664" ht="14.4" x14ac:dyDescent="0.3"/>
    <row r="665" ht="14.4" x14ac:dyDescent="0.3"/>
    <row r="666" ht="14.4" x14ac:dyDescent="0.3"/>
    <row r="667" ht="14.4" x14ac:dyDescent="0.3"/>
    <row r="668" ht="14.4" x14ac:dyDescent="0.3"/>
    <row r="669" ht="14.4" x14ac:dyDescent="0.3"/>
    <row r="670" ht="14.4" x14ac:dyDescent="0.3"/>
    <row r="671" ht="14.4" x14ac:dyDescent="0.3"/>
    <row r="672" ht="14.4" x14ac:dyDescent="0.3"/>
    <row r="673" ht="14.4" x14ac:dyDescent="0.3"/>
    <row r="674" ht="14.4" x14ac:dyDescent="0.3"/>
    <row r="675" ht="14.4" x14ac:dyDescent="0.3"/>
    <row r="676" ht="14.4" x14ac:dyDescent="0.3"/>
    <row r="677" ht="14.4" x14ac:dyDescent="0.3"/>
    <row r="678" ht="14.4" x14ac:dyDescent="0.3"/>
    <row r="679" ht="14.4" x14ac:dyDescent="0.3"/>
    <row r="680" ht="14.4" x14ac:dyDescent="0.3"/>
    <row r="681" ht="14.4" x14ac:dyDescent="0.3"/>
    <row r="682" ht="14.4" x14ac:dyDescent="0.3"/>
    <row r="683" ht="14.4" x14ac:dyDescent="0.3"/>
    <row r="684" ht="14.4" x14ac:dyDescent="0.3"/>
    <row r="685" ht="14.4" x14ac:dyDescent="0.3"/>
    <row r="686" ht="14.4" x14ac:dyDescent="0.3"/>
    <row r="687" ht="14.4" x14ac:dyDescent="0.3"/>
    <row r="688" ht="14.4" x14ac:dyDescent="0.3"/>
    <row r="689" ht="14.4" x14ac:dyDescent="0.3"/>
    <row r="690" ht="14.4" x14ac:dyDescent="0.3"/>
    <row r="691" ht="14.4" x14ac:dyDescent="0.3"/>
    <row r="692" ht="14.4" x14ac:dyDescent="0.3"/>
    <row r="693" ht="14.4" x14ac:dyDescent="0.3"/>
    <row r="694" ht="14.4" x14ac:dyDescent="0.3"/>
    <row r="695" ht="14.4" x14ac:dyDescent="0.3"/>
    <row r="696" ht="14.4" x14ac:dyDescent="0.3"/>
    <row r="697" ht="14.4" x14ac:dyDescent="0.3"/>
    <row r="698" ht="14.4" x14ac:dyDescent="0.3"/>
    <row r="699" ht="14.4" x14ac:dyDescent="0.3"/>
    <row r="700" ht="14.4" x14ac:dyDescent="0.3"/>
    <row r="701" ht="14.4" x14ac:dyDescent="0.3"/>
    <row r="702" ht="14.4" x14ac:dyDescent="0.3"/>
    <row r="703" ht="14.4" x14ac:dyDescent="0.3"/>
    <row r="704" ht="14.4" x14ac:dyDescent="0.3"/>
    <row r="705" ht="14.4" x14ac:dyDescent="0.3"/>
    <row r="706" ht="14.4" x14ac:dyDescent="0.3"/>
    <row r="707" ht="14.4" x14ac:dyDescent="0.3"/>
    <row r="708" ht="14.4" x14ac:dyDescent="0.3"/>
    <row r="709" ht="14.4" x14ac:dyDescent="0.3"/>
    <row r="710" ht="14.4" x14ac:dyDescent="0.3"/>
    <row r="711" ht="14.4" x14ac:dyDescent="0.3"/>
    <row r="712" ht="14.4" x14ac:dyDescent="0.3"/>
    <row r="713" ht="14.4" x14ac:dyDescent="0.3"/>
    <row r="714" ht="14.4" x14ac:dyDescent="0.3"/>
    <row r="715" ht="14.4" x14ac:dyDescent="0.3"/>
    <row r="716" ht="14.4" x14ac:dyDescent="0.3"/>
    <row r="717" ht="14.4" x14ac:dyDescent="0.3"/>
    <row r="718" ht="14.4" x14ac:dyDescent="0.3"/>
    <row r="719" ht="14.4" x14ac:dyDescent="0.3"/>
    <row r="720" ht="14.4" x14ac:dyDescent="0.3"/>
    <row r="721" ht="14.4" x14ac:dyDescent="0.3"/>
    <row r="722" ht="14.4" x14ac:dyDescent="0.3"/>
    <row r="723" ht="14.4" x14ac:dyDescent="0.3"/>
    <row r="724" ht="14.4" x14ac:dyDescent="0.3"/>
    <row r="725" ht="14.4" x14ac:dyDescent="0.3"/>
    <row r="726" ht="14.4" x14ac:dyDescent="0.3"/>
    <row r="727" ht="14.4" x14ac:dyDescent="0.3"/>
    <row r="728" ht="14.4" x14ac:dyDescent="0.3"/>
    <row r="729" ht="14.4" x14ac:dyDescent="0.3"/>
    <row r="730" ht="14.4" x14ac:dyDescent="0.3"/>
    <row r="731" ht="14.4" x14ac:dyDescent="0.3"/>
    <row r="732" ht="14.4" x14ac:dyDescent="0.3"/>
    <row r="733" ht="14.4" x14ac:dyDescent="0.3"/>
    <row r="734" ht="14.4" x14ac:dyDescent="0.3"/>
    <row r="735" ht="14.4" x14ac:dyDescent="0.3"/>
    <row r="736" ht="14.4" x14ac:dyDescent="0.3"/>
    <row r="737" ht="14.4" x14ac:dyDescent="0.3"/>
    <row r="738" ht="14.4" x14ac:dyDescent="0.3"/>
    <row r="739" ht="14.4" x14ac:dyDescent="0.3"/>
    <row r="740" ht="14.4" x14ac:dyDescent="0.3"/>
    <row r="741" ht="14.4" x14ac:dyDescent="0.3"/>
    <row r="742" ht="14.4" x14ac:dyDescent="0.3"/>
    <row r="743" ht="14.4" x14ac:dyDescent="0.3"/>
    <row r="744" ht="14.4" x14ac:dyDescent="0.3"/>
    <row r="745" ht="14.4" x14ac:dyDescent="0.3"/>
    <row r="746" ht="14.4" x14ac:dyDescent="0.3"/>
    <row r="747" ht="14.4" x14ac:dyDescent="0.3"/>
    <row r="748" ht="14.4" x14ac:dyDescent="0.3"/>
    <row r="749" ht="14.4" x14ac:dyDescent="0.3"/>
    <row r="750" ht="14.4" x14ac:dyDescent="0.3"/>
    <row r="751" ht="14.4" x14ac:dyDescent="0.3"/>
    <row r="752" ht="14.4" x14ac:dyDescent="0.3"/>
    <row r="753" ht="14.4" x14ac:dyDescent="0.3"/>
    <row r="754" ht="14.4" x14ac:dyDescent="0.3"/>
    <row r="755" ht="14.4" x14ac:dyDescent="0.3"/>
    <row r="756" ht="14.4" x14ac:dyDescent="0.3"/>
    <row r="757" ht="14.4" x14ac:dyDescent="0.3"/>
    <row r="758" ht="14.4" x14ac:dyDescent="0.3"/>
    <row r="759" ht="14.4" x14ac:dyDescent="0.3"/>
    <row r="760" ht="14.4" x14ac:dyDescent="0.3"/>
    <row r="761" ht="14.4" x14ac:dyDescent="0.3"/>
    <row r="762" ht="14.4" x14ac:dyDescent="0.3"/>
    <row r="763" ht="14.4" x14ac:dyDescent="0.3"/>
    <row r="764" ht="14.4" x14ac:dyDescent="0.3"/>
    <row r="765" ht="14.4" x14ac:dyDescent="0.3"/>
    <row r="766" ht="14.4" x14ac:dyDescent="0.3"/>
    <row r="767" ht="14.4" x14ac:dyDescent="0.3"/>
    <row r="768" ht="14.4" x14ac:dyDescent="0.3"/>
    <row r="769" ht="14.4" x14ac:dyDescent="0.3"/>
    <row r="770" ht="14.4" x14ac:dyDescent="0.3"/>
    <row r="771" ht="14.4" x14ac:dyDescent="0.3"/>
    <row r="772" ht="14.4" x14ac:dyDescent="0.3"/>
    <row r="773" ht="14.4" x14ac:dyDescent="0.3"/>
    <row r="774" ht="14.4" x14ac:dyDescent="0.3"/>
    <row r="775" ht="14.4" x14ac:dyDescent="0.3"/>
    <row r="776" ht="14.4" x14ac:dyDescent="0.3"/>
    <row r="777" ht="14.4" x14ac:dyDescent="0.3"/>
    <row r="778" ht="14.4" x14ac:dyDescent="0.3"/>
    <row r="779" ht="14.4" x14ac:dyDescent="0.3"/>
    <row r="780" ht="14.4" x14ac:dyDescent="0.3"/>
    <row r="781" ht="14.4" x14ac:dyDescent="0.3"/>
    <row r="782" ht="14.4" x14ac:dyDescent="0.3"/>
    <row r="783" ht="14.4" x14ac:dyDescent="0.3"/>
    <row r="784" ht="14.4" x14ac:dyDescent="0.3"/>
    <row r="785" ht="14.4" x14ac:dyDescent="0.3"/>
    <row r="786" ht="14.4" x14ac:dyDescent="0.3"/>
    <row r="787" ht="14.4" x14ac:dyDescent="0.3"/>
    <row r="788" ht="14.4" x14ac:dyDescent="0.3"/>
    <row r="789" ht="14.4" x14ac:dyDescent="0.3"/>
    <row r="790" ht="14.4" x14ac:dyDescent="0.3"/>
    <row r="791" ht="14.4" x14ac:dyDescent="0.3"/>
    <row r="792" ht="14.4" x14ac:dyDescent="0.3"/>
    <row r="793" ht="14.4" x14ac:dyDescent="0.3"/>
    <row r="794" ht="14.4" x14ac:dyDescent="0.3"/>
    <row r="795" ht="14.4" x14ac:dyDescent="0.3"/>
    <row r="796" ht="14.4" x14ac:dyDescent="0.3"/>
    <row r="797" ht="14.4" x14ac:dyDescent="0.3"/>
    <row r="798" ht="14.4" x14ac:dyDescent="0.3"/>
    <row r="799" ht="14.4" x14ac:dyDescent="0.3"/>
    <row r="800" ht="14.4" x14ac:dyDescent="0.3"/>
    <row r="801" ht="14.4" x14ac:dyDescent="0.3"/>
    <row r="802" ht="14.4" x14ac:dyDescent="0.3"/>
    <row r="803" ht="14.4" x14ac:dyDescent="0.3"/>
    <row r="804" ht="14.4" x14ac:dyDescent="0.3"/>
    <row r="805" ht="14.4" x14ac:dyDescent="0.3"/>
    <row r="806" ht="14.4" x14ac:dyDescent="0.3"/>
    <row r="807" ht="14.4" x14ac:dyDescent="0.3"/>
    <row r="808" ht="14.4" x14ac:dyDescent="0.3"/>
    <row r="809" ht="14.4" x14ac:dyDescent="0.3"/>
    <row r="810" ht="14.4" x14ac:dyDescent="0.3"/>
    <row r="811" ht="14.4" x14ac:dyDescent="0.3"/>
    <row r="812" ht="14.4" x14ac:dyDescent="0.3"/>
    <row r="813" ht="14.4" x14ac:dyDescent="0.3"/>
    <row r="814" ht="14.4" x14ac:dyDescent="0.3"/>
    <row r="815" ht="14.4" x14ac:dyDescent="0.3"/>
    <row r="816" ht="14.4" x14ac:dyDescent="0.3"/>
    <row r="817" ht="14.4" x14ac:dyDescent="0.3"/>
    <row r="818" ht="14.4" x14ac:dyDescent="0.3"/>
    <row r="819" ht="14.4" x14ac:dyDescent="0.3"/>
    <row r="820" ht="14.4" x14ac:dyDescent="0.3"/>
    <row r="821" ht="14.4" x14ac:dyDescent="0.3"/>
    <row r="822" ht="14.4" x14ac:dyDescent="0.3"/>
    <row r="823" ht="14.4" x14ac:dyDescent="0.3"/>
    <row r="824" ht="14.4" x14ac:dyDescent="0.3"/>
    <row r="825" ht="14.4" x14ac:dyDescent="0.3"/>
    <row r="826" ht="14.4" x14ac:dyDescent="0.3"/>
    <row r="827" ht="14.4" x14ac:dyDescent="0.3"/>
    <row r="828" ht="14.4" x14ac:dyDescent="0.3"/>
    <row r="829" ht="14.4" x14ac:dyDescent="0.3"/>
    <row r="830" ht="14.4" x14ac:dyDescent="0.3"/>
    <row r="831" ht="14.4" x14ac:dyDescent="0.3"/>
    <row r="832" ht="14.4" x14ac:dyDescent="0.3"/>
    <row r="833" ht="14.4" x14ac:dyDescent="0.3"/>
    <row r="834" ht="14.4" x14ac:dyDescent="0.3"/>
    <row r="835" ht="14.4" x14ac:dyDescent="0.3"/>
    <row r="836" ht="14.4" x14ac:dyDescent="0.3"/>
    <row r="837" ht="14.4" x14ac:dyDescent="0.3"/>
    <row r="838" ht="14.4" x14ac:dyDescent="0.3"/>
    <row r="839" ht="14.4" x14ac:dyDescent="0.3"/>
    <row r="840" ht="14.4" x14ac:dyDescent="0.3"/>
    <row r="841" ht="14.4" x14ac:dyDescent="0.3"/>
    <row r="842" ht="14.4" x14ac:dyDescent="0.3"/>
    <row r="843" ht="14.4" x14ac:dyDescent="0.3"/>
    <row r="844" ht="14.4" x14ac:dyDescent="0.3"/>
    <row r="845" ht="14.4" x14ac:dyDescent="0.3"/>
    <row r="846" ht="14.4" x14ac:dyDescent="0.3"/>
    <row r="847" ht="14.4" x14ac:dyDescent="0.3"/>
    <row r="848" ht="14.4" x14ac:dyDescent="0.3"/>
    <row r="849" ht="14.4" x14ac:dyDescent="0.3"/>
    <row r="850" ht="14.4" x14ac:dyDescent="0.3"/>
    <row r="851" ht="14.4" x14ac:dyDescent="0.3"/>
    <row r="852" ht="14.4" x14ac:dyDescent="0.3"/>
    <row r="853" ht="14.4" x14ac:dyDescent="0.3"/>
    <row r="854" ht="14.4" x14ac:dyDescent="0.3"/>
    <row r="855" ht="14.4" x14ac:dyDescent="0.3"/>
    <row r="856" ht="14.4" x14ac:dyDescent="0.3"/>
    <row r="857" ht="14.4" x14ac:dyDescent="0.3"/>
    <row r="858" ht="14.4" x14ac:dyDescent="0.3"/>
    <row r="859" ht="14.4" x14ac:dyDescent="0.3"/>
    <row r="860" ht="14.4" x14ac:dyDescent="0.3"/>
    <row r="861" ht="14.4" x14ac:dyDescent="0.3"/>
    <row r="862" ht="14.4" x14ac:dyDescent="0.3"/>
    <row r="863" ht="14.4" x14ac:dyDescent="0.3"/>
    <row r="864" ht="14.4" x14ac:dyDescent="0.3"/>
    <row r="865" ht="14.4" x14ac:dyDescent="0.3"/>
    <row r="866" ht="14.4" x14ac:dyDescent="0.3"/>
    <row r="867" ht="14.4" x14ac:dyDescent="0.3"/>
    <row r="868" ht="14.4" x14ac:dyDescent="0.3"/>
    <row r="869" ht="14.4" x14ac:dyDescent="0.3"/>
    <row r="870" ht="14.4" x14ac:dyDescent="0.3"/>
    <row r="871" ht="14.4" x14ac:dyDescent="0.3"/>
    <row r="872" ht="14.4" x14ac:dyDescent="0.3"/>
    <row r="873" ht="14.4" x14ac:dyDescent="0.3"/>
    <row r="874" ht="14.4" x14ac:dyDescent="0.3"/>
    <row r="875" ht="14.4" x14ac:dyDescent="0.3"/>
    <row r="876" ht="14.4" x14ac:dyDescent="0.3"/>
    <row r="877" ht="14.4" x14ac:dyDescent="0.3"/>
    <row r="878" ht="14.4" x14ac:dyDescent="0.3"/>
    <row r="879" ht="14.4" x14ac:dyDescent="0.3"/>
    <row r="880" ht="14.4" x14ac:dyDescent="0.3"/>
    <row r="881" ht="14.4" x14ac:dyDescent="0.3"/>
    <row r="882" ht="14.4" x14ac:dyDescent="0.3"/>
    <row r="883" ht="14.4" x14ac:dyDescent="0.3"/>
    <row r="884" ht="14.4" x14ac:dyDescent="0.3"/>
    <row r="885" ht="14.4" x14ac:dyDescent="0.3"/>
    <row r="886" ht="14.4" x14ac:dyDescent="0.3"/>
    <row r="887" ht="14.4" x14ac:dyDescent="0.3"/>
    <row r="888" ht="14.4" x14ac:dyDescent="0.3"/>
    <row r="889" ht="14.4" x14ac:dyDescent="0.3"/>
    <row r="890" ht="14.4" x14ac:dyDescent="0.3"/>
    <row r="891" ht="14.4" x14ac:dyDescent="0.3"/>
    <row r="892" ht="14.4" x14ac:dyDescent="0.3"/>
    <row r="893" ht="14.4" x14ac:dyDescent="0.3"/>
    <row r="894" ht="14.4" x14ac:dyDescent="0.3"/>
    <row r="895" ht="14.4" x14ac:dyDescent="0.3"/>
    <row r="896" ht="14.4" x14ac:dyDescent="0.3"/>
    <row r="897" ht="14.4" x14ac:dyDescent="0.3"/>
    <row r="898" ht="14.4" x14ac:dyDescent="0.3"/>
    <row r="899" ht="14.4" x14ac:dyDescent="0.3"/>
    <row r="900" ht="14.4" x14ac:dyDescent="0.3"/>
    <row r="901" ht="14.4" x14ac:dyDescent="0.3"/>
    <row r="902" ht="14.4" x14ac:dyDescent="0.3"/>
    <row r="903" ht="14.4" x14ac:dyDescent="0.3"/>
    <row r="904" ht="14.4" x14ac:dyDescent="0.3"/>
    <row r="905" ht="14.4" x14ac:dyDescent="0.3"/>
    <row r="906" ht="14.4" x14ac:dyDescent="0.3"/>
    <row r="907" ht="14.4" x14ac:dyDescent="0.3"/>
    <row r="908" ht="14.4" x14ac:dyDescent="0.3"/>
    <row r="909" ht="14.4" x14ac:dyDescent="0.3"/>
    <row r="910" ht="14.4" x14ac:dyDescent="0.3"/>
    <row r="911" ht="14.4" x14ac:dyDescent="0.3"/>
    <row r="912" ht="14.4" x14ac:dyDescent="0.3"/>
    <row r="913" ht="14.4" x14ac:dyDescent="0.3"/>
    <row r="914" ht="14.4" x14ac:dyDescent="0.3"/>
    <row r="915" ht="14.4" x14ac:dyDescent="0.3"/>
    <row r="916" ht="14.4" x14ac:dyDescent="0.3"/>
    <row r="917" ht="14.4" x14ac:dyDescent="0.3"/>
    <row r="918" ht="14.4" x14ac:dyDescent="0.3"/>
    <row r="919" ht="14.4" x14ac:dyDescent="0.3"/>
    <row r="920" ht="14.4" x14ac:dyDescent="0.3"/>
    <row r="921" ht="14.4" x14ac:dyDescent="0.3"/>
    <row r="922" ht="14.4" x14ac:dyDescent="0.3"/>
    <row r="923" ht="14.4" x14ac:dyDescent="0.3"/>
    <row r="924" ht="14.4" x14ac:dyDescent="0.3"/>
    <row r="925" ht="14.4" x14ac:dyDescent="0.3"/>
    <row r="926" ht="14.4" x14ac:dyDescent="0.3"/>
    <row r="927" ht="14.4" x14ac:dyDescent="0.3"/>
    <row r="928" ht="14.4" x14ac:dyDescent="0.3"/>
    <row r="929" ht="14.4" x14ac:dyDescent="0.3"/>
    <row r="930" ht="14.4" x14ac:dyDescent="0.3"/>
    <row r="931" ht="14.4" x14ac:dyDescent="0.3"/>
    <row r="932" ht="14.4" x14ac:dyDescent="0.3"/>
    <row r="933" ht="14.4" x14ac:dyDescent="0.3"/>
    <row r="934" ht="14.4" x14ac:dyDescent="0.3"/>
    <row r="935" ht="14.4" x14ac:dyDescent="0.3"/>
    <row r="936" ht="14.4" x14ac:dyDescent="0.3"/>
    <row r="937" ht="14.4" x14ac:dyDescent="0.3"/>
    <row r="938" ht="14.4" x14ac:dyDescent="0.3"/>
    <row r="939" ht="14.4" x14ac:dyDescent="0.3"/>
    <row r="940" ht="14.4" x14ac:dyDescent="0.3"/>
    <row r="941" ht="14.4" x14ac:dyDescent="0.3"/>
    <row r="942" ht="14.4" x14ac:dyDescent="0.3"/>
    <row r="943" ht="14.4" x14ac:dyDescent="0.3"/>
    <row r="944" ht="14.4" x14ac:dyDescent="0.3"/>
    <row r="945" ht="14.4" x14ac:dyDescent="0.3"/>
    <row r="946" ht="14.4" x14ac:dyDescent="0.3"/>
    <row r="947" ht="14.4" x14ac:dyDescent="0.3"/>
    <row r="948" ht="14.4" x14ac:dyDescent="0.3"/>
    <row r="949" ht="14.4" x14ac:dyDescent="0.3"/>
    <row r="950" ht="14.4" x14ac:dyDescent="0.3"/>
    <row r="951" ht="14.4" x14ac:dyDescent="0.3"/>
    <row r="952" ht="14.4" x14ac:dyDescent="0.3"/>
    <row r="953" ht="14.4" x14ac:dyDescent="0.3"/>
    <row r="954" ht="14.4" x14ac:dyDescent="0.3"/>
    <row r="955" ht="14.4" x14ac:dyDescent="0.3"/>
    <row r="956" ht="14.4" x14ac:dyDescent="0.3"/>
    <row r="957" ht="14.4" x14ac:dyDescent="0.3"/>
    <row r="958" ht="14.4" x14ac:dyDescent="0.3"/>
    <row r="959" ht="14.4" x14ac:dyDescent="0.3"/>
    <row r="960" ht="14.4" x14ac:dyDescent="0.3"/>
    <row r="961" ht="14.4" x14ac:dyDescent="0.3"/>
    <row r="962" ht="14.4" x14ac:dyDescent="0.3"/>
    <row r="963" ht="14.4" x14ac:dyDescent="0.3"/>
    <row r="964" ht="14.4" x14ac:dyDescent="0.3"/>
    <row r="965" ht="14.4" x14ac:dyDescent="0.3"/>
    <row r="966" ht="14.4" x14ac:dyDescent="0.3"/>
    <row r="967" ht="14.4" x14ac:dyDescent="0.3"/>
    <row r="968" ht="14.4" x14ac:dyDescent="0.3"/>
    <row r="969" ht="14.4" x14ac:dyDescent="0.3"/>
    <row r="970" ht="14.4" x14ac:dyDescent="0.3"/>
    <row r="971" ht="14.4" x14ac:dyDescent="0.3"/>
    <row r="972" ht="14.4" x14ac:dyDescent="0.3"/>
    <row r="973" ht="14.4" x14ac:dyDescent="0.3"/>
    <row r="974" ht="14.4" x14ac:dyDescent="0.3"/>
    <row r="975" ht="14.4" x14ac:dyDescent="0.3"/>
    <row r="976" ht="14.4" x14ac:dyDescent="0.3"/>
    <row r="977" ht="14.4" x14ac:dyDescent="0.3"/>
    <row r="978" ht="14.4" x14ac:dyDescent="0.3"/>
    <row r="979" ht="14.4" x14ac:dyDescent="0.3"/>
    <row r="980" ht="14.4" x14ac:dyDescent="0.3"/>
    <row r="981" ht="14.4" x14ac:dyDescent="0.3"/>
    <row r="982" ht="14.4" x14ac:dyDescent="0.3"/>
    <row r="983" ht="14.4" x14ac:dyDescent="0.3"/>
    <row r="984" ht="14.4" x14ac:dyDescent="0.3"/>
    <row r="985" ht="14.4" x14ac:dyDescent="0.3"/>
    <row r="986" ht="14.4" x14ac:dyDescent="0.3"/>
    <row r="987" ht="14.4" x14ac:dyDescent="0.3"/>
    <row r="988" ht="14.4" x14ac:dyDescent="0.3"/>
    <row r="989" ht="14.4" x14ac:dyDescent="0.3"/>
    <row r="990" ht="14.4" x14ac:dyDescent="0.3"/>
    <row r="991" ht="14.4" x14ac:dyDescent="0.3"/>
    <row r="992" ht="14.4" x14ac:dyDescent="0.3"/>
    <row r="993" ht="14.4" x14ac:dyDescent="0.3"/>
    <row r="994" ht="14.4" x14ac:dyDescent="0.3"/>
    <row r="995" ht="14.4" x14ac:dyDescent="0.3"/>
    <row r="996" ht="14.4" x14ac:dyDescent="0.3"/>
    <row r="997" ht="14.4" x14ac:dyDescent="0.3"/>
    <row r="998" ht="14.4" x14ac:dyDescent="0.3"/>
    <row r="999" ht="14.4" x14ac:dyDescent="0.3"/>
    <row r="1000" ht="14.4" x14ac:dyDescent="0.3"/>
  </sheetData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7732B-19C1-4374-A158-EDB237ADC26B}">
  <sheetPr>
    <tabColor rgb="FF2F5496"/>
  </sheetPr>
  <dimension ref="A1:AG1000"/>
  <sheetViews>
    <sheetView workbookViewId="0"/>
  </sheetViews>
  <sheetFormatPr defaultColWidth="9.33203125" defaultRowHeight="15" customHeight="1" x14ac:dyDescent="0.3"/>
  <cols>
    <col min="1" max="1" width="26.5546875" customWidth="1"/>
    <col min="2" max="2" width="11.6640625" bestFit="1" customWidth="1"/>
  </cols>
  <sheetData>
    <row r="1" spans="1:33" ht="15" customHeight="1" x14ac:dyDescent="0.3">
      <c r="A1" t="s">
        <v>53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ht="15" customHeight="1" x14ac:dyDescent="0.3">
      <c r="A2" t="s">
        <v>54</v>
      </c>
      <c r="B2">
        <f>Calculation!$B$31</f>
        <v>4.1052124687857637E-6</v>
      </c>
      <c r="C2">
        <f>Calculation!$B$31</f>
        <v>4.1052124687857637E-6</v>
      </c>
      <c r="D2">
        <f>Calculation!$B$31</f>
        <v>4.1052124687857637E-6</v>
      </c>
      <c r="E2">
        <f>Calculation!$B$31</f>
        <v>4.1052124687857637E-6</v>
      </c>
      <c r="F2">
        <f>Calculation!$B$31</f>
        <v>4.1052124687857637E-6</v>
      </c>
      <c r="G2">
        <f>Calculation!$B$31</f>
        <v>4.1052124687857637E-6</v>
      </c>
      <c r="H2">
        <f>Calculation!$B$31</f>
        <v>4.1052124687857637E-6</v>
      </c>
      <c r="I2">
        <f>Calculation!$B$31</f>
        <v>4.1052124687857637E-6</v>
      </c>
      <c r="J2">
        <f>Calculation!$B$31</f>
        <v>4.1052124687857637E-6</v>
      </c>
      <c r="K2">
        <f>Calculation!$B$31</f>
        <v>4.1052124687857637E-6</v>
      </c>
      <c r="L2">
        <f>Calculation!$B$31</f>
        <v>4.1052124687857637E-6</v>
      </c>
      <c r="M2">
        <f>Calculation!$B$31</f>
        <v>4.1052124687857637E-6</v>
      </c>
      <c r="N2">
        <f>Calculation!$B$31</f>
        <v>4.1052124687857637E-6</v>
      </c>
      <c r="O2">
        <f>Calculation!$B$31</f>
        <v>4.1052124687857637E-6</v>
      </c>
      <c r="P2">
        <f>Calculation!$B$31</f>
        <v>4.1052124687857637E-6</v>
      </c>
      <c r="Q2">
        <f>Calculation!$B$31</f>
        <v>4.1052124687857637E-6</v>
      </c>
      <c r="R2">
        <f>Calculation!$B$31</f>
        <v>4.1052124687857637E-6</v>
      </c>
      <c r="S2">
        <f>Calculation!$B$31</f>
        <v>4.1052124687857637E-6</v>
      </c>
      <c r="T2">
        <f>Calculation!$B$31</f>
        <v>4.1052124687857637E-6</v>
      </c>
      <c r="U2">
        <f>Calculation!$B$31</f>
        <v>4.1052124687857637E-6</v>
      </c>
      <c r="V2">
        <f>Calculation!$B$31</f>
        <v>4.1052124687857637E-6</v>
      </c>
      <c r="W2">
        <f>Calculation!$B$31</f>
        <v>4.1052124687857637E-6</v>
      </c>
      <c r="X2">
        <f>Calculation!$B$31</f>
        <v>4.1052124687857637E-6</v>
      </c>
      <c r="Y2">
        <f>Calculation!$B$31</f>
        <v>4.1052124687857637E-6</v>
      </c>
      <c r="Z2">
        <f>Calculation!$B$31</f>
        <v>4.1052124687857637E-6</v>
      </c>
      <c r="AA2">
        <f>Calculation!$B$31</f>
        <v>4.1052124687857637E-6</v>
      </c>
      <c r="AB2">
        <f>Calculation!$B$31</f>
        <v>4.1052124687857637E-6</v>
      </c>
      <c r="AC2">
        <f>Calculation!$B$31</f>
        <v>4.1052124687857637E-6</v>
      </c>
      <c r="AD2">
        <f>Calculation!$B$31</f>
        <v>4.1052124687857637E-6</v>
      </c>
      <c r="AE2">
        <f>Calculation!$B$31</f>
        <v>4.1052124687857637E-6</v>
      </c>
      <c r="AF2">
        <f>Calculation!$B$31</f>
        <v>4.1052124687857637E-6</v>
      </c>
      <c r="AG2">
        <f>Calculation!$B$31</f>
        <v>4.1052124687857637E-6</v>
      </c>
    </row>
    <row r="3" spans="1:33" ht="15" customHeight="1" x14ac:dyDescent="0.3">
      <c r="A3" t="s">
        <v>55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</row>
    <row r="4" spans="1:33" ht="15" customHeight="1" x14ac:dyDescent="0.3">
      <c r="A4" t="s">
        <v>56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</row>
    <row r="5" spans="1:33" ht="15" customHeight="1" x14ac:dyDescent="0.3">
      <c r="A5" t="s">
        <v>57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ht="15" customHeight="1" x14ac:dyDescent="0.3">
      <c r="A6" t="s">
        <v>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ht="15" customHeight="1" x14ac:dyDescent="0.3">
      <c r="A7" t="s">
        <v>59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ht="15" customHeight="1" x14ac:dyDescent="0.3">
      <c r="A8" t="s">
        <v>60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ht="15" customHeight="1" x14ac:dyDescent="0.3">
      <c r="A9" t="s">
        <v>61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ht="15" customHeight="1" x14ac:dyDescent="0.3">
      <c r="A10" t="s">
        <v>62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</row>
    <row r="11" spans="1:33" ht="15" customHeight="1" x14ac:dyDescent="0.3">
      <c r="A11" t="s">
        <v>63</v>
      </c>
      <c r="B11" s="12">
        <f>Calculation!$B$13</f>
        <v>8.1337630999305873E-7</v>
      </c>
      <c r="C11" s="12">
        <f>Calculation!$B$13</f>
        <v>8.1337630999305873E-7</v>
      </c>
      <c r="D11" s="12">
        <f>Calculation!$B$13</f>
        <v>8.1337630999305873E-7</v>
      </c>
      <c r="E11" s="12">
        <f>Calculation!$B$13</f>
        <v>8.1337630999305873E-7</v>
      </c>
      <c r="F11" s="12">
        <f>Calculation!$B$13</f>
        <v>8.1337630999305873E-7</v>
      </c>
      <c r="G11" s="12">
        <f>Calculation!$B$13</f>
        <v>8.1337630999305873E-7</v>
      </c>
      <c r="H11" s="12">
        <f>Calculation!$B$13</f>
        <v>8.1337630999305873E-7</v>
      </c>
      <c r="I11" s="12">
        <f>Calculation!$B$13</f>
        <v>8.1337630999305873E-7</v>
      </c>
      <c r="J11" s="12">
        <f>Calculation!$B$13</f>
        <v>8.1337630999305873E-7</v>
      </c>
      <c r="K11" s="12">
        <f>Calculation!$B$13</f>
        <v>8.1337630999305873E-7</v>
      </c>
      <c r="L11" s="12">
        <f>Calculation!$B$13</f>
        <v>8.1337630999305873E-7</v>
      </c>
      <c r="M11" s="12">
        <f>Calculation!$B$13</f>
        <v>8.1337630999305873E-7</v>
      </c>
      <c r="N11" s="12">
        <f>Calculation!$B$13</f>
        <v>8.1337630999305873E-7</v>
      </c>
      <c r="O11" s="12">
        <f>Calculation!$B$13</f>
        <v>8.1337630999305873E-7</v>
      </c>
      <c r="P11" s="12">
        <f>Calculation!$B$13</f>
        <v>8.1337630999305873E-7</v>
      </c>
      <c r="Q11" s="12">
        <f>Calculation!$B$13</f>
        <v>8.1337630999305873E-7</v>
      </c>
      <c r="R11" s="12">
        <f>Calculation!$B$13</f>
        <v>8.1337630999305873E-7</v>
      </c>
      <c r="S11" s="12">
        <f>Calculation!$B$13</f>
        <v>8.1337630999305873E-7</v>
      </c>
      <c r="T11" s="12">
        <f>Calculation!$B$13</f>
        <v>8.1337630999305873E-7</v>
      </c>
      <c r="U11" s="12">
        <f>Calculation!$B$13</f>
        <v>8.1337630999305873E-7</v>
      </c>
      <c r="V11" s="12">
        <f>Calculation!$B$13</f>
        <v>8.1337630999305873E-7</v>
      </c>
      <c r="W11" s="12">
        <f>Calculation!$B$13</f>
        <v>8.1337630999305873E-7</v>
      </c>
      <c r="X11" s="12">
        <f>Calculation!$B$13</f>
        <v>8.1337630999305873E-7</v>
      </c>
      <c r="Y11" s="12">
        <f>Calculation!$B$13</f>
        <v>8.1337630999305873E-7</v>
      </c>
      <c r="Z11" s="12">
        <f>Calculation!$B$13</f>
        <v>8.1337630999305873E-7</v>
      </c>
      <c r="AA11" s="12">
        <f>Calculation!$B$13</f>
        <v>8.1337630999305873E-7</v>
      </c>
      <c r="AB11" s="12">
        <f>Calculation!$B$13</f>
        <v>8.1337630999305873E-7</v>
      </c>
      <c r="AC11" s="12">
        <f>Calculation!$B$13</f>
        <v>8.1337630999305873E-7</v>
      </c>
      <c r="AD11" s="12">
        <f>Calculation!$B$13</f>
        <v>8.1337630999305873E-7</v>
      </c>
      <c r="AE11" s="12">
        <f>Calculation!$B$13</f>
        <v>8.1337630999305873E-7</v>
      </c>
      <c r="AF11" s="12">
        <f>Calculation!$B$13</f>
        <v>8.1337630999305873E-7</v>
      </c>
      <c r="AG11" s="12">
        <f>Calculation!$B$13</f>
        <v>8.1337630999305873E-7</v>
      </c>
    </row>
    <row r="12" spans="1:33" ht="15" customHeight="1" x14ac:dyDescent="0.3">
      <c r="A12" t="s">
        <v>64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ht="15" customHeight="1" x14ac:dyDescent="0.3">
      <c r="A13" t="s">
        <v>65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ht="15" customHeight="1" x14ac:dyDescent="0.3">
      <c r="A14" t="s">
        <v>66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</row>
    <row r="15" spans="1:33" ht="15" customHeight="1" x14ac:dyDescent="0.3">
      <c r="A15" t="s">
        <v>67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ht="15" customHeight="1" x14ac:dyDescent="0.3">
      <c r="A16" t="s">
        <v>68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ht="15" customHeight="1" x14ac:dyDescent="0.3">
      <c r="A17" t="s">
        <v>69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</row>
    <row r="18" spans="1:33" ht="15" customHeight="1" x14ac:dyDescent="0.3">
      <c r="A18" t="s">
        <v>70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</row>
    <row r="19" spans="1:33" ht="15" customHeight="1" x14ac:dyDescent="0.3">
      <c r="A19" t="s">
        <v>71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</row>
    <row r="20" spans="1:33" ht="15" customHeight="1" x14ac:dyDescent="0.3">
      <c r="A20" t="s">
        <v>72</v>
      </c>
      <c r="B20">
        <f>Calculation!$B$22</f>
        <v>1.0144521749493104E-5</v>
      </c>
      <c r="C20">
        <f>Calculation!$B$22</f>
        <v>1.0144521749493104E-5</v>
      </c>
      <c r="D20">
        <f>Calculation!$B$22</f>
        <v>1.0144521749493104E-5</v>
      </c>
      <c r="E20">
        <f>Calculation!$B$22</f>
        <v>1.0144521749493104E-5</v>
      </c>
      <c r="F20">
        <f>Calculation!$B$22</f>
        <v>1.0144521749493104E-5</v>
      </c>
      <c r="G20">
        <f>Calculation!$B$22</f>
        <v>1.0144521749493104E-5</v>
      </c>
      <c r="H20">
        <f>Calculation!$B$22</f>
        <v>1.0144521749493104E-5</v>
      </c>
      <c r="I20">
        <f>Calculation!$B$22</f>
        <v>1.0144521749493104E-5</v>
      </c>
      <c r="J20">
        <f>Calculation!$B$22</f>
        <v>1.0144521749493104E-5</v>
      </c>
      <c r="K20">
        <f>Calculation!$B$22</f>
        <v>1.0144521749493104E-5</v>
      </c>
      <c r="L20">
        <f>Calculation!$B$22</f>
        <v>1.0144521749493104E-5</v>
      </c>
      <c r="M20">
        <f>Calculation!$B$22</f>
        <v>1.0144521749493104E-5</v>
      </c>
      <c r="N20">
        <f>Calculation!$B$22</f>
        <v>1.0144521749493104E-5</v>
      </c>
      <c r="O20">
        <f>Calculation!$B$22</f>
        <v>1.0144521749493104E-5</v>
      </c>
      <c r="P20">
        <f>Calculation!$B$22</f>
        <v>1.0144521749493104E-5</v>
      </c>
      <c r="Q20">
        <f>Calculation!$B$22</f>
        <v>1.0144521749493104E-5</v>
      </c>
      <c r="R20">
        <f>Calculation!$B$22</f>
        <v>1.0144521749493104E-5</v>
      </c>
      <c r="S20">
        <f>Calculation!$B$22</f>
        <v>1.0144521749493104E-5</v>
      </c>
      <c r="T20">
        <f>Calculation!$B$22</f>
        <v>1.0144521749493104E-5</v>
      </c>
      <c r="U20">
        <f>Calculation!$B$22</f>
        <v>1.0144521749493104E-5</v>
      </c>
      <c r="V20">
        <f>Calculation!$B$22</f>
        <v>1.0144521749493104E-5</v>
      </c>
      <c r="W20">
        <f>Calculation!$B$22</f>
        <v>1.0144521749493104E-5</v>
      </c>
      <c r="X20">
        <f>Calculation!$B$22</f>
        <v>1.0144521749493104E-5</v>
      </c>
      <c r="Y20">
        <f>Calculation!$B$22</f>
        <v>1.0144521749493104E-5</v>
      </c>
      <c r="Z20">
        <f>Calculation!$B$22</f>
        <v>1.0144521749493104E-5</v>
      </c>
      <c r="AA20">
        <f>Calculation!$B$22</f>
        <v>1.0144521749493104E-5</v>
      </c>
      <c r="AB20">
        <f>Calculation!$B$22</f>
        <v>1.0144521749493104E-5</v>
      </c>
      <c r="AC20">
        <f>Calculation!$B$22</f>
        <v>1.0144521749493104E-5</v>
      </c>
      <c r="AD20">
        <f>Calculation!$B$22</f>
        <v>1.0144521749493104E-5</v>
      </c>
      <c r="AE20">
        <f>Calculation!$B$22</f>
        <v>1.0144521749493104E-5</v>
      </c>
      <c r="AF20">
        <f>Calculation!$B$22</f>
        <v>1.0144521749493104E-5</v>
      </c>
      <c r="AG20">
        <f>Calculation!$B$22</f>
        <v>1.0144521749493104E-5</v>
      </c>
    </row>
    <row r="21" spans="1:33" ht="15" customHeight="1" x14ac:dyDescent="0.3">
      <c r="A21" t="s">
        <v>73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 ht="15" customHeight="1" x14ac:dyDescent="0.3">
      <c r="A22" s="13" t="s">
        <v>74</v>
      </c>
      <c r="B22">
        <v>0</v>
      </c>
      <c r="C2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52" ht="14.4" x14ac:dyDescent="0.3"/>
    <row r="53" ht="14.4" x14ac:dyDescent="0.3"/>
    <row r="54" ht="14.4" x14ac:dyDescent="0.3"/>
    <row r="55" ht="14.4" x14ac:dyDescent="0.3"/>
    <row r="56" ht="14.4" x14ac:dyDescent="0.3"/>
    <row r="57" ht="14.4" x14ac:dyDescent="0.3"/>
    <row r="58" ht="14.4" x14ac:dyDescent="0.3"/>
    <row r="59" ht="14.4" x14ac:dyDescent="0.3"/>
    <row r="60" ht="14.4" x14ac:dyDescent="0.3"/>
    <row r="61" ht="14.4" x14ac:dyDescent="0.3"/>
    <row r="62" ht="14.4" x14ac:dyDescent="0.3"/>
    <row r="63" ht="14.4" x14ac:dyDescent="0.3"/>
    <row r="64" ht="14.4" x14ac:dyDescent="0.3"/>
    <row r="65" ht="14.4" x14ac:dyDescent="0.3"/>
    <row r="66" ht="14.4" x14ac:dyDescent="0.3"/>
    <row r="67" ht="14.4" x14ac:dyDescent="0.3"/>
    <row r="68" ht="14.4" x14ac:dyDescent="0.3"/>
    <row r="69" ht="14.4" x14ac:dyDescent="0.3"/>
    <row r="70" ht="14.4" x14ac:dyDescent="0.3"/>
    <row r="71" ht="14.4" x14ac:dyDescent="0.3"/>
    <row r="72" ht="14.4" x14ac:dyDescent="0.3"/>
    <row r="73" ht="14.4" x14ac:dyDescent="0.3"/>
    <row r="74" ht="14.4" x14ac:dyDescent="0.3"/>
    <row r="75" ht="14.4" x14ac:dyDescent="0.3"/>
    <row r="76" ht="14.4" x14ac:dyDescent="0.3"/>
    <row r="77" ht="14.4" x14ac:dyDescent="0.3"/>
    <row r="78" ht="14.4" x14ac:dyDescent="0.3"/>
    <row r="79" ht="14.4" x14ac:dyDescent="0.3"/>
    <row r="80" ht="14.4" x14ac:dyDescent="0.3"/>
    <row r="81" ht="14.4" x14ac:dyDescent="0.3"/>
    <row r="82" ht="14.4" x14ac:dyDescent="0.3"/>
    <row r="83" ht="14.4" x14ac:dyDescent="0.3"/>
    <row r="84" ht="14.4" x14ac:dyDescent="0.3"/>
    <row r="85" ht="14.4" x14ac:dyDescent="0.3"/>
    <row r="86" ht="14.4" x14ac:dyDescent="0.3"/>
    <row r="87" ht="14.4" x14ac:dyDescent="0.3"/>
    <row r="88" ht="14.4" x14ac:dyDescent="0.3"/>
    <row r="89" ht="14.4" x14ac:dyDescent="0.3"/>
    <row r="90" ht="14.4" x14ac:dyDescent="0.3"/>
    <row r="91" ht="14.4" x14ac:dyDescent="0.3"/>
    <row r="92" ht="14.4" x14ac:dyDescent="0.3"/>
    <row r="93" ht="14.4" x14ac:dyDescent="0.3"/>
    <row r="94" ht="14.4" x14ac:dyDescent="0.3"/>
    <row r="95" ht="14.4" x14ac:dyDescent="0.3"/>
    <row r="96" ht="14.4" x14ac:dyDescent="0.3"/>
    <row r="97" ht="14.4" x14ac:dyDescent="0.3"/>
    <row r="98" ht="14.4" x14ac:dyDescent="0.3"/>
    <row r="99" ht="14.4" x14ac:dyDescent="0.3"/>
    <row r="100" ht="14.4" x14ac:dyDescent="0.3"/>
    <row r="101" ht="14.4" x14ac:dyDescent="0.3"/>
    <row r="102" ht="14.4" x14ac:dyDescent="0.3"/>
    <row r="103" ht="14.4" x14ac:dyDescent="0.3"/>
    <row r="104" ht="14.4" x14ac:dyDescent="0.3"/>
    <row r="105" ht="14.4" x14ac:dyDescent="0.3"/>
    <row r="106" ht="14.4" x14ac:dyDescent="0.3"/>
    <row r="107" ht="14.4" x14ac:dyDescent="0.3"/>
    <row r="108" ht="14.4" x14ac:dyDescent="0.3"/>
    <row r="109" ht="14.4" x14ac:dyDescent="0.3"/>
    <row r="110" ht="14.4" x14ac:dyDescent="0.3"/>
    <row r="111" ht="14.4" x14ac:dyDescent="0.3"/>
    <row r="112" ht="14.4" x14ac:dyDescent="0.3"/>
    <row r="113" ht="14.4" x14ac:dyDescent="0.3"/>
    <row r="114" ht="14.4" x14ac:dyDescent="0.3"/>
    <row r="115" ht="14.4" x14ac:dyDescent="0.3"/>
    <row r="116" ht="14.4" x14ac:dyDescent="0.3"/>
    <row r="117" ht="14.4" x14ac:dyDescent="0.3"/>
    <row r="118" ht="14.4" x14ac:dyDescent="0.3"/>
    <row r="119" ht="14.4" x14ac:dyDescent="0.3"/>
    <row r="120" ht="14.4" x14ac:dyDescent="0.3"/>
    <row r="121" ht="14.4" x14ac:dyDescent="0.3"/>
    <row r="122" ht="14.4" x14ac:dyDescent="0.3"/>
    <row r="123" ht="14.4" x14ac:dyDescent="0.3"/>
    <row r="124" ht="14.4" x14ac:dyDescent="0.3"/>
    <row r="125" ht="14.4" x14ac:dyDescent="0.3"/>
    <row r="126" ht="14.4" x14ac:dyDescent="0.3"/>
    <row r="127" ht="14.4" x14ac:dyDescent="0.3"/>
    <row r="128" ht="14.4" x14ac:dyDescent="0.3"/>
    <row r="129" ht="14.4" x14ac:dyDescent="0.3"/>
    <row r="130" ht="14.4" x14ac:dyDescent="0.3"/>
    <row r="131" ht="14.4" x14ac:dyDescent="0.3"/>
    <row r="132" ht="14.4" x14ac:dyDescent="0.3"/>
    <row r="133" ht="14.4" x14ac:dyDescent="0.3"/>
    <row r="134" ht="14.4" x14ac:dyDescent="0.3"/>
    <row r="135" ht="14.4" x14ac:dyDescent="0.3"/>
    <row r="136" ht="14.4" x14ac:dyDescent="0.3"/>
    <row r="137" ht="14.4" x14ac:dyDescent="0.3"/>
    <row r="138" ht="14.4" x14ac:dyDescent="0.3"/>
    <row r="139" ht="14.4" x14ac:dyDescent="0.3"/>
    <row r="140" ht="14.4" x14ac:dyDescent="0.3"/>
    <row r="141" ht="14.4" x14ac:dyDescent="0.3"/>
    <row r="142" ht="14.4" x14ac:dyDescent="0.3"/>
    <row r="143" ht="14.4" x14ac:dyDescent="0.3"/>
    <row r="144" ht="14.4" x14ac:dyDescent="0.3"/>
    <row r="145" ht="14.4" x14ac:dyDescent="0.3"/>
    <row r="146" ht="14.4" x14ac:dyDescent="0.3"/>
    <row r="147" ht="14.4" x14ac:dyDescent="0.3"/>
    <row r="148" ht="14.4" x14ac:dyDescent="0.3"/>
    <row r="149" ht="14.4" x14ac:dyDescent="0.3"/>
    <row r="150" ht="14.4" x14ac:dyDescent="0.3"/>
    <row r="151" ht="14.4" x14ac:dyDescent="0.3"/>
    <row r="152" ht="14.4" x14ac:dyDescent="0.3"/>
    <row r="153" ht="14.4" x14ac:dyDescent="0.3"/>
    <row r="154" ht="14.4" x14ac:dyDescent="0.3"/>
    <row r="155" ht="14.4" x14ac:dyDescent="0.3"/>
    <row r="156" ht="14.4" x14ac:dyDescent="0.3"/>
    <row r="157" ht="14.4" x14ac:dyDescent="0.3"/>
    <row r="158" ht="14.4" x14ac:dyDescent="0.3"/>
    <row r="159" ht="14.4" x14ac:dyDescent="0.3"/>
    <row r="160" ht="14.4" x14ac:dyDescent="0.3"/>
    <row r="161" ht="14.4" x14ac:dyDescent="0.3"/>
    <row r="162" ht="14.4" x14ac:dyDescent="0.3"/>
    <row r="163" ht="14.4" x14ac:dyDescent="0.3"/>
    <row r="164" ht="14.4" x14ac:dyDescent="0.3"/>
    <row r="165" ht="14.4" x14ac:dyDescent="0.3"/>
    <row r="166" ht="14.4" x14ac:dyDescent="0.3"/>
    <row r="167" ht="14.4" x14ac:dyDescent="0.3"/>
    <row r="168" ht="14.4" x14ac:dyDescent="0.3"/>
    <row r="169" ht="14.4" x14ac:dyDescent="0.3"/>
    <row r="170" ht="14.4" x14ac:dyDescent="0.3"/>
    <row r="171" ht="14.4" x14ac:dyDescent="0.3"/>
    <row r="172" ht="14.4" x14ac:dyDescent="0.3"/>
    <row r="173" ht="14.4" x14ac:dyDescent="0.3"/>
    <row r="174" ht="14.4" x14ac:dyDescent="0.3"/>
    <row r="175" ht="14.4" x14ac:dyDescent="0.3"/>
    <row r="176" ht="14.4" x14ac:dyDescent="0.3"/>
    <row r="177" ht="14.4" x14ac:dyDescent="0.3"/>
    <row r="178" ht="14.4" x14ac:dyDescent="0.3"/>
    <row r="179" ht="14.4" x14ac:dyDescent="0.3"/>
    <row r="180" ht="14.4" x14ac:dyDescent="0.3"/>
    <row r="181" ht="14.4" x14ac:dyDescent="0.3"/>
    <row r="182" ht="14.4" x14ac:dyDescent="0.3"/>
    <row r="183" ht="14.4" x14ac:dyDescent="0.3"/>
    <row r="184" ht="14.4" x14ac:dyDescent="0.3"/>
    <row r="185" ht="14.4" x14ac:dyDescent="0.3"/>
    <row r="186" ht="14.4" x14ac:dyDescent="0.3"/>
    <row r="187" ht="14.4" x14ac:dyDescent="0.3"/>
    <row r="188" ht="14.4" x14ac:dyDescent="0.3"/>
    <row r="189" ht="14.4" x14ac:dyDescent="0.3"/>
    <row r="190" ht="14.4" x14ac:dyDescent="0.3"/>
    <row r="191" ht="14.4" x14ac:dyDescent="0.3"/>
    <row r="192" ht="14.4" x14ac:dyDescent="0.3"/>
    <row r="193" ht="14.4" x14ac:dyDescent="0.3"/>
    <row r="194" ht="14.4" x14ac:dyDescent="0.3"/>
    <row r="195" ht="14.4" x14ac:dyDescent="0.3"/>
    <row r="196" ht="14.4" x14ac:dyDescent="0.3"/>
    <row r="197" ht="14.4" x14ac:dyDescent="0.3"/>
    <row r="198" ht="14.4" x14ac:dyDescent="0.3"/>
    <row r="199" ht="14.4" x14ac:dyDescent="0.3"/>
    <row r="200" ht="14.4" x14ac:dyDescent="0.3"/>
    <row r="201" ht="14.4" x14ac:dyDescent="0.3"/>
    <row r="202" ht="14.4" x14ac:dyDescent="0.3"/>
    <row r="203" ht="14.4" x14ac:dyDescent="0.3"/>
    <row r="204" ht="14.4" x14ac:dyDescent="0.3"/>
    <row r="205" ht="14.4" x14ac:dyDescent="0.3"/>
    <row r="206" ht="14.4" x14ac:dyDescent="0.3"/>
    <row r="207" ht="14.4" x14ac:dyDescent="0.3"/>
    <row r="208" ht="14.4" x14ac:dyDescent="0.3"/>
    <row r="209" ht="14.4" x14ac:dyDescent="0.3"/>
    <row r="210" ht="14.4" x14ac:dyDescent="0.3"/>
    <row r="211" ht="14.4" x14ac:dyDescent="0.3"/>
    <row r="212" ht="14.4" x14ac:dyDescent="0.3"/>
    <row r="213" ht="14.4" x14ac:dyDescent="0.3"/>
    <row r="214" ht="14.4" x14ac:dyDescent="0.3"/>
    <row r="215" ht="14.4" x14ac:dyDescent="0.3"/>
    <row r="216" ht="14.4" x14ac:dyDescent="0.3"/>
    <row r="217" ht="14.4" x14ac:dyDescent="0.3"/>
    <row r="218" ht="14.4" x14ac:dyDescent="0.3"/>
    <row r="219" ht="14.4" x14ac:dyDescent="0.3"/>
    <row r="220" ht="14.4" x14ac:dyDescent="0.3"/>
    <row r="221" ht="14.4" x14ac:dyDescent="0.3"/>
    <row r="222" ht="14.4" x14ac:dyDescent="0.3"/>
    <row r="223" ht="14.4" x14ac:dyDescent="0.3"/>
    <row r="224" ht="14.4" x14ac:dyDescent="0.3"/>
    <row r="225" ht="14.4" x14ac:dyDescent="0.3"/>
    <row r="226" ht="14.4" x14ac:dyDescent="0.3"/>
    <row r="227" ht="14.4" x14ac:dyDescent="0.3"/>
    <row r="228" ht="14.4" x14ac:dyDescent="0.3"/>
    <row r="229" ht="14.4" x14ac:dyDescent="0.3"/>
    <row r="230" ht="14.4" x14ac:dyDescent="0.3"/>
    <row r="231" ht="14.4" x14ac:dyDescent="0.3"/>
    <row r="232" ht="14.4" x14ac:dyDescent="0.3"/>
    <row r="233" ht="14.4" x14ac:dyDescent="0.3"/>
    <row r="234" ht="14.4" x14ac:dyDescent="0.3"/>
    <row r="235" ht="14.4" x14ac:dyDescent="0.3"/>
    <row r="236" ht="14.4" x14ac:dyDescent="0.3"/>
    <row r="237" ht="14.4" x14ac:dyDescent="0.3"/>
    <row r="238" ht="14.4" x14ac:dyDescent="0.3"/>
    <row r="239" ht="14.4" x14ac:dyDescent="0.3"/>
    <row r="240" ht="14.4" x14ac:dyDescent="0.3"/>
    <row r="241" ht="14.4" x14ac:dyDescent="0.3"/>
    <row r="242" ht="14.4" x14ac:dyDescent="0.3"/>
    <row r="243" ht="14.4" x14ac:dyDescent="0.3"/>
    <row r="244" ht="14.4" x14ac:dyDescent="0.3"/>
    <row r="245" ht="14.4" x14ac:dyDescent="0.3"/>
    <row r="246" ht="14.4" x14ac:dyDescent="0.3"/>
    <row r="247" ht="14.4" x14ac:dyDescent="0.3"/>
    <row r="248" ht="14.4" x14ac:dyDescent="0.3"/>
    <row r="249" ht="14.4" x14ac:dyDescent="0.3"/>
    <row r="250" ht="14.4" x14ac:dyDescent="0.3"/>
    <row r="251" ht="14.4" x14ac:dyDescent="0.3"/>
    <row r="252" ht="14.4" x14ac:dyDescent="0.3"/>
    <row r="253" ht="14.4" x14ac:dyDescent="0.3"/>
    <row r="254" ht="14.4" x14ac:dyDescent="0.3"/>
    <row r="255" ht="14.4" x14ac:dyDescent="0.3"/>
    <row r="256" ht="14.4" x14ac:dyDescent="0.3"/>
    <row r="257" ht="14.4" x14ac:dyDescent="0.3"/>
    <row r="258" ht="14.4" x14ac:dyDescent="0.3"/>
    <row r="259" ht="14.4" x14ac:dyDescent="0.3"/>
    <row r="260" ht="14.4" x14ac:dyDescent="0.3"/>
    <row r="261" ht="14.4" x14ac:dyDescent="0.3"/>
    <row r="262" ht="14.4" x14ac:dyDescent="0.3"/>
    <row r="263" ht="14.4" x14ac:dyDescent="0.3"/>
    <row r="264" ht="14.4" x14ac:dyDescent="0.3"/>
    <row r="265" ht="14.4" x14ac:dyDescent="0.3"/>
    <row r="266" ht="14.4" x14ac:dyDescent="0.3"/>
    <row r="267" ht="14.4" x14ac:dyDescent="0.3"/>
    <row r="268" ht="14.4" x14ac:dyDescent="0.3"/>
    <row r="269" ht="14.4" x14ac:dyDescent="0.3"/>
    <row r="270" ht="14.4" x14ac:dyDescent="0.3"/>
    <row r="271" ht="14.4" x14ac:dyDescent="0.3"/>
    <row r="272" ht="14.4" x14ac:dyDescent="0.3"/>
    <row r="273" ht="14.4" x14ac:dyDescent="0.3"/>
    <row r="274" ht="14.4" x14ac:dyDescent="0.3"/>
    <row r="275" ht="14.4" x14ac:dyDescent="0.3"/>
    <row r="276" ht="14.4" x14ac:dyDescent="0.3"/>
    <row r="277" ht="14.4" x14ac:dyDescent="0.3"/>
    <row r="278" ht="14.4" x14ac:dyDescent="0.3"/>
    <row r="279" ht="14.4" x14ac:dyDescent="0.3"/>
    <row r="280" ht="14.4" x14ac:dyDescent="0.3"/>
    <row r="281" ht="14.4" x14ac:dyDescent="0.3"/>
    <row r="282" ht="14.4" x14ac:dyDescent="0.3"/>
    <row r="283" ht="14.4" x14ac:dyDescent="0.3"/>
    <row r="284" ht="14.4" x14ac:dyDescent="0.3"/>
    <row r="285" ht="14.4" x14ac:dyDescent="0.3"/>
    <row r="286" ht="14.4" x14ac:dyDescent="0.3"/>
    <row r="287" ht="14.4" x14ac:dyDescent="0.3"/>
    <row r="288" ht="14.4" x14ac:dyDescent="0.3"/>
    <row r="289" ht="14.4" x14ac:dyDescent="0.3"/>
    <row r="290" ht="14.4" x14ac:dyDescent="0.3"/>
    <row r="291" ht="14.4" x14ac:dyDescent="0.3"/>
    <row r="292" ht="14.4" x14ac:dyDescent="0.3"/>
    <row r="293" ht="14.4" x14ac:dyDescent="0.3"/>
    <row r="294" ht="14.4" x14ac:dyDescent="0.3"/>
    <row r="295" ht="14.4" x14ac:dyDescent="0.3"/>
    <row r="296" ht="14.4" x14ac:dyDescent="0.3"/>
    <row r="297" ht="14.4" x14ac:dyDescent="0.3"/>
    <row r="298" ht="14.4" x14ac:dyDescent="0.3"/>
    <row r="299" ht="14.4" x14ac:dyDescent="0.3"/>
    <row r="300" ht="14.4" x14ac:dyDescent="0.3"/>
    <row r="301" ht="14.4" x14ac:dyDescent="0.3"/>
    <row r="302" ht="14.4" x14ac:dyDescent="0.3"/>
    <row r="303" ht="14.4" x14ac:dyDescent="0.3"/>
    <row r="304" ht="14.4" x14ac:dyDescent="0.3"/>
    <row r="305" ht="14.4" x14ac:dyDescent="0.3"/>
    <row r="306" ht="14.4" x14ac:dyDescent="0.3"/>
    <row r="307" ht="14.4" x14ac:dyDescent="0.3"/>
    <row r="308" ht="14.4" x14ac:dyDescent="0.3"/>
    <row r="309" ht="14.4" x14ac:dyDescent="0.3"/>
    <row r="310" ht="14.4" x14ac:dyDescent="0.3"/>
    <row r="311" ht="14.4" x14ac:dyDescent="0.3"/>
    <row r="312" ht="14.4" x14ac:dyDescent="0.3"/>
    <row r="313" ht="14.4" x14ac:dyDescent="0.3"/>
    <row r="314" ht="14.4" x14ac:dyDescent="0.3"/>
    <row r="315" ht="14.4" x14ac:dyDescent="0.3"/>
    <row r="316" ht="14.4" x14ac:dyDescent="0.3"/>
    <row r="317" ht="14.4" x14ac:dyDescent="0.3"/>
    <row r="318" ht="14.4" x14ac:dyDescent="0.3"/>
    <row r="319" ht="14.4" x14ac:dyDescent="0.3"/>
    <row r="320" ht="14.4" x14ac:dyDescent="0.3"/>
    <row r="321" ht="14.4" x14ac:dyDescent="0.3"/>
    <row r="322" ht="14.4" x14ac:dyDescent="0.3"/>
    <row r="323" ht="14.4" x14ac:dyDescent="0.3"/>
    <row r="324" ht="14.4" x14ac:dyDescent="0.3"/>
    <row r="325" ht="14.4" x14ac:dyDescent="0.3"/>
    <row r="326" ht="14.4" x14ac:dyDescent="0.3"/>
    <row r="327" ht="14.4" x14ac:dyDescent="0.3"/>
    <row r="328" ht="14.4" x14ac:dyDescent="0.3"/>
    <row r="329" ht="14.4" x14ac:dyDescent="0.3"/>
    <row r="330" ht="14.4" x14ac:dyDescent="0.3"/>
    <row r="331" ht="14.4" x14ac:dyDescent="0.3"/>
    <row r="332" ht="14.4" x14ac:dyDescent="0.3"/>
    <row r="333" ht="14.4" x14ac:dyDescent="0.3"/>
    <row r="334" ht="14.4" x14ac:dyDescent="0.3"/>
    <row r="335" ht="14.4" x14ac:dyDescent="0.3"/>
    <row r="336" ht="14.4" x14ac:dyDescent="0.3"/>
    <row r="337" ht="14.4" x14ac:dyDescent="0.3"/>
    <row r="338" ht="14.4" x14ac:dyDescent="0.3"/>
    <row r="339" ht="14.4" x14ac:dyDescent="0.3"/>
    <row r="340" ht="14.4" x14ac:dyDescent="0.3"/>
    <row r="341" ht="14.4" x14ac:dyDescent="0.3"/>
    <row r="342" ht="14.4" x14ac:dyDescent="0.3"/>
    <row r="343" ht="14.4" x14ac:dyDescent="0.3"/>
    <row r="344" ht="14.4" x14ac:dyDescent="0.3"/>
    <row r="345" ht="14.4" x14ac:dyDescent="0.3"/>
    <row r="346" ht="14.4" x14ac:dyDescent="0.3"/>
    <row r="347" ht="14.4" x14ac:dyDescent="0.3"/>
    <row r="348" ht="14.4" x14ac:dyDescent="0.3"/>
    <row r="349" ht="14.4" x14ac:dyDescent="0.3"/>
    <row r="350" ht="14.4" x14ac:dyDescent="0.3"/>
    <row r="351" ht="14.4" x14ac:dyDescent="0.3"/>
    <row r="352" ht="14.4" x14ac:dyDescent="0.3"/>
    <row r="353" ht="14.4" x14ac:dyDescent="0.3"/>
    <row r="354" ht="14.4" x14ac:dyDescent="0.3"/>
    <row r="355" ht="14.4" x14ac:dyDescent="0.3"/>
    <row r="356" ht="14.4" x14ac:dyDescent="0.3"/>
    <row r="357" ht="14.4" x14ac:dyDescent="0.3"/>
    <row r="358" ht="14.4" x14ac:dyDescent="0.3"/>
    <row r="359" ht="14.4" x14ac:dyDescent="0.3"/>
    <row r="360" ht="14.4" x14ac:dyDescent="0.3"/>
    <row r="361" ht="14.4" x14ac:dyDescent="0.3"/>
    <row r="362" ht="14.4" x14ac:dyDescent="0.3"/>
    <row r="363" ht="14.4" x14ac:dyDescent="0.3"/>
    <row r="364" ht="14.4" x14ac:dyDescent="0.3"/>
    <row r="365" ht="14.4" x14ac:dyDescent="0.3"/>
    <row r="366" ht="14.4" x14ac:dyDescent="0.3"/>
    <row r="367" ht="14.4" x14ac:dyDescent="0.3"/>
    <row r="368" ht="14.4" x14ac:dyDescent="0.3"/>
    <row r="369" ht="14.4" x14ac:dyDescent="0.3"/>
    <row r="370" ht="14.4" x14ac:dyDescent="0.3"/>
    <row r="371" ht="14.4" x14ac:dyDescent="0.3"/>
    <row r="372" ht="14.4" x14ac:dyDescent="0.3"/>
    <row r="373" ht="14.4" x14ac:dyDescent="0.3"/>
    <row r="374" ht="14.4" x14ac:dyDescent="0.3"/>
    <row r="375" ht="14.4" x14ac:dyDescent="0.3"/>
    <row r="376" ht="14.4" x14ac:dyDescent="0.3"/>
    <row r="377" ht="14.4" x14ac:dyDescent="0.3"/>
    <row r="378" ht="14.4" x14ac:dyDescent="0.3"/>
    <row r="379" ht="14.4" x14ac:dyDescent="0.3"/>
    <row r="380" ht="14.4" x14ac:dyDescent="0.3"/>
    <row r="381" ht="14.4" x14ac:dyDescent="0.3"/>
    <row r="382" ht="14.4" x14ac:dyDescent="0.3"/>
    <row r="383" ht="14.4" x14ac:dyDescent="0.3"/>
    <row r="384" ht="14.4" x14ac:dyDescent="0.3"/>
    <row r="385" ht="14.4" x14ac:dyDescent="0.3"/>
    <row r="386" ht="14.4" x14ac:dyDescent="0.3"/>
    <row r="387" ht="14.4" x14ac:dyDescent="0.3"/>
    <row r="388" ht="14.4" x14ac:dyDescent="0.3"/>
    <row r="389" ht="14.4" x14ac:dyDescent="0.3"/>
    <row r="390" ht="14.4" x14ac:dyDescent="0.3"/>
    <row r="391" ht="14.4" x14ac:dyDescent="0.3"/>
    <row r="392" ht="14.4" x14ac:dyDescent="0.3"/>
    <row r="393" ht="14.4" x14ac:dyDescent="0.3"/>
    <row r="394" ht="14.4" x14ac:dyDescent="0.3"/>
    <row r="395" ht="14.4" x14ac:dyDescent="0.3"/>
    <row r="396" ht="14.4" x14ac:dyDescent="0.3"/>
    <row r="397" ht="14.4" x14ac:dyDescent="0.3"/>
    <row r="398" ht="14.4" x14ac:dyDescent="0.3"/>
    <row r="399" ht="14.4" x14ac:dyDescent="0.3"/>
    <row r="400" ht="14.4" x14ac:dyDescent="0.3"/>
    <row r="401" ht="14.4" x14ac:dyDescent="0.3"/>
    <row r="402" ht="14.4" x14ac:dyDescent="0.3"/>
    <row r="403" ht="14.4" x14ac:dyDescent="0.3"/>
    <row r="404" ht="14.4" x14ac:dyDescent="0.3"/>
    <row r="405" ht="14.4" x14ac:dyDescent="0.3"/>
    <row r="406" ht="14.4" x14ac:dyDescent="0.3"/>
    <row r="407" ht="14.4" x14ac:dyDescent="0.3"/>
    <row r="408" ht="14.4" x14ac:dyDescent="0.3"/>
    <row r="409" ht="14.4" x14ac:dyDescent="0.3"/>
    <row r="410" ht="14.4" x14ac:dyDescent="0.3"/>
    <row r="411" ht="14.4" x14ac:dyDescent="0.3"/>
    <row r="412" ht="14.4" x14ac:dyDescent="0.3"/>
    <row r="413" ht="14.4" x14ac:dyDescent="0.3"/>
    <row r="414" ht="14.4" x14ac:dyDescent="0.3"/>
    <row r="415" ht="14.4" x14ac:dyDescent="0.3"/>
    <row r="416" ht="14.4" x14ac:dyDescent="0.3"/>
    <row r="417" ht="14.4" x14ac:dyDescent="0.3"/>
    <row r="418" ht="14.4" x14ac:dyDescent="0.3"/>
    <row r="419" ht="14.4" x14ac:dyDescent="0.3"/>
    <row r="420" ht="14.4" x14ac:dyDescent="0.3"/>
    <row r="421" ht="14.4" x14ac:dyDescent="0.3"/>
    <row r="422" ht="14.4" x14ac:dyDescent="0.3"/>
    <row r="423" ht="14.4" x14ac:dyDescent="0.3"/>
    <row r="424" ht="14.4" x14ac:dyDescent="0.3"/>
    <row r="425" ht="14.4" x14ac:dyDescent="0.3"/>
    <row r="426" ht="14.4" x14ac:dyDescent="0.3"/>
    <row r="427" ht="14.4" x14ac:dyDescent="0.3"/>
    <row r="428" ht="14.4" x14ac:dyDescent="0.3"/>
    <row r="429" ht="14.4" x14ac:dyDescent="0.3"/>
    <row r="430" ht="14.4" x14ac:dyDescent="0.3"/>
    <row r="431" ht="14.4" x14ac:dyDescent="0.3"/>
    <row r="432" ht="14.4" x14ac:dyDescent="0.3"/>
    <row r="433" ht="14.4" x14ac:dyDescent="0.3"/>
    <row r="434" ht="14.4" x14ac:dyDescent="0.3"/>
    <row r="435" ht="14.4" x14ac:dyDescent="0.3"/>
    <row r="436" ht="14.4" x14ac:dyDescent="0.3"/>
    <row r="437" ht="14.4" x14ac:dyDescent="0.3"/>
    <row r="438" ht="14.4" x14ac:dyDescent="0.3"/>
    <row r="439" ht="14.4" x14ac:dyDescent="0.3"/>
    <row r="440" ht="14.4" x14ac:dyDescent="0.3"/>
    <row r="441" ht="14.4" x14ac:dyDescent="0.3"/>
    <row r="442" ht="14.4" x14ac:dyDescent="0.3"/>
    <row r="443" ht="14.4" x14ac:dyDescent="0.3"/>
    <row r="444" ht="14.4" x14ac:dyDescent="0.3"/>
    <row r="445" ht="14.4" x14ac:dyDescent="0.3"/>
    <row r="446" ht="14.4" x14ac:dyDescent="0.3"/>
    <row r="447" ht="14.4" x14ac:dyDescent="0.3"/>
    <row r="448" ht="14.4" x14ac:dyDescent="0.3"/>
    <row r="449" ht="14.4" x14ac:dyDescent="0.3"/>
    <row r="450" ht="14.4" x14ac:dyDescent="0.3"/>
    <row r="451" ht="14.4" x14ac:dyDescent="0.3"/>
    <row r="452" ht="14.4" x14ac:dyDescent="0.3"/>
    <row r="453" ht="14.4" x14ac:dyDescent="0.3"/>
    <row r="454" ht="14.4" x14ac:dyDescent="0.3"/>
    <row r="455" ht="14.4" x14ac:dyDescent="0.3"/>
    <row r="456" ht="14.4" x14ac:dyDescent="0.3"/>
    <row r="457" ht="14.4" x14ac:dyDescent="0.3"/>
    <row r="458" ht="14.4" x14ac:dyDescent="0.3"/>
    <row r="459" ht="14.4" x14ac:dyDescent="0.3"/>
    <row r="460" ht="14.4" x14ac:dyDescent="0.3"/>
    <row r="461" ht="14.4" x14ac:dyDescent="0.3"/>
    <row r="462" ht="14.4" x14ac:dyDescent="0.3"/>
    <row r="463" ht="14.4" x14ac:dyDescent="0.3"/>
    <row r="464" ht="14.4" x14ac:dyDescent="0.3"/>
    <row r="465" ht="14.4" x14ac:dyDescent="0.3"/>
    <row r="466" ht="14.4" x14ac:dyDescent="0.3"/>
    <row r="467" ht="14.4" x14ac:dyDescent="0.3"/>
    <row r="468" ht="14.4" x14ac:dyDescent="0.3"/>
    <row r="469" ht="14.4" x14ac:dyDescent="0.3"/>
    <row r="470" ht="14.4" x14ac:dyDescent="0.3"/>
    <row r="471" ht="14.4" x14ac:dyDescent="0.3"/>
    <row r="472" ht="14.4" x14ac:dyDescent="0.3"/>
    <row r="473" ht="14.4" x14ac:dyDescent="0.3"/>
    <row r="474" ht="14.4" x14ac:dyDescent="0.3"/>
    <row r="475" ht="14.4" x14ac:dyDescent="0.3"/>
    <row r="476" ht="14.4" x14ac:dyDescent="0.3"/>
    <row r="477" ht="14.4" x14ac:dyDescent="0.3"/>
    <row r="478" ht="14.4" x14ac:dyDescent="0.3"/>
    <row r="479" ht="14.4" x14ac:dyDescent="0.3"/>
    <row r="480" ht="14.4" x14ac:dyDescent="0.3"/>
    <row r="481" ht="14.4" x14ac:dyDescent="0.3"/>
    <row r="482" ht="14.4" x14ac:dyDescent="0.3"/>
    <row r="483" ht="14.4" x14ac:dyDescent="0.3"/>
    <row r="484" ht="14.4" x14ac:dyDescent="0.3"/>
    <row r="485" ht="14.4" x14ac:dyDescent="0.3"/>
    <row r="486" ht="14.4" x14ac:dyDescent="0.3"/>
    <row r="487" ht="14.4" x14ac:dyDescent="0.3"/>
    <row r="488" ht="14.4" x14ac:dyDescent="0.3"/>
    <row r="489" ht="14.4" x14ac:dyDescent="0.3"/>
    <row r="490" ht="14.4" x14ac:dyDescent="0.3"/>
    <row r="491" ht="14.4" x14ac:dyDescent="0.3"/>
    <row r="492" ht="14.4" x14ac:dyDescent="0.3"/>
    <row r="493" ht="14.4" x14ac:dyDescent="0.3"/>
    <row r="494" ht="14.4" x14ac:dyDescent="0.3"/>
    <row r="495" ht="14.4" x14ac:dyDescent="0.3"/>
    <row r="496" ht="14.4" x14ac:dyDescent="0.3"/>
    <row r="497" ht="14.4" x14ac:dyDescent="0.3"/>
    <row r="498" ht="14.4" x14ac:dyDescent="0.3"/>
    <row r="499" ht="14.4" x14ac:dyDescent="0.3"/>
    <row r="500" ht="14.4" x14ac:dyDescent="0.3"/>
    <row r="501" ht="14.4" x14ac:dyDescent="0.3"/>
    <row r="502" ht="14.4" x14ac:dyDescent="0.3"/>
    <row r="503" ht="14.4" x14ac:dyDescent="0.3"/>
    <row r="504" ht="14.4" x14ac:dyDescent="0.3"/>
    <row r="505" ht="14.4" x14ac:dyDescent="0.3"/>
    <row r="506" ht="14.4" x14ac:dyDescent="0.3"/>
    <row r="507" ht="14.4" x14ac:dyDescent="0.3"/>
    <row r="508" ht="14.4" x14ac:dyDescent="0.3"/>
    <row r="509" ht="14.4" x14ac:dyDescent="0.3"/>
    <row r="510" ht="14.4" x14ac:dyDescent="0.3"/>
    <row r="511" ht="14.4" x14ac:dyDescent="0.3"/>
    <row r="512" ht="14.4" x14ac:dyDescent="0.3"/>
    <row r="513" ht="14.4" x14ac:dyDescent="0.3"/>
    <row r="514" ht="14.4" x14ac:dyDescent="0.3"/>
    <row r="515" ht="14.4" x14ac:dyDescent="0.3"/>
    <row r="516" ht="14.4" x14ac:dyDescent="0.3"/>
    <row r="517" ht="14.4" x14ac:dyDescent="0.3"/>
    <row r="518" ht="14.4" x14ac:dyDescent="0.3"/>
    <row r="519" ht="14.4" x14ac:dyDescent="0.3"/>
    <row r="520" ht="14.4" x14ac:dyDescent="0.3"/>
    <row r="521" ht="14.4" x14ac:dyDescent="0.3"/>
    <row r="522" ht="14.4" x14ac:dyDescent="0.3"/>
    <row r="523" ht="14.4" x14ac:dyDescent="0.3"/>
    <row r="524" ht="14.4" x14ac:dyDescent="0.3"/>
    <row r="525" ht="14.4" x14ac:dyDescent="0.3"/>
    <row r="526" ht="14.4" x14ac:dyDescent="0.3"/>
    <row r="527" ht="14.4" x14ac:dyDescent="0.3"/>
    <row r="528" ht="14.4" x14ac:dyDescent="0.3"/>
    <row r="529" ht="14.4" x14ac:dyDescent="0.3"/>
    <row r="530" ht="14.4" x14ac:dyDescent="0.3"/>
    <row r="531" ht="14.4" x14ac:dyDescent="0.3"/>
    <row r="532" ht="14.4" x14ac:dyDescent="0.3"/>
    <row r="533" ht="14.4" x14ac:dyDescent="0.3"/>
    <row r="534" ht="14.4" x14ac:dyDescent="0.3"/>
    <row r="535" ht="14.4" x14ac:dyDescent="0.3"/>
    <row r="536" ht="14.4" x14ac:dyDescent="0.3"/>
    <row r="537" ht="14.4" x14ac:dyDescent="0.3"/>
    <row r="538" ht="14.4" x14ac:dyDescent="0.3"/>
    <row r="539" ht="14.4" x14ac:dyDescent="0.3"/>
    <row r="540" ht="14.4" x14ac:dyDescent="0.3"/>
    <row r="541" ht="14.4" x14ac:dyDescent="0.3"/>
    <row r="542" ht="14.4" x14ac:dyDescent="0.3"/>
    <row r="543" ht="14.4" x14ac:dyDescent="0.3"/>
    <row r="544" ht="14.4" x14ac:dyDescent="0.3"/>
    <row r="545" ht="14.4" x14ac:dyDescent="0.3"/>
    <row r="546" ht="14.4" x14ac:dyDescent="0.3"/>
    <row r="547" ht="14.4" x14ac:dyDescent="0.3"/>
    <row r="548" ht="14.4" x14ac:dyDescent="0.3"/>
    <row r="549" ht="14.4" x14ac:dyDescent="0.3"/>
    <row r="550" ht="14.4" x14ac:dyDescent="0.3"/>
    <row r="551" ht="14.4" x14ac:dyDescent="0.3"/>
    <row r="552" ht="14.4" x14ac:dyDescent="0.3"/>
    <row r="553" ht="14.4" x14ac:dyDescent="0.3"/>
    <row r="554" ht="14.4" x14ac:dyDescent="0.3"/>
    <row r="555" ht="14.4" x14ac:dyDescent="0.3"/>
    <row r="556" ht="14.4" x14ac:dyDescent="0.3"/>
    <row r="557" ht="14.4" x14ac:dyDescent="0.3"/>
    <row r="558" ht="14.4" x14ac:dyDescent="0.3"/>
    <row r="559" ht="14.4" x14ac:dyDescent="0.3"/>
    <row r="560" ht="14.4" x14ac:dyDescent="0.3"/>
    <row r="561" ht="14.4" x14ac:dyDescent="0.3"/>
    <row r="562" ht="14.4" x14ac:dyDescent="0.3"/>
    <row r="563" ht="14.4" x14ac:dyDescent="0.3"/>
    <row r="564" ht="14.4" x14ac:dyDescent="0.3"/>
    <row r="565" ht="14.4" x14ac:dyDescent="0.3"/>
    <row r="566" ht="14.4" x14ac:dyDescent="0.3"/>
    <row r="567" ht="14.4" x14ac:dyDescent="0.3"/>
    <row r="568" ht="14.4" x14ac:dyDescent="0.3"/>
    <row r="569" ht="14.4" x14ac:dyDescent="0.3"/>
    <row r="570" ht="14.4" x14ac:dyDescent="0.3"/>
    <row r="571" ht="14.4" x14ac:dyDescent="0.3"/>
    <row r="572" ht="14.4" x14ac:dyDescent="0.3"/>
    <row r="573" ht="14.4" x14ac:dyDescent="0.3"/>
    <row r="574" ht="14.4" x14ac:dyDescent="0.3"/>
    <row r="575" ht="14.4" x14ac:dyDescent="0.3"/>
    <row r="576" ht="14.4" x14ac:dyDescent="0.3"/>
    <row r="577" ht="14.4" x14ac:dyDescent="0.3"/>
    <row r="578" ht="14.4" x14ac:dyDescent="0.3"/>
    <row r="579" ht="14.4" x14ac:dyDescent="0.3"/>
    <row r="580" ht="14.4" x14ac:dyDescent="0.3"/>
    <row r="581" ht="14.4" x14ac:dyDescent="0.3"/>
    <row r="582" ht="14.4" x14ac:dyDescent="0.3"/>
    <row r="583" ht="14.4" x14ac:dyDescent="0.3"/>
    <row r="584" ht="14.4" x14ac:dyDescent="0.3"/>
    <row r="585" ht="14.4" x14ac:dyDescent="0.3"/>
    <row r="586" ht="14.4" x14ac:dyDescent="0.3"/>
    <row r="587" ht="14.4" x14ac:dyDescent="0.3"/>
    <row r="588" ht="14.4" x14ac:dyDescent="0.3"/>
    <row r="589" ht="14.4" x14ac:dyDescent="0.3"/>
    <row r="590" ht="14.4" x14ac:dyDescent="0.3"/>
    <row r="591" ht="14.4" x14ac:dyDescent="0.3"/>
    <row r="592" ht="14.4" x14ac:dyDescent="0.3"/>
    <row r="593" ht="14.4" x14ac:dyDescent="0.3"/>
    <row r="594" ht="14.4" x14ac:dyDescent="0.3"/>
    <row r="595" ht="14.4" x14ac:dyDescent="0.3"/>
    <row r="596" ht="14.4" x14ac:dyDescent="0.3"/>
    <row r="597" ht="14.4" x14ac:dyDescent="0.3"/>
    <row r="598" ht="14.4" x14ac:dyDescent="0.3"/>
    <row r="599" ht="14.4" x14ac:dyDescent="0.3"/>
    <row r="600" ht="14.4" x14ac:dyDescent="0.3"/>
    <row r="601" ht="14.4" x14ac:dyDescent="0.3"/>
    <row r="602" ht="14.4" x14ac:dyDescent="0.3"/>
    <row r="603" ht="14.4" x14ac:dyDescent="0.3"/>
    <row r="604" ht="14.4" x14ac:dyDescent="0.3"/>
    <row r="605" ht="14.4" x14ac:dyDescent="0.3"/>
    <row r="606" ht="14.4" x14ac:dyDescent="0.3"/>
    <row r="607" ht="14.4" x14ac:dyDescent="0.3"/>
    <row r="608" ht="14.4" x14ac:dyDescent="0.3"/>
    <row r="609" ht="14.4" x14ac:dyDescent="0.3"/>
    <row r="610" ht="14.4" x14ac:dyDescent="0.3"/>
    <row r="611" ht="14.4" x14ac:dyDescent="0.3"/>
    <row r="612" ht="14.4" x14ac:dyDescent="0.3"/>
    <row r="613" ht="14.4" x14ac:dyDescent="0.3"/>
    <row r="614" ht="14.4" x14ac:dyDescent="0.3"/>
    <row r="615" ht="14.4" x14ac:dyDescent="0.3"/>
    <row r="616" ht="14.4" x14ac:dyDescent="0.3"/>
    <row r="617" ht="14.4" x14ac:dyDescent="0.3"/>
    <row r="618" ht="14.4" x14ac:dyDescent="0.3"/>
    <row r="619" ht="14.4" x14ac:dyDescent="0.3"/>
    <row r="620" ht="14.4" x14ac:dyDescent="0.3"/>
    <row r="621" ht="14.4" x14ac:dyDescent="0.3"/>
    <row r="622" ht="14.4" x14ac:dyDescent="0.3"/>
    <row r="623" ht="14.4" x14ac:dyDescent="0.3"/>
    <row r="624" ht="14.4" x14ac:dyDescent="0.3"/>
    <row r="625" ht="14.4" x14ac:dyDescent="0.3"/>
    <row r="626" ht="14.4" x14ac:dyDescent="0.3"/>
    <row r="627" ht="14.4" x14ac:dyDescent="0.3"/>
    <row r="628" ht="14.4" x14ac:dyDescent="0.3"/>
    <row r="629" ht="14.4" x14ac:dyDescent="0.3"/>
    <row r="630" ht="14.4" x14ac:dyDescent="0.3"/>
    <row r="631" ht="14.4" x14ac:dyDescent="0.3"/>
    <row r="632" ht="14.4" x14ac:dyDescent="0.3"/>
    <row r="633" ht="14.4" x14ac:dyDescent="0.3"/>
    <row r="634" ht="14.4" x14ac:dyDescent="0.3"/>
    <row r="635" ht="14.4" x14ac:dyDescent="0.3"/>
    <row r="636" ht="14.4" x14ac:dyDescent="0.3"/>
    <row r="637" ht="14.4" x14ac:dyDescent="0.3"/>
    <row r="638" ht="14.4" x14ac:dyDescent="0.3"/>
    <row r="639" ht="14.4" x14ac:dyDescent="0.3"/>
    <row r="640" ht="14.4" x14ac:dyDescent="0.3"/>
    <row r="641" ht="14.4" x14ac:dyDescent="0.3"/>
    <row r="642" ht="14.4" x14ac:dyDescent="0.3"/>
    <row r="643" ht="14.4" x14ac:dyDescent="0.3"/>
    <row r="644" ht="14.4" x14ac:dyDescent="0.3"/>
    <row r="645" ht="14.4" x14ac:dyDescent="0.3"/>
    <row r="646" ht="14.4" x14ac:dyDescent="0.3"/>
    <row r="647" ht="14.4" x14ac:dyDescent="0.3"/>
    <row r="648" ht="14.4" x14ac:dyDescent="0.3"/>
    <row r="649" ht="14.4" x14ac:dyDescent="0.3"/>
    <row r="650" ht="14.4" x14ac:dyDescent="0.3"/>
    <row r="651" ht="14.4" x14ac:dyDescent="0.3"/>
    <row r="652" ht="14.4" x14ac:dyDescent="0.3"/>
    <row r="653" ht="14.4" x14ac:dyDescent="0.3"/>
    <row r="654" ht="14.4" x14ac:dyDescent="0.3"/>
    <row r="655" ht="14.4" x14ac:dyDescent="0.3"/>
    <row r="656" ht="14.4" x14ac:dyDescent="0.3"/>
    <row r="657" ht="14.4" x14ac:dyDescent="0.3"/>
    <row r="658" ht="14.4" x14ac:dyDescent="0.3"/>
    <row r="659" ht="14.4" x14ac:dyDescent="0.3"/>
    <row r="660" ht="14.4" x14ac:dyDescent="0.3"/>
    <row r="661" ht="14.4" x14ac:dyDescent="0.3"/>
    <row r="662" ht="14.4" x14ac:dyDescent="0.3"/>
    <row r="663" ht="14.4" x14ac:dyDescent="0.3"/>
    <row r="664" ht="14.4" x14ac:dyDescent="0.3"/>
    <row r="665" ht="14.4" x14ac:dyDescent="0.3"/>
    <row r="666" ht="14.4" x14ac:dyDescent="0.3"/>
    <row r="667" ht="14.4" x14ac:dyDescent="0.3"/>
    <row r="668" ht="14.4" x14ac:dyDescent="0.3"/>
    <row r="669" ht="14.4" x14ac:dyDescent="0.3"/>
    <row r="670" ht="14.4" x14ac:dyDescent="0.3"/>
    <row r="671" ht="14.4" x14ac:dyDescent="0.3"/>
    <row r="672" ht="14.4" x14ac:dyDescent="0.3"/>
    <row r="673" ht="14.4" x14ac:dyDescent="0.3"/>
    <row r="674" ht="14.4" x14ac:dyDescent="0.3"/>
    <row r="675" ht="14.4" x14ac:dyDescent="0.3"/>
    <row r="676" ht="14.4" x14ac:dyDescent="0.3"/>
    <row r="677" ht="14.4" x14ac:dyDescent="0.3"/>
    <row r="678" ht="14.4" x14ac:dyDescent="0.3"/>
    <row r="679" ht="14.4" x14ac:dyDescent="0.3"/>
    <row r="680" ht="14.4" x14ac:dyDescent="0.3"/>
    <row r="681" ht="14.4" x14ac:dyDescent="0.3"/>
    <row r="682" ht="14.4" x14ac:dyDescent="0.3"/>
    <row r="683" ht="14.4" x14ac:dyDescent="0.3"/>
    <row r="684" ht="14.4" x14ac:dyDescent="0.3"/>
    <row r="685" ht="14.4" x14ac:dyDescent="0.3"/>
    <row r="686" ht="14.4" x14ac:dyDescent="0.3"/>
    <row r="687" ht="14.4" x14ac:dyDescent="0.3"/>
    <row r="688" ht="14.4" x14ac:dyDescent="0.3"/>
    <row r="689" ht="14.4" x14ac:dyDescent="0.3"/>
    <row r="690" ht="14.4" x14ac:dyDescent="0.3"/>
    <row r="691" ht="14.4" x14ac:dyDescent="0.3"/>
    <row r="692" ht="14.4" x14ac:dyDescent="0.3"/>
    <row r="693" ht="14.4" x14ac:dyDescent="0.3"/>
    <row r="694" ht="14.4" x14ac:dyDescent="0.3"/>
    <row r="695" ht="14.4" x14ac:dyDescent="0.3"/>
    <row r="696" ht="14.4" x14ac:dyDescent="0.3"/>
    <row r="697" ht="14.4" x14ac:dyDescent="0.3"/>
    <row r="698" ht="14.4" x14ac:dyDescent="0.3"/>
    <row r="699" ht="14.4" x14ac:dyDescent="0.3"/>
    <row r="700" ht="14.4" x14ac:dyDescent="0.3"/>
    <row r="701" ht="14.4" x14ac:dyDescent="0.3"/>
    <row r="702" ht="14.4" x14ac:dyDescent="0.3"/>
    <row r="703" ht="14.4" x14ac:dyDescent="0.3"/>
    <row r="704" ht="14.4" x14ac:dyDescent="0.3"/>
    <row r="705" ht="14.4" x14ac:dyDescent="0.3"/>
    <row r="706" ht="14.4" x14ac:dyDescent="0.3"/>
    <row r="707" ht="14.4" x14ac:dyDescent="0.3"/>
    <row r="708" ht="14.4" x14ac:dyDescent="0.3"/>
    <row r="709" ht="14.4" x14ac:dyDescent="0.3"/>
    <row r="710" ht="14.4" x14ac:dyDescent="0.3"/>
    <row r="711" ht="14.4" x14ac:dyDescent="0.3"/>
    <row r="712" ht="14.4" x14ac:dyDescent="0.3"/>
    <row r="713" ht="14.4" x14ac:dyDescent="0.3"/>
    <row r="714" ht="14.4" x14ac:dyDescent="0.3"/>
    <row r="715" ht="14.4" x14ac:dyDescent="0.3"/>
    <row r="716" ht="14.4" x14ac:dyDescent="0.3"/>
    <row r="717" ht="14.4" x14ac:dyDescent="0.3"/>
    <row r="718" ht="14.4" x14ac:dyDescent="0.3"/>
    <row r="719" ht="14.4" x14ac:dyDescent="0.3"/>
    <row r="720" ht="14.4" x14ac:dyDescent="0.3"/>
    <row r="721" ht="14.4" x14ac:dyDescent="0.3"/>
    <row r="722" ht="14.4" x14ac:dyDescent="0.3"/>
    <row r="723" ht="14.4" x14ac:dyDescent="0.3"/>
    <row r="724" ht="14.4" x14ac:dyDescent="0.3"/>
    <row r="725" ht="14.4" x14ac:dyDescent="0.3"/>
    <row r="726" ht="14.4" x14ac:dyDescent="0.3"/>
    <row r="727" ht="14.4" x14ac:dyDescent="0.3"/>
    <row r="728" ht="14.4" x14ac:dyDescent="0.3"/>
    <row r="729" ht="14.4" x14ac:dyDescent="0.3"/>
    <row r="730" ht="14.4" x14ac:dyDescent="0.3"/>
    <row r="731" ht="14.4" x14ac:dyDescent="0.3"/>
    <row r="732" ht="14.4" x14ac:dyDescent="0.3"/>
    <row r="733" ht="14.4" x14ac:dyDescent="0.3"/>
    <row r="734" ht="14.4" x14ac:dyDescent="0.3"/>
    <row r="735" ht="14.4" x14ac:dyDescent="0.3"/>
    <row r="736" ht="14.4" x14ac:dyDescent="0.3"/>
    <row r="737" ht="14.4" x14ac:dyDescent="0.3"/>
    <row r="738" ht="14.4" x14ac:dyDescent="0.3"/>
    <row r="739" ht="14.4" x14ac:dyDescent="0.3"/>
    <row r="740" ht="14.4" x14ac:dyDescent="0.3"/>
    <row r="741" ht="14.4" x14ac:dyDescent="0.3"/>
    <row r="742" ht="14.4" x14ac:dyDescent="0.3"/>
    <row r="743" ht="14.4" x14ac:dyDescent="0.3"/>
    <row r="744" ht="14.4" x14ac:dyDescent="0.3"/>
    <row r="745" ht="14.4" x14ac:dyDescent="0.3"/>
    <row r="746" ht="14.4" x14ac:dyDescent="0.3"/>
    <row r="747" ht="14.4" x14ac:dyDescent="0.3"/>
    <row r="748" ht="14.4" x14ac:dyDescent="0.3"/>
    <row r="749" ht="14.4" x14ac:dyDescent="0.3"/>
    <row r="750" ht="14.4" x14ac:dyDescent="0.3"/>
    <row r="751" ht="14.4" x14ac:dyDescent="0.3"/>
    <row r="752" ht="14.4" x14ac:dyDescent="0.3"/>
    <row r="753" ht="14.4" x14ac:dyDescent="0.3"/>
    <row r="754" ht="14.4" x14ac:dyDescent="0.3"/>
    <row r="755" ht="14.4" x14ac:dyDescent="0.3"/>
    <row r="756" ht="14.4" x14ac:dyDescent="0.3"/>
    <row r="757" ht="14.4" x14ac:dyDescent="0.3"/>
    <row r="758" ht="14.4" x14ac:dyDescent="0.3"/>
    <row r="759" ht="14.4" x14ac:dyDescent="0.3"/>
    <row r="760" ht="14.4" x14ac:dyDescent="0.3"/>
    <row r="761" ht="14.4" x14ac:dyDescent="0.3"/>
    <row r="762" ht="14.4" x14ac:dyDescent="0.3"/>
    <row r="763" ht="14.4" x14ac:dyDescent="0.3"/>
    <row r="764" ht="14.4" x14ac:dyDescent="0.3"/>
    <row r="765" ht="14.4" x14ac:dyDescent="0.3"/>
    <row r="766" ht="14.4" x14ac:dyDescent="0.3"/>
    <row r="767" ht="14.4" x14ac:dyDescent="0.3"/>
    <row r="768" ht="14.4" x14ac:dyDescent="0.3"/>
    <row r="769" ht="14.4" x14ac:dyDescent="0.3"/>
    <row r="770" ht="14.4" x14ac:dyDescent="0.3"/>
    <row r="771" ht="14.4" x14ac:dyDescent="0.3"/>
    <row r="772" ht="14.4" x14ac:dyDescent="0.3"/>
    <row r="773" ht="14.4" x14ac:dyDescent="0.3"/>
    <row r="774" ht="14.4" x14ac:dyDescent="0.3"/>
    <row r="775" ht="14.4" x14ac:dyDescent="0.3"/>
    <row r="776" ht="14.4" x14ac:dyDescent="0.3"/>
    <row r="777" ht="14.4" x14ac:dyDescent="0.3"/>
    <row r="778" ht="14.4" x14ac:dyDescent="0.3"/>
    <row r="779" ht="14.4" x14ac:dyDescent="0.3"/>
    <row r="780" ht="14.4" x14ac:dyDescent="0.3"/>
    <row r="781" ht="14.4" x14ac:dyDescent="0.3"/>
    <row r="782" ht="14.4" x14ac:dyDescent="0.3"/>
    <row r="783" ht="14.4" x14ac:dyDescent="0.3"/>
    <row r="784" ht="14.4" x14ac:dyDescent="0.3"/>
    <row r="785" ht="14.4" x14ac:dyDescent="0.3"/>
    <row r="786" ht="14.4" x14ac:dyDescent="0.3"/>
    <row r="787" ht="14.4" x14ac:dyDescent="0.3"/>
    <row r="788" ht="14.4" x14ac:dyDescent="0.3"/>
    <row r="789" ht="14.4" x14ac:dyDescent="0.3"/>
    <row r="790" ht="14.4" x14ac:dyDescent="0.3"/>
    <row r="791" ht="14.4" x14ac:dyDescent="0.3"/>
    <row r="792" ht="14.4" x14ac:dyDescent="0.3"/>
    <row r="793" ht="14.4" x14ac:dyDescent="0.3"/>
    <row r="794" ht="14.4" x14ac:dyDescent="0.3"/>
    <row r="795" ht="14.4" x14ac:dyDescent="0.3"/>
    <row r="796" ht="14.4" x14ac:dyDescent="0.3"/>
    <row r="797" ht="14.4" x14ac:dyDescent="0.3"/>
    <row r="798" ht="14.4" x14ac:dyDescent="0.3"/>
    <row r="799" ht="14.4" x14ac:dyDescent="0.3"/>
    <row r="800" ht="14.4" x14ac:dyDescent="0.3"/>
    <row r="801" ht="14.4" x14ac:dyDescent="0.3"/>
    <row r="802" ht="14.4" x14ac:dyDescent="0.3"/>
    <row r="803" ht="14.4" x14ac:dyDescent="0.3"/>
    <row r="804" ht="14.4" x14ac:dyDescent="0.3"/>
    <row r="805" ht="14.4" x14ac:dyDescent="0.3"/>
    <row r="806" ht="14.4" x14ac:dyDescent="0.3"/>
    <row r="807" ht="14.4" x14ac:dyDescent="0.3"/>
    <row r="808" ht="14.4" x14ac:dyDescent="0.3"/>
    <row r="809" ht="14.4" x14ac:dyDescent="0.3"/>
    <row r="810" ht="14.4" x14ac:dyDescent="0.3"/>
    <row r="811" ht="14.4" x14ac:dyDescent="0.3"/>
    <row r="812" ht="14.4" x14ac:dyDescent="0.3"/>
    <row r="813" ht="14.4" x14ac:dyDescent="0.3"/>
    <row r="814" ht="14.4" x14ac:dyDescent="0.3"/>
    <row r="815" ht="14.4" x14ac:dyDescent="0.3"/>
    <row r="816" ht="14.4" x14ac:dyDescent="0.3"/>
    <row r="817" ht="14.4" x14ac:dyDescent="0.3"/>
    <row r="818" ht="14.4" x14ac:dyDescent="0.3"/>
    <row r="819" ht="14.4" x14ac:dyDescent="0.3"/>
    <row r="820" ht="14.4" x14ac:dyDescent="0.3"/>
    <row r="821" ht="14.4" x14ac:dyDescent="0.3"/>
    <row r="822" ht="14.4" x14ac:dyDescent="0.3"/>
    <row r="823" ht="14.4" x14ac:dyDescent="0.3"/>
    <row r="824" ht="14.4" x14ac:dyDescent="0.3"/>
    <row r="825" ht="14.4" x14ac:dyDescent="0.3"/>
    <row r="826" ht="14.4" x14ac:dyDescent="0.3"/>
    <row r="827" ht="14.4" x14ac:dyDescent="0.3"/>
    <row r="828" ht="14.4" x14ac:dyDescent="0.3"/>
    <row r="829" ht="14.4" x14ac:dyDescent="0.3"/>
    <row r="830" ht="14.4" x14ac:dyDescent="0.3"/>
    <row r="831" ht="14.4" x14ac:dyDescent="0.3"/>
    <row r="832" ht="14.4" x14ac:dyDescent="0.3"/>
    <row r="833" ht="14.4" x14ac:dyDescent="0.3"/>
    <row r="834" ht="14.4" x14ac:dyDescent="0.3"/>
    <row r="835" ht="14.4" x14ac:dyDescent="0.3"/>
    <row r="836" ht="14.4" x14ac:dyDescent="0.3"/>
    <row r="837" ht="14.4" x14ac:dyDescent="0.3"/>
    <row r="838" ht="14.4" x14ac:dyDescent="0.3"/>
    <row r="839" ht="14.4" x14ac:dyDescent="0.3"/>
    <row r="840" ht="14.4" x14ac:dyDescent="0.3"/>
    <row r="841" ht="14.4" x14ac:dyDescent="0.3"/>
    <row r="842" ht="14.4" x14ac:dyDescent="0.3"/>
    <row r="843" ht="14.4" x14ac:dyDescent="0.3"/>
    <row r="844" ht="14.4" x14ac:dyDescent="0.3"/>
    <row r="845" ht="14.4" x14ac:dyDescent="0.3"/>
    <row r="846" ht="14.4" x14ac:dyDescent="0.3"/>
    <row r="847" ht="14.4" x14ac:dyDescent="0.3"/>
    <row r="848" ht="14.4" x14ac:dyDescent="0.3"/>
    <row r="849" ht="14.4" x14ac:dyDescent="0.3"/>
    <row r="850" ht="14.4" x14ac:dyDescent="0.3"/>
    <row r="851" ht="14.4" x14ac:dyDescent="0.3"/>
    <row r="852" ht="14.4" x14ac:dyDescent="0.3"/>
    <row r="853" ht="14.4" x14ac:dyDescent="0.3"/>
    <row r="854" ht="14.4" x14ac:dyDescent="0.3"/>
    <row r="855" ht="14.4" x14ac:dyDescent="0.3"/>
    <row r="856" ht="14.4" x14ac:dyDescent="0.3"/>
    <row r="857" ht="14.4" x14ac:dyDescent="0.3"/>
    <row r="858" ht="14.4" x14ac:dyDescent="0.3"/>
    <row r="859" ht="14.4" x14ac:dyDescent="0.3"/>
    <row r="860" ht="14.4" x14ac:dyDescent="0.3"/>
    <row r="861" ht="14.4" x14ac:dyDescent="0.3"/>
    <row r="862" ht="14.4" x14ac:dyDescent="0.3"/>
    <row r="863" ht="14.4" x14ac:dyDescent="0.3"/>
    <row r="864" ht="14.4" x14ac:dyDescent="0.3"/>
    <row r="865" ht="14.4" x14ac:dyDescent="0.3"/>
    <row r="866" ht="14.4" x14ac:dyDescent="0.3"/>
    <row r="867" ht="14.4" x14ac:dyDescent="0.3"/>
    <row r="868" ht="14.4" x14ac:dyDescent="0.3"/>
    <row r="869" ht="14.4" x14ac:dyDescent="0.3"/>
    <row r="870" ht="14.4" x14ac:dyDescent="0.3"/>
    <row r="871" ht="14.4" x14ac:dyDescent="0.3"/>
    <row r="872" ht="14.4" x14ac:dyDescent="0.3"/>
    <row r="873" ht="14.4" x14ac:dyDescent="0.3"/>
    <row r="874" ht="14.4" x14ac:dyDescent="0.3"/>
    <row r="875" ht="14.4" x14ac:dyDescent="0.3"/>
    <row r="876" ht="14.4" x14ac:dyDescent="0.3"/>
    <row r="877" ht="14.4" x14ac:dyDescent="0.3"/>
    <row r="878" ht="14.4" x14ac:dyDescent="0.3"/>
    <row r="879" ht="14.4" x14ac:dyDescent="0.3"/>
    <row r="880" ht="14.4" x14ac:dyDescent="0.3"/>
    <row r="881" ht="14.4" x14ac:dyDescent="0.3"/>
    <row r="882" ht="14.4" x14ac:dyDescent="0.3"/>
    <row r="883" ht="14.4" x14ac:dyDescent="0.3"/>
    <row r="884" ht="14.4" x14ac:dyDescent="0.3"/>
    <row r="885" ht="14.4" x14ac:dyDescent="0.3"/>
    <row r="886" ht="14.4" x14ac:dyDescent="0.3"/>
    <row r="887" ht="14.4" x14ac:dyDescent="0.3"/>
    <row r="888" ht="14.4" x14ac:dyDescent="0.3"/>
    <row r="889" ht="14.4" x14ac:dyDescent="0.3"/>
    <row r="890" ht="14.4" x14ac:dyDescent="0.3"/>
    <row r="891" ht="14.4" x14ac:dyDescent="0.3"/>
    <row r="892" ht="14.4" x14ac:dyDescent="0.3"/>
    <row r="893" ht="14.4" x14ac:dyDescent="0.3"/>
    <row r="894" ht="14.4" x14ac:dyDescent="0.3"/>
    <row r="895" ht="14.4" x14ac:dyDescent="0.3"/>
    <row r="896" ht="14.4" x14ac:dyDescent="0.3"/>
    <row r="897" ht="14.4" x14ac:dyDescent="0.3"/>
    <row r="898" ht="14.4" x14ac:dyDescent="0.3"/>
    <row r="899" ht="14.4" x14ac:dyDescent="0.3"/>
    <row r="900" ht="14.4" x14ac:dyDescent="0.3"/>
    <row r="901" ht="14.4" x14ac:dyDescent="0.3"/>
    <row r="902" ht="14.4" x14ac:dyDescent="0.3"/>
    <row r="903" ht="14.4" x14ac:dyDescent="0.3"/>
    <row r="904" ht="14.4" x14ac:dyDescent="0.3"/>
    <row r="905" ht="14.4" x14ac:dyDescent="0.3"/>
    <row r="906" ht="14.4" x14ac:dyDescent="0.3"/>
    <row r="907" ht="14.4" x14ac:dyDescent="0.3"/>
    <row r="908" ht="14.4" x14ac:dyDescent="0.3"/>
    <row r="909" ht="14.4" x14ac:dyDescent="0.3"/>
    <row r="910" ht="14.4" x14ac:dyDescent="0.3"/>
    <row r="911" ht="14.4" x14ac:dyDescent="0.3"/>
    <row r="912" ht="14.4" x14ac:dyDescent="0.3"/>
    <row r="913" ht="14.4" x14ac:dyDescent="0.3"/>
    <row r="914" ht="14.4" x14ac:dyDescent="0.3"/>
    <row r="915" ht="14.4" x14ac:dyDescent="0.3"/>
    <row r="916" ht="14.4" x14ac:dyDescent="0.3"/>
    <row r="917" ht="14.4" x14ac:dyDescent="0.3"/>
    <row r="918" ht="14.4" x14ac:dyDescent="0.3"/>
    <row r="919" ht="14.4" x14ac:dyDescent="0.3"/>
    <row r="920" ht="14.4" x14ac:dyDescent="0.3"/>
    <row r="921" ht="14.4" x14ac:dyDescent="0.3"/>
    <row r="922" ht="14.4" x14ac:dyDescent="0.3"/>
    <row r="923" ht="14.4" x14ac:dyDescent="0.3"/>
    <row r="924" ht="14.4" x14ac:dyDescent="0.3"/>
    <row r="925" ht="14.4" x14ac:dyDescent="0.3"/>
    <row r="926" ht="14.4" x14ac:dyDescent="0.3"/>
    <row r="927" ht="14.4" x14ac:dyDescent="0.3"/>
    <row r="928" ht="14.4" x14ac:dyDescent="0.3"/>
    <row r="929" ht="14.4" x14ac:dyDescent="0.3"/>
    <row r="930" ht="14.4" x14ac:dyDescent="0.3"/>
    <row r="931" ht="14.4" x14ac:dyDescent="0.3"/>
    <row r="932" ht="14.4" x14ac:dyDescent="0.3"/>
    <row r="933" ht="14.4" x14ac:dyDescent="0.3"/>
    <row r="934" ht="14.4" x14ac:dyDescent="0.3"/>
    <row r="935" ht="14.4" x14ac:dyDescent="0.3"/>
    <row r="936" ht="14.4" x14ac:dyDescent="0.3"/>
    <row r="937" ht="14.4" x14ac:dyDescent="0.3"/>
    <row r="938" ht="14.4" x14ac:dyDescent="0.3"/>
    <row r="939" ht="14.4" x14ac:dyDescent="0.3"/>
    <row r="940" ht="14.4" x14ac:dyDescent="0.3"/>
    <row r="941" ht="14.4" x14ac:dyDescent="0.3"/>
    <row r="942" ht="14.4" x14ac:dyDescent="0.3"/>
    <row r="943" ht="14.4" x14ac:dyDescent="0.3"/>
    <row r="944" ht="14.4" x14ac:dyDescent="0.3"/>
    <row r="945" ht="14.4" x14ac:dyDescent="0.3"/>
    <row r="946" ht="14.4" x14ac:dyDescent="0.3"/>
    <row r="947" ht="14.4" x14ac:dyDescent="0.3"/>
    <row r="948" ht="14.4" x14ac:dyDescent="0.3"/>
    <row r="949" ht="14.4" x14ac:dyDescent="0.3"/>
    <row r="950" ht="14.4" x14ac:dyDescent="0.3"/>
    <row r="951" ht="14.4" x14ac:dyDescent="0.3"/>
    <row r="952" ht="14.4" x14ac:dyDescent="0.3"/>
    <row r="953" ht="14.4" x14ac:dyDescent="0.3"/>
    <row r="954" ht="14.4" x14ac:dyDescent="0.3"/>
    <row r="955" ht="14.4" x14ac:dyDescent="0.3"/>
    <row r="956" ht="14.4" x14ac:dyDescent="0.3"/>
    <row r="957" ht="14.4" x14ac:dyDescent="0.3"/>
    <row r="958" ht="14.4" x14ac:dyDescent="0.3"/>
    <row r="959" ht="14.4" x14ac:dyDescent="0.3"/>
    <row r="960" ht="14.4" x14ac:dyDescent="0.3"/>
    <row r="961" ht="14.4" x14ac:dyDescent="0.3"/>
    <row r="962" ht="14.4" x14ac:dyDescent="0.3"/>
    <row r="963" ht="14.4" x14ac:dyDescent="0.3"/>
    <row r="964" ht="14.4" x14ac:dyDescent="0.3"/>
    <row r="965" ht="14.4" x14ac:dyDescent="0.3"/>
    <row r="966" ht="14.4" x14ac:dyDescent="0.3"/>
    <row r="967" ht="14.4" x14ac:dyDescent="0.3"/>
    <row r="968" ht="14.4" x14ac:dyDescent="0.3"/>
    <row r="969" ht="14.4" x14ac:dyDescent="0.3"/>
    <row r="970" ht="14.4" x14ac:dyDescent="0.3"/>
    <row r="971" ht="14.4" x14ac:dyDescent="0.3"/>
    <row r="972" ht="14.4" x14ac:dyDescent="0.3"/>
    <row r="973" ht="14.4" x14ac:dyDescent="0.3"/>
    <row r="974" ht="14.4" x14ac:dyDescent="0.3"/>
    <row r="975" ht="14.4" x14ac:dyDescent="0.3"/>
    <row r="976" ht="14.4" x14ac:dyDescent="0.3"/>
    <row r="977" ht="14.4" x14ac:dyDescent="0.3"/>
    <row r="978" ht="14.4" x14ac:dyDescent="0.3"/>
    <row r="979" ht="14.4" x14ac:dyDescent="0.3"/>
    <row r="980" ht="14.4" x14ac:dyDescent="0.3"/>
    <row r="981" ht="14.4" x14ac:dyDescent="0.3"/>
    <row r="982" ht="14.4" x14ac:dyDescent="0.3"/>
    <row r="983" ht="14.4" x14ac:dyDescent="0.3"/>
    <row r="984" ht="14.4" x14ac:dyDescent="0.3"/>
    <row r="985" ht="14.4" x14ac:dyDescent="0.3"/>
    <row r="986" ht="14.4" x14ac:dyDescent="0.3"/>
    <row r="987" ht="14.4" x14ac:dyDescent="0.3"/>
    <row r="988" ht="14.4" x14ac:dyDescent="0.3"/>
    <row r="989" ht="14.4" x14ac:dyDescent="0.3"/>
    <row r="990" ht="14.4" x14ac:dyDescent="0.3"/>
    <row r="991" ht="14.4" x14ac:dyDescent="0.3"/>
    <row r="992" ht="14.4" x14ac:dyDescent="0.3"/>
    <row r="993" ht="14.4" x14ac:dyDescent="0.3"/>
    <row r="994" ht="14.4" x14ac:dyDescent="0.3"/>
    <row r="995" ht="14.4" x14ac:dyDescent="0.3"/>
    <row r="996" ht="14.4" x14ac:dyDescent="0.3"/>
    <row r="997" ht="14.4" x14ac:dyDescent="0.3"/>
    <row r="998" ht="14.4" x14ac:dyDescent="0.3"/>
    <row r="999" ht="14.4" x14ac:dyDescent="0.3"/>
    <row r="1000" ht="14.4" x14ac:dyDescent="0.3"/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B4288-5A36-4B01-969A-DA7AB26E923A}">
  <sheetPr>
    <tabColor rgb="FF2F5496"/>
  </sheetPr>
  <dimension ref="A1:AG1000"/>
  <sheetViews>
    <sheetView workbookViewId="0"/>
  </sheetViews>
  <sheetFormatPr defaultColWidth="9.33203125" defaultRowHeight="15" customHeight="1" x14ac:dyDescent="0.3"/>
  <cols>
    <col min="1" max="1" width="26.5546875" customWidth="1"/>
    <col min="2" max="2" width="11.6640625" bestFit="1" customWidth="1"/>
  </cols>
  <sheetData>
    <row r="1" spans="1:33" ht="15" customHeight="1" x14ac:dyDescent="0.3">
      <c r="A1" t="s">
        <v>53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ht="15" customHeight="1" x14ac:dyDescent="0.3">
      <c r="A2" t="s">
        <v>54</v>
      </c>
      <c r="B2">
        <f>Calculation!$B$31</f>
        <v>4.1052124687857637E-6</v>
      </c>
      <c r="C2">
        <f>Calculation!$B$31</f>
        <v>4.1052124687857637E-6</v>
      </c>
      <c r="D2">
        <f>Calculation!$B$31</f>
        <v>4.1052124687857637E-6</v>
      </c>
      <c r="E2">
        <f>Calculation!$B$31</f>
        <v>4.1052124687857637E-6</v>
      </c>
      <c r="F2">
        <f>Calculation!$B$31</f>
        <v>4.1052124687857637E-6</v>
      </c>
      <c r="G2">
        <f>Calculation!$B$31</f>
        <v>4.1052124687857637E-6</v>
      </c>
      <c r="H2">
        <f>Calculation!$B$31</f>
        <v>4.1052124687857637E-6</v>
      </c>
      <c r="I2">
        <f>Calculation!$B$31</f>
        <v>4.1052124687857637E-6</v>
      </c>
      <c r="J2">
        <f>Calculation!$B$31</f>
        <v>4.1052124687857637E-6</v>
      </c>
      <c r="K2">
        <f>Calculation!$B$31</f>
        <v>4.1052124687857637E-6</v>
      </c>
      <c r="L2">
        <f>Calculation!$B$31</f>
        <v>4.1052124687857637E-6</v>
      </c>
      <c r="M2">
        <f>Calculation!$B$31</f>
        <v>4.1052124687857637E-6</v>
      </c>
      <c r="N2">
        <f>Calculation!$B$31</f>
        <v>4.1052124687857637E-6</v>
      </c>
      <c r="O2">
        <f>Calculation!$B$31</f>
        <v>4.1052124687857637E-6</v>
      </c>
      <c r="P2">
        <f>Calculation!$B$31</f>
        <v>4.1052124687857637E-6</v>
      </c>
      <c r="Q2">
        <f>Calculation!$B$31</f>
        <v>4.1052124687857637E-6</v>
      </c>
      <c r="R2">
        <f>Calculation!$B$31</f>
        <v>4.1052124687857637E-6</v>
      </c>
      <c r="S2">
        <f>Calculation!$B$31</f>
        <v>4.1052124687857637E-6</v>
      </c>
      <c r="T2">
        <f>Calculation!$B$31</f>
        <v>4.1052124687857637E-6</v>
      </c>
      <c r="U2">
        <f>Calculation!$B$31</f>
        <v>4.1052124687857637E-6</v>
      </c>
      <c r="V2">
        <f>Calculation!$B$31</f>
        <v>4.1052124687857637E-6</v>
      </c>
      <c r="W2">
        <f>Calculation!$B$31</f>
        <v>4.1052124687857637E-6</v>
      </c>
      <c r="X2">
        <f>Calculation!$B$31</f>
        <v>4.1052124687857637E-6</v>
      </c>
      <c r="Y2">
        <f>Calculation!$B$31</f>
        <v>4.1052124687857637E-6</v>
      </c>
      <c r="Z2">
        <f>Calculation!$B$31</f>
        <v>4.1052124687857637E-6</v>
      </c>
      <c r="AA2">
        <f>Calculation!$B$31</f>
        <v>4.1052124687857637E-6</v>
      </c>
      <c r="AB2">
        <f>Calculation!$B$31</f>
        <v>4.1052124687857637E-6</v>
      </c>
      <c r="AC2">
        <f>Calculation!$B$31</f>
        <v>4.1052124687857637E-6</v>
      </c>
      <c r="AD2">
        <f>Calculation!$B$31</f>
        <v>4.1052124687857637E-6</v>
      </c>
      <c r="AE2">
        <f>Calculation!$B$31</f>
        <v>4.1052124687857637E-6</v>
      </c>
      <c r="AF2">
        <f>Calculation!$B$31</f>
        <v>4.1052124687857637E-6</v>
      </c>
      <c r="AG2">
        <f>Calculation!$B$31</f>
        <v>4.1052124687857637E-6</v>
      </c>
    </row>
    <row r="3" spans="1:33" ht="15" customHeight="1" x14ac:dyDescent="0.3">
      <c r="A3" t="s">
        <v>55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</row>
    <row r="4" spans="1:33" ht="15" customHeight="1" x14ac:dyDescent="0.3">
      <c r="A4" t="s">
        <v>56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</row>
    <row r="5" spans="1:33" ht="15" customHeight="1" x14ac:dyDescent="0.3">
      <c r="A5" t="s">
        <v>57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ht="15" customHeight="1" x14ac:dyDescent="0.3">
      <c r="A6" t="s">
        <v>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ht="15" customHeight="1" x14ac:dyDescent="0.3">
      <c r="A7" t="s">
        <v>59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ht="15" customHeight="1" x14ac:dyDescent="0.3">
      <c r="A8" t="s">
        <v>60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ht="15" customHeight="1" x14ac:dyDescent="0.3">
      <c r="A9" t="s">
        <v>61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ht="15" customHeight="1" x14ac:dyDescent="0.3">
      <c r="A10" t="s">
        <v>62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</row>
    <row r="11" spans="1:33" ht="15" customHeight="1" x14ac:dyDescent="0.3">
      <c r="A11" t="s">
        <v>63</v>
      </c>
      <c r="B11" s="12">
        <f>Calculation!$B$13</f>
        <v>8.1337630999305873E-7</v>
      </c>
      <c r="C11" s="12">
        <f>Calculation!$B$13</f>
        <v>8.1337630999305873E-7</v>
      </c>
      <c r="D11" s="12">
        <f>Calculation!$B$13</f>
        <v>8.1337630999305873E-7</v>
      </c>
      <c r="E11" s="12">
        <f>Calculation!$B$13</f>
        <v>8.1337630999305873E-7</v>
      </c>
      <c r="F11" s="12">
        <f>Calculation!$B$13</f>
        <v>8.1337630999305873E-7</v>
      </c>
      <c r="G11" s="12">
        <f>Calculation!$B$13</f>
        <v>8.1337630999305873E-7</v>
      </c>
      <c r="H11" s="12">
        <f>Calculation!$B$13</f>
        <v>8.1337630999305873E-7</v>
      </c>
      <c r="I11" s="12">
        <f>Calculation!$B$13</f>
        <v>8.1337630999305873E-7</v>
      </c>
      <c r="J11" s="12">
        <f>Calculation!$B$13</f>
        <v>8.1337630999305873E-7</v>
      </c>
      <c r="K11" s="12">
        <f>Calculation!$B$13</f>
        <v>8.1337630999305873E-7</v>
      </c>
      <c r="L11" s="12">
        <f>Calculation!$B$13</f>
        <v>8.1337630999305873E-7</v>
      </c>
      <c r="M11" s="12">
        <f>Calculation!$B$13</f>
        <v>8.1337630999305873E-7</v>
      </c>
      <c r="N11" s="12">
        <f>Calculation!$B$13</f>
        <v>8.1337630999305873E-7</v>
      </c>
      <c r="O11" s="12">
        <f>Calculation!$B$13</f>
        <v>8.1337630999305873E-7</v>
      </c>
      <c r="P11" s="12">
        <f>Calculation!$B$13</f>
        <v>8.1337630999305873E-7</v>
      </c>
      <c r="Q11" s="12">
        <f>Calculation!$B$13</f>
        <v>8.1337630999305873E-7</v>
      </c>
      <c r="R11" s="12">
        <f>Calculation!$B$13</f>
        <v>8.1337630999305873E-7</v>
      </c>
      <c r="S11" s="12">
        <f>Calculation!$B$13</f>
        <v>8.1337630999305873E-7</v>
      </c>
      <c r="T11" s="12">
        <f>Calculation!$B$13</f>
        <v>8.1337630999305873E-7</v>
      </c>
      <c r="U11" s="12">
        <f>Calculation!$B$13</f>
        <v>8.1337630999305873E-7</v>
      </c>
      <c r="V11" s="12">
        <f>Calculation!$B$13</f>
        <v>8.1337630999305873E-7</v>
      </c>
      <c r="W11" s="12">
        <f>Calculation!$B$13</f>
        <v>8.1337630999305873E-7</v>
      </c>
      <c r="X11" s="12">
        <f>Calculation!$B$13</f>
        <v>8.1337630999305873E-7</v>
      </c>
      <c r="Y11" s="12">
        <f>Calculation!$B$13</f>
        <v>8.1337630999305873E-7</v>
      </c>
      <c r="Z11" s="12">
        <f>Calculation!$B$13</f>
        <v>8.1337630999305873E-7</v>
      </c>
      <c r="AA11" s="12">
        <f>Calculation!$B$13</f>
        <v>8.1337630999305873E-7</v>
      </c>
      <c r="AB11" s="12">
        <f>Calculation!$B$13</f>
        <v>8.1337630999305873E-7</v>
      </c>
      <c r="AC11" s="12">
        <f>Calculation!$B$13</f>
        <v>8.1337630999305873E-7</v>
      </c>
      <c r="AD11" s="12">
        <f>Calculation!$B$13</f>
        <v>8.1337630999305873E-7</v>
      </c>
      <c r="AE11" s="12">
        <f>Calculation!$B$13</f>
        <v>8.1337630999305873E-7</v>
      </c>
      <c r="AF11" s="12">
        <f>Calculation!$B$13</f>
        <v>8.1337630999305873E-7</v>
      </c>
      <c r="AG11" s="12">
        <f>Calculation!$B$13</f>
        <v>8.1337630999305873E-7</v>
      </c>
    </row>
    <row r="12" spans="1:33" ht="15" customHeight="1" x14ac:dyDescent="0.3">
      <c r="A12" t="s">
        <v>64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ht="15" customHeight="1" x14ac:dyDescent="0.3">
      <c r="A13" t="s">
        <v>65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ht="15" customHeight="1" x14ac:dyDescent="0.3">
      <c r="A14" t="s">
        <v>66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</row>
    <row r="15" spans="1:33" ht="15" customHeight="1" x14ac:dyDescent="0.3">
      <c r="A15" t="s">
        <v>67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ht="15" customHeight="1" x14ac:dyDescent="0.3">
      <c r="A16" t="s">
        <v>68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ht="15" customHeight="1" x14ac:dyDescent="0.3">
      <c r="A17" t="s">
        <v>69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</row>
    <row r="18" spans="1:33" ht="15" customHeight="1" x14ac:dyDescent="0.3">
      <c r="A18" t="s">
        <v>70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</row>
    <row r="19" spans="1:33" ht="15" customHeight="1" x14ac:dyDescent="0.3">
      <c r="A19" t="s">
        <v>71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</row>
    <row r="20" spans="1:33" ht="15" customHeight="1" x14ac:dyDescent="0.3">
      <c r="A20" t="s">
        <v>72</v>
      </c>
      <c r="B20">
        <f>Calculation!$B$22</f>
        <v>1.0144521749493104E-5</v>
      </c>
      <c r="C20">
        <f>Calculation!$B$22</f>
        <v>1.0144521749493104E-5</v>
      </c>
      <c r="D20">
        <f>Calculation!$B$22</f>
        <v>1.0144521749493104E-5</v>
      </c>
      <c r="E20">
        <f>Calculation!$B$22</f>
        <v>1.0144521749493104E-5</v>
      </c>
      <c r="F20">
        <f>Calculation!$B$22</f>
        <v>1.0144521749493104E-5</v>
      </c>
      <c r="G20">
        <f>Calculation!$B$22</f>
        <v>1.0144521749493104E-5</v>
      </c>
      <c r="H20">
        <f>Calculation!$B$22</f>
        <v>1.0144521749493104E-5</v>
      </c>
      <c r="I20">
        <f>Calculation!$B$22</f>
        <v>1.0144521749493104E-5</v>
      </c>
      <c r="J20">
        <f>Calculation!$B$22</f>
        <v>1.0144521749493104E-5</v>
      </c>
      <c r="K20">
        <f>Calculation!$B$22</f>
        <v>1.0144521749493104E-5</v>
      </c>
      <c r="L20">
        <f>Calculation!$B$22</f>
        <v>1.0144521749493104E-5</v>
      </c>
      <c r="M20">
        <f>Calculation!$B$22</f>
        <v>1.0144521749493104E-5</v>
      </c>
      <c r="N20">
        <f>Calculation!$B$22</f>
        <v>1.0144521749493104E-5</v>
      </c>
      <c r="O20">
        <f>Calculation!$B$22</f>
        <v>1.0144521749493104E-5</v>
      </c>
      <c r="P20">
        <f>Calculation!$B$22</f>
        <v>1.0144521749493104E-5</v>
      </c>
      <c r="Q20">
        <f>Calculation!$B$22</f>
        <v>1.0144521749493104E-5</v>
      </c>
      <c r="R20">
        <f>Calculation!$B$22</f>
        <v>1.0144521749493104E-5</v>
      </c>
      <c r="S20">
        <f>Calculation!$B$22</f>
        <v>1.0144521749493104E-5</v>
      </c>
      <c r="T20">
        <f>Calculation!$B$22</f>
        <v>1.0144521749493104E-5</v>
      </c>
      <c r="U20">
        <f>Calculation!$B$22</f>
        <v>1.0144521749493104E-5</v>
      </c>
      <c r="V20">
        <f>Calculation!$B$22</f>
        <v>1.0144521749493104E-5</v>
      </c>
      <c r="W20">
        <f>Calculation!$B$22</f>
        <v>1.0144521749493104E-5</v>
      </c>
      <c r="X20">
        <f>Calculation!$B$22</f>
        <v>1.0144521749493104E-5</v>
      </c>
      <c r="Y20">
        <f>Calculation!$B$22</f>
        <v>1.0144521749493104E-5</v>
      </c>
      <c r="Z20">
        <f>Calculation!$B$22</f>
        <v>1.0144521749493104E-5</v>
      </c>
      <c r="AA20">
        <f>Calculation!$B$22</f>
        <v>1.0144521749493104E-5</v>
      </c>
      <c r="AB20">
        <f>Calculation!$B$22</f>
        <v>1.0144521749493104E-5</v>
      </c>
      <c r="AC20">
        <f>Calculation!$B$22</f>
        <v>1.0144521749493104E-5</v>
      </c>
      <c r="AD20">
        <f>Calculation!$B$22</f>
        <v>1.0144521749493104E-5</v>
      </c>
      <c r="AE20">
        <f>Calculation!$B$22</f>
        <v>1.0144521749493104E-5</v>
      </c>
      <c r="AF20">
        <f>Calculation!$B$22</f>
        <v>1.0144521749493104E-5</v>
      </c>
      <c r="AG20">
        <f>Calculation!$B$22</f>
        <v>1.0144521749493104E-5</v>
      </c>
    </row>
    <row r="21" spans="1:33" ht="15" customHeight="1" x14ac:dyDescent="0.3">
      <c r="A21" t="s">
        <v>73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 ht="15" customHeight="1" x14ac:dyDescent="0.3">
      <c r="A22" s="13" t="s">
        <v>74</v>
      </c>
      <c r="B22">
        <v>0</v>
      </c>
      <c r="C2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52" ht="14.4" x14ac:dyDescent="0.3"/>
    <row r="53" ht="14.4" x14ac:dyDescent="0.3"/>
    <row r="54" ht="14.4" x14ac:dyDescent="0.3"/>
    <row r="55" ht="14.4" x14ac:dyDescent="0.3"/>
    <row r="56" ht="14.4" x14ac:dyDescent="0.3"/>
    <row r="57" ht="14.4" x14ac:dyDescent="0.3"/>
    <row r="58" ht="14.4" x14ac:dyDescent="0.3"/>
    <row r="59" ht="14.4" x14ac:dyDescent="0.3"/>
    <row r="60" ht="14.4" x14ac:dyDescent="0.3"/>
    <row r="61" ht="14.4" x14ac:dyDescent="0.3"/>
    <row r="62" ht="14.4" x14ac:dyDescent="0.3"/>
    <row r="63" ht="14.4" x14ac:dyDescent="0.3"/>
    <row r="64" ht="14.4" x14ac:dyDescent="0.3"/>
    <row r="65" ht="14.4" x14ac:dyDescent="0.3"/>
    <row r="66" ht="14.4" x14ac:dyDescent="0.3"/>
    <row r="67" ht="14.4" x14ac:dyDescent="0.3"/>
    <row r="68" ht="14.4" x14ac:dyDescent="0.3"/>
    <row r="69" ht="14.4" x14ac:dyDescent="0.3"/>
    <row r="70" ht="14.4" x14ac:dyDescent="0.3"/>
    <row r="71" ht="14.4" x14ac:dyDescent="0.3"/>
    <row r="72" ht="14.4" x14ac:dyDescent="0.3"/>
    <row r="73" ht="14.4" x14ac:dyDescent="0.3"/>
    <row r="74" ht="14.4" x14ac:dyDescent="0.3"/>
    <row r="75" ht="14.4" x14ac:dyDescent="0.3"/>
    <row r="76" ht="14.4" x14ac:dyDescent="0.3"/>
    <row r="77" ht="14.4" x14ac:dyDescent="0.3"/>
    <row r="78" ht="14.4" x14ac:dyDescent="0.3"/>
    <row r="79" ht="14.4" x14ac:dyDescent="0.3"/>
    <row r="80" ht="14.4" x14ac:dyDescent="0.3"/>
    <row r="81" ht="14.4" x14ac:dyDescent="0.3"/>
    <row r="82" ht="14.4" x14ac:dyDescent="0.3"/>
    <row r="83" ht="14.4" x14ac:dyDescent="0.3"/>
    <row r="84" ht="14.4" x14ac:dyDescent="0.3"/>
    <row r="85" ht="14.4" x14ac:dyDescent="0.3"/>
    <row r="86" ht="14.4" x14ac:dyDescent="0.3"/>
    <row r="87" ht="14.4" x14ac:dyDescent="0.3"/>
    <row r="88" ht="14.4" x14ac:dyDescent="0.3"/>
    <row r="89" ht="14.4" x14ac:dyDescent="0.3"/>
    <row r="90" ht="14.4" x14ac:dyDescent="0.3"/>
    <row r="91" ht="14.4" x14ac:dyDescent="0.3"/>
    <row r="92" ht="14.4" x14ac:dyDescent="0.3"/>
    <row r="93" ht="14.4" x14ac:dyDescent="0.3"/>
    <row r="94" ht="14.4" x14ac:dyDescent="0.3"/>
    <row r="95" ht="14.4" x14ac:dyDescent="0.3"/>
    <row r="96" ht="14.4" x14ac:dyDescent="0.3"/>
    <row r="97" ht="14.4" x14ac:dyDescent="0.3"/>
    <row r="98" ht="14.4" x14ac:dyDescent="0.3"/>
    <row r="99" ht="14.4" x14ac:dyDescent="0.3"/>
    <row r="100" ht="14.4" x14ac:dyDescent="0.3"/>
    <row r="101" ht="14.4" x14ac:dyDescent="0.3"/>
    <row r="102" ht="14.4" x14ac:dyDescent="0.3"/>
    <row r="103" ht="14.4" x14ac:dyDescent="0.3"/>
    <row r="104" ht="14.4" x14ac:dyDescent="0.3"/>
    <row r="105" ht="14.4" x14ac:dyDescent="0.3"/>
    <row r="106" ht="14.4" x14ac:dyDescent="0.3"/>
    <row r="107" ht="14.4" x14ac:dyDescent="0.3"/>
    <row r="108" ht="14.4" x14ac:dyDescent="0.3"/>
    <row r="109" ht="14.4" x14ac:dyDescent="0.3"/>
    <row r="110" ht="14.4" x14ac:dyDescent="0.3"/>
    <row r="111" ht="14.4" x14ac:dyDescent="0.3"/>
    <row r="112" ht="14.4" x14ac:dyDescent="0.3"/>
    <row r="113" ht="14.4" x14ac:dyDescent="0.3"/>
    <row r="114" ht="14.4" x14ac:dyDescent="0.3"/>
    <row r="115" ht="14.4" x14ac:dyDescent="0.3"/>
    <row r="116" ht="14.4" x14ac:dyDescent="0.3"/>
    <row r="117" ht="14.4" x14ac:dyDescent="0.3"/>
    <row r="118" ht="14.4" x14ac:dyDescent="0.3"/>
    <row r="119" ht="14.4" x14ac:dyDescent="0.3"/>
    <row r="120" ht="14.4" x14ac:dyDescent="0.3"/>
    <row r="121" ht="14.4" x14ac:dyDescent="0.3"/>
    <row r="122" ht="14.4" x14ac:dyDescent="0.3"/>
    <row r="123" ht="14.4" x14ac:dyDescent="0.3"/>
    <row r="124" ht="14.4" x14ac:dyDescent="0.3"/>
    <row r="125" ht="14.4" x14ac:dyDescent="0.3"/>
    <row r="126" ht="14.4" x14ac:dyDescent="0.3"/>
    <row r="127" ht="14.4" x14ac:dyDescent="0.3"/>
    <row r="128" ht="14.4" x14ac:dyDescent="0.3"/>
    <row r="129" ht="14.4" x14ac:dyDescent="0.3"/>
    <row r="130" ht="14.4" x14ac:dyDescent="0.3"/>
    <row r="131" ht="14.4" x14ac:dyDescent="0.3"/>
    <row r="132" ht="14.4" x14ac:dyDescent="0.3"/>
    <row r="133" ht="14.4" x14ac:dyDescent="0.3"/>
    <row r="134" ht="14.4" x14ac:dyDescent="0.3"/>
    <row r="135" ht="14.4" x14ac:dyDescent="0.3"/>
    <row r="136" ht="14.4" x14ac:dyDescent="0.3"/>
    <row r="137" ht="14.4" x14ac:dyDescent="0.3"/>
    <row r="138" ht="14.4" x14ac:dyDescent="0.3"/>
    <row r="139" ht="14.4" x14ac:dyDescent="0.3"/>
    <row r="140" ht="14.4" x14ac:dyDescent="0.3"/>
    <row r="141" ht="14.4" x14ac:dyDescent="0.3"/>
    <row r="142" ht="14.4" x14ac:dyDescent="0.3"/>
    <row r="143" ht="14.4" x14ac:dyDescent="0.3"/>
    <row r="144" ht="14.4" x14ac:dyDescent="0.3"/>
    <row r="145" ht="14.4" x14ac:dyDescent="0.3"/>
    <row r="146" ht="14.4" x14ac:dyDescent="0.3"/>
    <row r="147" ht="14.4" x14ac:dyDescent="0.3"/>
    <row r="148" ht="14.4" x14ac:dyDescent="0.3"/>
    <row r="149" ht="14.4" x14ac:dyDescent="0.3"/>
    <row r="150" ht="14.4" x14ac:dyDescent="0.3"/>
    <row r="151" ht="14.4" x14ac:dyDescent="0.3"/>
    <row r="152" ht="14.4" x14ac:dyDescent="0.3"/>
    <row r="153" ht="14.4" x14ac:dyDescent="0.3"/>
    <row r="154" ht="14.4" x14ac:dyDescent="0.3"/>
    <row r="155" ht="14.4" x14ac:dyDescent="0.3"/>
    <row r="156" ht="14.4" x14ac:dyDescent="0.3"/>
    <row r="157" ht="14.4" x14ac:dyDescent="0.3"/>
    <row r="158" ht="14.4" x14ac:dyDescent="0.3"/>
    <row r="159" ht="14.4" x14ac:dyDescent="0.3"/>
    <row r="160" ht="14.4" x14ac:dyDescent="0.3"/>
    <row r="161" ht="14.4" x14ac:dyDescent="0.3"/>
    <row r="162" ht="14.4" x14ac:dyDescent="0.3"/>
    <row r="163" ht="14.4" x14ac:dyDescent="0.3"/>
    <row r="164" ht="14.4" x14ac:dyDescent="0.3"/>
    <row r="165" ht="14.4" x14ac:dyDescent="0.3"/>
    <row r="166" ht="14.4" x14ac:dyDescent="0.3"/>
    <row r="167" ht="14.4" x14ac:dyDescent="0.3"/>
    <row r="168" ht="14.4" x14ac:dyDescent="0.3"/>
    <row r="169" ht="14.4" x14ac:dyDescent="0.3"/>
    <row r="170" ht="14.4" x14ac:dyDescent="0.3"/>
    <row r="171" ht="14.4" x14ac:dyDescent="0.3"/>
    <row r="172" ht="14.4" x14ac:dyDescent="0.3"/>
    <row r="173" ht="14.4" x14ac:dyDescent="0.3"/>
    <row r="174" ht="14.4" x14ac:dyDescent="0.3"/>
    <row r="175" ht="14.4" x14ac:dyDescent="0.3"/>
    <row r="176" ht="14.4" x14ac:dyDescent="0.3"/>
    <row r="177" ht="14.4" x14ac:dyDescent="0.3"/>
    <row r="178" ht="14.4" x14ac:dyDescent="0.3"/>
    <row r="179" ht="14.4" x14ac:dyDescent="0.3"/>
    <row r="180" ht="14.4" x14ac:dyDescent="0.3"/>
    <row r="181" ht="14.4" x14ac:dyDescent="0.3"/>
    <row r="182" ht="14.4" x14ac:dyDescent="0.3"/>
    <row r="183" ht="14.4" x14ac:dyDescent="0.3"/>
    <row r="184" ht="14.4" x14ac:dyDescent="0.3"/>
    <row r="185" ht="14.4" x14ac:dyDescent="0.3"/>
    <row r="186" ht="14.4" x14ac:dyDescent="0.3"/>
    <row r="187" ht="14.4" x14ac:dyDescent="0.3"/>
    <row r="188" ht="14.4" x14ac:dyDescent="0.3"/>
    <row r="189" ht="14.4" x14ac:dyDescent="0.3"/>
    <row r="190" ht="14.4" x14ac:dyDescent="0.3"/>
    <row r="191" ht="14.4" x14ac:dyDescent="0.3"/>
    <row r="192" ht="14.4" x14ac:dyDescent="0.3"/>
    <row r="193" ht="14.4" x14ac:dyDescent="0.3"/>
    <row r="194" ht="14.4" x14ac:dyDescent="0.3"/>
    <row r="195" ht="14.4" x14ac:dyDescent="0.3"/>
    <row r="196" ht="14.4" x14ac:dyDescent="0.3"/>
    <row r="197" ht="14.4" x14ac:dyDescent="0.3"/>
    <row r="198" ht="14.4" x14ac:dyDescent="0.3"/>
    <row r="199" ht="14.4" x14ac:dyDescent="0.3"/>
    <row r="200" ht="14.4" x14ac:dyDescent="0.3"/>
    <row r="201" ht="14.4" x14ac:dyDescent="0.3"/>
    <row r="202" ht="14.4" x14ac:dyDescent="0.3"/>
    <row r="203" ht="14.4" x14ac:dyDescent="0.3"/>
    <row r="204" ht="14.4" x14ac:dyDescent="0.3"/>
    <row r="205" ht="14.4" x14ac:dyDescent="0.3"/>
    <row r="206" ht="14.4" x14ac:dyDescent="0.3"/>
    <row r="207" ht="14.4" x14ac:dyDescent="0.3"/>
    <row r="208" ht="14.4" x14ac:dyDescent="0.3"/>
    <row r="209" ht="14.4" x14ac:dyDescent="0.3"/>
    <row r="210" ht="14.4" x14ac:dyDescent="0.3"/>
    <row r="211" ht="14.4" x14ac:dyDescent="0.3"/>
    <row r="212" ht="14.4" x14ac:dyDescent="0.3"/>
    <row r="213" ht="14.4" x14ac:dyDescent="0.3"/>
    <row r="214" ht="14.4" x14ac:dyDescent="0.3"/>
    <row r="215" ht="14.4" x14ac:dyDescent="0.3"/>
    <row r="216" ht="14.4" x14ac:dyDescent="0.3"/>
    <row r="217" ht="14.4" x14ac:dyDescent="0.3"/>
    <row r="218" ht="14.4" x14ac:dyDescent="0.3"/>
    <row r="219" ht="14.4" x14ac:dyDescent="0.3"/>
    <row r="220" ht="14.4" x14ac:dyDescent="0.3"/>
    <row r="221" ht="14.4" x14ac:dyDescent="0.3"/>
    <row r="222" ht="14.4" x14ac:dyDescent="0.3"/>
    <row r="223" ht="14.4" x14ac:dyDescent="0.3"/>
    <row r="224" ht="14.4" x14ac:dyDescent="0.3"/>
    <row r="225" ht="14.4" x14ac:dyDescent="0.3"/>
    <row r="226" ht="14.4" x14ac:dyDescent="0.3"/>
    <row r="227" ht="14.4" x14ac:dyDescent="0.3"/>
    <row r="228" ht="14.4" x14ac:dyDescent="0.3"/>
    <row r="229" ht="14.4" x14ac:dyDescent="0.3"/>
    <row r="230" ht="14.4" x14ac:dyDescent="0.3"/>
    <row r="231" ht="14.4" x14ac:dyDescent="0.3"/>
    <row r="232" ht="14.4" x14ac:dyDescent="0.3"/>
    <row r="233" ht="14.4" x14ac:dyDescent="0.3"/>
    <row r="234" ht="14.4" x14ac:dyDescent="0.3"/>
    <row r="235" ht="14.4" x14ac:dyDescent="0.3"/>
    <row r="236" ht="14.4" x14ac:dyDescent="0.3"/>
    <row r="237" ht="14.4" x14ac:dyDescent="0.3"/>
    <row r="238" ht="14.4" x14ac:dyDescent="0.3"/>
    <row r="239" ht="14.4" x14ac:dyDescent="0.3"/>
    <row r="240" ht="14.4" x14ac:dyDescent="0.3"/>
    <row r="241" ht="14.4" x14ac:dyDescent="0.3"/>
    <row r="242" ht="14.4" x14ac:dyDescent="0.3"/>
    <row r="243" ht="14.4" x14ac:dyDescent="0.3"/>
    <row r="244" ht="14.4" x14ac:dyDescent="0.3"/>
    <row r="245" ht="14.4" x14ac:dyDescent="0.3"/>
    <row r="246" ht="14.4" x14ac:dyDescent="0.3"/>
    <row r="247" ht="14.4" x14ac:dyDescent="0.3"/>
    <row r="248" ht="14.4" x14ac:dyDescent="0.3"/>
    <row r="249" ht="14.4" x14ac:dyDescent="0.3"/>
    <row r="250" ht="14.4" x14ac:dyDescent="0.3"/>
    <row r="251" ht="14.4" x14ac:dyDescent="0.3"/>
    <row r="252" ht="14.4" x14ac:dyDescent="0.3"/>
    <row r="253" ht="14.4" x14ac:dyDescent="0.3"/>
    <row r="254" ht="14.4" x14ac:dyDescent="0.3"/>
    <row r="255" ht="14.4" x14ac:dyDescent="0.3"/>
    <row r="256" ht="14.4" x14ac:dyDescent="0.3"/>
    <row r="257" ht="14.4" x14ac:dyDescent="0.3"/>
    <row r="258" ht="14.4" x14ac:dyDescent="0.3"/>
    <row r="259" ht="14.4" x14ac:dyDescent="0.3"/>
    <row r="260" ht="14.4" x14ac:dyDescent="0.3"/>
    <row r="261" ht="14.4" x14ac:dyDescent="0.3"/>
    <row r="262" ht="14.4" x14ac:dyDescent="0.3"/>
    <row r="263" ht="14.4" x14ac:dyDescent="0.3"/>
    <row r="264" ht="14.4" x14ac:dyDescent="0.3"/>
    <row r="265" ht="14.4" x14ac:dyDescent="0.3"/>
    <row r="266" ht="14.4" x14ac:dyDescent="0.3"/>
    <row r="267" ht="14.4" x14ac:dyDescent="0.3"/>
    <row r="268" ht="14.4" x14ac:dyDescent="0.3"/>
    <row r="269" ht="14.4" x14ac:dyDescent="0.3"/>
    <row r="270" ht="14.4" x14ac:dyDescent="0.3"/>
    <row r="271" ht="14.4" x14ac:dyDescent="0.3"/>
    <row r="272" ht="14.4" x14ac:dyDescent="0.3"/>
    <row r="273" ht="14.4" x14ac:dyDescent="0.3"/>
    <row r="274" ht="14.4" x14ac:dyDescent="0.3"/>
    <row r="275" ht="14.4" x14ac:dyDescent="0.3"/>
    <row r="276" ht="14.4" x14ac:dyDescent="0.3"/>
    <row r="277" ht="14.4" x14ac:dyDescent="0.3"/>
    <row r="278" ht="14.4" x14ac:dyDescent="0.3"/>
    <row r="279" ht="14.4" x14ac:dyDescent="0.3"/>
    <row r="280" ht="14.4" x14ac:dyDescent="0.3"/>
    <row r="281" ht="14.4" x14ac:dyDescent="0.3"/>
    <row r="282" ht="14.4" x14ac:dyDescent="0.3"/>
    <row r="283" ht="14.4" x14ac:dyDescent="0.3"/>
    <row r="284" ht="14.4" x14ac:dyDescent="0.3"/>
    <row r="285" ht="14.4" x14ac:dyDescent="0.3"/>
    <row r="286" ht="14.4" x14ac:dyDescent="0.3"/>
    <row r="287" ht="14.4" x14ac:dyDescent="0.3"/>
    <row r="288" ht="14.4" x14ac:dyDescent="0.3"/>
    <row r="289" ht="14.4" x14ac:dyDescent="0.3"/>
    <row r="290" ht="14.4" x14ac:dyDescent="0.3"/>
    <row r="291" ht="14.4" x14ac:dyDescent="0.3"/>
    <row r="292" ht="14.4" x14ac:dyDescent="0.3"/>
    <row r="293" ht="14.4" x14ac:dyDescent="0.3"/>
    <row r="294" ht="14.4" x14ac:dyDescent="0.3"/>
    <row r="295" ht="14.4" x14ac:dyDescent="0.3"/>
    <row r="296" ht="14.4" x14ac:dyDescent="0.3"/>
    <row r="297" ht="14.4" x14ac:dyDescent="0.3"/>
    <row r="298" ht="14.4" x14ac:dyDescent="0.3"/>
    <row r="299" ht="14.4" x14ac:dyDescent="0.3"/>
    <row r="300" ht="14.4" x14ac:dyDescent="0.3"/>
    <row r="301" ht="14.4" x14ac:dyDescent="0.3"/>
    <row r="302" ht="14.4" x14ac:dyDescent="0.3"/>
    <row r="303" ht="14.4" x14ac:dyDescent="0.3"/>
    <row r="304" ht="14.4" x14ac:dyDescent="0.3"/>
    <row r="305" ht="14.4" x14ac:dyDescent="0.3"/>
    <row r="306" ht="14.4" x14ac:dyDescent="0.3"/>
    <row r="307" ht="14.4" x14ac:dyDescent="0.3"/>
    <row r="308" ht="14.4" x14ac:dyDescent="0.3"/>
    <row r="309" ht="14.4" x14ac:dyDescent="0.3"/>
    <row r="310" ht="14.4" x14ac:dyDescent="0.3"/>
    <row r="311" ht="14.4" x14ac:dyDescent="0.3"/>
    <row r="312" ht="14.4" x14ac:dyDescent="0.3"/>
    <row r="313" ht="14.4" x14ac:dyDescent="0.3"/>
    <row r="314" ht="14.4" x14ac:dyDescent="0.3"/>
    <row r="315" ht="14.4" x14ac:dyDescent="0.3"/>
    <row r="316" ht="14.4" x14ac:dyDescent="0.3"/>
    <row r="317" ht="14.4" x14ac:dyDescent="0.3"/>
    <row r="318" ht="14.4" x14ac:dyDescent="0.3"/>
    <row r="319" ht="14.4" x14ac:dyDescent="0.3"/>
    <row r="320" ht="14.4" x14ac:dyDescent="0.3"/>
    <row r="321" ht="14.4" x14ac:dyDescent="0.3"/>
    <row r="322" ht="14.4" x14ac:dyDescent="0.3"/>
    <row r="323" ht="14.4" x14ac:dyDescent="0.3"/>
    <row r="324" ht="14.4" x14ac:dyDescent="0.3"/>
    <row r="325" ht="14.4" x14ac:dyDescent="0.3"/>
    <row r="326" ht="14.4" x14ac:dyDescent="0.3"/>
    <row r="327" ht="14.4" x14ac:dyDescent="0.3"/>
    <row r="328" ht="14.4" x14ac:dyDescent="0.3"/>
    <row r="329" ht="14.4" x14ac:dyDescent="0.3"/>
    <row r="330" ht="14.4" x14ac:dyDescent="0.3"/>
    <row r="331" ht="14.4" x14ac:dyDescent="0.3"/>
    <row r="332" ht="14.4" x14ac:dyDescent="0.3"/>
    <row r="333" ht="14.4" x14ac:dyDescent="0.3"/>
    <row r="334" ht="14.4" x14ac:dyDescent="0.3"/>
    <row r="335" ht="14.4" x14ac:dyDescent="0.3"/>
    <row r="336" ht="14.4" x14ac:dyDescent="0.3"/>
    <row r="337" ht="14.4" x14ac:dyDescent="0.3"/>
    <row r="338" ht="14.4" x14ac:dyDescent="0.3"/>
    <row r="339" ht="14.4" x14ac:dyDescent="0.3"/>
    <row r="340" ht="14.4" x14ac:dyDescent="0.3"/>
    <row r="341" ht="14.4" x14ac:dyDescent="0.3"/>
    <row r="342" ht="14.4" x14ac:dyDescent="0.3"/>
    <row r="343" ht="14.4" x14ac:dyDescent="0.3"/>
    <row r="344" ht="14.4" x14ac:dyDescent="0.3"/>
    <row r="345" ht="14.4" x14ac:dyDescent="0.3"/>
    <row r="346" ht="14.4" x14ac:dyDescent="0.3"/>
    <row r="347" ht="14.4" x14ac:dyDescent="0.3"/>
    <row r="348" ht="14.4" x14ac:dyDescent="0.3"/>
    <row r="349" ht="14.4" x14ac:dyDescent="0.3"/>
    <row r="350" ht="14.4" x14ac:dyDescent="0.3"/>
    <row r="351" ht="14.4" x14ac:dyDescent="0.3"/>
    <row r="352" ht="14.4" x14ac:dyDescent="0.3"/>
    <row r="353" ht="14.4" x14ac:dyDescent="0.3"/>
    <row r="354" ht="14.4" x14ac:dyDescent="0.3"/>
    <row r="355" ht="14.4" x14ac:dyDescent="0.3"/>
    <row r="356" ht="14.4" x14ac:dyDescent="0.3"/>
    <row r="357" ht="14.4" x14ac:dyDescent="0.3"/>
    <row r="358" ht="14.4" x14ac:dyDescent="0.3"/>
    <row r="359" ht="14.4" x14ac:dyDescent="0.3"/>
    <row r="360" ht="14.4" x14ac:dyDescent="0.3"/>
    <row r="361" ht="14.4" x14ac:dyDescent="0.3"/>
    <row r="362" ht="14.4" x14ac:dyDescent="0.3"/>
    <row r="363" ht="14.4" x14ac:dyDescent="0.3"/>
    <row r="364" ht="14.4" x14ac:dyDescent="0.3"/>
    <row r="365" ht="14.4" x14ac:dyDescent="0.3"/>
    <row r="366" ht="14.4" x14ac:dyDescent="0.3"/>
    <row r="367" ht="14.4" x14ac:dyDescent="0.3"/>
    <row r="368" ht="14.4" x14ac:dyDescent="0.3"/>
    <row r="369" ht="14.4" x14ac:dyDescent="0.3"/>
    <row r="370" ht="14.4" x14ac:dyDescent="0.3"/>
    <row r="371" ht="14.4" x14ac:dyDescent="0.3"/>
    <row r="372" ht="14.4" x14ac:dyDescent="0.3"/>
    <row r="373" ht="14.4" x14ac:dyDescent="0.3"/>
    <row r="374" ht="14.4" x14ac:dyDescent="0.3"/>
    <row r="375" ht="14.4" x14ac:dyDescent="0.3"/>
    <row r="376" ht="14.4" x14ac:dyDescent="0.3"/>
    <row r="377" ht="14.4" x14ac:dyDescent="0.3"/>
    <row r="378" ht="14.4" x14ac:dyDescent="0.3"/>
    <row r="379" ht="14.4" x14ac:dyDescent="0.3"/>
    <row r="380" ht="14.4" x14ac:dyDescent="0.3"/>
    <row r="381" ht="14.4" x14ac:dyDescent="0.3"/>
    <row r="382" ht="14.4" x14ac:dyDescent="0.3"/>
    <row r="383" ht="14.4" x14ac:dyDescent="0.3"/>
    <row r="384" ht="14.4" x14ac:dyDescent="0.3"/>
    <row r="385" ht="14.4" x14ac:dyDescent="0.3"/>
    <row r="386" ht="14.4" x14ac:dyDescent="0.3"/>
    <row r="387" ht="14.4" x14ac:dyDescent="0.3"/>
    <row r="388" ht="14.4" x14ac:dyDescent="0.3"/>
    <row r="389" ht="14.4" x14ac:dyDescent="0.3"/>
    <row r="390" ht="14.4" x14ac:dyDescent="0.3"/>
    <row r="391" ht="14.4" x14ac:dyDescent="0.3"/>
    <row r="392" ht="14.4" x14ac:dyDescent="0.3"/>
    <row r="393" ht="14.4" x14ac:dyDescent="0.3"/>
    <row r="394" ht="14.4" x14ac:dyDescent="0.3"/>
    <row r="395" ht="14.4" x14ac:dyDescent="0.3"/>
    <row r="396" ht="14.4" x14ac:dyDescent="0.3"/>
    <row r="397" ht="14.4" x14ac:dyDescent="0.3"/>
    <row r="398" ht="14.4" x14ac:dyDescent="0.3"/>
    <row r="399" ht="14.4" x14ac:dyDescent="0.3"/>
    <row r="400" ht="14.4" x14ac:dyDescent="0.3"/>
    <row r="401" ht="14.4" x14ac:dyDescent="0.3"/>
    <row r="402" ht="14.4" x14ac:dyDescent="0.3"/>
    <row r="403" ht="14.4" x14ac:dyDescent="0.3"/>
    <row r="404" ht="14.4" x14ac:dyDescent="0.3"/>
    <row r="405" ht="14.4" x14ac:dyDescent="0.3"/>
    <row r="406" ht="14.4" x14ac:dyDescent="0.3"/>
    <row r="407" ht="14.4" x14ac:dyDescent="0.3"/>
    <row r="408" ht="14.4" x14ac:dyDescent="0.3"/>
    <row r="409" ht="14.4" x14ac:dyDescent="0.3"/>
    <row r="410" ht="14.4" x14ac:dyDescent="0.3"/>
    <row r="411" ht="14.4" x14ac:dyDescent="0.3"/>
    <row r="412" ht="14.4" x14ac:dyDescent="0.3"/>
    <row r="413" ht="14.4" x14ac:dyDescent="0.3"/>
    <row r="414" ht="14.4" x14ac:dyDescent="0.3"/>
    <row r="415" ht="14.4" x14ac:dyDescent="0.3"/>
    <row r="416" ht="14.4" x14ac:dyDescent="0.3"/>
    <row r="417" ht="14.4" x14ac:dyDescent="0.3"/>
    <row r="418" ht="14.4" x14ac:dyDescent="0.3"/>
    <row r="419" ht="14.4" x14ac:dyDescent="0.3"/>
    <row r="420" ht="14.4" x14ac:dyDescent="0.3"/>
    <row r="421" ht="14.4" x14ac:dyDescent="0.3"/>
    <row r="422" ht="14.4" x14ac:dyDescent="0.3"/>
    <row r="423" ht="14.4" x14ac:dyDescent="0.3"/>
    <row r="424" ht="14.4" x14ac:dyDescent="0.3"/>
    <row r="425" ht="14.4" x14ac:dyDescent="0.3"/>
    <row r="426" ht="14.4" x14ac:dyDescent="0.3"/>
    <row r="427" ht="14.4" x14ac:dyDescent="0.3"/>
    <row r="428" ht="14.4" x14ac:dyDescent="0.3"/>
    <row r="429" ht="14.4" x14ac:dyDescent="0.3"/>
    <row r="430" ht="14.4" x14ac:dyDescent="0.3"/>
    <row r="431" ht="14.4" x14ac:dyDescent="0.3"/>
    <row r="432" ht="14.4" x14ac:dyDescent="0.3"/>
    <row r="433" ht="14.4" x14ac:dyDescent="0.3"/>
    <row r="434" ht="14.4" x14ac:dyDescent="0.3"/>
    <row r="435" ht="14.4" x14ac:dyDescent="0.3"/>
    <row r="436" ht="14.4" x14ac:dyDescent="0.3"/>
    <row r="437" ht="14.4" x14ac:dyDescent="0.3"/>
    <row r="438" ht="14.4" x14ac:dyDescent="0.3"/>
    <row r="439" ht="14.4" x14ac:dyDescent="0.3"/>
    <row r="440" ht="14.4" x14ac:dyDescent="0.3"/>
    <row r="441" ht="14.4" x14ac:dyDescent="0.3"/>
    <row r="442" ht="14.4" x14ac:dyDescent="0.3"/>
    <row r="443" ht="14.4" x14ac:dyDescent="0.3"/>
    <row r="444" ht="14.4" x14ac:dyDescent="0.3"/>
    <row r="445" ht="14.4" x14ac:dyDescent="0.3"/>
    <row r="446" ht="14.4" x14ac:dyDescent="0.3"/>
    <row r="447" ht="14.4" x14ac:dyDescent="0.3"/>
    <row r="448" ht="14.4" x14ac:dyDescent="0.3"/>
    <row r="449" ht="14.4" x14ac:dyDescent="0.3"/>
    <row r="450" ht="14.4" x14ac:dyDescent="0.3"/>
    <row r="451" ht="14.4" x14ac:dyDescent="0.3"/>
    <row r="452" ht="14.4" x14ac:dyDescent="0.3"/>
    <row r="453" ht="14.4" x14ac:dyDescent="0.3"/>
    <row r="454" ht="14.4" x14ac:dyDescent="0.3"/>
    <row r="455" ht="14.4" x14ac:dyDescent="0.3"/>
    <row r="456" ht="14.4" x14ac:dyDescent="0.3"/>
    <row r="457" ht="14.4" x14ac:dyDescent="0.3"/>
    <row r="458" ht="14.4" x14ac:dyDescent="0.3"/>
    <row r="459" ht="14.4" x14ac:dyDescent="0.3"/>
    <row r="460" ht="14.4" x14ac:dyDescent="0.3"/>
    <row r="461" ht="14.4" x14ac:dyDescent="0.3"/>
    <row r="462" ht="14.4" x14ac:dyDescent="0.3"/>
    <row r="463" ht="14.4" x14ac:dyDescent="0.3"/>
    <row r="464" ht="14.4" x14ac:dyDescent="0.3"/>
    <row r="465" ht="14.4" x14ac:dyDescent="0.3"/>
    <row r="466" ht="14.4" x14ac:dyDescent="0.3"/>
    <row r="467" ht="14.4" x14ac:dyDescent="0.3"/>
    <row r="468" ht="14.4" x14ac:dyDescent="0.3"/>
    <row r="469" ht="14.4" x14ac:dyDescent="0.3"/>
    <row r="470" ht="14.4" x14ac:dyDescent="0.3"/>
    <row r="471" ht="14.4" x14ac:dyDescent="0.3"/>
    <row r="472" ht="14.4" x14ac:dyDescent="0.3"/>
    <row r="473" ht="14.4" x14ac:dyDescent="0.3"/>
    <row r="474" ht="14.4" x14ac:dyDescent="0.3"/>
    <row r="475" ht="14.4" x14ac:dyDescent="0.3"/>
    <row r="476" ht="14.4" x14ac:dyDescent="0.3"/>
    <row r="477" ht="14.4" x14ac:dyDescent="0.3"/>
    <row r="478" ht="14.4" x14ac:dyDescent="0.3"/>
    <row r="479" ht="14.4" x14ac:dyDescent="0.3"/>
    <row r="480" ht="14.4" x14ac:dyDescent="0.3"/>
    <row r="481" ht="14.4" x14ac:dyDescent="0.3"/>
    <row r="482" ht="14.4" x14ac:dyDescent="0.3"/>
    <row r="483" ht="14.4" x14ac:dyDescent="0.3"/>
    <row r="484" ht="14.4" x14ac:dyDescent="0.3"/>
    <row r="485" ht="14.4" x14ac:dyDescent="0.3"/>
    <row r="486" ht="14.4" x14ac:dyDescent="0.3"/>
    <row r="487" ht="14.4" x14ac:dyDescent="0.3"/>
    <row r="488" ht="14.4" x14ac:dyDescent="0.3"/>
    <row r="489" ht="14.4" x14ac:dyDescent="0.3"/>
    <row r="490" ht="14.4" x14ac:dyDescent="0.3"/>
    <row r="491" ht="14.4" x14ac:dyDescent="0.3"/>
    <row r="492" ht="14.4" x14ac:dyDescent="0.3"/>
    <row r="493" ht="14.4" x14ac:dyDescent="0.3"/>
    <row r="494" ht="14.4" x14ac:dyDescent="0.3"/>
    <row r="495" ht="14.4" x14ac:dyDescent="0.3"/>
    <row r="496" ht="14.4" x14ac:dyDescent="0.3"/>
    <row r="497" ht="14.4" x14ac:dyDescent="0.3"/>
    <row r="498" ht="14.4" x14ac:dyDescent="0.3"/>
    <row r="499" ht="14.4" x14ac:dyDescent="0.3"/>
    <row r="500" ht="14.4" x14ac:dyDescent="0.3"/>
    <row r="501" ht="14.4" x14ac:dyDescent="0.3"/>
    <row r="502" ht="14.4" x14ac:dyDescent="0.3"/>
    <row r="503" ht="14.4" x14ac:dyDescent="0.3"/>
    <row r="504" ht="14.4" x14ac:dyDescent="0.3"/>
    <row r="505" ht="14.4" x14ac:dyDescent="0.3"/>
    <row r="506" ht="14.4" x14ac:dyDescent="0.3"/>
    <row r="507" ht="14.4" x14ac:dyDescent="0.3"/>
    <row r="508" ht="14.4" x14ac:dyDescent="0.3"/>
    <row r="509" ht="14.4" x14ac:dyDescent="0.3"/>
    <row r="510" ht="14.4" x14ac:dyDescent="0.3"/>
    <row r="511" ht="14.4" x14ac:dyDescent="0.3"/>
    <row r="512" ht="14.4" x14ac:dyDescent="0.3"/>
    <row r="513" ht="14.4" x14ac:dyDescent="0.3"/>
    <row r="514" ht="14.4" x14ac:dyDescent="0.3"/>
    <row r="515" ht="14.4" x14ac:dyDescent="0.3"/>
    <row r="516" ht="14.4" x14ac:dyDescent="0.3"/>
    <row r="517" ht="14.4" x14ac:dyDescent="0.3"/>
    <row r="518" ht="14.4" x14ac:dyDescent="0.3"/>
    <row r="519" ht="14.4" x14ac:dyDescent="0.3"/>
    <row r="520" ht="14.4" x14ac:dyDescent="0.3"/>
    <row r="521" ht="14.4" x14ac:dyDescent="0.3"/>
    <row r="522" ht="14.4" x14ac:dyDescent="0.3"/>
    <row r="523" ht="14.4" x14ac:dyDescent="0.3"/>
    <row r="524" ht="14.4" x14ac:dyDescent="0.3"/>
    <row r="525" ht="14.4" x14ac:dyDescent="0.3"/>
    <row r="526" ht="14.4" x14ac:dyDescent="0.3"/>
    <row r="527" ht="14.4" x14ac:dyDescent="0.3"/>
    <row r="528" ht="14.4" x14ac:dyDescent="0.3"/>
    <row r="529" ht="14.4" x14ac:dyDescent="0.3"/>
    <row r="530" ht="14.4" x14ac:dyDescent="0.3"/>
    <row r="531" ht="14.4" x14ac:dyDescent="0.3"/>
    <row r="532" ht="14.4" x14ac:dyDescent="0.3"/>
    <row r="533" ht="14.4" x14ac:dyDescent="0.3"/>
    <row r="534" ht="14.4" x14ac:dyDescent="0.3"/>
    <row r="535" ht="14.4" x14ac:dyDescent="0.3"/>
    <row r="536" ht="14.4" x14ac:dyDescent="0.3"/>
    <row r="537" ht="14.4" x14ac:dyDescent="0.3"/>
    <row r="538" ht="14.4" x14ac:dyDescent="0.3"/>
    <row r="539" ht="14.4" x14ac:dyDescent="0.3"/>
    <row r="540" ht="14.4" x14ac:dyDescent="0.3"/>
    <row r="541" ht="14.4" x14ac:dyDescent="0.3"/>
    <row r="542" ht="14.4" x14ac:dyDescent="0.3"/>
    <row r="543" ht="14.4" x14ac:dyDescent="0.3"/>
    <row r="544" ht="14.4" x14ac:dyDescent="0.3"/>
    <row r="545" ht="14.4" x14ac:dyDescent="0.3"/>
    <row r="546" ht="14.4" x14ac:dyDescent="0.3"/>
    <row r="547" ht="14.4" x14ac:dyDescent="0.3"/>
    <row r="548" ht="14.4" x14ac:dyDescent="0.3"/>
    <row r="549" ht="14.4" x14ac:dyDescent="0.3"/>
    <row r="550" ht="14.4" x14ac:dyDescent="0.3"/>
    <row r="551" ht="14.4" x14ac:dyDescent="0.3"/>
    <row r="552" ht="14.4" x14ac:dyDescent="0.3"/>
    <row r="553" ht="14.4" x14ac:dyDescent="0.3"/>
    <row r="554" ht="14.4" x14ac:dyDescent="0.3"/>
    <row r="555" ht="14.4" x14ac:dyDescent="0.3"/>
    <row r="556" ht="14.4" x14ac:dyDescent="0.3"/>
    <row r="557" ht="14.4" x14ac:dyDescent="0.3"/>
    <row r="558" ht="14.4" x14ac:dyDescent="0.3"/>
    <row r="559" ht="14.4" x14ac:dyDescent="0.3"/>
    <row r="560" ht="14.4" x14ac:dyDescent="0.3"/>
    <row r="561" ht="14.4" x14ac:dyDescent="0.3"/>
    <row r="562" ht="14.4" x14ac:dyDescent="0.3"/>
    <row r="563" ht="14.4" x14ac:dyDescent="0.3"/>
    <row r="564" ht="14.4" x14ac:dyDescent="0.3"/>
    <row r="565" ht="14.4" x14ac:dyDescent="0.3"/>
    <row r="566" ht="14.4" x14ac:dyDescent="0.3"/>
    <row r="567" ht="14.4" x14ac:dyDescent="0.3"/>
    <row r="568" ht="14.4" x14ac:dyDescent="0.3"/>
    <row r="569" ht="14.4" x14ac:dyDescent="0.3"/>
    <row r="570" ht="14.4" x14ac:dyDescent="0.3"/>
    <row r="571" ht="14.4" x14ac:dyDescent="0.3"/>
    <row r="572" ht="14.4" x14ac:dyDescent="0.3"/>
    <row r="573" ht="14.4" x14ac:dyDescent="0.3"/>
    <row r="574" ht="14.4" x14ac:dyDescent="0.3"/>
    <row r="575" ht="14.4" x14ac:dyDescent="0.3"/>
    <row r="576" ht="14.4" x14ac:dyDescent="0.3"/>
    <row r="577" ht="14.4" x14ac:dyDescent="0.3"/>
    <row r="578" ht="14.4" x14ac:dyDescent="0.3"/>
    <row r="579" ht="14.4" x14ac:dyDescent="0.3"/>
    <row r="580" ht="14.4" x14ac:dyDescent="0.3"/>
    <row r="581" ht="14.4" x14ac:dyDescent="0.3"/>
    <row r="582" ht="14.4" x14ac:dyDescent="0.3"/>
    <row r="583" ht="14.4" x14ac:dyDescent="0.3"/>
    <row r="584" ht="14.4" x14ac:dyDescent="0.3"/>
    <row r="585" ht="14.4" x14ac:dyDescent="0.3"/>
    <row r="586" ht="14.4" x14ac:dyDescent="0.3"/>
    <row r="587" ht="14.4" x14ac:dyDescent="0.3"/>
    <row r="588" ht="14.4" x14ac:dyDescent="0.3"/>
    <row r="589" ht="14.4" x14ac:dyDescent="0.3"/>
    <row r="590" ht="14.4" x14ac:dyDescent="0.3"/>
    <row r="591" ht="14.4" x14ac:dyDescent="0.3"/>
    <row r="592" ht="14.4" x14ac:dyDescent="0.3"/>
    <row r="593" ht="14.4" x14ac:dyDescent="0.3"/>
    <row r="594" ht="14.4" x14ac:dyDescent="0.3"/>
    <row r="595" ht="14.4" x14ac:dyDescent="0.3"/>
    <row r="596" ht="14.4" x14ac:dyDescent="0.3"/>
    <row r="597" ht="14.4" x14ac:dyDescent="0.3"/>
    <row r="598" ht="14.4" x14ac:dyDescent="0.3"/>
    <row r="599" ht="14.4" x14ac:dyDescent="0.3"/>
    <row r="600" ht="14.4" x14ac:dyDescent="0.3"/>
    <row r="601" ht="14.4" x14ac:dyDescent="0.3"/>
    <row r="602" ht="14.4" x14ac:dyDescent="0.3"/>
    <row r="603" ht="14.4" x14ac:dyDescent="0.3"/>
    <row r="604" ht="14.4" x14ac:dyDescent="0.3"/>
    <row r="605" ht="14.4" x14ac:dyDescent="0.3"/>
    <row r="606" ht="14.4" x14ac:dyDescent="0.3"/>
    <row r="607" ht="14.4" x14ac:dyDescent="0.3"/>
    <row r="608" ht="14.4" x14ac:dyDescent="0.3"/>
    <row r="609" ht="14.4" x14ac:dyDescent="0.3"/>
    <row r="610" ht="14.4" x14ac:dyDescent="0.3"/>
    <row r="611" ht="14.4" x14ac:dyDescent="0.3"/>
    <row r="612" ht="14.4" x14ac:dyDescent="0.3"/>
    <row r="613" ht="14.4" x14ac:dyDescent="0.3"/>
    <row r="614" ht="14.4" x14ac:dyDescent="0.3"/>
    <row r="615" ht="14.4" x14ac:dyDescent="0.3"/>
    <row r="616" ht="14.4" x14ac:dyDescent="0.3"/>
    <row r="617" ht="14.4" x14ac:dyDescent="0.3"/>
    <row r="618" ht="14.4" x14ac:dyDescent="0.3"/>
    <row r="619" ht="14.4" x14ac:dyDescent="0.3"/>
    <row r="620" ht="14.4" x14ac:dyDescent="0.3"/>
    <row r="621" ht="14.4" x14ac:dyDescent="0.3"/>
    <row r="622" ht="14.4" x14ac:dyDescent="0.3"/>
    <row r="623" ht="14.4" x14ac:dyDescent="0.3"/>
    <row r="624" ht="14.4" x14ac:dyDescent="0.3"/>
    <row r="625" ht="14.4" x14ac:dyDescent="0.3"/>
    <row r="626" ht="14.4" x14ac:dyDescent="0.3"/>
    <row r="627" ht="14.4" x14ac:dyDescent="0.3"/>
    <row r="628" ht="14.4" x14ac:dyDescent="0.3"/>
    <row r="629" ht="14.4" x14ac:dyDescent="0.3"/>
    <row r="630" ht="14.4" x14ac:dyDescent="0.3"/>
    <row r="631" ht="14.4" x14ac:dyDescent="0.3"/>
    <row r="632" ht="14.4" x14ac:dyDescent="0.3"/>
    <row r="633" ht="14.4" x14ac:dyDescent="0.3"/>
    <row r="634" ht="14.4" x14ac:dyDescent="0.3"/>
    <row r="635" ht="14.4" x14ac:dyDescent="0.3"/>
    <row r="636" ht="14.4" x14ac:dyDescent="0.3"/>
    <row r="637" ht="14.4" x14ac:dyDescent="0.3"/>
    <row r="638" ht="14.4" x14ac:dyDescent="0.3"/>
    <row r="639" ht="14.4" x14ac:dyDescent="0.3"/>
    <row r="640" ht="14.4" x14ac:dyDescent="0.3"/>
    <row r="641" ht="14.4" x14ac:dyDescent="0.3"/>
    <row r="642" ht="14.4" x14ac:dyDescent="0.3"/>
    <row r="643" ht="14.4" x14ac:dyDescent="0.3"/>
    <row r="644" ht="14.4" x14ac:dyDescent="0.3"/>
    <row r="645" ht="14.4" x14ac:dyDescent="0.3"/>
    <row r="646" ht="14.4" x14ac:dyDescent="0.3"/>
    <row r="647" ht="14.4" x14ac:dyDescent="0.3"/>
    <row r="648" ht="14.4" x14ac:dyDescent="0.3"/>
    <row r="649" ht="14.4" x14ac:dyDescent="0.3"/>
    <row r="650" ht="14.4" x14ac:dyDescent="0.3"/>
    <row r="651" ht="14.4" x14ac:dyDescent="0.3"/>
    <row r="652" ht="14.4" x14ac:dyDescent="0.3"/>
    <row r="653" ht="14.4" x14ac:dyDescent="0.3"/>
    <row r="654" ht="14.4" x14ac:dyDescent="0.3"/>
    <row r="655" ht="14.4" x14ac:dyDescent="0.3"/>
    <row r="656" ht="14.4" x14ac:dyDescent="0.3"/>
    <row r="657" ht="14.4" x14ac:dyDescent="0.3"/>
    <row r="658" ht="14.4" x14ac:dyDescent="0.3"/>
    <row r="659" ht="14.4" x14ac:dyDescent="0.3"/>
    <row r="660" ht="14.4" x14ac:dyDescent="0.3"/>
    <row r="661" ht="14.4" x14ac:dyDescent="0.3"/>
    <row r="662" ht="14.4" x14ac:dyDescent="0.3"/>
    <row r="663" ht="14.4" x14ac:dyDescent="0.3"/>
    <row r="664" ht="14.4" x14ac:dyDescent="0.3"/>
    <row r="665" ht="14.4" x14ac:dyDescent="0.3"/>
    <row r="666" ht="14.4" x14ac:dyDescent="0.3"/>
    <row r="667" ht="14.4" x14ac:dyDescent="0.3"/>
    <row r="668" ht="14.4" x14ac:dyDescent="0.3"/>
    <row r="669" ht="14.4" x14ac:dyDescent="0.3"/>
    <row r="670" ht="14.4" x14ac:dyDescent="0.3"/>
    <row r="671" ht="14.4" x14ac:dyDescent="0.3"/>
    <row r="672" ht="14.4" x14ac:dyDescent="0.3"/>
    <row r="673" ht="14.4" x14ac:dyDescent="0.3"/>
    <row r="674" ht="14.4" x14ac:dyDescent="0.3"/>
    <row r="675" ht="14.4" x14ac:dyDescent="0.3"/>
    <row r="676" ht="14.4" x14ac:dyDescent="0.3"/>
    <row r="677" ht="14.4" x14ac:dyDescent="0.3"/>
    <row r="678" ht="14.4" x14ac:dyDescent="0.3"/>
    <row r="679" ht="14.4" x14ac:dyDescent="0.3"/>
    <row r="680" ht="14.4" x14ac:dyDescent="0.3"/>
    <row r="681" ht="14.4" x14ac:dyDescent="0.3"/>
    <row r="682" ht="14.4" x14ac:dyDescent="0.3"/>
    <row r="683" ht="14.4" x14ac:dyDescent="0.3"/>
    <row r="684" ht="14.4" x14ac:dyDescent="0.3"/>
    <row r="685" ht="14.4" x14ac:dyDescent="0.3"/>
    <row r="686" ht="14.4" x14ac:dyDescent="0.3"/>
    <row r="687" ht="14.4" x14ac:dyDescent="0.3"/>
    <row r="688" ht="14.4" x14ac:dyDescent="0.3"/>
    <row r="689" ht="14.4" x14ac:dyDescent="0.3"/>
    <row r="690" ht="14.4" x14ac:dyDescent="0.3"/>
    <row r="691" ht="14.4" x14ac:dyDescent="0.3"/>
    <row r="692" ht="14.4" x14ac:dyDescent="0.3"/>
    <row r="693" ht="14.4" x14ac:dyDescent="0.3"/>
    <row r="694" ht="14.4" x14ac:dyDescent="0.3"/>
    <row r="695" ht="14.4" x14ac:dyDescent="0.3"/>
    <row r="696" ht="14.4" x14ac:dyDescent="0.3"/>
    <row r="697" ht="14.4" x14ac:dyDescent="0.3"/>
    <row r="698" ht="14.4" x14ac:dyDescent="0.3"/>
    <row r="699" ht="14.4" x14ac:dyDescent="0.3"/>
    <row r="700" ht="14.4" x14ac:dyDescent="0.3"/>
    <row r="701" ht="14.4" x14ac:dyDescent="0.3"/>
    <row r="702" ht="14.4" x14ac:dyDescent="0.3"/>
    <row r="703" ht="14.4" x14ac:dyDescent="0.3"/>
    <row r="704" ht="14.4" x14ac:dyDescent="0.3"/>
    <row r="705" ht="14.4" x14ac:dyDescent="0.3"/>
    <row r="706" ht="14.4" x14ac:dyDescent="0.3"/>
    <row r="707" ht="14.4" x14ac:dyDescent="0.3"/>
    <row r="708" ht="14.4" x14ac:dyDescent="0.3"/>
    <row r="709" ht="14.4" x14ac:dyDescent="0.3"/>
    <row r="710" ht="14.4" x14ac:dyDescent="0.3"/>
    <row r="711" ht="14.4" x14ac:dyDescent="0.3"/>
    <row r="712" ht="14.4" x14ac:dyDescent="0.3"/>
    <row r="713" ht="14.4" x14ac:dyDescent="0.3"/>
    <row r="714" ht="14.4" x14ac:dyDescent="0.3"/>
    <row r="715" ht="14.4" x14ac:dyDescent="0.3"/>
    <row r="716" ht="14.4" x14ac:dyDescent="0.3"/>
    <row r="717" ht="14.4" x14ac:dyDescent="0.3"/>
    <row r="718" ht="14.4" x14ac:dyDescent="0.3"/>
    <row r="719" ht="14.4" x14ac:dyDescent="0.3"/>
    <row r="720" ht="14.4" x14ac:dyDescent="0.3"/>
    <row r="721" ht="14.4" x14ac:dyDescent="0.3"/>
    <row r="722" ht="14.4" x14ac:dyDescent="0.3"/>
    <row r="723" ht="14.4" x14ac:dyDescent="0.3"/>
    <row r="724" ht="14.4" x14ac:dyDescent="0.3"/>
    <row r="725" ht="14.4" x14ac:dyDescent="0.3"/>
    <row r="726" ht="14.4" x14ac:dyDescent="0.3"/>
    <row r="727" ht="14.4" x14ac:dyDescent="0.3"/>
    <row r="728" ht="14.4" x14ac:dyDescent="0.3"/>
    <row r="729" ht="14.4" x14ac:dyDescent="0.3"/>
    <row r="730" ht="14.4" x14ac:dyDescent="0.3"/>
    <row r="731" ht="14.4" x14ac:dyDescent="0.3"/>
    <row r="732" ht="14.4" x14ac:dyDescent="0.3"/>
    <row r="733" ht="14.4" x14ac:dyDescent="0.3"/>
    <row r="734" ht="14.4" x14ac:dyDescent="0.3"/>
    <row r="735" ht="14.4" x14ac:dyDescent="0.3"/>
    <row r="736" ht="14.4" x14ac:dyDescent="0.3"/>
    <row r="737" ht="14.4" x14ac:dyDescent="0.3"/>
    <row r="738" ht="14.4" x14ac:dyDescent="0.3"/>
    <row r="739" ht="14.4" x14ac:dyDescent="0.3"/>
    <row r="740" ht="14.4" x14ac:dyDescent="0.3"/>
    <row r="741" ht="14.4" x14ac:dyDescent="0.3"/>
    <row r="742" ht="14.4" x14ac:dyDescent="0.3"/>
    <row r="743" ht="14.4" x14ac:dyDescent="0.3"/>
    <row r="744" ht="14.4" x14ac:dyDescent="0.3"/>
    <row r="745" ht="14.4" x14ac:dyDescent="0.3"/>
    <row r="746" ht="14.4" x14ac:dyDescent="0.3"/>
    <row r="747" ht="14.4" x14ac:dyDescent="0.3"/>
    <row r="748" ht="14.4" x14ac:dyDescent="0.3"/>
    <row r="749" ht="14.4" x14ac:dyDescent="0.3"/>
    <row r="750" ht="14.4" x14ac:dyDescent="0.3"/>
    <row r="751" ht="14.4" x14ac:dyDescent="0.3"/>
    <row r="752" ht="14.4" x14ac:dyDescent="0.3"/>
    <row r="753" ht="14.4" x14ac:dyDescent="0.3"/>
    <row r="754" ht="14.4" x14ac:dyDescent="0.3"/>
    <row r="755" ht="14.4" x14ac:dyDescent="0.3"/>
    <row r="756" ht="14.4" x14ac:dyDescent="0.3"/>
    <row r="757" ht="14.4" x14ac:dyDescent="0.3"/>
    <row r="758" ht="14.4" x14ac:dyDescent="0.3"/>
    <row r="759" ht="14.4" x14ac:dyDescent="0.3"/>
    <row r="760" ht="14.4" x14ac:dyDescent="0.3"/>
    <row r="761" ht="14.4" x14ac:dyDescent="0.3"/>
    <row r="762" ht="14.4" x14ac:dyDescent="0.3"/>
    <row r="763" ht="14.4" x14ac:dyDescent="0.3"/>
    <row r="764" ht="14.4" x14ac:dyDescent="0.3"/>
    <row r="765" ht="14.4" x14ac:dyDescent="0.3"/>
    <row r="766" ht="14.4" x14ac:dyDescent="0.3"/>
    <row r="767" ht="14.4" x14ac:dyDescent="0.3"/>
    <row r="768" ht="14.4" x14ac:dyDescent="0.3"/>
    <row r="769" ht="14.4" x14ac:dyDescent="0.3"/>
    <row r="770" ht="14.4" x14ac:dyDescent="0.3"/>
    <row r="771" ht="14.4" x14ac:dyDescent="0.3"/>
    <row r="772" ht="14.4" x14ac:dyDescent="0.3"/>
    <row r="773" ht="14.4" x14ac:dyDescent="0.3"/>
    <row r="774" ht="14.4" x14ac:dyDescent="0.3"/>
    <row r="775" ht="14.4" x14ac:dyDescent="0.3"/>
    <row r="776" ht="14.4" x14ac:dyDescent="0.3"/>
    <row r="777" ht="14.4" x14ac:dyDescent="0.3"/>
    <row r="778" ht="14.4" x14ac:dyDescent="0.3"/>
    <row r="779" ht="14.4" x14ac:dyDescent="0.3"/>
    <row r="780" ht="14.4" x14ac:dyDescent="0.3"/>
    <row r="781" ht="14.4" x14ac:dyDescent="0.3"/>
    <row r="782" ht="14.4" x14ac:dyDescent="0.3"/>
    <row r="783" ht="14.4" x14ac:dyDescent="0.3"/>
    <row r="784" ht="14.4" x14ac:dyDescent="0.3"/>
    <row r="785" ht="14.4" x14ac:dyDescent="0.3"/>
    <row r="786" ht="14.4" x14ac:dyDescent="0.3"/>
    <row r="787" ht="14.4" x14ac:dyDescent="0.3"/>
    <row r="788" ht="14.4" x14ac:dyDescent="0.3"/>
    <row r="789" ht="14.4" x14ac:dyDescent="0.3"/>
    <row r="790" ht="14.4" x14ac:dyDescent="0.3"/>
    <row r="791" ht="14.4" x14ac:dyDescent="0.3"/>
    <row r="792" ht="14.4" x14ac:dyDescent="0.3"/>
    <row r="793" ht="14.4" x14ac:dyDescent="0.3"/>
    <row r="794" ht="14.4" x14ac:dyDescent="0.3"/>
    <row r="795" ht="14.4" x14ac:dyDescent="0.3"/>
    <row r="796" ht="14.4" x14ac:dyDescent="0.3"/>
    <row r="797" ht="14.4" x14ac:dyDescent="0.3"/>
    <row r="798" ht="14.4" x14ac:dyDescent="0.3"/>
    <row r="799" ht="14.4" x14ac:dyDescent="0.3"/>
    <row r="800" ht="14.4" x14ac:dyDescent="0.3"/>
    <row r="801" ht="14.4" x14ac:dyDescent="0.3"/>
    <row r="802" ht="14.4" x14ac:dyDescent="0.3"/>
    <row r="803" ht="14.4" x14ac:dyDescent="0.3"/>
    <row r="804" ht="14.4" x14ac:dyDescent="0.3"/>
    <row r="805" ht="14.4" x14ac:dyDescent="0.3"/>
    <row r="806" ht="14.4" x14ac:dyDescent="0.3"/>
    <row r="807" ht="14.4" x14ac:dyDescent="0.3"/>
    <row r="808" ht="14.4" x14ac:dyDescent="0.3"/>
    <row r="809" ht="14.4" x14ac:dyDescent="0.3"/>
    <row r="810" ht="14.4" x14ac:dyDescent="0.3"/>
    <row r="811" ht="14.4" x14ac:dyDescent="0.3"/>
    <row r="812" ht="14.4" x14ac:dyDescent="0.3"/>
    <row r="813" ht="14.4" x14ac:dyDescent="0.3"/>
    <row r="814" ht="14.4" x14ac:dyDescent="0.3"/>
    <row r="815" ht="14.4" x14ac:dyDescent="0.3"/>
    <row r="816" ht="14.4" x14ac:dyDescent="0.3"/>
    <row r="817" ht="14.4" x14ac:dyDescent="0.3"/>
    <row r="818" ht="14.4" x14ac:dyDescent="0.3"/>
    <row r="819" ht="14.4" x14ac:dyDescent="0.3"/>
    <row r="820" ht="14.4" x14ac:dyDescent="0.3"/>
    <row r="821" ht="14.4" x14ac:dyDescent="0.3"/>
    <row r="822" ht="14.4" x14ac:dyDescent="0.3"/>
    <row r="823" ht="14.4" x14ac:dyDescent="0.3"/>
    <row r="824" ht="14.4" x14ac:dyDescent="0.3"/>
    <row r="825" ht="14.4" x14ac:dyDescent="0.3"/>
    <row r="826" ht="14.4" x14ac:dyDescent="0.3"/>
    <row r="827" ht="14.4" x14ac:dyDescent="0.3"/>
    <row r="828" ht="14.4" x14ac:dyDescent="0.3"/>
    <row r="829" ht="14.4" x14ac:dyDescent="0.3"/>
    <row r="830" ht="14.4" x14ac:dyDescent="0.3"/>
    <row r="831" ht="14.4" x14ac:dyDescent="0.3"/>
    <row r="832" ht="14.4" x14ac:dyDescent="0.3"/>
    <row r="833" ht="14.4" x14ac:dyDescent="0.3"/>
    <row r="834" ht="14.4" x14ac:dyDescent="0.3"/>
    <row r="835" ht="14.4" x14ac:dyDescent="0.3"/>
    <row r="836" ht="14.4" x14ac:dyDescent="0.3"/>
    <row r="837" ht="14.4" x14ac:dyDescent="0.3"/>
    <row r="838" ht="14.4" x14ac:dyDescent="0.3"/>
    <row r="839" ht="14.4" x14ac:dyDescent="0.3"/>
    <row r="840" ht="14.4" x14ac:dyDescent="0.3"/>
    <row r="841" ht="14.4" x14ac:dyDescent="0.3"/>
    <row r="842" ht="14.4" x14ac:dyDescent="0.3"/>
    <row r="843" ht="14.4" x14ac:dyDescent="0.3"/>
    <row r="844" ht="14.4" x14ac:dyDescent="0.3"/>
    <row r="845" ht="14.4" x14ac:dyDescent="0.3"/>
    <row r="846" ht="14.4" x14ac:dyDescent="0.3"/>
    <row r="847" ht="14.4" x14ac:dyDescent="0.3"/>
    <row r="848" ht="14.4" x14ac:dyDescent="0.3"/>
    <row r="849" ht="14.4" x14ac:dyDescent="0.3"/>
    <row r="850" ht="14.4" x14ac:dyDescent="0.3"/>
    <row r="851" ht="14.4" x14ac:dyDescent="0.3"/>
    <row r="852" ht="14.4" x14ac:dyDescent="0.3"/>
    <row r="853" ht="14.4" x14ac:dyDescent="0.3"/>
    <row r="854" ht="14.4" x14ac:dyDescent="0.3"/>
    <row r="855" ht="14.4" x14ac:dyDescent="0.3"/>
    <row r="856" ht="14.4" x14ac:dyDescent="0.3"/>
    <row r="857" ht="14.4" x14ac:dyDescent="0.3"/>
    <row r="858" ht="14.4" x14ac:dyDescent="0.3"/>
    <row r="859" ht="14.4" x14ac:dyDescent="0.3"/>
    <row r="860" ht="14.4" x14ac:dyDescent="0.3"/>
    <row r="861" ht="14.4" x14ac:dyDescent="0.3"/>
    <row r="862" ht="14.4" x14ac:dyDescent="0.3"/>
    <row r="863" ht="14.4" x14ac:dyDescent="0.3"/>
    <row r="864" ht="14.4" x14ac:dyDescent="0.3"/>
    <row r="865" ht="14.4" x14ac:dyDescent="0.3"/>
    <row r="866" ht="14.4" x14ac:dyDescent="0.3"/>
    <row r="867" ht="14.4" x14ac:dyDescent="0.3"/>
    <row r="868" ht="14.4" x14ac:dyDescent="0.3"/>
    <row r="869" ht="14.4" x14ac:dyDescent="0.3"/>
    <row r="870" ht="14.4" x14ac:dyDescent="0.3"/>
    <row r="871" ht="14.4" x14ac:dyDescent="0.3"/>
    <row r="872" ht="14.4" x14ac:dyDescent="0.3"/>
    <row r="873" ht="14.4" x14ac:dyDescent="0.3"/>
    <row r="874" ht="14.4" x14ac:dyDescent="0.3"/>
    <row r="875" ht="14.4" x14ac:dyDescent="0.3"/>
    <row r="876" ht="14.4" x14ac:dyDescent="0.3"/>
    <row r="877" ht="14.4" x14ac:dyDescent="0.3"/>
    <row r="878" ht="14.4" x14ac:dyDescent="0.3"/>
    <row r="879" ht="14.4" x14ac:dyDescent="0.3"/>
    <row r="880" ht="14.4" x14ac:dyDescent="0.3"/>
    <row r="881" ht="14.4" x14ac:dyDescent="0.3"/>
    <row r="882" ht="14.4" x14ac:dyDescent="0.3"/>
    <row r="883" ht="14.4" x14ac:dyDescent="0.3"/>
    <row r="884" ht="14.4" x14ac:dyDescent="0.3"/>
    <row r="885" ht="14.4" x14ac:dyDescent="0.3"/>
    <row r="886" ht="14.4" x14ac:dyDescent="0.3"/>
    <row r="887" ht="14.4" x14ac:dyDescent="0.3"/>
    <row r="888" ht="14.4" x14ac:dyDescent="0.3"/>
    <row r="889" ht="14.4" x14ac:dyDescent="0.3"/>
    <row r="890" ht="14.4" x14ac:dyDescent="0.3"/>
    <row r="891" ht="14.4" x14ac:dyDescent="0.3"/>
    <row r="892" ht="14.4" x14ac:dyDescent="0.3"/>
    <row r="893" ht="14.4" x14ac:dyDescent="0.3"/>
    <row r="894" ht="14.4" x14ac:dyDescent="0.3"/>
    <row r="895" ht="14.4" x14ac:dyDescent="0.3"/>
    <row r="896" ht="14.4" x14ac:dyDescent="0.3"/>
    <row r="897" ht="14.4" x14ac:dyDescent="0.3"/>
    <row r="898" ht="14.4" x14ac:dyDescent="0.3"/>
    <row r="899" ht="14.4" x14ac:dyDescent="0.3"/>
    <row r="900" ht="14.4" x14ac:dyDescent="0.3"/>
    <row r="901" ht="14.4" x14ac:dyDescent="0.3"/>
    <row r="902" ht="14.4" x14ac:dyDescent="0.3"/>
    <row r="903" ht="14.4" x14ac:dyDescent="0.3"/>
    <row r="904" ht="14.4" x14ac:dyDescent="0.3"/>
    <row r="905" ht="14.4" x14ac:dyDescent="0.3"/>
    <row r="906" ht="14.4" x14ac:dyDescent="0.3"/>
    <row r="907" ht="14.4" x14ac:dyDescent="0.3"/>
    <row r="908" ht="14.4" x14ac:dyDescent="0.3"/>
    <row r="909" ht="14.4" x14ac:dyDescent="0.3"/>
    <row r="910" ht="14.4" x14ac:dyDescent="0.3"/>
    <row r="911" ht="14.4" x14ac:dyDescent="0.3"/>
    <row r="912" ht="14.4" x14ac:dyDescent="0.3"/>
    <row r="913" ht="14.4" x14ac:dyDescent="0.3"/>
    <row r="914" ht="14.4" x14ac:dyDescent="0.3"/>
    <row r="915" ht="14.4" x14ac:dyDescent="0.3"/>
    <row r="916" ht="14.4" x14ac:dyDescent="0.3"/>
    <row r="917" ht="14.4" x14ac:dyDescent="0.3"/>
    <row r="918" ht="14.4" x14ac:dyDescent="0.3"/>
    <row r="919" ht="14.4" x14ac:dyDescent="0.3"/>
    <row r="920" ht="14.4" x14ac:dyDescent="0.3"/>
    <row r="921" ht="14.4" x14ac:dyDescent="0.3"/>
    <row r="922" ht="14.4" x14ac:dyDescent="0.3"/>
    <row r="923" ht="14.4" x14ac:dyDescent="0.3"/>
    <row r="924" ht="14.4" x14ac:dyDescent="0.3"/>
    <row r="925" ht="14.4" x14ac:dyDescent="0.3"/>
    <row r="926" ht="14.4" x14ac:dyDescent="0.3"/>
    <row r="927" ht="14.4" x14ac:dyDescent="0.3"/>
    <row r="928" ht="14.4" x14ac:dyDescent="0.3"/>
    <row r="929" ht="14.4" x14ac:dyDescent="0.3"/>
    <row r="930" ht="14.4" x14ac:dyDescent="0.3"/>
    <row r="931" ht="14.4" x14ac:dyDescent="0.3"/>
    <row r="932" ht="14.4" x14ac:dyDescent="0.3"/>
    <row r="933" ht="14.4" x14ac:dyDescent="0.3"/>
    <row r="934" ht="14.4" x14ac:dyDescent="0.3"/>
    <row r="935" ht="14.4" x14ac:dyDescent="0.3"/>
    <row r="936" ht="14.4" x14ac:dyDescent="0.3"/>
    <row r="937" ht="14.4" x14ac:dyDescent="0.3"/>
    <row r="938" ht="14.4" x14ac:dyDescent="0.3"/>
    <row r="939" ht="14.4" x14ac:dyDescent="0.3"/>
    <row r="940" ht="14.4" x14ac:dyDescent="0.3"/>
    <row r="941" ht="14.4" x14ac:dyDescent="0.3"/>
    <row r="942" ht="14.4" x14ac:dyDescent="0.3"/>
    <row r="943" ht="14.4" x14ac:dyDescent="0.3"/>
    <row r="944" ht="14.4" x14ac:dyDescent="0.3"/>
    <row r="945" ht="14.4" x14ac:dyDescent="0.3"/>
    <row r="946" ht="14.4" x14ac:dyDescent="0.3"/>
    <row r="947" ht="14.4" x14ac:dyDescent="0.3"/>
    <row r="948" ht="14.4" x14ac:dyDescent="0.3"/>
    <row r="949" ht="14.4" x14ac:dyDescent="0.3"/>
    <row r="950" ht="14.4" x14ac:dyDescent="0.3"/>
    <row r="951" ht="14.4" x14ac:dyDescent="0.3"/>
    <row r="952" ht="14.4" x14ac:dyDescent="0.3"/>
    <row r="953" ht="14.4" x14ac:dyDescent="0.3"/>
    <row r="954" ht="14.4" x14ac:dyDescent="0.3"/>
    <row r="955" ht="14.4" x14ac:dyDescent="0.3"/>
    <row r="956" ht="14.4" x14ac:dyDescent="0.3"/>
    <row r="957" ht="14.4" x14ac:dyDescent="0.3"/>
    <row r="958" ht="14.4" x14ac:dyDescent="0.3"/>
    <row r="959" ht="14.4" x14ac:dyDescent="0.3"/>
    <row r="960" ht="14.4" x14ac:dyDescent="0.3"/>
    <row r="961" ht="14.4" x14ac:dyDescent="0.3"/>
    <row r="962" ht="14.4" x14ac:dyDescent="0.3"/>
    <row r="963" ht="14.4" x14ac:dyDescent="0.3"/>
    <row r="964" ht="14.4" x14ac:dyDescent="0.3"/>
    <row r="965" ht="14.4" x14ac:dyDescent="0.3"/>
    <row r="966" ht="14.4" x14ac:dyDescent="0.3"/>
    <row r="967" ht="14.4" x14ac:dyDescent="0.3"/>
    <row r="968" ht="14.4" x14ac:dyDescent="0.3"/>
    <row r="969" ht="14.4" x14ac:dyDescent="0.3"/>
    <row r="970" ht="14.4" x14ac:dyDescent="0.3"/>
    <row r="971" ht="14.4" x14ac:dyDescent="0.3"/>
    <row r="972" ht="14.4" x14ac:dyDescent="0.3"/>
    <row r="973" ht="14.4" x14ac:dyDescent="0.3"/>
    <row r="974" ht="14.4" x14ac:dyDescent="0.3"/>
    <row r="975" ht="14.4" x14ac:dyDescent="0.3"/>
    <row r="976" ht="14.4" x14ac:dyDescent="0.3"/>
    <row r="977" ht="14.4" x14ac:dyDescent="0.3"/>
    <row r="978" ht="14.4" x14ac:dyDescent="0.3"/>
    <row r="979" ht="14.4" x14ac:dyDescent="0.3"/>
    <row r="980" ht="14.4" x14ac:dyDescent="0.3"/>
    <row r="981" ht="14.4" x14ac:dyDescent="0.3"/>
    <row r="982" ht="14.4" x14ac:dyDescent="0.3"/>
    <row r="983" ht="14.4" x14ac:dyDescent="0.3"/>
    <row r="984" ht="14.4" x14ac:dyDescent="0.3"/>
    <row r="985" ht="14.4" x14ac:dyDescent="0.3"/>
    <row r="986" ht="14.4" x14ac:dyDescent="0.3"/>
    <row r="987" ht="14.4" x14ac:dyDescent="0.3"/>
    <row r="988" ht="14.4" x14ac:dyDescent="0.3"/>
    <row r="989" ht="14.4" x14ac:dyDescent="0.3"/>
    <row r="990" ht="14.4" x14ac:dyDescent="0.3"/>
    <row r="991" ht="14.4" x14ac:dyDescent="0.3"/>
    <row r="992" ht="14.4" x14ac:dyDescent="0.3"/>
    <row r="993" ht="14.4" x14ac:dyDescent="0.3"/>
    <row r="994" ht="14.4" x14ac:dyDescent="0.3"/>
    <row r="995" ht="14.4" x14ac:dyDescent="0.3"/>
    <row r="996" ht="14.4" x14ac:dyDescent="0.3"/>
    <row r="997" ht="14.4" x14ac:dyDescent="0.3"/>
    <row r="998" ht="14.4" x14ac:dyDescent="0.3"/>
    <row r="999" ht="14.4" x14ac:dyDescent="0.3"/>
    <row r="1000" ht="14.4" x14ac:dyDescent="0.3"/>
  </sheetData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BBA34-AD11-43F4-B92F-110C0093278A}">
  <sheetPr>
    <tabColor rgb="FF2F5496"/>
  </sheetPr>
  <dimension ref="A1:AG1000"/>
  <sheetViews>
    <sheetView workbookViewId="0"/>
  </sheetViews>
  <sheetFormatPr defaultColWidth="9.33203125" defaultRowHeight="15" customHeight="1" x14ac:dyDescent="0.3"/>
  <cols>
    <col min="1" max="1" width="26.5546875" customWidth="1"/>
    <col min="2" max="2" width="11.6640625" bestFit="1" customWidth="1"/>
  </cols>
  <sheetData>
    <row r="1" spans="1:33" ht="15" customHeight="1" x14ac:dyDescent="0.3">
      <c r="A1" t="s">
        <v>53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ht="15" customHeight="1" x14ac:dyDescent="0.3">
      <c r="A2" t="s">
        <v>54</v>
      </c>
      <c r="B2">
        <f>Calculation!$B$31</f>
        <v>4.1052124687857637E-6</v>
      </c>
      <c r="C2">
        <f>Calculation!$B$31</f>
        <v>4.1052124687857637E-6</v>
      </c>
      <c r="D2">
        <f>Calculation!$B$31</f>
        <v>4.1052124687857637E-6</v>
      </c>
      <c r="E2">
        <f>Calculation!$B$31</f>
        <v>4.1052124687857637E-6</v>
      </c>
      <c r="F2">
        <f>Calculation!$B$31</f>
        <v>4.1052124687857637E-6</v>
      </c>
      <c r="G2">
        <f>Calculation!$B$31</f>
        <v>4.1052124687857637E-6</v>
      </c>
      <c r="H2">
        <f>Calculation!$B$31</f>
        <v>4.1052124687857637E-6</v>
      </c>
      <c r="I2">
        <f>Calculation!$B$31</f>
        <v>4.1052124687857637E-6</v>
      </c>
      <c r="J2">
        <f>Calculation!$B$31</f>
        <v>4.1052124687857637E-6</v>
      </c>
      <c r="K2">
        <f>Calculation!$B$31</f>
        <v>4.1052124687857637E-6</v>
      </c>
      <c r="L2">
        <f>Calculation!$B$31</f>
        <v>4.1052124687857637E-6</v>
      </c>
      <c r="M2">
        <f>Calculation!$B$31</f>
        <v>4.1052124687857637E-6</v>
      </c>
      <c r="N2">
        <f>Calculation!$B$31</f>
        <v>4.1052124687857637E-6</v>
      </c>
      <c r="O2">
        <f>Calculation!$B$31</f>
        <v>4.1052124687857637E-6</v>
      </c>
      <c r="P2">
        <f>Calculation!$B$31</f>
        <v>4.1052124687857637E-6</v>
      </c>
      <c r="Q2">
        <f>Calculation!$B$31</f>
        <v>4.1052124687857637E-6</v>
      </c>
      <c r="R2">
        <f>Calculation!$B$31</f>
        <v>4.1052124687857637E-6</v>
      </c>
      <c r="S2">
        <f>Calculation!$B$31</f>
        <v>4.1052124687857637E-6</v>
      </c>
      <c r="T2">
        <f>Calculation!$B$31</f>
        <v>4.1052124687857637E-6</v>
      </c>
      <c r="U2">
        <f>Calculation!$B$31</f>
        <v>4.1052124687857637E-6</v>
      </c>
      <c r="V2">
        <f>Calculation!$B$31</f>
        <v>4.1052124687857637E-6</v>
      </c>
      <c r="W2">
        <f>Calculation!$B$31</f>
        <v>4.1052124687857637E-6</v>
      </c>
      <c r="X2">
        <f>Calculation!$B$31</f>
        <v>4.1052124687857637E-6</v>
      </c>
      <c r="Y2">
        <f>Calculation!$B$31</f>
        <v>4.1052124687857637E-6</v>
      </c>
      <c r="Z2">
        <f>Calculation!$B$31</f>
        <v>4.1052124687857637E-6</v>
      </c>
      <c r="AA2">
        <f>Calculation!$B$31</f>
        <v>4.1052124687857637E-6</v>
      </c>
      <c r="AB2">
        <f>Calculation!$B$31</f>
        <v>4.1052124687857637E-6</v>
      </c>
      <c r="AC2">
        <f>Calculation!$B$31</f>
        <v>4.1052124687857637E-6</v>
      </c>
      <c r="AD2">
        <f>Calculation!$B$31</f>
        <v>4.1052124687857637E-6</v>
      </c>
      <c r="AE2">
        <f>Calculation!$B$31</f>
        <v>4.1052124687857637E-6</v>
      </c>
      <c r="AF2">
        <f>Calculation!$B$31</f>
        <v>4.1052124687857637E-6</v>
      </c>
      <c r="AG2">
        <f>Calculation!$B$31</f>
        <v>4.1052124687857637E-6</v>
      </c>
    </row>
    <row r="3" spans="1:33" ht="15" customHeight="1" x14ac:dyDescent="0.3">
      <c r="A3" t="s">
        <v>55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</row>
    <row r="4" spans="1:33" ht="15" customHeight="1" x14ac:dyDescent="0.3">
      <c r="A4" t="s">
        <v>56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</row>
    <row r="5" spans="1:33" ht="15" customHeight="1" x14ac:dyDescent="0.3">
      <c r="A5" t="s">
        <v>57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ht="15" customHeight="1" x14ac:dyDescent="0.3">
      <c r="A6" t="s">
        <v>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ht="15" customHeight="1" x14ac:dyDescent="0.3">
      <c r="A7" t="s">
        <v>59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ht="15" customHeight="1" x14ac:dyDescent="0.3">
      <c r="A8" t="s">
        <v>60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ht="15" customHeight="1" x14ac:dyDescent="0.3">
      <c r="A9" t="s">
        <v>61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ht="15" customHeight="1" x14ac:dyDescent="0.3">
      <c r="A10" t="s">
        <v>62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</row>
    <row r="11" spans="1:33" ht="15" customHeight="1" x14ac:dyDescent="0.3">
      <c r="A11" t="s">
        <v>63</v>
      </c>
      <c r="B11" s="12">
        <f>Calculation!$B$13</f>
        <v>8.1337630999305873E-7</v>
      </c>
      <c r="C11" s="12">
        <f>Calculation!$B$13</f>
        <v>8.1337630999305873E-7</v>
      </c>
      <c r="D11" s="12">
        <f>Calculation!$B$13</f>
        <v>8.1337630999305873E-7</v>
      </c>
      <c r="E11" s="12">
        <f>Calculation!$B$13</f>
        <v>8.1337630999305873E-7</v>
      </c>
      <c r="F11" s="12">
        <f>Calculation!$B$13</f>
        <v>8.1337630999305873E-7</v>
      </c>
      <c r="G11" s="12">
        <f>Calculation!$B$13</f>
        <v>8.1337630999305873E-7</v>
      </c>
      <c r="H11" s="12">
        <f>Calculation!$B$13</f>
        <v>8.1337630999305873E-7</v>
      </c>
      <c r="I11" s="12">
        <f>Calculation!$B$13</f>
        <v>8.1337630999305873E-7</v>
      </c>
      <c r="J11" s="12">
        <f>Calculation!$B$13</f>
        <v>8.1337630999305873E-7</v>
      </c>
      <c r="K11" s="12">
        <f>Calculation!$B$13</f>
        <v>8.1337630999305873E-7</v>
      </c>
      <c r="L11" s="12">
        <f>Calculation!$B$13</f>
        <v>8.1337630999305873E-7</v>
      </c>
      <c r="M11" s="12">
        <f>Calculation!$B$13</f>
        <v>8.1337630999305873E-7</v>
      </c>
      <c r="N11" s="12">
        <f>Calculation!$B$13</f>
        <v>8.1337630999305873E-7</v>
      </c>
      <c r="O11" s="12">
        <f>Calculation!$B$13</f>
        <v>8.1337630999305873E-7</v>
      </c>
      <c r="P11" s="12">
        <f>Calculation!$B$13</f>
        <v>8.1337630999305873E-7</v>
      </c>
      <c r="Q11" s="12">
        <f>Calculation!$B$13</f>
        <v>8.1337630999305873E-7</v>
      </c>
      <c r="R11" s="12">
        <f>Calculation!$B$13</f>
        <v>8.1337630999305873E-7</v>
      </c>
      <c r="S11" s="12">
        <f>Calculation!$B$13</f>
        <v>8.1337630999305873E-7</v>
      </c>
      <c r="T11" s="12">
        <f>Calculation!$B$13</f>
        <v>8.1337630999305873E-7</v>
      </c>
      <c r="U11" s="12">
        <f>Calculation!$B$13</f>
        <v>8.1337630999305873E-7</v>
      </c>
      <c r="V11" s="12">
        <f>Calculation!$B$13</f>
        <v>8.1337630999305873E-7</v>
      </c>
      <c r="W11" s="12">
        <f>Calculation!$B$13</f>
        <v>8.1337630999305873E-7</v>
      </c>
      <c r="X11" s="12">
        <f>Calculation!$B$13</f>
        <v>8.1337630999305873E-7</v>
      </c>
      <c r="Y11" s="12">
        <f>Calculation!$B$13</f>
        <v>8.1337630999305873E-7</v>
      </c>
      <c r="Z11" s="12">
        <f>Calculation!$B$13</f>
        <v>8.1337630999305873E-7</v>
      </c>
      <c r="AA11" s="12">
        <f>Calculation!$B$13</f>
        <v>8.1337630999305873E-7</v>
      </c>
      <c r="AB11" s="12">
        <f>Calculation!$B$13</f>
        <v>8.1337630999305873E-7</v>
      </c>
      <c r="AC11" s="12">
        <f>Calculation!$B$13</f>
        <v>8.1337630999305873E-7</v>
      </c>
      <c r="AD11" s="12">
        <f>Calculation!$B$13</f>
        <v>8.1337630999305873E-7</v>
      </c>
      <c r="AE11" s="12">
        <f>Calculation!$B$13</f>
        <v>8.1337630999305873E-7</v>
      </c>
      <c r="AF11" s="12">
        <f>Calculation!$B$13</f>
        <v>8.1337630999305873E-7</v>
      </c>
      <c r="AG11" s="12">
        <f>Calculation!$B$13</f>
        <v>8.1337630999305873E-7</v>
      </c>
    </row>
    <row r="12" spans="1:33" ht="15" customHeight="1" x14ac:dyDescent="0.3">
      <c r="A12" t="s">
        <v>64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ht="15" customHeight="1" x14ac:dyDescent="0.3">
      <c r="A13" t="s">
        <v>65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ht="15" customHeight="1" x14ac:dyDescent="0.3">
      <c r="A14" t="s">
        <v>66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</row>
    <row r="15" spans="1:33" ht="15" customHeight="1" x14ac:dyDescent="0.3">
      <c r="A15" t="s">
        <v>67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ht="15" customHeight="1" x14ac:dyDescent="0.3">
      <c r="A16" t="s">
        <v>68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ht="15" customHeight="1" x14ac:dyDescent="0.3">
      <c r="A17" t="s">
        <v>69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</row>
    <row r="18" spans="1:33" ht="15" customHeight="1" x14ac:dyDescent="0.3">
      <c r="A18" t="s">
        <v>70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</row>
    <row r="19" spans="1:33" ht="15" customHeight="1" x14ac:dyDescent="0.3">
      <c r="A19" t="s">
        <v>71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</row>
    <row r="20" spans="1:33" ht="15" customHeight="1" x14ac:dyDescent="0.3">
      <c r="A20" t="s">
        <v>72</v>
      </c>
      <c r="B20">
        <f>Calculation!$B$22</f>
        <v>1.0144521749493104E-5</v>
      </c>
      <c r="C20">
        <f>Calculation!$B$22</f>
        <v>1.0144521749493104E-5</v>
      </c>
      <c r="D20">
        <f>Calculation!$B$22</f>
        <v>1.0144521749493104E-5</v>
      </c>
      <c r="E20">
        <f>Calculation!$B$22</f>
        <v>1.0144521749493104E-5</v>
      </c>
      <c r="F20">
        <f>Calculation!$B$22</f>
        <v>1.0144521749493104E-5</v>
      </c>
      <c r="G20">
        <f>Calculation!$B$22</f>
        <v>1.0144521749493104E-5</v>
      </c>
      <c r="H20">
        <f>Calculation!$B$22</f>
        <v>1.0144521749493104E-5</v>
      </c>
      <c r="I20">
        <f>Calculation!$B$22</f>
        <v>1.0144521749493104E-5</v>
      </c>
      <c r="J20">
        <f>Calculation!$B$22</f>
        <v>1.0144521749493104E-5</v>
      </c>
      <c r="K20">
        <f>Calculation!$B$22</f>
        <v>1.0144521749493104E-5</v>
      </c>
      <c r="L20">
        <f>Calculation!$B$22</f>
        <v>1.0144521749493104E-5</v>
      </c>
      <c r="M20">
        <f>Calculation!$B$22</f>
        <v>1.0144521749493104E-5</v>
      </c>
      <c r="N20">
        <f>Calculation!$B$22</f>
        <v>1.0144521749493104E-5</v>
      </c>
      <c r="O20">
        <f>Calculation!$B$22</f>
        <v>1.0144521749493104E-5</v>
      </c>
      <c r="P20">
        <f>Calculation!$B$22</f>
        <v>1.0144521749493104E-5</v>
      </c>
      <c r="Q20">
        <f>Calculation!$B$22</f>
        <v>1.0144521749493104E-5</v>
      </c>
      <c r="R20">
        <f>Calculation!$B$22</f>
        <v>1.0144521749493104E-5</v>
      </c>
      <c r="S20">
        <f>Calculation!$B$22</f>
        <v>1.0144521749493104E-5</v>
      </c>
      <c r="T20">
        <f>Calculation!$B$22</f>
        <v>1.0144521749493104E-5</v>
      </c>
      <c r="U20">
        <f>Calculation!$B$22</f>
        <v>1.0144521749493104E-5</v>
      </c>
      <c r="V20">
        <f>Calculation!$B$22</f>
        <v>1.0144521749493104E-5</v>
      </c>
      <c r="W20">
        <f>Calculation!$B$22</f>
        <v>1.0144521749493104E-5</v>
      </c>
      <c r="X20">
        <f>Calculation!$B$22</f>
        <v>1.0144521749493104E-5</v>
      </c>
      <c r="Y20">
        <f>Calculation!$B$22</f>
        <v>1.0144521749493104E-5</v>
      </c>
      <c r="Z20">
        <f>Calculation!$B$22</f>
        <v>1.0144521749493104E-5</v>
      </c>
      <c r="AA20">
        <f>Calculation!$B$22</f>
        <v>1.0144521749493104E-5</v>
      </c>
      <c r="AB20">
        <f>Calculation!$B$22</f>
        <v>1.0144521749493104E-5</v>
      </c>
      <c r="AC20">
        <f>Calculation!$B$22</f>
        <v>1.0144521749493104E-5</v>
      </c>
      <c r="AD20">
        <f>Calculation!$B$22</f>
        <v>1.0144521749493104E-5</v>
      </c>
      <c r="AE20">
        <f>Calculation!$B$22</f>
        <v>1.0144521749493104E-5</v>
      </c>
      <c r="AF20">
        <f>Calculation!$B$22</f>
        <v>1.0144521749493104E-5</v>
      </c>
      <c r="AG20">
        <f>Calculation!$B$22</f>
        <v>1.0144521749493104E-5</v>
      </c>
    </row>
    <row r="21" spans="1:33" ht="15" customHeight="1" x14ac:dyDescent="0.3">
      <c r="A21" t="s">
        <v>73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 ht="15" customHeight="1" x14ac:dyDescent="0.3">
      <c r="A22" s="13" t="s">
        <v>74</v>
      </c>
      <c r="B22">
        <v>0</v>
      </c>
      <c r="C2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52" ht="14.4" x14ac:dyDescent="0.3"/>
    <row r="53" ht="14.4" x14ac:dyDescent="0.3"/>
    <row r="54" ht="14.4" x14ac:dyDescent="0.3"/>
    <row r="55" ht="14.4" x14ac:dyDescent="0.3"/>
    <row r="56" ht="14.4" x14ac:dyDescent="0.3"/>
    <row r="57" ht="14.4" x14ac:dyDescent="0.3"/>
    <row r="58" ht="14.4" x14ac:dyDescent="0.3"/>
    <row r="59" ht="14.4" x14ac:dyDescent="0.3"/>
    <row r="60" ht="14.4" x14ac:dyDescent="0.3"/>
    <row r="61" ht="14.4" x14ac:dyDescent="0.3"/>
    <row r="62" ht="14.4" x14ac:dyDescent="0.3"/>
    <row r="63" ht="14.4" x14ac:dyDescent="0.3"/>
    <row r="64" ht="14.4" x14ac:dyDescent="0.3"/>
    <row r="65" ht="14.4" x14ac:dyDescent="0.3"/>
    <row r="66" ht="14.4" x14ac:dyDescent="0.3"/>
    <row r="67" ht="14.4" x14ac:dyDescent="0.3"/>
    <row r="68" ht="14.4" x14ac:dyDescent="0.3"/>
    <row r="69" ht="14.4" x14ac:dyDescent="0.3"/>
    <row r="70" ht="14.4" x14ac:dyDescent="0.3"/>
    <row r="71" ht="14.4" x14ac:dyDescent="0.3"/>
    <row r="72" ht="14.4" x14ac:dyDescent="0.3"/>
    <row r="73" ht="14.4" x14ac:dyDescent="0.3"/>
    <row r="74" ht="14.4" x14ac:dyDescent="0.3"/>
    <row r="75" ht="14.4" x14ac:dyDescent="0.3"/>
    <row r="76" ht="14.4" x14ac:dyDescent="0.3"/>
    <row r="77" ht="14.4" x14ac:dyDescent="0.3"/>
    <row r="78" ht="14.4" x14ac:dyDescent="0.3"/>
    <row r="79" ht="14.4" x14ac:dyDescent="0.3"/>
    <row r="80" ht="14.4" x14ac:dyDescent="0.3"/>
    <row r="81" ht="14.4" x14ac:dyDescent="0.3"/>
    <row r="82" ht="14.4" x14ac:dyDescent="0.3"/>
    <row r="83" ht="14.4" x14ac:dyDescent="0.3"/>
    <row r="84" ht="14.4" x14ac:dyDescent="0.3"/>
    <row r="85" ht="14.4" x14ac:dyDescent="0.3"/>
    <row r="86" ht="14.4" x14ac:dyDescent="0.3"/>
    <row r="87" ht="14.4" x14ac:dyDescent="0.3"/>
    <row r="88" ht="14.4" x14ac:dyDescent="0.3"/>
    <row r="89" ht="14.4" x14ac:dyDescent="0.3"/>
    <row r="90" ht="14.4" x14ac:dyDescent="0.3"/>
    <row r="91" ht="14.4" x14ac:dyDescent="0.3"/>
    <row r="92" ht="14.4" x14ac:dyDescent="0.3"/>
    <row r="93" ht="14.4" x14ac:dyDescent="0.3"/>
    <row r="94" ht="14.4" x14ac:dyDescent="0.3"/>
    <row r="95" ht="14.4" x14ac:dyDescent="0.3"/>
    <row r="96" ht="14.4" x14ac:dyDescent="0.3"/>
    <row r="97" ht="14.4" x14ac:dyDescent="0.3"/>
    <row r="98" ht="14.4" x14ac:dyDescent="0.3"/>
    <row r="99" ht="14.4" x14ac:dyDescent="0.3"/>
    <row r="100" ht="14.4" x14ac:dyDescent="0.3"/>
    <row r="101" ht="14.4" x14ac:dyDescent="0.3"/>
    <row r="102" ht="14.4" x14ac:dyDescent="0.3"/>
    <row r="103" ht="14.4" x14ac:dyDescent="0.3"/>
    <row r="104" ht="14.4" x14ac:dyDescent="0.3"/>
    <row r="105" ht="14.4" x14ac:dyDescent="0.3"/>
    <row r="106" ht="14.4" x14ac:dyDescent="0.3"/>
    <row r="107" ht="14.4" x14ac:dyDescent="0.3"/>
    <row r="108" ht="14.4" x14ac:dyDescent="0.3"/>
    <row r="109" ht="14.4" x14ac:dyDescent="0.3"/>
    <row r="110" ht="14.4" x14ac:dyDescent="0.3"/>
    <row r="111" ht="14.4" x14ac:dyDescent="0.3"/>
    <row r="112" ht="14.4" x14ac:dyDescent="0.3"/>
    <row r="113" ht="14.4" x14ac:dyDescent="0.3"/>
    <row r="114" ht="14.4" x14ac:dyDescent="0.3"/>
    <row r="115" ht="14.4" x14ac:dyDescent="0.3"/>
    <row r="116" ht="14.4" x14ac:dyDescent="0.3"/>
    <row r="117" ht="14.4" x14ac:dyDescent="0.3"/>
    <row r="118" ht="14.4" x14ac:dyDescent="0.3"/>
    <row r="119" ht="14.4" x14ac:dyDescent="0.3"/>
    <row r="120" ht="14.4" x14ac:dyDescent="0.3"/>
    <row r="121" ht="14.4" x14ac:dyDescent="0.3"/>
    <row r="122" ht="14.4" x14ac:dyDescent="0.3"/>
    <row r="123" ht="14.4" x14ac:dyDescent="0.3"/>
    <row r="124" ht="14.4" x14ac:dyDescent="0.3"/>
    <row r="125" ht="14.4" x14ac:dyDescent="0.3"/>
    <row r="126" ht="14.4" x14ac:dyDescent="0.3"/>
    <row r="127" ht="14.4" x14ac:dyDescent="0.3"/>
    <row r="128" ht="14.4" x14ac:dyDescent="0.3"/>
    <row r="129" ht="14.4" x14ac:dyDescent="0.3"/>
    <row r="130" ht="14.4" x14ac:dyDescent="0.3"/>
    <row r="131" ht="14.4" x14ac:dyDescent="0.3"/>
    <row r="132" ht="14.4" x14ac:dyDescent="0.3"/>
    <row r="133" ht="14.4" x14ac:dyDescent="0.3"/>
    <row r="134" ht="14.4" x14ac:dyDescent="0.3"/>
    <row r="135" ht="14.4" x14ac:dyDescent="0.3"/>
    <row r="136" ht="14.4" x14ac:dyDescent="0.3"/>
    <row r="137" ht="14.4" x14ac:dyDescent="0.3"/>
    <row r="138" ht="14.4" x14ac:dyDescent="0.3"/>
    <row r="139" ht="14.4" x14ac:dyDescent="0.3"/>
    <row r="140" ht="14.4" x14ac:dyDescent="0.3"/>
    <row r="141" ht="14.4" x14ac:dyDescent="0.3"/>
    <row r="142" ht="14.4" x14ac:dyDescent="0.3"/>
    <row r="143" ht="14.4" x14ac:dyDescent="0.3"/>
    <row r="144" ht="14.4" x14ac:dyDescent="0.3"/>
    <row r="145" ht="14.4" x14ac:dyDescent="0.3"/>
    <row r="146" ht="14.4" x14ac:dyDescent="0.3"/>
    <row r="147" ht="14.4" x14ac:dyDescent="0.3"/>
    <row r="148" ht="14.4" x14ac:dyDescent="0.3"/>
    <row r="149" ht="14.4" x14ac:dyDescent="0.3"/>
    <row r="150" ht="14.4" x14ac:dyDescent="0.3"/>
    <row r="151" ht="14.4" x14ac:dyDescent="0.3"/>
    <row r="152" ht="14.4" x14ac:dyDescent="0.3"/>
    <row r="153" ht="14.4" x14ac:dyDescent="0.3"/>
    <row r="154" ht="14.4" x14ac:dyDescent="0.3"/>
    <row r="155" ht="14.4" x14ac:dyDescent="0.3"/>
    <row r="156" ht="14.4" x14ac:dyDescent="0.3"/>
    <row r="157" ht="14.4" x14ac:dyDescent="0.3"/>
    <row r="158" ht="14.4" x14ac:dyDescent="0.3"/>
    <row r="159" ht="14.4" x14ac:dyDescent="0.3"/>
    <row r="160" ht="14.4" x14ac:dyDescent="0.3"/>
    <row r="161" ht="14.4" x14ac:dyDescent="0.3"/>
    <row r="162" ht="14.4" x14ac:dyDescent="0.3"/>
    <row r="163" ht="14.4" x14ac:dyDescent="0.3"/>
    <row r="164" ht="14.4" x14ac:dyDescent="0.3"/>
    <row r="165" ht="14.4" x14ac:dyDescent="0.3"/>
    <row r="166" ht="14.4" x14ac:dyDescent="0.3"/>
    <row r="167" ht="14.4" x14ac:dyDescent="0.3"/>
    <row r="168" ht="14.4" x14ac:dyDescent="0.3"/>
    <row r="169" ht="14.4" x14ac:dyDescent="0.3"/>
    <row r="170" ht="14.4" x14ac:dyDescent="0.3"/>
    <row r="171" ht="14.4" x14ac:dyDescent="0.3"/>
    <row r="172" ht="14.4" x14ac:dyDescent="0.3"/>
    <row r="173" ht="14.4" x14ac:dyDescent="0.3"/>
    <row r="174" ht="14.4" x14ac:dyDescent="0.3"/>
    <row r="175" ht="14.4" x14ac:dyDescent="0.3"/>
    <row r="176" ht="14.4" x14ac:dyDescent="0.3"/>
    <row r="177" ht="14.4" x14ac:dyDescent="0.3"/>
    <row r="178" ht="14.4" x14ac:dyDescent="0.3"/>
    <row r="179" ht="14.4" x14ac:dyDescent="0.3"/>
    <row r="180" ht="14.4" x14ac:dyDescent="0.3"/>
    <row r="181" ht="14.4" x14ac:dyDescent="0.3"/>
    <row r="182" ht="14.4" x14ac:dyDescent="0.3"/>
    <row r="183" ht="14.4" x14ac:dyDescent="0.3"/>
    <row r="184" ht="14.4" x14ac:dyDescent="0.3"/>
    <row r="185" ht="14.4" x14ac:dyDescent="0.3"/>
    <row r="186" ht="14.4" x14ac:dyDescent="0.3"/>
    <row r="187" ht="14.4" x14ac:dyDescent="0.3"/>
    <row r="188" ht="14.4" x14ac:dyDescent="0.3"/>
    <row r="189" ht="14.4" x14ac:dyDescent="0.3"/>
    <row r="190" ht="14.4" x14ac:dyDescent="0.3"/>
    <row r="191" ht="14.4" x14ac:dyDescent="0.3"/>
    <row r="192" ht="14.4" x14ac:dyDescent="0.3"/>
    <row r="193" ht="14.4" x14ac:dyDescent="0.3"/>
    <row r="194" ht="14.4" x14ac:dyDescent="0.3"/>
    <row r="195" ht="14.4" x14ac:dyDescent="0.3"/>
    <row r="196" ht="14.4" x14ac:dyDescent="0.3"/>
    <row r="197" ht="14.4" x14ac:dyDescent="0.3"/>
    <row r="198" ht="14.4" x14ac:dyDescent="0.3"/>
    <row r="199" ht="14.4" x14ac:dyDescent="0.3"/>
    <row r="200" ht="14.4" x14ac:dyDescent="0.3"/>
    <row r="201" ht="14.4" x14ac:dyDescent="0.3"/>
    <row r="202" ht="14.4" x14ac:dyDescent="0.3"/>
    <row r="203" ht="14.4" x14ac:dyDescent="0.3"/>
    <row r="204" ht="14.4" x14ac:dyDescent="0.3"/>
    <row r="205" ht="14.4" x14ac:dyDescent="0.3"/>
    <row r="206" ht="14.4" x14ac:dyDescent="0.3"/>
    <row r="207" ht="14.4" x14ac:dyDescent="0.3"/>
    <row r="208" ht="14.4" x14ac:dyDescent="0.3"/>
    <row r="209" ht="14.4" x14ac:dyDescent="0.3"/>
    <row r="210" ht="14.4" x14ac:dyDescent="0.3"/>
    <row r="211" ht="14.4" x14ac:dyDescent="0.3"/>
    <row r="212" ht="14.4" x14ac:dyDescent="0.3"/>
    <row r="213" ht="14.4" x14ac:dyDescent="0.3"/>
    <row r="214" ht="14.4" x14ac:dyDescent="0.3"/>
    <row r="215" ht="14.4" x14ac:dyDescent="0.3"/>
    <row r="216" ht="14.4" x14ac:dyDescent="0.3"/>
    <row r="217" ht="14.4" x14ac:dyDescent="0.3"/>
    <row r="218" ht="14.4" x14ac:dyDescent="0.3"/>
    <row r="219" ht="14.4" x14ac:dyDescent="0.3"/>
    <row r="220" ht="14.4" x14ac:dyDescent="0.3"/>
    <row r="221" ht="14.4" x14ac:dyDescent="0.3"/>
    <row r="222" ht="14.4" x14ac:dyDescent="0.3"/>
    <row r="223" ht="14.4" x14ac:dyDescent="0.3"/>
    <row r="224" ht="14.4" x14ac:dyDescent="0.3"/>
    <row r="225" ht="14.4" x14ac:dyDescent="0.3"/>
    <row r="226" ht="14.4" x14ac:dyDescent="0.3"/>
    <row r="227" ht="14.4" x14ac:dyDescent="0.3"/>
    <row r="228" ht="14.4" x14ac:dyDescent="0.3"/>
    <row r="229" ht="14.4" x14ac:dyDescent="0.3"/>
    <row r="230" ht="14.4" x14ac:dyDescent="0.3"/>
    <row r="231" ht="14.4" x14ac:dyDescent="0.3"/>
    <row r="232" ht="14.4" x14ac:dyDescent="0.3"/>
    <row r="233" ht="14.4" x14ac:dyDescent="0.3"/>
    <row r="234" ht="14.4" x14ac:dyDescent="0.3"/>
    <row r="235" ht="14.4" x14ac:dyDescent="0.3"/>
    <row r="236" ht="14.4" x14ac:dyDescent="0.3"/>
    <row r="237" ht="14.4" x14ac:dyDescent="0.3"/>
    <row r="238" ht="14.4" x14ac:dyDescent="0.3"/>
    <row r="239" ht="14.4" x14ac:dyDescent="0.3"/>
    <row r="240" ht="14.4" x14ac:dyDescent="0.3"/>
    <row r="241" ht="14.4" x14ac:dyDescent="0.3"/>
    <row r="242" ht="14.4" x14ac:dyDescent="0.3"/>
    <row r="243" ht="14.4" x14ac:dyDescent="0.3"/>
    <row r="244" ht="14.4" x14ac:dyDescent="0.3"/>
    <row r="245" ht="14.4" x14ac:dyDescent="0.3"/>
    <row r="246" ht="14.4" x14ac:dyDescent="0.3"/>
    <row r="247" ht="14.4" x14ac:dyDescent="0.3"/>
    <row r="248" ht="14.4" x14ac:dyDescent="0.3"/>
    <row r="249" ht="14.4" x14ac:dyDescent="0.3"/>
    <row r="250" ht="14.4" x14ac:dyDescent="0.3"/>
    <row r="251" ht="14.4" x14ac:dyDescent="0.3"/>
    <row r="252" ht="14.4" x14ac:dyDescent="0.3"/>
    <row r="253" ht="14.4" x14ac:dyDescent="0.3"/>
    <row r="254" ht="14.4" x14ac:dyDescent="0.3"/>
    <row r="255" ht="14.4" x14ac:dyDescent="0.3"/>
    <row r="256" ht="14.4" x14ac:dyDescent="0.3"/>
    <row r="257" ht="14.4" x14ac:dyDescent="0.3"/>
    <row r="258" ht="14.4" x14ac:dyDescent="0.3"/>
    <row r="259" ht="14.4" x14ac:dyDescent="0.3"/>
    <row r="260" ht="14.4" x14ac:dyDescent="0.3"/>
    <row r="261" ht="14.4" x14ac:dyDescent="0.3"/>
    <row r="262" ht="14.4" x14ac:dyDescent="0.3"/>
    <row r="263" ht="14.4" x14ac:dyDescent="0.3"/>
    <row r="264" ht="14.4" x14ac:dyDescent="0.3"/>
    <row r="265" ht="14.4" x14ac:dyDescent="0.3"/>
    <row r="266" ht="14.4" x14ac:dyDescent="0.3"/>
    <row r="267" ht="14.4" x14ac:dyDescent="0.3"/>
    <row r="268" ht="14.4" x14ac:dyDescent="0.3"/>
    <row r="269" ht="14.4" x14ac:dyDescent="0.3"/>
    <row r="270" ht="14.4" x14ac:dyDescent="0.3"/>
    <row r="271" ht="14.4" x14ac:dyDescent="0.3"/>
    <row r="272" ht="14.4" x14ac:dyDescent="0.3"/>
    <row r="273" ht="14.4" x14ac:dyDescent="0.3"/>
    <row r="274" ht="14.4" x14ac:dyDescent="0.3"/>
    <row r="275" ht="14.4" x14ac:dyDescent="0.3"/>
    <row r="276" ht="14.4" x14ac:dyDescent="0.3"/>
    <row r="277" ht="14.4" x14ac:dyDescent="0.3"/>
    <row r="278" ht="14.4" x14ac:dyDescent="0.3"/>
    <row r="279" ht="14.4" x14ac:dyDescent="0.3"/>
    <row r="280" ht="14.4" x14ac:dyDescent="0.3"/>
    <row r="281" ht="14.4" x14ac:dyDescent="0.3"/>
    <row r="282" ht="14.4" x14ac:dyDescent="0.3"/>
    <row r="283" ht="14.4" x14ac:dyDescent="0.3"/>
    <row r="284" ht="14.4" x14ac:dyDescent="0.3"/>
    <row r="285" ht="14.4" x14ac:dyDescent="0.3"/>
    <row r="286" ht="14.4" x14ac:dyDescent="0.3"/>
    <row r="287" ht="14.4" x14ac:dyDescent="0.3"/>
    <row r="288" ht="14.4" x14ac:dyDescent="0.3"/>
    <row r="289" ht="14.4" x14ac:dyDescent="0.3"/>
    <row r="290" ht="14.4" x14ac:dyDescent="0.3"/>
    <row r="291" ht="14.4" x14ac:dyDescent="0.3"/>
    <row r="292" ht="14.4" x14ac:dyDescent="0.3"/>
    <row r="293" ht="14.4" x14ac:dyDescent="0.3"/>
    <row r="294" ht="14.4" x14ac:dyDescent="0.3"/>
    <row r="295" ht="14.4" x14ac:dyDescent="0.3"/>
    <row r="296" ht="14.4" x14ac:dyDescent="0.3"/>
    <row r="297" ht="14.4" x14ac:dyDescent="0.3"/>
    <row r="298" ht="14.4" x14ac:dyDescent="0.3"/>
    <row r="299" ht="14.4" x14ac:dyDescent="0.3"/>
    <row r="300" ht="14.4" x14ac:dyDescent="0.3"/>
    <row r="301" ht="14.4" x14ac:dyDescent="0.3"/>
    <row r="302" ht="14.4" x14ac:dyDescent="0.3"/>
    <row r="303" ht="14.4" x14ac:dyDescent="0.3"/>
    <row r="304" ht="14.4" x14ac:dyDescent="0.3"/>
    <row r="305" ht="14.4" x14ac:dyDescent="0.3"/>
    <row r="306" ht="14.4" x14ac:dyDescent="0.3"/>
    <row r="307" ht="14.4" x14ac:dyDescent="0.3"/>
    <row r="308" ht="14.4" x14ac:dyDescent="0.3"/>
    <row r="309" ht="14.4" x14ac:dyDescent="0.3"/>
    <row r="310" ht="14.4" x14ac:dyDescent="0.3"/>
    <row r="311" ht="14.4" x14ac:dyDescent="0.3"/>
    <row r="312" ht="14.4" x14ac:dyDescent="0.3"/>
    <row r="313" ht="14.4" x14ac:dyDescent="0.3"/>
    <row r="314" ht="14.4" x14ac:dyDescent="0.3"/>
    <row r="315" ht="14.4" x14ac:dyDescent="0.3"/>
    <row r="316" ht="14.4" x14ac:dyDescent="0.3"/>
    <row r="317" ht="14.4" x14ac:dyDescent="0.3"/>
    <row r="318" ht="14.4" x14ac:dyDescent="0.3"/>
    <row r="319" ht="14.4" x14ac:dyDescent="0.3"/>
    <row r="320" ht="14.4" x14ac:dyDescent="0.3"/>
    <row r="321" ht="14.4" x14ac:dyDescent="0.3"/>
    <row r="322" ht="14.4" x14ac:dyDescent="0.3"/>
    <row r="323" ht="14.4" x14ac:dyDescent="0.3"/>
    <row r="324" ht="14.4" x14ac:dyDescent="0.3"/>
    <row r="325" ht="14.4" x14ac:dyDescent="0.3"/>
    <row r="326" ht="14.4" x14ac:dyDescent="0.3"/>
    <row r="327" ht="14.4" x14ac:dyDescent="0.3"/>
    <row r="328" ht="14.4" x14ac:dyDescent="0.3"/>
    <row r="329" ht="14.4" x14ac:dyDescent="0.3"/>
    <row r="330" ht="14.4" x14ac:dyDescent="0.3"/>
    <row r="331" ht="14.4" x14ac:dyDescent="0.3"/>
    <row r="332" ht="14.4" x14ac:dyDescent="0.3"/>
    <row r="333" ht="14.4" x14ac:dyDescent="0.3"/>
    <row r="334" ht="14.4" x14ac:dyDescent="0.3"/>
    <row r="335" ht="14.4" x14ac:dyDescent="0.3"/>
    <row r="336" ht="14.4" x14ac:dyDescent="0.3"/>
    <row r="337" ht="14.4" x14ac:dyDescent="0.3"/>
    <row r="338" ht="14.4" x14ac:dyDescent="0.3"/>
    <row r="339" ht="14.4" x14ac:dyDescent="0.3"/>
    <row r="340" ht="14.4" x14ac:dyDescent="0.3"/>
    <row r="341" ht="14.4" x14ac:dyDescent="0.3"/>
    <row r="342" ht="14.4" x14ac:dyDescent="0.3"/>
    <row r="343" ht="14.4" x14ac:dyDescent="0.3"/>
    <row r="344" ht="14.4" x14ac:dyDescent="0.3"/>
    <row r="345" ht="14.4" x14ac:dyDescent="0.3"/>
    <row r="346" ht="14.4" x14ac:dyDescent="0.3"/>
    <row r="347" ht="14.4" x14ac:dyDescent="0.3"/>
    <row r="348" ht="14.4" x14ac:dyDescent="0.3"/>
    <row r="349" ht="14.4" x14ac:dyDescent="0.3"/>
    <row r="350" ht="14.4" x14ac:dyDescent="0.3"/>
    <row r="351" ht="14.4" x14ac:dyDescent="0.3"/>
    <row r="352" ht="14.4" x14ac:dyDescent="0.3"/>
    <row r="353" ht="14.4" x14ac:dyDescent="0.3"/>
    <row r="354" ht="14.4" x14ac:dyDescent="0.3"/>
    <row r="355" ht="14.4" x14ac:dyDescent="0.3"/>
    <row r="356" ht="14.4" x14ac:dyDescent="0.3"/>
    <row r="357" ht="14.4" x14ac:dyDescent="0.3"/>
    <row r="358" ht="14.4" x14ac:dyDescent="0.3"/>
    <row r="359" ht="14.4" x14ac:dyDescent="0.3"/>
    <row r="360" ht="14.4" x14ac:dyDescent="0.3"/>
    <row r="361" ht="14.4" x14ac:dyDescent="0.3"/>
    <row r="362" ht="14.4" x14ac:dyDescent="0.3"/>
    <row r="363" ht="14.4" x14ac:dyDescent="0.3"/>
    <row r="364" ht="14.4" x14ac:dyDescent="0.3"/>
    <row r="365" ht="14.4" x14ac:dyDescent="0.3"/>
    <row r="366" ht="14.4" x14ac:dyDescent="0.3"/>
    <row r="367" ht="14.4" x14ac:dyDescent="0.3"/>
    <row r="368" ht="14.4" x14ac:dyDescent="0.3"/>
    <row r="369" ht="14.4" x14ac:dyDescent="0.3"/>
    <row r="370" ht="14.4" x14ac:dyDescent="0.3"/>
    <row r="371" ht="14.4" x14ac:dyDescent="0.3"/>
    <row r="372" ht="14.4" x14ac:dyDescent="0.3"/>
    <row r="373" ht="14.4" x14ac:dyDescent="0.3"/>
    <row r="374" ht="14.4" x14ac:dyDescent="0.3"/>
    <row r="375" ht="14.4" x14ac:dyDescent="0.3"/>
    <row r="376" ht="14.4" x14ac:dyDescent="0.3"/>
    <row r="377" ht="14.4" x14ac:dyDescent="0.3"/>
    <row r="378" ht="14.4" x14ac:dyDescent="0.3"/>
    <row r="379" ht="14.4" x14ac:dyDescent="0.3"/>
    <row r="380" ht="14.4" x14ac:dyDescent="0.3"/>
    <row r="381" ht="14.4" x14ac:dyDescent="0.3"/>
    <row r="382" ht="14.4" x14ac:dyDescent="0.3"/>
    <row r="383" ht="14.4" x14ac:dyDescent="0.3"/>
    <row r="384" ht="14.4" x14ac:dyDescent="0.3"/>
    <row r="385" ht="14.4" x14ac:dyDescent="0.3"/>
    <row r="386" ht="14.4" x14ac:dyDescent="0.3"/>
    <row r="387" ht="14.4" x14ac:dyDescent="0.3"/>
    <row r="388" ht="14.4" x14ac:dyDescent="0.3"/>
    <row r="389" ht="14.4" x14ac:dyDescent="0.3"/>
    <row r="390" ht="14.4" x14ac:dyDescent="0.3"/>
    <row r="391" ht="14.4" x14ac:dyDescent="0.3"/>
    <row r="392" ht="14.4" x14ac:dyDescent="0.3"/>
    <row r="393" ht="14.4" x14ac:dyDescent="0.3"/>
    <row r="394" ht="14.4" x14ac:dyDescent="0.3"/>
    <row r="395" ht="14.4" x14ac:dyDescent="0.3"/>
    <row r="396" ht="14.4" x14ac:dyDescent="0.3"/>
    <row r="397" ht="14.4" x14ac:dyDescent="0.3"/>
    <row r="398" ht="14.4" x14ac:dyDescent="0.3"/>
    <row r="399" ht="14.4" x14ac:dyDescent="0.3"/>
    <row r="400" ht="14.4" x14ac:dyDescent="0.3"/>
    <row r="401" ht="14.4" x14ac:dyDescent="0.3"/>
    <row r="402" ht="14.4" x14ac:dyDescent="0.3"/>
    <row r="403" ht="14.4" x14ac:dyDescent="0.3"/>
    <row r="404" ht="14.4" x14ac:dyDescent="0.3"/>
    <row r="405" ht="14.4" x14ac:dyDescent="0.3"/>
    <row r="406" ht="14.4" x14ac:dyDescent="0.3"/>
    <row r="407" ht="14.4" x14ac:dyDescent="0.3"/>
    <row r="408" ht="14.4" x14ac:dyDescent="0.3"/>
    <row r="409" ht="14.4" x14ac:dyDescent="0.3"/>
    <row r="410" ht="14.4" x14ac:dyDescent="0.3"/>
    <row r="411" ht="14.4" x14ac:dyDescent="0.3"/>
    <row r="412" ht="14.4" x14ac:dyDescent="0.3"/>
    <row r="413" ht="14.4" x14ac:dyDescent="0.3"/>
    <row r="414" ht="14.4" x14ac:dyDescent="0.3"/>
    <row r="415" ht="14.4" x14ac:dyDescent="0.3"/>
    <row r="416" ht="14.4" x14ac:dyDescent="0.3"/>
    <row r="417" ht="14.4" x14ac:dyDescent="0.3"/>
    <row r="418" ht="14.4" x14ac:dyDescent="0.3"/>
    <row r="419" ht="14.4" x14ac:dyDescent="0.3"/>
    <row r="420" ht="14.4" x14ac:dyDescent="0.3"/>
    <row r="421" ht="14.4" x14ac:dyDescent="0.3"/>
    <row r="422" ht="14.4" x14ac:dyDescent="0.3"/>
    <row r="423" ht="14.4" x14ac:dyDescent="0.3"/>
    <row r="424" ht="14.4" x14ac:dyDescent="0.3"/>
    <row r="425" ht="14.4" x14ac:dyDescent="0.3"/>
    <row r="426" ht="14.4" x14ac:dyDescent="0.3"/>
    <row r="427" ht="14.4" x14ac:dyDescent="0.3"/>
    <row r="428" ht="14.4" x14ac:dyDescent="0.3"/>
    <row r="429" ht="14.4" x14ac:dyDescent="0.3"/>
    <row r="430" ht="14.4" x14ac:dyDescent="0.3"/>
    <row r="431" ht="14.4" x14ac:dyDescent="0.3"/>
    <row r="432" ht="14.4" x14ac:dyDescent="0.3"/>
    <row r="433" ht="14.4" x14ac:dyDescent="0.3"/>
    <row r="434" ht="14.4" x14ac:dyDescent="0.3"/>
    <row r="435" ht="14.4" x14ac:dyDescent="0.3"/>
    <row r="436" ht="14.4" x14ac:dyDescent="0.3"/>
    <row r="437" ht="14.4" x14ac:dyDescent="0.3"/>
    <row r="438" ht="14.4" x14ac:dyDescent="0.3"/>
    <row r="439" ht="14.4" x14ac:dyDescent="0.3"/>
    <row r="440" ht="14.4" x14ac:dyDescent="0.3"/>
    <row r="441" ht="14.4" x14ac:dyDescent="0.3"/>
    <row r="442" ht="14.4" x14ac:dyDescent="0.3"/>
    <row r="443" ht="14.4" x14ac:dyDescent="0.3"/>
    <row r="444" ht="14.4" x14ac:dyDescent="0.3"/>
    <row r="445" ht="14.4" x14ac:dyDescent="0.3"/>
    <row r="446" ht="14.4" x14ac:dyDescent="0.3"/>
    <row r="447" ht="14.4" x14ac:dyDescent="0.3"/>
    <row r="448" ht="14.4" x14ac:dyDescent="0.3"/>
    <row r="449" ht="14.4" x14ac:dyDescent="0.3"/>
    <row r="450" ht="14.4" x14ac:dyDescent="0.3"/>
    <row r="451" ht="14.4" x14ac:dyDescent="0.3"/>
    <row r="452" ht="14.4" x14ac:dyDescent="0.3"/>
    <row r="453" ht="14.4" x14ac:dyDescent="0.3"/>
    <row r="454" ht="14.4" x14ac:dyDescent="0.3"/>
    <row r="455" ht="14.4" x14ac:dyDescent="0.3"/>
    <row r="456" ht="14.4" x14ac:dyDescent="0.3"/>
    <row r="457" ht="14.4" x14ac:dyDescent="0.3"/>
    <row r="458" ht="14.4" x14ac:dyDescent="0.3"/>
    <row r="459" ht="14.4" x14ac:dyDescent="0.3"/>
    <row r="460" ht="14.4" x14ac:dyDescent="0.3"/>
    <row r="461" ht="14.4" x14ac:dyDescent="0.3"/>
    <row r="462" ht="14.4" x14ac:dyDescent="0.3"/>
    <row r="463" ht="14.4" x14ac:dyDescent="0.3"/>
    <row r="464" ht="14.4" x14ac:dyDescent="0.3"/>
    <row r="465" ht="14.4" x14ac:dyDescent="0.3"/>
    <row r="466" ht="14.4" x14ac:dyDescent="0.3"/>
    <row r="467" ht="14.4" x14ac:dyDescent="0.3"/>
    <row r="468" ht="14.4" x14ac:dyDescent="0.3"/>
    <row r="469" ht="14.4" x14ac:dyDescent="0.3"/>
    <row r="470" ht="14.4" x14ac:dyDescent="0.3"/>
    <row r="471" ht="14.4" x14ac:dyDescent="0.3"/>
    <row r="472" ht="14.4" x14ac:dyDescent="0.3"/>
    <row r="473" ht="14.4" x14ac:dyDescent="0.3"/>
    <row r="474" ht="14.4" x14ac:dyDescent="0.3"/>
    <row r="475" ht="14.4" x14ac:dyDescent="0.3"/>
    <row r="476" ht="14.4" x14ac:dyDescent="0.3"/>
    <row r="477" ht="14.4" x14ac:dyDescent="0.3"/>
    <row r="478" ht="14.4" x14ac:dyDescent="0.3"/>
    <row r="479" ht="14.4" x14ac:dyDescent="0.3"/>
    <row r="480" ht="14.4" x14ac:dyDescent="0.3"/>
    <row r="481" ht="14.4" x14ac:dyDescent="0.3"/>
    <row r="482" ht="14.4" x14ac:dyDescent="0.3"/>
    <row r="483" ht="14.4" x14ac:dyDescent="0.3"/>
    <row r="484" ht="14.4" x14ac:dyDescent="0.3"/>
    <row r="485" ht="14.4" x14ac:dyDescent="0.3"/>
    <row r="486" ht="14.4" x14ac:dyDescent="0.3"/>
    <row r="487" ht="14.4" x14ac:dyDescent="0.3"/>
    <row r="488" ht="14.4" x14ac:dyDescent="0.3"/>
    <row r="489" ht="14.4" x14ac:dyDescent="0.3"/>
    <row r="490" ht="14.4" x14ac:dyDescent="0.3"/>
    <row r="491" ht="14.4" x14ac:dyDescent="0.3"/>
    <row r="492" ht="14.4" x14ac:dyDescent="0.3"/>
    <row r="493" ht="14.4" x14ac:dyDescent="0.3"/>
    <row r="494" ht="14.4" x14ac:dyDescent="0.3"/>
    <row r="495" ht="14.4" x14ac:dyDescent="0.3"/>
    <row r="496" ht="14.4" x14ac:dyDescent="0.3"/>
    <row r="497" ht="14.4" x14ac:dyDescent="0.3"/>
    <row r="498" ht="14.4" x14ac:dyDescent="0.3"/>
    <row r="499" ht="14.4" x14ac:dyDescent="0.3"/>
    <row r="500" ht="14.4" x14ac:dyDescent="0.3"/>
    <row r="501" ht="14.4" x14ac:dyDescent="0.3"/>
    <row r="502" ht="14.4" x14ac:dyDescent="0.3"/>
    <row r="503" ht="14.4" x14ac:dyDescent="0.3"/>
    <row r="504" ht="14.4" x14ac:dyDescent="0.3"/>
    <row r="505" ht="14.4" x14ac:dyDescent="0.3"/>
    <row r="506" ht="14.4" x14ac:dyDescent="0.3"/>
    <row r="507" ht="14.4" x14ac:dyDescent="0.3"/>
    <row r="508" ht="14.4" x14ac:dyDescent="0.3"/>
    <row r="509" ht="14.4" x14ac:dyDescent="0.3"/>
    <row r="510" ht="14.4" x14ac:dyDescent="0.3"/>
    <row r="511" ht="14.4" x14ac:dyDescent="0.3"/>
    <row r="512" ht="14.4" x14ac:dyDescent="0.3"/>
    <row r="513" ht="14.4" x14ac:dyDescent="0.3"/>
    <row r="514" ht="14.4" x14ac:dyDescent="0.3"/>
    <row r="515" ht="14.4" x14ac:dyDescent="0.3"/>
    <row r="516" ht="14.4" x14ac:dyDescent="0.3"/>
    <row r="517" ht="14.4" x14ac:dyDescent="0.3"/>
    <row r="518" ht="14.4" x14ac:dyDescent="0.3"/>
    <row r="519" ht="14.4" x14ac:dyDescent="0.3"/>
    <row r="520" ht="14.4" x14ac:dyDescent="0.3"/>
    <row r="521" ht="14.4" x14ac:dyDescent="0.3"/>
    <row r="522" ht="14.4" x14ac:dyDescent="0.3"/>
    <row r="523" ht="14.4" x14ac:dyDescent="0.3"/>
    <row r="524" ht="14.4" x14ac:dyDescent="0.3"/>
    <row r="525" ht="14.4" x14ac:dyDescent="0.3"/>
    <row r="526" ht="14.4" x14ac:dyDescent="0.3"/>
    <row r="527" ht="14.4" x14ac:dyDescent="0.3"/>
    <row r="528" ht="14.4" x14ac:dyDescent="0.3"/>
    <row r="529" ht="14.4" x14ac:dyDescent="0.3"/>
    <row r="530" ht="14.4" x14ac:dyDescent="0.3"/>
    <row r="531" ht="14.4" x14ac:dyDescent="0.3"/>
    <row r="532" ht="14.4" x14ac:dyDescent="0.3"/>
    <row r="533" ht="14.4" x14ac:dyDescent="0.3"/>
    <row r="534" ht="14.4" x14ac:dyDescent="0.3"/>
    <row r="535" ht="14.4" x14ac:dyDescent="0.3"/>
    <row r="536" ht="14.4" x14ac:dyDescent="0.3"/>
    <row r="537" ht="14.4" x14ac:dyDescent="0.3"/>
    <row r="538" ht="14.4" x14ac:dyDescent="0.3"/>
    <row r="539" ht="14.4" x14ac:dyDescent="0.3"/>
    <row r="540" ht="14.4" x14ac:dyDescent="0.3"/>
    <row r="541" ht="14.4" x14ac:dyDescent="0.3"/>
    <row r="542" ht="14.4" x14ac:dyDescent="0.3"/>
    <row r="543" ht="14.4" x14ac:dyDescent="0.3"/>
    <row r="544" ht="14.4" x14ac:dyDescent="0.3"/>
    <row r="545" ht="14.4" x14ac:dyDescent="0.3"/>
    <row r="546" ht="14.4" x14ac:dyDescent="0.3"/>
    <row r="547" ht="14.4" x14ac:dyDescent="0.3"/>
    <row r="548" ht="14.4" x14ac:dyDescent="0.3"/>
    <row r="549" ht="14.4" x14ac:dyDescent="0.3"/>
    <row r="550" ht="14.4" x14ac:dyDescent="0.3"/>
    <row r="551" ht="14.4" x14ac:dyDescent="0.3"/>
    <row r="552" ht="14.4" x14ac:dyDescent="0.3"/>
    <row r="553" ht="14.4" x14ac:dyDescent="0.3"/>
    <row r="554" ht="14.4" x14ac:dyDescent="0.3"/>
    <row r="555" ht="14.4" x14ac:dyDescent="0.3"/>
    <row r="556" ht="14.4" x14ac:dyDescent="0.3"/>
    <row r="557" ht="14.4" x14ac:dyDescent="0.3"/>
    <row r="558" ht="14.4" x14ac:dyDescent="0.3"/>
    <row r="559" ht="14.4" x14ac:dyDescent="0.3"/>
    <row r="560" ht="14.4" x14ac:dyDescent="0.3"/>
    <row r="561" ht="14.4" x14ac:dyDescent="0.3"/>
    <row r="562" ht="14.4" x14ac:dyDescent="0.3"/>
    <row r="563" ht="14.4" x14ac:dyDescent="0.3"/>
    <row r="564" ht="14.4" x14ac:dyDescent="0.3"/>
    <row r="565" ht="14.4" x14ac:dyDescent="0.3"/>
    <row r="566" ht="14.4" x14ac:dyDescent="0.3"/>
    <row r="567" ht="14.4" x14ac:dyDescent="0.3"/>
    <row r="568" ht="14.4" x14ac:dyDescent="0.3"/>
    <row r="569" ht="14.4" x14ac:dyDescent="0.3"/>
    <row r="570" ht="14.4" x14ac:dyDescent="0.3"/>
    <row r="571" ht="14.4" x14ac:dyDescent="0.3"/>
    <row r="572" ht="14.4" x14ac:dyDescent="0.3"/>
    <row r="573" ht="14.4" x14ac:dyDescent="0.3"/>
    <row r="574" ht="14.4" x14ac:dyDescent="0.3"/>
    <row r="575" ht="14.4" x14ac:dyDescent="0.3"/>
    <row r="576" ht="14.4" x14ac:dyDescent="0.3"/>
    <row r="577" ht="14.4" x14ac:dyDescent="0.3"/>
    <row r="578" ht="14.4" x14ac:dyDescent="0.3"/>
    <row r="579" ht="14.4" x14ac:dyDescent="0.3"/>
    <row r="580" ht="14.4" x14ac:dyDescent="0.3"/>
    <row r="581" ht="14.4" x14ac:dyDescent="0.3"/>
    <row r="582" ht="14.4" x14ac:dyDescent="0.3"/>
    <row r="583" ht="14.4" x14ac:dyDescent="0.3"/>
    <row r="584" ht="14.4" x14ac:dyDescent="0.3"/>
    <row r="585" ht="14.4" x14ac:dyDescent="0.3"/>
    <row r="586" ht="14.4" x14ac:dyDescent="0.3"/>
    <row r="587" ht="14.4" x14ac:dyDescent="0.3"/>
    <row r="588" ht="14.4" x14ac:dyDescent="0.3"/>
    <row r="589" ht="14.4" x14ac:dyDescent="0.3"/>
    <row r="590" ht="14.4" x14ac:dyDescent="0.3"/>
    <row r="591" ht="14.4" x14ac:dyDescent="0.3"/>
    <row r="592" ht="14.4" x14ac:dyDescent="0.3"/>
    <row r="593" ht="14.4" x14ac:dyDescent="0.3"/>
    <row r="594" ht="14.4" x14ac:dyDescent="0.3"/>
    <row r="595" ht="14.4" x14ac:dyDescent="0.3"/>
    <row r="596" ht="14.4" x14ac:dyDescent="0.3"/>
    <row r="597" ht="14.4" x14ac:dyDescent="0.3"/>
    <row r="598" ht="14.4" x14ac:dyDescent="0.3"/>
    <row r="599" ht="14.4" x14ac:dyDescent="0.3"/>
    <row r="600" ht="14.4" x14ac:dyDescent="0.3"/>
    <row r="601" ht="14.4" x14ac:dyDescent="0.3"/>
    <row r="602" ht="14.4" x14ac:dyDescent="0.3"/>
    <row r="603" ht="14.4" x14ac:dyDescent="0.3"/>
    <row r="604" ht="14.4" x14ac:dyDescent="0.3"/>
    <row r="605" ht="14.4" x14ac:dyDescent="0.3"/>
    <row r="606" ht="14.4" x14ac:dyDescent="0.3"/>
    <row r="607" ht="14.4" x14ac:dyDescent="0.3"/>
    <row r="608" ht="14.4" x14ac:dyDescent="0.3"/>
    <row r="609" ht="14.4" x14ac:dyDescent="0.3"/>
    <row r="610" ht="14.4" x14ac:dyDescent="0.3"/>
    <row r="611" ht="14.4" x14ac:dyDescent="0.3"/>
    <row r="612" ht="14.4" x14ac:dyDescent="0.3"/>
    <row r="613" ht="14.4" x14ac:dyDescent="0.3"/>
    <row r="614" ht="14.4" x14ac:dyDescent="0.3"/>
    <row r="615" ht="14.4" x14ac:dyDescent="0.3"/>
    <row r="616" ht="14.4" x14ac:dyDescent="0.3"/>
    <row r="617" ht="14.4" x14ac:dyDescent="0.3"/>
    <row r="618" ht="14.4" x14ac:dyDescent="0.3"/>
    <row r="619" ht="14.4" x14ac:dyDescent="0.3"/>
    <row r="620" ht="14.4" x14ac:dyDescent="0.3"/>
    <row r="621" ht="14.4" x14ac:dyDescent="0.3"/>
    <row r="622" ht="14.4" x14ac:dyDescent="0.3"/>
    <row r="623" ht="14.4" x14ac:dyDescent="0.3"/>
    <row r="624" ht="14.4" x14ac:dyDescent="0.3"/>
    <row r="625" ht="14.4" x14ac:dyDescent="0.3"/>
    <row r="626" ht="14.4" x14ac:dyDescent="0.3"/>
    <row r="627" ht="14.4" x14ac:dyDescent="0.3"/>
    <row r="628" ht="14.4" x14ac:dyDescent="0.3"/>
    <row r="629" ht="14.4" x14ac:dyDescent="0.3"/>
    <row r="630" ht="14.4" x14ac:dyDescent="0.3"/>
    <row r="631" ht="14.4" x14ac:dyDescent="0.3"/>
    <row r="632" ht="14.4" x14ac:dyDescent="0.3"/>
    <row r="633" ht="14.4" x14ac:dyDescent="0.3"/>
    <row r="634" ht="14.4" x14ac:dyDescent="0.3"/>
    <row r="635" ht="14.4" x14ac:dyDescent="0.3"/>
    <row r="636" ht="14.4" x14ac:dyDescent="0.3"/>
    <row r="637" ht="14.4" x14ac:dyDescent="0.3"/>
    <row r="638" ht="14.4" x14ac:dyDescent="0.3"/>
    <row r="639" ht="14.4" x14ac:dyDescent="0.3"/>
    <row r="640" ht="14.4" x14ac:dyDescent="0.3"/>
    <row r="641" ht="14.4" x14ac:dyDescent="0.3"/>
    <row r="642" ht="14.4" x14ac:dyDescent="0.3"/>
    <row r="643" ht="14.4" x14ac:dyDescent="0.3"/>
    <row r="644" ht="14.4" x14ac:dyDescent="0.3"/>
    <row r="645" ht="14.4" x14ac:dyDescent="0.3"/>
    <row r="646" ht="14.4" x14ac:dyDescent="0.3"/>
    <row r="647" ht="14.4" x14ac:dyDescent="0.3"/>
    <row r="648" ht="14.4" x14ac:dyDescent="0.3"/>
    <row r="649" ht="14.4" x14ac:dyDescent="0.3"/>
    <row r="650" ht="14.4" x14ac:dyDescent="0.3"/>
    <row r="651" ht="14.4" x14ac:dyDescent="0.3"/>
    <row r="652" ht="14.4" x14ac:dyDescent="0.3"/>
    <row r="653" ht="14.4" x14ac:dyDescent="0.3"/>
    <row r="654" ht="14.4" x14ac:dyDescent="0.3"/>
    <row r="655" ht="14.4" x14ac:dyDescent="0.3"/>
    <row r="656" ht="14.4" x14ac:dyDescent="0.3"/>
    <row r="657" ht="14.4" x14ac:dyDescent="0.3"/>
    <row r="658" ht="14.4" x14ac:dyDescent="0.3"/>
    <row r="659" ht="14.4" x14ac:dyDescent="0.3"/>
    <row r="660" ht="14.4" x14ac:dyDescent="0.3"/>
    <row r="661" ht="14.4" x14ac:dyDescent="0.3"/>
    <row r="662" ht="14.4" x14ac:dyDescent="0.3"/>
    <row r="663" ht="14.4" x14ac:dyDescent="0.3"/>
    <row r="664" ht="14.4" x14ac:dyDescent="0.3"/>
    <row r="665" ht="14.4" x14ac:dyDescent="0.3"/>
    <row r="666" ht="14.4" x14ac:dyDescent="0.3"/>
    <row r="667" ht="14.4" x14ac:dyDescent="0.3"/>
    <row r="668" ht="14.4" x14ac:dyDescent="0.3"/>
    <row r="669" ht="14.4" x14ac:dyDescent="0.3"/>
    <row r="670" ht="14.4" x14ac:dyDescent="0.3"/>
    <row r="671" ht="14.4" x14ac:dyDescent="0.3"/>
    <row r="672" ht="14.4" x14ac:dyDescent="0.3"/>
    <row r="673" ht="14.4" x14ac:dyDescent="0.3"/>
    <row r="674" ht="14.4" x14ac:dyDescent="0.3"/>
    <row r="675" ht="14.4" x14ac:dyDescent="0.3"/>
    <row r="676" ht="14.4" x14ac:dyDescent="0.3"/>
    <row r="677" ht="14.4" x14ac:dyDescent="0.3"/>
    <row r="678" ht="14.4" x14ac:dyDescent="0.3"/>
    <row r="679" ht="14.4" x14ac:dyDescent="0.3"/>
    <row r="680" ht="14.4" x14ac:dyDescent="0.3"/>
    <row r="681" ht="14.4" x14ac:dyDescent="0.3"/>
    <row r="682" ht="14.4" x14ac:dyDescent="0.3"/>
    <row r="683" ht="14.4" x14ac:dyDescent="0.3"/>
    <row r="684" ht="14.4" x14ac:dyDescent="0.3"/>
    <row r="685" ht="14.4" x14ac:dyDescent="0.3"/>
    <row r="686" ht="14.4" x14ac:dyDescent="0.3"/>
    <row r="687" ht="14.4" x14ac:dyDescent="0.3"/>
    <row r="688" ht="14.4" x14ac:dyDescent="0.3"/>
    <row r="689" ht="14.4" x14ac:dyDescent="0.3"/>
    <row r="690" ht="14.4" x14ac:dyDescent="0.3"/>
    <row r="691" ht="14.4" x14ac:dyDescent="0.3"/>
    <row r="692" ht="14.4" x14ac:dyDescent="0.3"/>
    <row r="693" ht="14.4" x14ac:dyDescent="0.3"/>
    <row r="694" ht="14.4" x14ac:dyDescent="0.3"/>
    <row r="695" ht="14.4" x14ac:dyDescent="0.3"/>
    <row r="696" ht="14.4" x14ac:dyDescent="0.3"/>
    <row r="697" ht="14.4" x14ac:dyDescent="0.3"/>
    <row r="698" ht="14.4" x14ac:dyDescent="0.3"/>
    <row r="699" ht="14.4" x14ac:dyDescent="0.3"/>
    <row r="700" ht="14.4" x14ac:dyDescent="0.3"/>
    <row r="701" ht="14.4" x14ac:dyDescent="0.3"/>
    <row r="702" ht="14.4" x14ac:dyDescent="0.3"/>
    <row r="703" ht="14.4" x14ac:dyDescent="0.3"/>
    <row r="704" ht="14.4" x14ac:dyDescent="0.3"/>
    <row r="705" ht="14.4" x14ac:dyDescent="0.3"/>
    <row r="706" ht="14.4" x14ac:dyDescent="0.3"/>
    <row r="707" ht="14.4" x14ac:dyDescent="0.3"/>
    <row r="708" ht="14.4" x14ac:dyDescent="0.3"/>
    <row r="709" ht="14.4" x14ac:dyDescent="0.3"/>
    <row r="710" ht="14.4" x14ac:dyDescent="0.3"/>
    <row r="711" ht="14.4" x14ac:dyDescent="0.3"/>
    <row r="712" ht="14.4" x14ac:dyDescent="0.3"/>
    <row r="713" ht="14.4" x14ac:dyDescent="0.3"/>
    <row r="714" ht="14.4" x14ac:dyDescent="0.3"/>
    <row r="715" ht="14.4" x14ac:dyDescent="0.3"/>
    <row r="716" ht="14.4" x14ac:dyDescent="0.3"/>
    <row r="717" ht="14.4" x14ac:dyDescent="0.3"/>
    <row r="718" ht="14.4" x14ac:dyDescent="0.3"/>
    <row r="719" ht="14.4" x14ac:dyDescent="0.3"/>
    <row r="720" ht="14.4" x14ac:dyDescent="0.3"/>
    <row r="721" ht="14.4" x14ac:dyDescent="0.3"/>
    <row r="722" ht="14.4" x14ac:dyDescent="0.3"/>
    <row r="723" ht="14.4" x14ac:dyDescent="0.3"/>
    <row r="724" ht="14.4" x14ac:dyDescent="0.3"/>
    <row r="725" ht="14.4" x14ac:dyDescent="0.3"/>
    <row r="726" ht="14.4" x14ac:dyDescent="0.3"/>
    <row r="727" ht="14.4" x14ac:dyDescent="0.3"/>
    <row r="728" ht="14.4" x14ac:dyDescent="0.3"/>
    <row r="729" ht="14.4" x14ac:dyDescent="0.3"/>
    <row r="730" ht="14.4" x14ac:dyDescent="0.3"/>
    <row r="731" ht="14.4" x14ac:dyDescent="0.3"/>
    <row r="732" ht="14.4" x14ac:dyDescent="0.3"/>
    <row r="733" ht="14.4" x14ac:dyDescent="0.3"/>
    <row r="734" ht="14.4" x14ac:dyDescent="0.3"/>
    <row r="735" ht="14.4" x14ac:dyDescent="0.3"/>
    <row r="736" ht="14.4" x14ac:dyDescent="0.3"/>
    <row r="737" ht="14.4" x14ac:dyDescent="0.3"/>
    <row r="738" ht="14.4" x14ac:dyDescent="0.3"/>
    <row r="739" ht="14.4" x14ac:dyDescent="0.3"/>
    <row r="740" ht="14.4" x14ac:dyDescent="0.3"/>
    <row r="741" ht="14.4" x14ac:dyDescent="0.3"/>
    <row r="742" ht="14.4" x14ac:dyDescent="0.3"/>
    <row r="743" ht="14.4" x14ac:dyDescent="0.3"/>
    <row r="744" ht="14.4" x14ac:dyDescent="0.3"/>
    <row r="745" ht="14.4" x14ac:dyDescent="0.3"/>
    <row r="746" ht="14.4" x14ac:dyDescent="0.3"/>
    <row r="747" ht="14.4" x14ac:dyDescent="0.3"/>
    <row r="748" ht="14.4" x14ac:dyDescent="0.3"/>
    <row r="749" ht="14.4" x14ac:dyDescent="0.3"/>
    <row r="750" ht="14.4" x14ac:dyDescent="0.3"/>
    <row r="751" ht="14.4" x14ac:dyDescent="0.3"/>
    <row r="752" ht="14.4" x14ac:dyDescent="0.3"/>
    <row r="753" ht="14.4" x14ac:dyDescent="0.3"/>
    <row r="754" ht="14.4" x14ac:dyDescent="0.3"/>
    <row r="755" ht="14.4" x14ac:dyDescent="0.3"/>
    <row r="756" ht="14.4" x14ac:dyDescent="0.3"/>
    <row r="757" ht="14.4" x14ac:dyDescent="0.3"/>
    <row r="758" ht="14.4" x14ac:dyDescent="0.3"/>
    <row r="759" ht="14.4" x14ac:dyDescent="0.3"/>
    <row r="760" ht="14.4" x14ac:dyDescent="0.3"/>
    <row r="761" ht="14.4" x14ac:dyDescent="0.3"/>
    <row r="762" ht="14.4" x14ac:dyDescent="0.3"/>
    <row r="763" ht="14.4" x14ac:dyDescent="0.3"/>
    <row r="764" ht="14.4" x14ac:dyDescent="0.3"/>
    <row r="765" ht="14.4" x14ac:dyDescent="0.3"/>
    <row r="766" ht="14.4" x14ac:dyDescent="0.3"/>
    <row r="767" ht="14.4" x14ac:dyDescent="0.3"/>
    <row r="768" ht="14.4" x14ac:dyDescent="0.3"/>
    <row r="769" ht="14.4" x14ac:dyDescent="0.3"/>
    <row r="770" ht="14.4" x14ac:dyDescent="0.3"/>
    <row r="771" ht="14.4" x14ac:dyDescent="0.3"/>
    <row r="772" ht="14.4" x14ac:dyDescent="0.3"/>
    <row r="773" ht="14.4" x14ac:dyDescent="0.3"/>
    <row r="774" ht="14.4" x14ac:dyDescent="0.3"/>
    <row r="775" ht="14.4" x14ac:dyDescent="0.3"/>
    <row r="776" ht="14.4" x14ac:dyDescent="0.3"/>
    <row r="777" ht="14.4" x14ac:dyDescent="0.3"/>
    <row r="778" ht="14.4" x14ac:dyDescent="0.3"/>
    <row r="779" ht="14.4" x14ac:dyDescent="0.3"/>
    <row r="780" ht="14.4" x14ac:dyDescent="0.3"/>
    <row r="781" ht="14.4" x14ac:dyDescent="0.3"/>
    <row r="782" ht="14.4" x14ac:dyDescent="0.3"/>
    <row r="783" ht="14.4" x14ac:dyDescent="0.3"/>
    <row r="784" ht="14.4" x14ac:dyDescent="0.3"/>
    <row r="785" ht="14.4" x14ac:dyDescent="0.3"/>
    <row r="786" ht="14.4" x14ac:dyDescent="0.3"/>
    <row r="787" ht="14.4" x14ac:dyDescent="0.3"/>
    <row r="788" ht="14.4" x14ac:dyDescent="0.3"/>
    <row r="789" ht="14.4" x14ac:dyDescent="0.3"/>
    <row r="790" ht="14.4" x14ac:dyDescent="0.3"/>
    <row r="791" ht="14.4" x14ac:dyDescent="0.3"/>
    <row r="792" ht="14.4" x14ac:dyDescent="0.3"/>
    <row r="793" ht="14.4" x14ac:dyDescent="0.3"/>
    <row r="794" ht="14.4" x14ac:dyDescent="0.3"/>
    <row r="795" ht="14.4" x14ac:dyDescent="0.3"/>
    <row r="796" ht="14.4" x14ac:dyDescent="0.3"/>
    <row r="797" ht="14.4" x14ac:dyDescent="0.3"/>
    <row r="798" ht="14.4" x14ac:dyDescent="0.3"/>
    <row r="799" ht="14.4" x14ac:dyDescent="0.3"/>
    <row r="800" ht="14.4" x14ac:dyDescent="0.3"/>
    <row r="801" ht="14.4" x14ac:dyDescent="0.3"/>
    <row r="802" ht="14.4" x14ac:dyDescent="0.3"/>
    <row r="803" ht="14.4" x14ac:dyDescent="0.3"/>
    <row r="804" ht="14.4" x14ac:dyDescent="0.3"/>
    <row r="805" ht="14.4" x14ac:dyDescent="0.3"/>
    <row r="806" ht="14.4" x14ac:dyDescent="0.3"/>
    <row r="807" ht="14.4" x14ac:dyDescent="0.3"/>
    <row r="808" ht="14.4" x14ac:dyDescent="0.3"/>
    <row r="809" ht="14.4" x14ac:dyDescent="0.3"/>
    <row r="810" ht="14.4" x14ac:dyDescent="0.3"/>
    <row r="811" ht="14.4" x14ac:dyDescent="0.3"/>
    <row r="812" ht="14.4" x14ac:dyDescent="0.3"/>
    <row r="813" ht="14.4" x14ac:dyDescent="0.3"/>
    <row r="814" ht="14.4" x14ac:dyDescent="0.3"/>
    <row r="815" ht="14.4" x14ac:dyDescent="0.3"/>
    <row r="816" ht="14.4" x14ac:dyDescent="0.3"/>
    <row r="817" ht="14.4" x14ac:dyDescent="0.3"/>
    <row r="818" ht="14.4" x14ac:dyDescent="0.3"/>
    <row r="819" ht="14.4" x14ac:dyDescent="0.3"/>
    <row r="820" ht="14.4" x14ac:dyDescent="0.3"/>
    <row r="821" ht="14.4" x14ac:dyDescent="0.3"/>
    <row r="822" ht="14.4" x14ac:dyDescent="0.3"/>
    <row r="823" ht="14.4" x14ac:dyDescent="0.3"/>
    <row r="824" ht="14.4" x14ac:dyDescent="0.3"/>
    <row r="825" ht="14.4" x14ac:dyDescent="0.3"/>
    <row r="826" ht="14.4" x14ac:dyDescent="0.3"/>
    <row r="827" ht="14.4" x14ac:dyDescent="0.3"/>
    <row r="828" ht="14.4" x14ac:dyDescent="0.3"/>
    <row r="829" ht="14.4" x14ac:dyDescent="0.3"/>
    <row r="830" ht="14.4" x14ac:dyDescent="0.3"/>
    <row r="831" ht="14.4" x14ac:dyDescent="0.3"/>
    <row r="832" ht="14.4" x14ac:dyDescent="0.3"/>
    <row r="833" ht="14.4" x14ac:dyDescent="0.3"/>
    <row r="834" ht="14.4" x14ac:dyDescent="0.3"/>
    <row r="835" ht="14.4" x14ac:dyDescent="0.3"/>
    <row r="836" ht="14.4" x14ac:dyDescent="0.3"/>
    <row r="837" ht="14.4" x14ac:dyDescent="0.3"/>
    <row r="838" ht="14.4" x14ac:dyDescent="0.3"/>
    <row r="839" ht="14.4" x14ac:dyDescent="0.3"/>
    <row r="840" ht="14.4" x14ac:dyDescent="0.3"/>
    <row r="841" ht="14.4" x14ac:dyDescent="0.3"/>
    <row r="842" ht="14.4" x14ac:dyDescent="0.3"/>
    <row r="843" ht="14.4" x14ac:dyDescent="0.3"/>
    <row r="844" ht="14.4" x14ac:dyDescent="0.3"/>
    <row r="845" ht="14.4" x14ac:dyDescent="0.3"/>
    <row r="846" ht="14.4" x14ac:dyDescent="0.3"/>
    <row r="847" ht="14.4" x14ac:dyDescent="0.3"/>
    <row r="848" ht="14.4" x14ac:dyDescent="0.3"/>
    <row r="849" ht="14.4" x14ac:dyDescent="0.3"/>
    <row r="850" ht="14.4" x14ac:dyDescent="0.3"/>
    <row r="851" ht="14.4" x14ac:dyDescent="0.3"/>
    <row r="852" ht="14.4" x14ac:dyDescent="0.3"/>
    <row r="853" ht="14.4" x14ac:dyDescent="0.3"/>
    <row r="854" ht="14.4" x14ac:dyDescent="0.3"/>
    <row r="855" ht="14.4" x14ac:dyDescent="0.3"/>
    <row r="856" ht="14.4" x14ac:dyDescent="0.3"/>
    <row r="857" ht="14.4" x14ac:dyDescent="0.3"/>
    <row r="858" ht="14.4" x14ac:dyDescent="0.3"/>
    <row r="859" ht="14.4" x14ac:dyDescent="0.3"/>
    <row r="860" ht="14.4" x14ac:dyDescent="0.3"/>
    <row r="861" ht="14.4" x14ac:dyDescent="0.3"/>
    <row r="862" ht="14.4" x14ac:dyDescent="0.3"/>
    <row r="863" ht="14.4" x14ac:dyDescent="0.3"/>
    <row r="864" ht="14.4" x14ac:dyDescent="0.3"/>
    <row r="865" ht="14.4" x14ac:dyDescent="0.3"/>
    <row r="866" ht="14.4" x14ac:dyDescent="0.3"/>
    <row r="867" ht="14.4" x14ac:dyDescent="0.3"/>
    <row r="868" ht="14.4" x14ac:dyDescent="0.3"/>
    <row r="869" ht="14.4" x14ac:dyDescent="0.3"/>
    <row r="870" ht="14.4" x14ac:dyDescent="0.3"/>
    <row r="871" ht="14.4" x14ac:dyDescent="0.3"/>
    <row r="872" ht="14.4" x14ac:dyDescent="0.3"/>
    <row r="873" ht="14.4" x14ac:dyDescent="0.3"/>
    <row r="874" ht="14.4" x14ac:dyDescent="0.3"/>
    <row r="875" ht="14.4" x14ac:dyDescent="0.3"/>
    <row r="876" ht="14.4" x14ac:dyDescent="0.3"/>
    <row r="877" ht="14.4" x14ac:dyDescent="0.3"/>
    <row r="878" ht="14.4" x14ac:dyDescent="0.3"/>
    <row r="879" ht="14.4" x14ac:dyDescent="0.3"/>
    <row r="880" ht="14.4" x14ac:dyDescent="0.3"/>
    <row r="881" ht="14.4" x14ac:dyDescent="0.3"/>
    <row r="882" ht="14.4" x14ac:dyDescent="0.3"/>
    <row r="883" ht="14.4" x14ac:dyDescent="0.3"/>
    <row r="884" ht="14.4" x14ac:dyDescent="0.3"/>
    <row r="885" ht="14.4" x14ac:dyDescent="0.3"/>
    <row r="886" ht="14.4" x14ac:dyDescent="0.3"/>
    <row r="887" ht="14.4" x14ac:dyDescent="0.3"/>
    <row r="888" ht="14.4" x14ac:dyDescent="0.3"/>
    <row r="889" ht="14.4" x14ac:dyDescent="0.3"/>
    <row r="890" ht="14.4" x14ac:dyDescent="0.3"/>
    <row r="891" ht="14.4" x14ac:dyDescent="0.3"/>
    <row r="892" ht="14.4" x14ac:dyDescent="0.3"/>
    <row r="893" ht="14.4" x14ac:dyDescent="0.3"/>
    <row r="894" ht="14.4" x14ac:dyDescent="0.3"/>
    <row r="895" ht="14.4" x14ac:dyDescent="0.3"/>
    <row r="896" ht="14.4" x14ac:dyDescent="0.3"/>
    <row r="897" ht="14.4" x14ac:dyDescent="0.3"/>
    <row r="898" ht="14.4" x14ac:dyDescent="0.3"/>
    <row r="899" ht="14.4" x14ac:dyDescent="0.3"/>
    <row r="900" ht="14.4" x14ac:dyDescent="0.3"/>
    <row r="901" ht="14.4" x14ac:dyDescent="0.3"/>
    <row r="902" ht="14.4" x14ac:dyDescent="0.3"/>
    <row r="903" ht="14.4" x14ac:dyDescent="0.3"/>
    <row r="904" ht="14.4" x14ac:dyDescent="0.3"/>
    <row r="905" ht="14.4" x14ac:dyDescent="0.3"/>
    <row r="906" ht="14.4" x14ac:dyDescent="0.3"/>
    <row r="907" ht="14.4" x14ac:dyDescent="0.3"/>
    <row r="908" ht="14.4" x14ac:dyDescent="0.3"/>
    <row r="909" ht="14.4" x14ac:dyDescent="0.3"/>
    <row r="910" ht="14.4" x14ac:dyDescent="0.3"/>
    <row r="911" ht="14.4" x14ac:dyDescent="0.3"/>
    <row r="912" ht="14.4" x14ac:dyDescent="0.3"/>
    <row r="913" ht="14.4" x14ac:dyDescent="0.3"/>
    <row r="914" ht="14.4" x14ac:dyDescent="0.3"/>
    <row r="915" ht="14.4" x14ac:dyDescent="0.3"/>
    <row r="916" ht="14.4" x14ac:dyDescent="0.3"/>
    <row r="917" ht="14.4" x14ac:dyDescent="0.3"/>
    <row r="918" ht="14.4" x14ac:dyDescent="0.3"/>
    <row r="919" ht="14.4" x14ac:dyDescent="0.3"/>
    <row r="920" ht="14.4" x14ac:dyDescent="0.3"/>
    <row r="921" ht="14.4" x14ac:dyDescent="0.3"/>
    <row r="922" ht="14.4" x14ac:dyDescent="0.3"/>
    <row r="923" ht="14.4" x14ac:dyDescent="0.3"/>
    <row r="924" ht="14.4" x14ac:dyDescent="0.3"/>
    <row r="925" ht="14.4" x14ac:dyDescent="0.3"/>
    <row r="926" ht="14.4" x14ac:dyDescent="0.3"/>
    <row r="927" ht="14.4" x14ac:dyDescent="0.3"/>
    <row r="928" ht="14.4" x14ac:dyDescent="0.3"/>
    <row r="929" ht="14.4" x14ac:dyDescent="0.3"/>
    <row r="930" ht="14.4" x14ac:dyDescent="0.3"/>
    <row r="931" ht="14.4" x14ac:dyDescent="0.3"/>
    <row r="932" ht="14.4" x14ac:dyDescent="0.3"/>
    <row r="933" ht="14.4" x14ac:dyDescent="0.3"/>
    <row r="934" ht="14.4" x14ac:dyDescent="0.3"/>
    <row r="935" ht="14.4" x14ac:dyDescent="0.3"/>
    <row r="936" ht="14.4" x14ac:dyDescent="0.3"/>
    <row r="937" ht="14.4" x14ac:dyDescent="0.3"/>
    <row r="938" ht="14.4" x14ac:dyDescent="0.3"/>
    <row r="939" ht="14.4" x14ac:dyDescent="0.3"/>
    <row r="940" ht="14.4" x14ac:dyDescent="0.3"/>
    <row r="941" ht="14.4" x14ac:dyDescent="0.3"/>
    <row r="942" ht="14.4" x14ac:dyDescent="0.3"/>
    <row r="943" ht="14.4" x14ac:dyDescent="0.3"/>
    <row r="944" ht="14.4" x14ac:dyDescent="0.3"/>
    <row r="945" ht="14.4" x14ac:dyDescent="0.3"/>
    <row r="946" ht="14.4" x14ac:dyDescent="0.3"/>
    <row r="947" ht="14.4" x14ac:dyDescent="0.3"/>
    <row r="948" ht="14.4" x14ac:dyDescent="0.3"/>
    <row r="949" ht="14.4" x14ac:dyDescent="0.3"/>
    <row r="950" ht="14.4" x14ac:dyDescent="0.3"/>
    <row r="951" ht="14.4" x14ac:dyDescent="0.3"/>
    <row r="952" ht="14.4" x14ac:dyDescent="0.3"/>
    <row r="953" ht="14.4" x14ac:dyDescent="0.3"/>
    <row r="954" ht="14.4" x14ac:dyDescent="0.3"/>
    <row r="955" ht="14.4" x14ac:dyDescent="0.3"/>
    <row r="956" ht="14.4" x14ac:dyDescent="0.3"/>
    <row r="957" ht="14.4" x14ac:dyDescent="0.3"/>
    <row r="958" ht="14.4" x14ac:dyDescent="0.3"/>
    <row r="959" ht="14.4" x14ac:dyDescent="0.3"/>
    <row r="960" ht="14.4" x14ac:dyDescent="0.3"/>
    <row r="961" ht="14.4" x14ac:dyDescent="0.3"/>
    <row r="962" ht="14.4" x14ac:dyDescent="0.3"/>
    <row r="963" ht="14.4" x14ac:dyDescent="0.3"/>
    <row r="964" ht="14.4" x14ac:dyDescent="0.3"/>
    <row r="965" ht="14.4" x14ac:dyDescent="0.3"/>
    <row r="966" ht="14.4" x14ac:dyDescent="0.3"/>
    <row r="967" ht="14.4" x14ac:dyDescent="0.3"/>
    <row r="968" ht="14.4" x14ac:dyDescent="0.3"/>
    <row r="969" ht="14.4" x14ac:dyDescent="0.3"/>
    <row r="970" ht="14.4" x14ac:dyDescent="0.3"/>
    <row r="971" ht="14.4" x14ac:dyDescent="0.3"/>
    <row r="972" ht="14.4" x14ac:dyDescent="0.3"/>
    <row r="973" ht="14.4" x14ac:dyDescent="0.3"/>
    <row r="974" ht="14.4" x14ac:dyDescent="0.3"/>
    <row r="975" ht="14.4" x14ac:dyDescent="0.3"/>
    <row r="976" ht="14.4" x14ac:dyDescent="0.3"/>
    <row r="977" ht="14.4" x14ac:dyDescent="0.3"/>
    <row r="978" ht="14.4" x14ac:dyDescent="0.3"/>
    <row r="979" ht="14.4" x14ac:dyDescent="0.3"/>
    <row r="980" ht="14.4" x14ac:dyDescent="0.3"/>
    <row r="981" ht="14.4" x14ac:dyDescent="0.3"/>
    <row r="982" ht="14.4" x14ac:dyDescent="0.3"/>
    <row r="983" ht="14.4" x14ac:dyDescent="0.3"/>
    <row r="984" ht="14.4" x14ac:dyDescent="0.3"/>
    <row r="985" ht="14.4" x14ac:dyDescent="0.3"/>
    <row r="986" ht="14.4" x14ac:dyDescent="0.3"/>
    <row r="987" ht="14.4" x14ac:dyDescent="0.3"/>
    <row r="988" ht="14.4" x14ac:dyDescent="0.3"/>
    <row r="989" ht="14.4" x14ac:dyDescent="0.3"/>
    <row r="990" ht="14.4" x14ac:dyDescent="0.3"/>
    <row r="991" ht="14.4" x14ac:dyDescent="0.3"/>
    <row r="992" ht="14.4" x14ac:dyDescent="0.3"/>
    <row r="993" ht="14.4" x14ac:dyDescent="0.3"/>
    <row r="994" ht="14.4" x14ac:dyDescent="0.3"/>
    <row r="995" ht="14.4" x14ac:dyDescent="0.3"/>
    <row r="996" ht="14.4" x14ac:dyDescent="0.3"/>
    <row r="997" ht="14.4" x14ac:dyDescent="0.3"/>
    <row r="998" ht="14.4" x14ac:dyDescent="0.3"/>
    <row r="999" ht="14.4" x14ac:dyDescent="0.3"/>
    <row r="1000" ht="14.4" x14ac:dyDescent="0.3"/>
  </sheetData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F5496"/>
  </sheetPr>
  <dimension ref="A1:AG995"/>
  <sheetViews>
    <sheetView workbookViewId="0">
      <selection activeCell="A30" sqref="A30"/>
    </sheetView>
  </sheetViews>
  <sheetFormatPr defaultColWidth="14.44140625" defaultRowHeight="15" customHeight="1" x14ac:dyDescent="0.3"/>
  <cols>
    <col min="1" max="1" width="32.44140625" customWidth="1"/>
    <col min="2" max="2" width="25.6640625" customWidth="1"/>
    <col min="3" max="33" width="12.109375" customWidth="1"/>
  </cols>
  <sheetData>
    <row r="1" spans="1:33" ht="14.25" customHeight="1" x14ac:dyDescent="0.3">
      <c r="A1" t="s">
        <v>53</v>
      </c>
      <c r="B1" s="11">
        <v>2019</v>
      </c>
      <c r="C1" s="11">
        <v>2020</v>
      </c>
      <c r="D1" s="11">
        <v>2021</v>
      </c>
      <c r="E1" s="11">
        <v>2022</v>
      </c>
      <c r="F1" s="11">
        <v>2023</v>
      </c>
      <c r="G1" s="11">
        <v>2024</v>
      </c>
      <c r="H1" s="11">
        <v>2025</v>
      </c>
      <c r="I1" s="11">
        <v>2026</v>
      </c>
      <c r="J1" s="11">
        <v>2027</v>
      </c>
      <c r="K1" s="11">
        <v>2028</v>
      </c>
      <c r="L1" s="11">
        <v>2029</v>
      </c>
      <c r="M1" s="11">
        <v>2030</v>
      </c>
      <c r="N1" s="11">
        <v>2031</v>
      </c>
      <c r="O1" s="11">
        <v>2032</v>
      </c>
      <c r="P1" s="11">
        <v>2033</v>
      </c>
      <c r="Q1" s="11">
        <v>2034</v>
      </c>
      <c r="R1" s="11">
        <v>2035</v>
      </c>
      <c r="S1" s="11">
        <v>2036</v>
      </c>
      <c r="T1" s="11">
        <v>2037</v>
      </c>
      <c r="U1" s="11">
        <v>2038</v>
      </c>
      <c r="V1" s="11">
        <v>2039</v>
      </c>
      <c r="W1" s="11">
        <v>2040</v>
      </c>
      <c r="X1" s="11">
        <v>2041</v>
      </c>
      <c r="Y1" s="11">
        <v>2042</v>
      </c>
      <c r="Z1" s="11">
        <v>2043</v>
      </c>
      <c r="AA1" s="11">
        <v>2044</v>
      </c>
      <c r="AB1" s="11">
        <v>2045</v>
      </c>
      <c r="AC1" s="11">
        <v>2046</v>
      </c>
      <c r="AD1" s="11">
        <v>2047</v>
      </c>
      <c r="AE1" s="11">
        <v>2048</v>
      </c>
      <c r="AF1" s="11">
        <v>2049</v>
      </c>
      <c r="AG1" s="11">
        <v>2050</v>
      </c>
    </row>
    <row r="2" spans="1:33" ht="14.25" customHeight="1" x14ac:dyDescent="0.3">
      <c r="A2" t="s">
        <v>75</v>
      </c>
      <c r="B2" s="20">
        <v>0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>
        <v>0</v>
      </c>
      <c r="I2" s="20">
        <v>0</v>
      </c>
      <c r="J2" s="20">
        <v>0</v>
      </c>
      <c r="K2" s="20">
        <v>0</v>
      </c>
      <c r="L2" s="20">
        <v>0</v>
      </c>
      <c r="M2" s="20">
        <v>0</v>
      </c>
      <c r="N2" s="20">
        <v>0</v>
      </c>
      <c r="O2" s="20">
        <v>0</v>
      </c>
      <c r="P2" s="20">
        <v>0</v>
      </c>
      <c r="Q2" s="20">
        <v>0</v>
      </c>
      <c r="R2" s="20">
        <v>0</v>
      </c>
      <c r="S2" s="20">
        <v>0</v>
      </c>
      <c r="T2" s="20">
        <v>0</v>
      </c>
      <c r="U2" s="20">
        <v>0</v>
      </c>
      <c r="V2" s="20">
        <v>0</v>
      </c>
      <c r="W2" s="20">
        <v>0</v>
      </c>
      <c r="X2" s="20">
        <v>0</v>
      </c>
      <c r="Y2" s="20">
        <v>0</v>
      </c>
      <c r="Z2" s="20">
        <v>0</v>
      </c>
      <c r="AA2" s="20">
        <v>0</v>
      </c>
      <c r="AB2" s="20">
        <v>0</v>
      </c>
      <c r="AC2" s="20">
        <v>0</v>
      </c>
      <c r="AD2" s="20">
        <v>0</v>
      </c>
      <c r="AE2" s="20">
        <v>0</v>
      </c>
      <c r="AF2" s="20">
        <v>0</v>
      </c>
      <c r="AG2" s="20">
        <v>0</v>
      </c>
    </row>
    <row r="3" spans="1:33" ht="14.25" customHeight="1" x14ac:dyDescent="0.3">
      <c r="A3" t="s">
        <v>76</v>
      </c>
      <c r="B3" s="20">
        <v>0</v>
      </c>
      <c r="C3" s="20">
        <v>0</v>
      </c>
      <c r="D3" s="20">
        <v>0</v>
      </c>
      <c r="E3" s="20">
        <v>0</v>
      </c>
      <c r="F3" s="20">
        <v>0</v>
      </c>
      <c r="G3" s="20">
        <v>0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0</v>
      </c>
      <c r="N3" s="20">
        <v>0</v>
      </c>
      <c r="O3" s="20">
        <v>0</v>
      </c>
      <c r="P3" s="20">
        <v>0</v>
      </c>
      <c r="Q3" s="20">
        <v>0</v>
      </c>
      <c r="R3" s="20">
        <v>0</v>
      </c>
      <c r="S3" s="20">
        <v>0</v>
      </c>
      <c r="T3" s="20">
        <v>0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20">
        <v>0</v>
      </c>
      <c r="AA3" s="20">
        <v>0</v>
      </c>
      <c r="AB3" s="20">
        <v>0</v>
      </c>
      <c r="AC3" s="20">
        <v>0</v>
      </c>
      <c r="AD3" s="20">
        <v>0</v>
      </c>
      <c r="AE3" s="20">
        <v>0</v>
      </c>
      <c r="AF3" s="20">
        <v>0</v>
      </c>
      <c r="AG3" s="20">
        <v>0</v>
      </c>
    </row>
    <row r="4" spans="1:33" ht="14.25" customHeight="1" x14ac:dyDescent="0.3">
      <c r="A4" t="s">
        <v>77</v>
      </c>
      <c r="B4" s="20">
        <v>0</v>
      </c>
      <c r="C4" s="20">
        <v>0</v>
      </c>
      <c r="D4" s="20">
        <v>0</v>
      </c>
      <c r="E4" s="20">
        <v>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0</v>
      </c>
      <c r="AF4" s="20">
        <v>0</v>
      </c>
      <c r="AG4" s="20">
        <v>0</v>
      </c>
    </row>
    <row r="5" spans="1:33" ht="14.25" customHeight="1" x14ac:dyDescent="0.3">
      <c r="A5" t="s">
        <v>57</v>
      </c>
      <c r="B5" s="20">
        <v>0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0</v>
      </c>
      <c r="AF5" s="20">
        <v>0</v>
      </c>
      <c r="AG5" s="20">
        <v>0</v>
      </c>
    </row>
    <row r="6" spans="1:33" ht="14.25" customHeight="1" x14ac:dyDescent="0.3">
      <c r="A6" t="s">
        <v>58</v>
      </c>
      <c r="B6" s="20">
        <v>0</v>
      </c>
      <c r="C6" s="20">
        <v>0</v>
      </c>
      <c r="D6" s="20">
        <v>0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0</v>
      </c>
      <c r="AF6" s="20">
        <v>0</v>
      </c>
      <c r="AG6" s="20">
        <v>0</v>
      </c>
    </row>
    <row r="7" spans="1:33" ht="14.25" customHeight="1" x14ac:dyDescent="0.3">
      <c r="A7" t="s">
        <v>78</v>
      </c>
      <c r="B7" s="20">
        <v>0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0</v>
      </c>
      <c r="AF7" s="20">
        <v>0</v>
      </c>
      <c r="AG7" s="20">
        <v>0</v>
      </c>
    </row>
    <row r="8" spans="1:33" ht="14.25" customHeight="1" x14ac:dyDescent="0.3">
      <c r="A8" t="s">
        <v>79</v>
      </c>
      <c r="B8" s="20">
        <v>0</v>
      </c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</row>
    <row r="9" spans="1:33" ht="14.25" customHeight="1" x14ac:dyDescent="0.3">
      <c r="A9" t="s">
        <v>80</v>
      </c>
      <c r="B9" s="20">
        <v>0</v>
      </c>
      <c r="C9" s="20">
        <v>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0">
        <v>0</v>
      </c>
      <c r="AF9" s="20">
        <v>0</v>
      </c>
      <c r="AG9" s="20">
        <v>0</v>
      </c>
    </row>
    <row r="10" spans="1:33" ht="14.25" customHeight="1" x14ac:dyDescent="0.3">
      <c r="A10" t="s">
        <v>81</v>
      </c>
      <c r="B10" s="20">
        <v>0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</row>
    <row r="11" spans="1:33" ht="14.25" customHeight="1" x14ac:dyDescent="0.3">
      <c r="A11" t="s">
        <v>68</v>
      </c>
      <c r="B11" s="20">
        <v>0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</row>
    <row r="12" spans="1:33" ht="14.25" customHeight="1" x14ac:dyDescent="0.3">
      <c r="A12" t="s">
        <v>82</v>
      </c>
      <c r="B12" s="20">
        <v>0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</row>
    <row r="13" spans="1:33" ht="14.25" customHeight="1" x14ac:dyDescent="0.3">
      <c r="A13" t="s">
        <v>83</v>
      </c>
      <c r="B13" s="20">
        <v>0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</row>
    <row r="14" spans="1:33" ht="14.25" customHeight="1" x14ac:dyDescent="0.3">
      <c r="A14" t="s">
        <v>84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</row>
    <row r="15" spans="1:33" ht="14.25" customHeight="1" x14ac:dyDescent="0.3">
      <c r="A15" t="s">
        <v>85</v>
      </c>
      <c r="B15" s="20">
        <v>0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</row>
    <row r="16" spans="1:33" ht="14.25" customHeight="1" x14ac:dyDescent="0.3">
      <c r="A16" t="s">
        <v>70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</row>
    <row r="17" spans="1:33" ht="14.25" customHeight="1" x14ac:dyDescent="0.3">
      <c r="A17" t="s">
        <v>86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</row>
    <row r="18" spans="1:33" ht="14.25" customHeight="1" x14ac:dyDescent="0.3">
      <c r="A18" t="s">
        <v>73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</row>
    <row r="19" spans="1:33" ht="14.25" customHeight="1" x14ac:dyDescent="0.3">
      <c r="A19" t="s">
        <v>87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</row>
    <row r="20" spans="1:33" ht="14.25" customHeight="1" x14ac:dyDescent="0.3">
      <c r="A20" t="s">
        <v>88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</row>
    <row r="21" spans="1:33" ht="14.25" customHeight="1" x14ac:dyDescent="0.3">
      <c r="A21" t="s">
        <v>89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</row>
    <row r="22" spans="1:33" ht="14.25" customHeight="1" x14ac:dyDescent="0.3">
      <c r="A22" t="s">
        <v>90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</row>
    <row r="23" spans="1:33" ht="14.25" customHeight="1" x14ac:dyDescent="0.3">
      <c r="A23" t="s">
        <v>91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</row>
    <row r="24" spans="1:33" ht="14.25" customHeight="1" x14ac:dyDescent="0.3">
      <c r="A24" s="13" t="s">
        <v>92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</row>
    <row r="25" spans="1:33" ht="14.25" customHeight="1" x14ac:dyDescent="0.3">
      <c r="A25" s="13" t="s">
        <v>93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</row>
    <row r="26" spans="1:33" ht="14.25" customHeight="1" x14ac:dyDescent="0.3"/>
    <row r="27" spans="1:33" ht="14.25" customHeight="1" x14ac:dyDescent="0.3"/>
    <row r="28" spans="1:33" ht="14.25" customHeight="1" x14ac:dyDescent="0.3"/>
    <row r="29" spans="1:33" ht="14.25" customHeight="1" x14ac:dyDescent="0.3"/>
    <row r="30" spans="1:33" ht="14.25" customHeight="1" x14ac:dyDescent="0.3"/>
    <row r="31" spans="1:33" ht="14.25" customHeight="1" x14ac:dyDescent="0.3"/>
    <row r="32" spans="1:3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</sheetData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F5496"/>
  </sheetPr>
  <dimension ref="A1:AG995"/>
  <sheetViews>
    <sheetView workbookViewId="0">
      <selection activeCell="C8" sqref="C8"/>
    </sheetView>
  </sheetViews>
  <sheetFormatPr defaultColWidth="14.44140625" defaultRowHeight="15" customHeight="1" x14ac:dyDescent="0.3"/>
  <cols>
    <col min="1" max="1" width="32.6640625" customWidth="1"/>
    <col min="2" max="2" width="25.6640625" customWidth="1"/>
    <col min="3" max="33" width="12.109375" customWidth="1"/>
  </cols>
  <sheetData>
    <row r="1" spans="1:33" ht="14.25" customHeight="1" x14ac:dyDescent="0.3">
      <c r="A1" t="s">
        <v>94</v>
      </c>
      <c r="B1" s="11">
        <v>2019</v>
      </c>
      <c r="C1" s="11">
        <v>2020</v>
      </c>
      <c r="D1" s="11">
        <v>2021</v>
      </c>
      <c r="E1" s="11">
        <v>2022</v>
      </c>
      <c r="F1" s="11">
        <v>2023</v>
      </c>
      <c r="G1" s="11">
        <v>2024</v>
      </c>
      <c r="H1" s="11">
        <v>2025</v>
      </c>
      <c r="I1" s="11">
        <v>2026</v>
      </c>
      <c r="J1" s="11">
        <v>2027</v>
      </c>
      <c r="K1" s="11">
        <v>2028</v>
      </c>
      <c r="L1" s="11">
        <v>2029</v>
      </c>
      <c r="M1" s="11">
        <v>2030</v>
      </c>
      <c r="N1" s="11">
        <v>2031</v>
      </c>
      <c r="O1" s="11">
        <v>2032</v>
      </c>
      <c r="P1" s="11">
        <v>2033</v>
      </c>
      <c r="Q1" s="11">
        <v>2034</v>
      </c>
      <c r="R1" s="11">
        <v>2035</v>
      </c>
      <c r="S1" s="11">
        <v>2036</v>
      </c>
      <c r="T1" s="11">
        <v>2037</v>
      </c>
      <c r="U1" s="11">
        <v>2038</v>
      </c>
      <c r="V1" s="11">
        <v>2039</v>
      </c>
      <c r="W1" s="11">
        <v>2040</v>
      </c>
      <c r="X1" s="11">
        <v>2041</v>
      </c>
      <c r="Y1" s="11">
        <v>2042</v>
      </c>
      <c r="Z1" s="11">
        <v>2043</v>
      </c>
      <c r="AA1" s="11">
        <v>2044</v>
      </c>
      <c r="AB1" s="11">
        <v>2045</v>
      </c>
      <c r="AC1" s="11">
        <v>2046</v>
      </c>
      <c r="AD1" s="11">
        <v>2047</v>
      </c>
      <c r="AE1" s="11">
        <v>2048</v>
      </c>
      <c r="AF1" s="11">
        <v>2049</v>
      </c>
      <c r="AG1" s="11">
        <v>2050</v>
      </c>
    </row>
    <row r="2" spans="1:33" ht="14.25" customHeight="1" x14ac:dyDescent="0.3">
      <c r="A2" t="s">
        <v>75</v>
      </c>
      <c r="B2" s="20">
        <v>0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>
        <v>0</v>
      </c>
      <c r="I2" s="20">
        <v>0</v>
      </c>
      <c r="J2" s="20">
        <v>0</v>
      </c>
      <c r="K2" s="20">
        <v>0</v>
      </c>
      <c r="L2" s="20">
        <v>0</v>
      </c>
      <c r="M2" s="20">
        <v>0</v>
      </c>
      <c r="N2" s="20">
        <v>0</v>
      </c>
      <c r="O2" s="20">
        <v>0</v>
      </c>
      <c r="P2" s="20">
        <v>0</v>
      </c>
      <c r="Q2" s="20">
        <v>0</v>
      </c>
      <c r="R2" s="20">
        <v>0</v>
      </c>
      <c r="S2" s="20">
        <v>0</v>
      </c>
      <c r="T2" s="20">
        <v>0</v>
      </c>
      <c r="U2" s="20">
        <v>0</v>
      </c>
      <c r="V2" s="20">
        <v>0</v>
      </c>
      <c r="W2" s="20">
        <v>0</v>
      </c>
      <c r="X2" s="20">
        <v>0</v>
      </c>
      <c r="Y2" s="20">
        <v>0</v>
      </c>
      <c r="Z2" s="20">
        <v>0</v>
      </c>
      <c r="AA2" s="20">
        <v>0</v>
      </c>
      <c r="AB2" s="20">
        <v>0</v>
      </c>
      <c r="AC2" s="20">
        <v>0</v>
      </c>
      <c r="AD2" s="20">
        <v>0</v>
      </c>
      <c r="AE2" s="20">
        <v>0</v>
      </c>
      <c r="AF2" s="20">
        <v>0</v>
      </c>
      <c r="AG2" s="20">
        <v>0</v>
      </c>
    </row>
    <row r="3" spans="1:33" ht="14.25" customHeight="1" x14ac:dyDescent="0.3">
      <c r="A3" t="s">
        <v>76</v>
      </c>
      <c r="B3" s="20">
        <v>0</v>
      </c>
      <c r="C3" s="20">
        <v>0</v>
      </c>
      <c r="D3" s="20">
        <v>0</v>
      </c>
      <c r="E3" s="20">
        <v>0</v>
      </c>
      <c r="F3" s="20">
        <v>0</v>
      </c>
      <c r="G3" s="20">
        <v>0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0</v>
      </c>
      <c r="N3" s="20">
        <v>0</v>
      </c>
      <c r="O3" s="20">
        <v>0</v>
      </c>
      <c r="P3" s="20">
        <v>0</v>
      </c>
      <c r="Q3" s="20">
        <v>0</v>
      </c>
      <c r="R3" s="20">
        <v>0</v>
      </c>
      <c r="S3" s="20">
        <v>0</v>
      </c>
      <c r="T3" s="20">
        <v>0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20">
        <v>0</v>
      </c>
      <c r="AA3" s="20">
        <v>0</v>
      </c>
      <c r="AB3" s="20">
        <v>0</v>
      </c>
      <c r="AC3" s="20">
        <v>0</v>
      </c>
      <c r="AD3" s="20">
        <v>0</v>
      </c>
      <c r="AE3" s="20">
        <v>0</v>
      </c>
      <c r="AF3" s="20">
        <v>0</v>
      </c>
      <c r="AG3" s="20">
        <v>0</v>
      </c>
    </row>
    <row r="4" spans="1:33" ht="14.25" customHeight="1" x14ac:dyDescent="0.3">
      <c r="A4" t="s">
        <v>77</v>
      </c>
      <c r="B4" s="20">
        <v>0</v>
      </c>
      <c r="C4" s="20">
        <v>0</v>
      </c>
      <c r="D4" s="20">
        <v>0</v>
      </c>
      <c r="E4" s="20">
        <v>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0</v>
      </c>
      <c r="AF4" s="20">
        <v>0</v>
      </c>
      <c r="AG4" s="20">
        <v>0</v>
      </c>
    </row>
    <row r="5" spans="1:33" ht="14.25" customHeight="1" x14ac:dyDescent="0.3">
      <c r="A5" t="s">
        <v>57</v>
      </c>
      <c r="B5" s="20">
        <v>0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0</v>
      </c>
      <c r="AF5" s="20">
        <v>0</v>
      </c>
      <c r="AG5" s="20">
        <v>0</v>
      </c>
    </row>
    <row r="6" spans="1:33" ht="14.25" customHeight="1" x14ac:dyDescent="0.3">
      <c r="A6" t="s">
        <v>58</v>
      </c>
      <c r="B6" s="20">
        <v>0</v>
      </c>
      <c r="C6" s="20">
        <v>0</v>
      </c>
      <c r="D6" s="20">
        <v>0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0</v>
      </c>
      <c r="AF6" s="20">
        <v>0</v>
      </c>
      <c r="AG6" s="20">
        <v>0</v>
      </c>
    </row>
    <row r="7" spans="1:33" ht="14.25" customHeight="1" x14ac:dyDescent="0.3">
      <c r="A7" t="s">
        <v>78</v>
      </c>
      <c r="B7" s="20">
        <v>0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0</v>
      </c>
      <c r="AF7" s="20">
        <v>0</v>
      </c>
      <c r="AG7" s="20">
        <v>0</v>
      </c>
    </row>
    <row r="8" spans="1:33" ht="14.25" customHeight="1" x14ac:dyDescent="0.3">
      <c r="A8" t="s">
        <v>79</v>
      </c>
      <c r="B8" s="20">
        <v>0</v>
      </c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</row>
    <row r="9" spans="1:33" ht="14.25" customHeight="1" x14ac:dyDescent="0.3">
      <c r="A9" t="s">
        <v>80</v>
      </c>
      <c r="B9" s="20">
        <v>0</v>
      </c>
      <c r="C9" s="20">
        <v>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0">
        <v>0</v>
      </c>
      <c r="AF9" s="20">
        <v>0</v>
      </c>
      <c r="AG9" s="20">
        <v>0</v>
      </c>
    </row>
    <row r="10" spans="1:33" ht="14.25" customHeight="1" x14ac:dyDescent="0.3">
      <c r="A10" t="s">
        <v>81</v>
      </c>
      <c r="B10" s="20">
        <v>0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</row>
    <row r="11" spans="1:33" ht="14.25" customHeight="1" x14ac:dyDescent="0.3">
      <c r="A11" t="s">
        <v>68</v>
      </c>
      <c r="B11" s="20">
        <v>0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</row>
    <row r="12" spans="1:33" ht="14.25" customHeight="1" x14ac:dyDescent="0.3">
      <c r="A12" t="s">
        <v>82</v>
      </c>
      <c r="B12" s="20">
        <v>0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</row>
    <row r="13" spans="1:33" ht="14.25" customHeight="1" x14ac:dyDescent="0.3">
      <c r="A13" t="s">
        <v>83</v>
      </c>
      <c r="B13" s="20">
        <v>0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</row>
    <row r="14" spans="1:33" ht="14.25" customHeight="1" x14ac:dyDescent="0.3">
      <c r="A14" t="s">
        <v>84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</row>
    <row r="15" spans="1:33" ht="14.25" customHeight="1" x14ac:dyDescent="0.3">
      <c r="A15" t="s">
        <v>85</v>
      </c>
      <c r="B15" s="20">
        <v>0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</row>
    <row r="16" spans="1:33" ht="14.25" customHeight="1" x14ac:dyDescent="0.3">
      <c r="A16" t="s">
        <v>70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</row>
    <row r="17" spans="1:33" ht="14.25" customHeight="1" x14ac:dyDescent="0.3">
      <c r="A17" t="s">
        <v>86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</row>
    <row r="18" spans="1:33" ht="14.25" customHeight="1" x14ac:dyDescent="0.3">
      <c r="A18" t="s">
        <v>73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</row>
    <row r="19" spans="1:33" ht="14.25" customHeight="1" x14ac:dyDescent="0.3">
      <c r="A19" t="s">
        <v>87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</row>
    <row r="20" spans="1:33" ht="14.25" customHeight="1" x14ac:dyDescent="0.3">
      <c r="A20" t="s">
        <v>88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</row>
    <row r="21" spans="1:33" ht="14.25" customHeight="1" x14ac:dyDescent="0.3">
      <c r="A21" t="s">
        <v>89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</row>
    <row r="22" spans="1:33" ht="14.25" customHeight="1" x14ac:dyDescent="0.3">
      <c r="A22" t="s">
        <v>90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</row>
    <row r="23" spans="1:33" ht="14.25" customHeight="1" x14ac:dyDescent="0.3">
      <c r="A23" t="s">
        <v>91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</row>
    <row r="24" spans="1:33" ht="14.25" customHeight="1" x14ac:dyDescent="0.3">
      <c r="A24" s="13" t="s">
        <v>92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</row>
    <row r="25" spans="1:33" ht="14.25" customHeight="1" x14ac:dyDescent="0.3">
      <c r="A25" s="13" t="s">
        <v>93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</row>
    <row r="26" spans="1:33" ht="14.25" customHeight="1" x14ac:dyDescent="0.3"/>
    <row r="27" spans="1:33" ht="14.25" customHeight="1" x14ac:dyDescent="0.3"/>
    <row r="28" spans="1:33" ht="14.25" customHeight="1" x14ac:dyDescent="0.3"/>
    <row r="29" spans="1:33" ht="14.25" customHeight="1" x14ac:dyDescent="0.3"/>
    <row r="30" spans="1:33" ht="14.25" customHeight="1" x14ac:dyDescent="0.3"/>
    <row r="31" spans="1:33" ht="14.25" customHeight="1" x14ac:dyDescent="0.3"/>
    <row r="32" spans="1:3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</sheetData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639BF-C161-4B2D-BAA8-DC74FD482DB7}">
  <sheetPr>
    <tabColor rgb="FF2F5496"/>
  </sheetPr>
  <dimension ref="A1:AG25"/>
  <sheetViews>
    <sheetView tabSelected="1" workbookViewId="0">
      <selection activeCell="C2" sqref="C2"/>
    </sheetView>
  </sheetViews>
  <sheetFormatPr defaultColWidth="9.109375" defaultRowHeight="14.4" x14ac:dyDescent="0.3"/>
  <cols>
    <col min="1" max="3" width="9.109375" style="14"/>
    <col min="4" max="4" width="9.109375" style="14" customWidth="1"/>
    <col min="5" max="16384" width="9.109375" style="14"/>
  </cols>
  <sheetData>
    <row r="1" spans="1:33" x14ac:dyDescent="0.3">
      <c r="A1" s="14" t="s">
        <v>53</v>
      </c>
      <c r="B1" s="14">
        <v>2019</v>
      </c>
      <c r="C1" s="14">
        <v>2020</v>
      </c>
      <c r="D1" s="14">
        <v>2021</v>
      </c>
      <c r="E1" s="14">
        <v>2022</v>
      </c>
      <c r="F1" s="14">
        <v>2023</v>
      </c>
      <c r="G1" s="14">
        <v>2024</v>
      </c>
      <c r="H1" s="14">
        <v>2025</v>
      </c>
      <c r="I1" s="14">
        <v>2026</v>
      </c>
      <c r="J1" s="14">
        <v>2027</v>
      </c>
      <c r="K1" s="14">
        <v>2028</v>
      </c>
      <c r="L1" s="14">
        <v>2029</v>
      </c>
      <c r="M1" s="14">
        <v>2030</v>
      </c>
      <c r="N1" s="14">
        <v>2031</v>
      </c>
      <c r="O1" s="14">
        <v>2032</v>
      </c>
      <c r="P1" s="14">
        <v>2033</v>
      </c>
      <c r="Q1" s="14">
        <v>2034</v>
      </c>
      <c r="R1" s="14">
        <v>2035</v>
      </c>
      <c r="S1" s="14">
        <v>2036</v>
      </c>
      <c r="T1" s="14">
        <v>2037</v>
      </c>
      <c r="U1" s="14">
        <v>2038</v>
      </c>
      <c r="V1" s="14">
        <v>2039</v>
      </c>
      <c r="W1" s="14">
        <v>2040</v>
      </c>
      <c r="X1" s="14">
        <v>2041</v>
      </c>
      <c r="Y1" s="14">
        <v>2042</v>
      </c>
      <c r="Z1" s="14">
        <v>2043</v>
      </c>
      <c r="AA1" s="14">
        <v>2044</v>
      </c>
      <c r="AB1" s="14">
        <v>2045</v>
      </c>
      <c r="AC1" s="14">
        <v>2046</v>
      </c>
      <c r="AD1" s="14">
        <v>2047</v>
      </c>
      <c r="AE1" s="14">
        <v>2048</v>
      </c>
      <c r="AF1" s="14">
        <v>2049</v>
      </c>
      <c r="AG1" s="14">
        <v>2050</v>
      </c>
    </row>
    <row r="2" spans="1:33" x14ac:dyDescent="0.3">
      <c r="A2" s="14" t="s">
        <v>75</v>
      </c>
      <c r="B2" s="15">
        <v>10</v>
      </c>
      <c r="C2" s="15">
        <v>10</v>
      </c>
      <c r="D2" s="15">
        <v>10</v>
      </c>
      <c r="E2" s="15">
        <v>10</v>
      </c>
      <c r="F2" s="15">
        <v>10</v>
      </c>
      <c r="G2" s="15">
        <v>10</v>
      </c>
      <c r="H2" s="15">
        <v>10</v>
      </c>
      <c r="I2" s="15">
        <v>10</v>
      </c>
      <c r="J2" s="15">
        <v>10</v>
      </c>
      <c r="K2" s="15">
        <v>10</v>
      </c>
      <c r="L2" s="15">
        <v>10</v>
      </c>
      <c r="M2" s="15">
        <v>10</v>
      </c>
      <c r="N2" s="15">
        <v>10</v>
      </c>
      <c r="O2" s="15">
        <v>10</v>
      </c>
      <c r="P2" s="15">
        <v>10</v>
      </c>
      <c r="Q2" s="15">
        <v>10</v>
      </c>
      <c r="R2" s="15">
        <v>10</v>
      </c>
      <c r="S2" s="15">
        <v>10</v>
      </c>
      <c r="T2" s="15">
        <v>10</v>
      </c>
      <c r="U2" s="15">
        <v>10</v>
      </c>
      <c r="V2" s="15">
        <v>10</v>
      </c>
      <c r="W2" s="15">
        <v>10</v>
      </c>
      <c r="X2" s="15">
        <v>10</v>
      </c>
      <c r="Y2" s="15">
        <v>10</v>
      </c>
      <c r="Z2" s="15">
        <v>10</v>
      </c>
      <c r="AA2" s="15">
        <v>10</v>
      </c>
      <c r="AB2" s="15">
        <v>10</v>
      </c>
      <c r="AC2" s="15">
        <v>10</v>
      </c>
      <c r="AD2" s="15">
        <v>10</v>
      </c>
      <c r="AE2" s="15">
        <v>10</v>
      </c>
      <c r="AF2" s="15">
        <v>10</v>
      </c>
      <c r="AG2" s="15">
        <v>10</v>
      </c>
    </row>
    <row r="3" spans="1:33" x14ac:dyDescent="0.3">
      <c r="A3" s="14" t="s">
        <v>76</v>
      </c>
      <c r="B3" s="15">
        <v>10</v>
      </c>
      <c r="C3" s="15">
        <v>10</v>
      </c>
      <c r="D3" s="15">
        <v>10</v>
      </c>
      <c r="E3" s="15">
        <v>10</v>
      </c>
      <c r="F3" s="15">
        <v>10</v>
      </c>
      <c r="G3" s="15">
        <v>10</v>
      </c>
      <c r="H3" s="15">
        <v>10</v>
      </c>
      <c r="I3" s="15">
        <v>10</v>
      </c>
      <c r="J3" s="15">
        <v>10</v>
      </c>
      <c r="K3" s="15">
        <v>10</v>
      </c>
      <c r="L3" s="15">
        <v>10</v>
      </c>
      <c r="M3" s="15">
        <v>10</v>
      </c>
      <c r="N3" s="15">
        <v>10</v>
      </c>
      <c r="O3" s="15">
        <v>10</v>
      </c>
      <c r="P3" s="15">
        <v>10</v>
      </c>
      <c r="Q3" s="15">
        <v>10</v>
      </c>
      <c r="R3" s="15">
        <v>10</v>
      </c>
      <c r="S3" s="15">
        <v>10</v>
      </c>
      <c r="T3" s="15">
        <v>10</v>
      </c>
      <c r="U3" s="15">
        <v>10</v>
      </c>
      <c r="V3" s="15">
        <v>10</v>
      </c>
      <c r="W3" s="15">
        <v>10</v>
      </c>
      <c r="X3" s="15">
        <v>10</v>
      </c>
      <c r="Y3" s="15">
        <v>10</v>
      </c>
      <c r="Z3" s="15">
        <v>10</v>
      </c>
      <c r="AA3" s="15">
        <v>10</v>
      </c>
      <c r="AB3" s="15">
        <v>10</v>
      </c>
      <c r="AC3" s="15">
        <v>10</v>
      </c>
      <c r="AD3" s="15">
        <v>10</v>
      </c>
      <c r="AE3" s="15">
        <v>10</v>
      </c>
      <c r="AF3" s="15">
        <v>10</v>
      </c>
      <c r="AG3" s="15">
        <v>10</v>
      </c>
    </row>
    <row r="4" spans="1:33" x14ac:dyDescent="0.3">
      <c r="A4" s="14" t="s">
        <v>77</v>
      </c>
      <c r="B4" s="15">
        <v>10</v>
      </c>
      <c r="C4" s="15">
        <v>10</v>
      </c>
      <c r="D4" s="15">
        <v>10</v>
      </c>
      <c r="E4" s="15">
        <v>10</v>
      </c>
      <c r="F4" s="15">
        <v>10</v>
      </c>
      <c r="G4" s="15">
        <v>10</v>
      </c>
      <c r="H4" s="15">
        <v>10</v>
      </c>
      <c r="I4" s="15">
        <v>10</v>
      </c>
      <c r="J4" s="15">
        <v>10</v>
      </c>
      <c r="K4" s="15">
        <v>10</v>
      </c>
      <c r="L4" s="15">
        <v>10</v>
      </c>
      <c r="M4" s="15">
        <v>10</v>
      </c>
      <c r="N4" s="15">
        <v>10</v>
      </c>
      <c r="O4" s="15">
        <v>10</v>
      </c>
      <c r="P4" s="15">
        <v>10</v>
      </c>
      <c r="Q4" s="15">
        <v>10</v>
      </c>
      <c r="R4" s="15">
        <v>10</v>
      </c>
      <c r="S4" s="15">
        <v>10</v>
      </c>
      <c r="T4" s="15">
        <v>10</v>
      </c>
      <c r="U4" s="15">
        <v>10</v>
      </c>
      <c r="V4" s="15">
        <v>10</v>
      </c>
      <c r="W4" s="15">
        <v>10</v>
      </c>
      <c r="X4" s="15">
        <v>10</v>
      </c>
      <c r="Y4" s="15">
        <v>10</v>
      </c>
      <c r="Z4" s="15">
        <v>10</v>
      </c>
      <c r="AA4" s="15">
        <v>10</v>
      </c>
      <c r="AB4" s="15">
        <v>10</v>
      </c>
      <c r="AC4" s="15">
        <v>10</v>
      </c>
      <c r="AD4" s="15">
        <v>10</v>
      </c>
      <c r="AE4" s="15">
        <v>10</v>
      </c>
      <c r="AF4" s="15">
        <v>10</v>
      </c>
      <c r="AG4" s="15">
        <v>10</v>
      </c>
    </row>
    <row r="5" spans="1:33" x14ac:dyDescent="0.3">
      <c r="A5" s="14" t="s">
        <v>57</v>
      </c>
      <c r="B5" s="15">
        <v>10</v>
      </c>
      <c r="C5" s="15">
        <v>10</v>
      </c>
      <c r="D5" s="15">
        <v>10</v>
      </c>
      <c r="E5" s="15">
        <v>10</v>
      </c>
      <c r="F5" s="15">
        <v>10</v>
      </c>
      <c r="G5" s="15">
        <v>10</v>
      </c>
      <c r="H5" s="15">
        <v>10</v>
      </c>
      <c r="I5" s="15">
        <v>10</v>
      </c>
      <c r="J5" s="15">
        <v>10</v>
      </c>
      <c r="K5" s="15">
        <v>10</v>
      </c>
      <c r="L5" s="15">
        <v>10</v>
      </c>
      <c r="M5" s="15">
        <v>10</v>
      </c>
      <c r="N5" s="15">
        <v>10</v>
      </c>
      <c r="O5" s="15">
        <v>10</v>
      </c>
      <c r="P5" s="15">
        <v>10</v>
      </c>
      <c r="Q5" s="15">
        <v>10</v>
      </c>
      <c r="R5" s="15">
        <v>10</v>
      </c>
      <c r="S5" s="15">
        <v>10</v>
      </c>
      <c r="T5" s="15">
        <v>10</v>
      </c>
      <c r="U5" s="15">
        <v>10</v>
      </c>
      <c r="V5" s="15">
        <v>10</v>
      </c>
      <c r="W5" s="15">
        <v>10</v>
      </c>
      <c r="X5" s="15">
        <v>10</v>
      </c>
      <c r="Y5" s="15">
        <v>10</v>
      </c>
      <c r="Z5" s="15">
        <v>10</v>
      </c>
      <c r="AA5" s="15">
        <v>10</v>
      </c>
      <c r="AB5" s="15">
        <v>10</v>
      </c>
      <c r="AC5" s="15">
        <v>10</v>
      </c>
      <c r="AD5" s="15">
        <v>10</v>
      </c>
      <c r="AE5" s="15">
        <v>10</v>
      </c>
      <c r="AF5" s="15">
        <v>10</v>
      </c>
      <c r="AG5" s="15">
        <v>10</v>
      </c>
    </row>
    <row r="6" spans="1:33" x14ac:dyDescent="0.3">
      <c r="A6" s="14" t="s">
        <v>58</v>
      </c>
      <c r="B6" s="15">
        <v>10</v>
      </c>
      <c r="C6" s="15">
        <v>10</v>
      </c>
      <c r="D6" s="15">
        <v>10</v>
      </c>
      <c r="E6" s="15">
        <v>10</v>
      </c>
      <c r="F6" s="15">
        <v>10</v>
      </c>
      <c r="G6" s="15">
        <v>10</v>
      </c>
      <c r="H6" s="15">
        <v>10</v>
      </c>
      <c r="I6" s="15">
        <v>10</v>
      </c>
      <c r="J6" s="15">
        <v>10</v>
      </c>
      <c r="K6" s="15">
        <v>10</v>
      </c>
      <c r="L6" s="15">
        <v>10</v>
      </c>
      <c r="M6" s="15">
        <v>10</v>
      </c>
      <c r="N6" s="15">
        <v>10</v>
      </c>
      <c r="O6" s="15">
        <v>10</v>
      </c>
      <c r="P6" s="15">
        <v>10</v>
      </c>
      <c r="Q6" s="15">
        <v>10</v>
      </c>
      <c r="R6" s="15">
        <v>10</v>
      </c>
      <c r="S6" s="15">
        <v>10</v>
      </c>
      <c r="T6" s="15">
        <v>10</v>
      </c>
      <c r="U6" s="15">
        <v>10</v>
      </c>
      <c r="V6" s="15">
        <v>10</v>
      </c>
      <c r="W6" s="15">
        <v>10</v>
      </c>
      <c r="X6" s="15">
        <v>10</v>
      </c>
      <c r="Y6" s="15">
        <v>10</v>
      </c>
      <c r="Z6" s="15">
        <v>10</v>
      </c>
      <c r="AA6" s="15">
        <v>10</v>
      </c>
      <c r="AB6" s="15">
        <v>10</v>
      </c>
      <c r="AC6" s="15">
        <v>10</v>
      </c>
      <c r="AD6" s="15">
        <v>10</v>
      </c>
      <c r="AE6" s="15">
        <v>10</v>
      </c>
      <c r="AF6" s="15">
        <v>10</v>
      </c>
      <c r="AG6" s="15">
        <v>10</v>
      </c>
    </row>
    <row r="7" spans="1:33" x14ac:dyDescent="0.3">
      <c r="A7" s="14" t="s">
        <v>78</v>
      </c>
      <c r="B7" s="15">
        <v>10</v>
      </c>
      <c r="C7" s="15">
        <v>10</v>
      </c>
      <c r="D7" s="15">
        <v>10</v>
      </c>
      <c r="E7" s="15">
        <v>10</v>
      </c>
      <c r="F7" s="15">
        <v>10</v>
      </c>
      <c r="G7" s="15">
        <v>10</v>
      </c>
      <c r="H7" s="15">
        <v>10</v>
      </c>
      <c r="I7" s="15">
        <v>10</v>
      </c>
      <c r="J7" s="15">
        <v>10</v>
      </c>
      <c r="K7" s="15">
        <v>10</v>
      </c>
      <c r="L7" s="15">
        <v>10</v>
      </c>
      <c r="M7" s="15">
        <v>10</v>
      </c>
      <c r="N7" s="15">
        <v>10</v>
      </c>
      <c r="O7" s="15">
        <v>10</v>
      </c>
      <c r="P7" s="15">
        <v>10</v>
      </c>
      <c r="Q7" s="15">
        <v>10</v>
      </c>
      <c r="R7" s="15">
        <v>10</v>
      </c>
      <c r="S7" s="15">
        <v>10</v>
      </c>
      <c r="T7" s="15">
        <v>10</v>
      </c>
      <c r="U7" s="15">
        <v>10</v>
      </c>
      <c r="V7" s="15">
        <v>10</v>
      </c>
      <c r="W7" s="15">
        <v>10</v>
      </c>
      <c r="X7" s="15">
        <v>10</v>
      </c>
      <c r="Y7" s="15">
        <v>10</v>
      </c>
      <c r="Z7" s="15">
        <v>10</v>
      </c>
      <c r="AA7" s="15">
        <v>10</v>
      </c>
      <c r="AB7" s="15">
        <v>10</v>
      </c>
      <c r="AC7" s="15">
        <v>10</v>
      </c>
      <c r="AD7" s="15">
        <v>10</v>
      </c>
      <c r="AE7" s="15">
        <v>10</v>
      </c>
      <c r="AF7" s="15">
        <v>10</v>
      </c>
      <c r="AG7" s="15">
        <v>10</v>
      </c>
    </row>
    <row r="8" spans="1:33" x14ac:dyDescent="0.3">
      <c r="A8" s="14" t="s">
        <v>79</v>
      </c>
      <c r="B8" s="15">
        <v>10</v>
      </c>
      <c r="C8" s="15">
        <v>10</v>
      </c>
      <c r="D8" s="15">
        <v>10</v>
      </c>
      <c r="E8" s="15">
        <v>10</v>
      </c>
      <c r="F8" s="15">
        <v>10</v>
      </c>
      <c r="G8" s="15">
        <v>10</v>
      </c>
      <c r="H8" s="15">
        <v>10</v>
      </c>
      <c r="I8" s="15">
        <v>10</v>
      </c>
      <c r="J8" s="15">
        <v>10</v>
      </c>
      <c r="K8" s="15">
        <v>10</v>
      </c>
      <c r="L8" s="15">
        <v>10</v>
      </c>
      <c r="M8" s="15">
        <v>10</v>
      </c>
      <c r="N8" s="15">
        <v>10</v>
      </c>
      <c r="O8" s="15">
        <v>10</v>
      </c>
      <c r="P8" s="15">
        <v>10</v>
      </c>
      <c r="Q8" s="15">
        <v>10</v>
      </c>
      <c r="R8" s="15">
        <v>10</v>
      </c>
      <c r="S8" s="15">
        <v>10</v>
      </c>
      <c r="T8" s="15">
        <v>10</v>
      </c>
      <c r="U8" s="15">
        <v>10</v>
      </c>
      <c r="V8" s="15">
        <v>10</v>
      </c>
      <c r="W8" s="15">
        <v>10</v>
      </c>
      <c r="X8" s="15">
        <v>10</v>
      </c>
      <c r="Y8" s="15">
        <v>10</v>
      </c>
      <c r="Z8" s="15">
        <v>10</v>
      </c>
      <c r="AA8" s="15">
        <v>10</v>
      </c>
      <c r="AB8" s="15">
        <v>10</v>
      </c>
      <c r="AC8" s="15">
        <v>10</v>
      </c>
      <c r="AD8" s="15">
        <v>10</v>
      </c>
      <c r="AE8" s="15">
        <v>10</v>
      </c>
      <c r="AF8" s="15">
        <v>10</v>
      </c>
      <c r="AG8" s="15">
        <v>10</v>
      </c>
    </row>
    <row r="9" spans="1:33" x14ac:dyDescent="0.3">
      <c r="A9" s="14" t="s">
        <v>80</v>
      </c>
      <c r="B9" s="15">
        <v>10</v>
      </c>
      <c r="C9" s="15">
        <v>10</v>
      </c>
      <c r="D9" s="15">
        <v>10</v>
      </c>
      <c r="E9" s="15">
        <v>10</v>
      </c>
      <c r="F9" s="15">
        <v>10</v>
      </c>
      <c r="G9" s="15">
        <v>10</v>
      </c>
      <c r="H9" s="15">
        <v>10</v>
      </c>
      <c r="I9" s="15">
        <v>10</v>
      </c>
      <c r="J9" s="15">
        <v>10</v>
      </c>
      <c r="K9" s="15">
        <v>10</v>
      </c>
      <c r="L9" s="15">
        <v>10</v>
      </c>
      <c r="M9" s="15">
        <v>10</v>
      </c>
      <c r="N9" s="15">
        <v>10</v>
      </c>
      <c r="O9" s="15">
        <v>10</v>
      </c>
      <c r="P9" s="15">
        <v>10</v>
      </c>
      <c r="Q9" s="15">
        <v>10</v>
      </c>
      <c r="R9" s="15">
        <v>10</v>
      </c>
      <c r="S9" s="15">
        <v>10</v>
      </c>
      <c r="T9" s="15">
        <v>10</v>
      </c>
      <c r="U9" s="15">
        <v>10</v>
      </c>
      <c r="V9" s="15">
        <v>10</v>
      </c>
      <c r="W9" s="15">
        <v>10</v>
      </c>
      <c r="X9" s="15">
        <v>10</v>
      </c>
      <c r="Y9" s="15">
        <v>10</v>
      </c>
      <c r="Z9" s="15">
        <v>10</v>
      </c>
      <c r="AA9" s="15">
        <v>10</v>
      </c>
      <c r="AB9" s="15">
        <v>10</v>
      </c>
      <c r="AC9" s="15">
        <v>10</v>
      </c>
      <c r="AD9" s="15">
        <v>10</v>
      </c>
      <c r="AE9" s="15">
        <v>10</v>
      </c>
      <c r="AF9" s="15">
        <v>10</v>
      </c>
      <c r="AG9" s="15">
        <v>10</v>
      </c>
    </row>
    <row r="10" spans="1:33" x14ac:dyDescent="0.3">
      <c r="A10" s="14" t="s">
        <v>81</v>
      </c>
      <c r="B10" s="15">
        <v>10</v>
      </c>
      <c r="C10" s="15">
        <v>10</v>
      </c>
      <c r="D10" s="15">
        <v>10</v>
      </c>
      <c r="E10" s="15">
        <v>10</v>
      </c>
      <c r="F10" s="15">
        <v>10</v>
      </c>
      <c r="G10" s="15">
        <v>10</v>
      </c>
      <c r="H10" s="15">
        <v>10</v>
      </c>
      <c r="I10" s="15">
        <v>10</v>
      </c>
      <c r="J10" s="15">
        <v>10</v>
      </c>
      <c r="K10" s="15">
        <v>10</v>
      </c>
      <c r="L10" s="15">
        <v>10</v>
      </c>
      <c r="M10" s="15">
        <v>10</v>
      </c>
      <c r="N10" s="15">
        <v>10</v>
      </c>
      <c r="O10" s="15">
        <v>10</v>
      </c>
      <c r="P10" s="15">
        <v>10</v>
      </c>
      <c r="Q10" s="15">
        <v>10</v>
      </c>
      <c r="R10" s="15">
        <v>10</v>
      </c>
      <c r="S10" s="15">
        <v>10</v>
      </c>
      <c r="T10" s="15">
        <v>10</v>
      </c>
      <c r="U10" s="15">
        <v>10</v>
      </c>
      <c r="V10" s="15">
        <v>10</v>
      </c>
      <c r="W10" s="15">
        <v>10</v>
      </c>
      <c r="X10" s="15">
        <v>10</v>
      </c>
      <c r="Y10" s="15">
        <v>10</v>
      </c>
      <c r="Z10" s="15">
        <v>10</v>
      </c>
      <c r="AA10" s="15">
        <v>10</v>
      </c>
      <c r="AB10" s="15">
        <v>10</v>
      </c>
      <c r="AC10" s="15">
        <v>10</v>
      </c>
      <c r="AD10" s="15">
        <v>10</v>
      </c>
      <c r="AE10" s="15">
        <v>10</v>
      </c>
      <c r="AF10" s="15">
        <v>10</v>
      </c>
      <c r="AG10" s="15">
        <v>10</v>
      </c>
    </row>
    <row r="11" spans="1:33" x14ac:dyDescent="0.3">
      <c r="A11" s="14" t="s">
        <v>68</v>
      </c>
      <c r="B11" s="15">
        <v>10</v>
      </c>
      <c r="C11" s="15">
        <v>10</v>
      </c>
      <c r="D11" s="15">
        <v>10</v>
      </c>
      <c r="E11" s="15">
        <v>10</v>
      </c>
      <c r="F11" s="15">
        <v>10</v>
      </c>
      <c r="G11" s="15">
        <v>10</v>
      </c>
      <c r="H11" s="15">
        <v>10</v>
      </c>
      <c r="I11" s="15">
        <v>10</v>
      </c>
      <c r="J11" s="15">
        <v>10</v>
      </c>
      <c r="K11" s="15">
        <v>10</v>
      </c>
      <c r="L11" s="15">
        <v>10</v>
      </c>
      <c r="M11" s="15">
        <v>10</v>
      </c>
      <c r="N11" s="15">
        <v>10</v>
      </c>
      <c r="O11" s="15">
        <v>10</v>
      </c>
      <c r="P11" s="15">
        <v>10</v>
      </c>
      <c r="Q11" s="15">
        <v>10</v>
      </c>
      <c r="R11" s="15">
        <v>10</v>
      </c>
      <c r="S11" s="15">
        <v>10</v>
      </c>
      <c r="T11" s="15">
        <v>10</v>
      </c>
      <c r="U11" s="15">
        <v>10</v>
      </c>
      <c r="V11" s="15">
        <v>10</v>
      </c>
      <c r="W11" s="15">
        <v>10</v>
      </c>
      <c r="X11" s="15">
        <v>10</v>
      </c>
      <c r="Y11" s="15">
        <v>10</v>
      </c>
      <c r="Z11" s="15">
        <v>10</v>
      </c>
      <c r="AA11" s="15">
        <v>10</v>
      </c>
      <c r="AB11" s="15">
        <v>10</v>
      </c>
      <c r="AC11" s="15">
        <v>10</v>
      </c>
      <c r="AD11" s="15">
        <v>10</v>
      </c>
      <c r="AE11" s="15">
        <v>10</v>
      </c>
      <c r="AF11" s="15">
        <v>10</v>
      </c>
      <c r="AG11" s="15">
        <v>10</v>
      </c>
    </row>
    <row r="12" spans="1:33" x14ac:dyDescent="0.3">
      <c r="A12" s="14" t="s">
        <v>82</v>
      </c>
      <c r="B12" s="15">
        <v>10</v>
      </c>
      <c r="C12" s="15">
        <v>10</v>
      </c>
      <c r="D12" s="15">
        <v>10</v>
      </c>
      <c r="E12" s="15">
        <v>10</v>
      </c>
      <c r="F12" s="15">
        <v>10</v>
      </c>
      <c r="G12" s="15">
        <v>10</v>
      </c>
      <c r="H12" s="15">
        <v>10</v>
      </c>
      <c r="I12" s="15">
        <v>10</v>
      </c>
      <c r="J12" s="15">
        <v>10</v>
      </c>
      <c r="K12" s="15">
        <v>10</v>
      </c>
      <c r="L12" s="15">
        <v>10</v>
      </c>
      <c r="M12" s="15">
        <v>10</v>
      </c>
      <c r="N12" s="15">
        <v>10</v>
      </c>
      <c r="O12" s="15">
        <v>10</v>
      </c>
      <c r="P12" s="15">
        <v>10</v>
      </c>
      <c r="Q12" s="15">
        <v>10</v>
      </c>
      <c r="R12" s="15">
        <v>10</v>
      </c>
      <c r="S12" s="15">
        <v>10</v>
      </c>
      <c r="T12" s="15">
        <v>10</v>
      </c>
      <c r="U12" s="15">
        <v>10</v>
      </c>
      <c r="V12" s="15">
        <v>10</v>
      </c>
      <c r="W12" s="15">
        <v>10</v>
      </c>
      <c r="X12" s="15">
        <v>10</v>
      </c>
      <c r="Y12" s="15">
        <v>10</v>
      </c>
      <c r="Z12" s="15">
        <v>10</v>
      </c>
      <c r="AA12" s="15">
        <v>10</v>
      </c>
      <c r="AB12" s="15">
        <v>10</v>
      </c>
      <c r="AC12" s="15">
        <v>10</v>
      </c>
      <c r="AD12" s="15">
        <v>10</v>
      </c>
      <c r="AE12" s="15">
        <v>10</v>
      </c>
      <c r="AF12" s="15">
        <v>10</v>
      </c>
      <c r="AG12" s="15">
        <v>10</v>
      </c>
    </row>
    <row r="13" spans="1:33" x14ac:dyDescent="0.3">
      <c r="A13" s="14" t="s">
        <v>83</v>
      </c>
      <c r="B13" s="15">
        <v>10</v>
      </c>
      <c r="C13" s="15">
        <v>10</v>
      </c>
      <c r="D13" s="15">
        <v>10</v>
      </c>
      <c r="E13" s="15">
        <v>10</v>
      </c>
      <c r="F13" s="15">
        <v>10</v>
      </c>
      <c r="G13" s="15">
        <v>10</v>
      </c>
      <c r="H13" s="15">
        <v>10</v>
      </c>
      <c r="I13" s="15">
        <v>10</v>
      </c>
      <c r="J13" s="15">
        <v>10</v>
      </c>
      <c r="K13" s="15">
        <v>10</v>
      </c>
      <c r="L13" s="15">
        <v>10</v>
      </c>
      <c r="M13" s="15">
        <v>10</v>
      </c>
      <c r="N13" s="15">
        <v>10</v>
      </c>
      <c r="O13" s="15">
        <v>10</v>
      </c>
      <c r="P13" s="15">
        <v>10</v>
      </c>
      <c r="Q13" s="15">
        <v>10</v>
      </c>
      <c r="R13" s="15">
        <v>10</v>
      </c>
      <c r="S13" s="15">
        <v>10</v>
      </c>
      <c r="T13" s="15">
        <v>10</v>
      </c>
      <c r="U13" s="15">
        <v>10</v>
      </c>
      <c r="V13" s="15">
        <v>10</v>
      </c>
      <c r="W13" s="15">
        <v>10</v>
      </c>
      <c r="X13" s="15">
        <v>10</v>
      </c>
      <c r="Y13" s="15">
        <v>10</v>
      </c>
      <c r="Z13" s="15">
        <v>10</v>
      </c>
      <c r="AA13" s="15">
        <v>10</v>
      </c>
      <c r="AB13" s="15">
        <v>10</v>
      </c>
      <c r="AC13" s="15">
        <v>10</v>
      </c>
      <c r="AD13" s="15">
        <v>10</v>
      </c>
      <c r="AE13" s="15">
        <v>10</v>
      </c>
      <c r="AF13" s="15">
        <v>10</v>
      </c>
      <c r="AG13" s="15">
        <v>10</v>
      </c>
    </row>
    <row r="14" spans="1:33" x14ac:dyDescent="0.3">
      <c r="A14" s="14" t="s">
        <v>84</v>
      </c>
      <c r="B14" s="15">
        <v>10</v>
      </c>
      <c r="C14" s="15">
        <v>10</v>
      </c>
      <c r="D14" s="15">
        <v>10</v>
      </c>
      <c r="E14" s="15">
        <v>10</v>
      </c>
      <c r="F14" s="15">
        <v>10</v>
      </c>
      <c r="G14" s="15">
        <v>10</v>
      </c>
      <c r="H14" s="15">
        <v>10</v>
      </c>
      <c r="I14" s="15">
        <v>10</v>
      </c>
      <c r="J14" s="15">
        <v>10</v>
      </c>
      <c r="K14" s="15">
        <v>10</v>
      </c>
      <c r="L14" s="15">
        <v>10</v>
      </c>
      <c r="M14" s="15">
        <v>10</v>
      </c>
      <c r="N14" s="15">
        <v>10</v>
      </c>
      <c r="O14" s="15">
        <v>10</v>
      </c>
      <c r="P14" s="15">
        <v>10</v>
      </c>
      <c r="Q14" s="15">
        <v>10</v>
      </c>
      <c r="R14" s="15">
        <v>10</v>
      </c>
      <c r="S14" s="15">
        <v>10</v>
      </c>
      <c r="T14" s="15">
        <v>10</v>
      </c>
      <c r="U14" s="15">
        <v>10</v>
      </c>
      <c r="V14" s="15">
        <v>10</v>
      </c>
      <c r="W14" s="15">
        <v>10</v>
      </c>
      <c r="X14" s="15">
        <v>10</v>
      </c>
      <c r="Y14" s="15">
        <v>10</v>
      </c>
      <c r="Z14" s="15">
        <v>10</v>
      </c>
      <c r="AA14" s="15">
        <v>10</v>
      </c>
      <c r="AB14" s="15">
        <v>10</v>
      </c>
      <c r="AC14" s="15">
        <v>10</v>
      </c>
      <c r="AD14" s="15">
        <v>10</v>
      </c>
      <c r="AE14" s="15">
        <v>10</v>
      </c>
      <c r="AF14" s="15">
        <v>10</v>
      </c>
      <c r="AG14" s="15">
        <v>10</v>
      </c>
    </row>
    <row r="15" spans="1:33" x14ac:dyDescent="0.3">
      <c r="A15" s="14" t="s">
        <v>85</v>
      </c>
      <c r="B15" s="15">
        <v>10</v>
      </c>
      <c r="C15" s="15">
        <v>10</v>
      </c>
      <c r="D15" s="15">
        <v>10</v>
      </c>
      <c r="E15" s="15">
        <v>10</v>
      </c>
      <c r="F15" s="15">
        <v>10</v>
      </c>
      <c r="G15" s="15">
        <v>10</v>
      </c>
      <c r="H15" s="15">
        <v>10</v>
      </c>
      <c r="I15" s="15">
        <v>10</v>
      </c>
      <c r="J15" s="15">
        <v>10</v>
      </c>
      <c r="K15" s="15">
        <v>10</v>
      </c>
      <c r="L15" s="15">
        <v>10</v>
      </c>
      <c r="M15" s="15">
        <v>10</v>
      </c>
      <c r="N15" s="15">
        <v>10</v>
      </c>
      <c r="O15" s="15">
        <v>10</v>
      </c>
      <c r="P15" s="15">
        <v>10</v>
      </c>
      <c r="Q15" s="15">
        <v>10</v>
      </c>
      <c r="R15" s="15">
        <v>10</v>
      </c>
      <c r="S15" s="15">
        <v>10</v>
      </c>
      <c r="T15" s="15">
        <v>10</v>
      </c>
      <c r="U15" s="15">
        <v>10</v>
      </c>
      <c r="V15" s="15">
        <v>10</v>
      </c>
      <c r="W15" s="15">
        <v>10</v>
      </c>
      <c r="X15" s="15">
        <v>10</v>
      </c>
      <c r="Y15" s="15">
        <v>10</v>
      </c>
      <c r="Z15" s="15">
        <v>10</v>
      </c>
      <c r="AA15" s="15">
        <v>10</v>
      </c>
      <c r="AB15" s="15">
        <v>10</v>
      </c>
      <c r="AC15" s="15">
        <v>10</v>
      </c>
      <c r="AD15" s="15">
        <v>10</v>
      </c>
      <c r="AE15" s="15">
        <v>10</v>
      </c>
      <c r="AF15" s="15">
        <v>10</v>
      </c>
      <c r="AG15" s="15">
        <v>10</v>
      </c>
    </row>
    <row r="16" spans="1:33" x14ac:dyDescent="0.3">
      <c r="A16" s="14" t="s">
        <v>70</v>
      </c>
      <c r="B16" s="15">
        <v>10</v>
      </c>
      <c r="C16" s="15">
        <v>10</v>
      </c>
      <c r="D16" s="15">
        <v>10</v>
      </c>
      <c r="E16" s="15">
        <v>10</v>
      </c>
      <c r="F16" s="15">
        <v>10</v>
      </c>
      <c r="G16" s="15">
        <v>10</v>
      </c>
      <c r="H16" s="15">
        <v>10</v>
      </c>
      <c r="I16" s="15">
        <v>10</v>
      </c>
      <c r="J16" s="15">
        <v>10</v>
      </c>
      <c r="K16" s="15">
        <v>10</v>
      </c>
      <c r="L16" s="15">
        <v>10</v>
      </c>
      <c r="M16" s="15">
        <v>10</v>
      </c>
      <c r="N16" s="15">
        <v>10</v>
      </c>
      <c r="O16" s="15">
        <v>10</v>
      </c>
      <c r="P16" s="15">
        <v>10</v>
      </c>
      <c r="Q16" s="15">
        <v>10</v>
      </c>
      <c r="R16" s="15">
        <v>10</v>
      </c>
      <c r="S16" s="15">
        <v>10</v>
      </c>
      <c r="T16" s="15">
        <v>10</v>
      </c>
      <c r="U16" s="15">
        <v>10</v>
      </c>
      <c r="V16" s="15">
        <v>10</v>
      </c>
      <c r="W16" s="15">
        <v>10</v>
      </c>
      <c r="X16" s="15">
        <v>10</v>
      </c>
      <c r="Y16" s="15">
        <v>10</v>
      </c>
      <c r="Z16" s="15">
        <v>10</v>
      </c>
      <c r="AA16" s="15">
        <v>10</v>
      </c>
      <c r="AB16" s="15">
        <v>10</v>
      </c>
      <c r="AC16" s="15">
        <v>10</v>
      </c>
      <c r="AD16" s="15">
        <v>10</v>
      </c>
      <c r="AE16" s="15">
        <v>10</v>
      </c>
      <c r="AF16" s="15">
        <v>10</v>
      </c>
      <c r="AG16" s="15">
        <v>10</v>
      </c>
    </row>
    <row r="17" spans="1:33" x14ac:dyDescent="0.3">
      <c r="A17" s="14" t="s">
        <v>86</v>
      </c>
      <c r="B17" s="15">
        <v>10</v>
      </c>
      <c r="C17" s="15">
        <v>10</v>
      </c>
      <c r="D17" s="15">
        <v>10</v>
      </c>
      <c r="E17" s="15">
        <v>10</v>
      </c>
      <c r="F17" s="15">
        <v>10</v>
      </c>
      <c r="G17" s="15">
        <v>10</v>
      </c>
      <c r="H17" s="15">
        <v>10</v>
      </c>
      <c r="I17" s="15">
        <v>10</v>
      </c>
      <c r="J17" s="15">
        <v>10</v>
      </c>
      <c r="K17" s="15">
        <v>10</v>
      </c>
      <c r="L17" s="15">
        <v>10</v>
      </c>
      <c r="M17" s="15">
        <v>10</v>
      </c>
      <c r="N17" s="15">
        <v>10</v>
      </c>
      <c r="O17" s="15">
        <v>10</v>
      </c>
      <c r="P17" s="15">
        <v>10</v>
      </c>
      <c r="Q17" s="15">
        <v>10</v>
      </c>
      <c r="R17" s="15">
        <v>10</v>
      </c>
      <c r="S17" s="15">
        <v>10</v>
      </c>
      <c r="T17" s="15">
        <v>10</v>
      </c>
      <c r="U17" s="15">
        <v>10</v>
      </c>
      <c r="V17" s="15">
        <v>10</v>
      </c>
      <c r="W17" s="15">
        <v>10</v>
      </c>
      <c r="X17" s="15">
        <v>10</v>
      </c>
      <c r="Y17" s="15">
        <v>10</v>
      </c>
      <c r="Z17" s="15">
        <v>10</v>
      </c>
      <c r="AA17" s="15">
        <v>10</v>
      </c>
      <c r="AB17" s="15">
        <v>10</v>
      </c>
      <c r="AC17" s="15">
        <v>10</v>
      </c>
      <c r="AD17" s="15">
        <v>10</v>
      </c>
      <c r="AE17" s="15">
        <v>10</v>
      </c>
      <c r="AF17" s="15">
        <v>10</v>
      </c>
      <c r="AG17" s="15">
        <v>10</v>
      </c>
    </row>
    <row r="18" spans="1:33" x14ac:dyDescent="0.3">
      <c r="A18" s="14" t="s">
        <v>73</v>
      </c>
      <c r="B18" s="15">
        <v>10</v>
      </c>
      <c r="C18" s="15">
        <v>10</v>
      </c>
      <c r="D18" s="15">
        <v>10</v>
      </c>
      <c r="E18" s="15">
        <v>10</v>
      </c>
      <c r="F18" s="15">
        <v>10</v>
      </c>
      <c r="G18" s="15">
        <v>10</v>
      </c>
      <c r="H18" s="15">
        <v>10</v>
      </c>
      <c r="I18" s="15">
        <v>10</v>
      </c>
      <c r="J18" s="15">
        <v>10</v>
      </c>
      <c r="K18" s="15">
        <v>10</v>
      </c>
      <c r="L18" s="15">
        <v>10</v>
      </c>
      <c r="M18" s="15">
        <v>10</v>
      </c>
      <c r="N18" s="15">
        <v>10</v>
      </c>
      <c r="O18" s="15">
        <v>10</v>
      </c>
      <c r="P18" s="15">
        <v>10</v>
      </c>
      <c r="Q18" s="15">
        <v>10</v>
      </c>
      <c r="R18" s="15">
        <v>10</v>
      </c>
      <c r="S18" s="15">
        <v>10</v>
      </c>
      <c r="T18" s="15">
        <v>10</v>
      </c>
      <c r="U18" s="15">
        <v>10</v>
      </c>
      <c r="V18" s="15">
        <v>10</v>
      </c>
      <c r="W18" s="15">
        <v>10</v>
      </c>
      <c r="X18" s="15">
        <v>10</v>
      </c>
      <c r="Y18" s="15">
        <v>10</v>
      </c>
      <c r="Z18" s="15">
        <v>10</v>
      </c>
      <c r="AA18" s="15">
        <v>10</v>
      </c>
      <c r="AB18" s="15">
        <v>10</v>
      </c>
      <c r="AC18" s="15">
        <v>10</v>
      </c>
      <c r="AD18" s="15">
        <v>10</v>
      </c>
      <c r="AE18" s="15">
        <v>10</v>
      </c>
      <c r="AF18" s="15">
        <v>10</v>
      </c>
      <c r="AG18" s="15">
        <v>10</v>
      </c>
    </row>
    <row r="19" spans="1:33" x14ac:dyDescent="0.3">
      <c r="A19" s="14" t="s">
        <v>87</v>
      </c>
      <c r="B19" s="15">
        <v>10</v>
      </c>
      <c r="C19" s="15">
        <v>10</v>
      </c>
      <c r="D19" s="15">
        <v>10</v>
      </c>
      <c r="E19" s="15">
        <v>10</v>
      </c>
      <c r="F19" s="15">
        <v>10</v>
      </c>
      <c r="G19" s="15">
        <v>10</v>
      </c>
      <c r="H19" s="15">
        <v>10</v>
      </c>
      <c r="I19" s="15">
        <v>10</v>
      </c>
      <c r="J19" s="15">
        <v>10</v>
      </c>
      <c r="K19" s="15">
        <v>10</v>
      </c>
      <c r="L19" s="15">
        <v>10</v>
      </c>
      <c r="M19" s="15">
        <v>10</v>
      </c>
      <c r="N19" s="15">
        <v>10</v>
      </c>
      <c r="O19" s="15">
        <v>10</v>
      </c>
      <c r="P19" s="15">
        <v>10</v>
      </c>
      <c r="Q19" s="15">
        <v>10</v>
      </c>
      <c r="R19" s="15">
        <v>10</v>
      </c>
      <c r="S19" s="15">
        <v>10</v>
      </c>
      <c r="T19" s="15">
        <v>10</v>
      </c>
      <c r="U19" s="15">
        <v>10</v>
      </c>
      <c r="V19" s="15">
        <v>10</v>
      </c>
      <c r="W19" s="15">
        <v>10</v>
      </c>
      <c r="X19" s="15">
        <v>10</v>
      </c>
      <c r="Y19" s="15">
        <v>10</v>
      </c>
      <c r="Z19" s="15">
        <v>10</v>
      </c>
      <c r="AA19" s="15">
        <v>10</v>
      </c>
      <c r="AB19" s="15">
        <v>10</v>
      </c>
      <c r="AC19" s="15">
        <v>10</v>
      </c>
      <c r="AD19" s="15">
        <v>10</v>
      </c>
      <c r="AE19" s="15">
        <v>10</v>
      </c>
      <c r="AF19" s="15">
        <v>10</v>
      </c>
      <c r="AG19" s="15">
        <v>10</v>
      </c>
    </row>
    <row r="20" spans="1:33" x14ac:dyDescent="0.3">
      <c r="A20" s="14" t="s">
        <v>88</v>
      </c>
      <c r="B20" s="15">
        <v>10</v>
      </c>
      <c r="C20" s="15">
        <v>10</v>
      </c>
      <c r="D20" s="15">
        <v>10</v>
      </c>
      <c r="E20" s="15">
        <v>10</v>
      </c>
      <c r="F20" s="15">
        <v>10</v>
      </c>
      <c r="G20" s="15">
        <v>10</v>
      </c>
      <c r="H20" s="15">
        <v>10</v>
      </c>
      <c r="I20" s="15">
        <v>10</v>
      </c>
      <c r="J20" s="15">
        <v>10</v>
      </c>
      <c r="K20" s="15">
        <v>10</v>
      </c>
      <c r="L20" s="15">
        <v>10</v>
      </c>
      <c r="M20" s="15">
        <v>10</v>
      </c>
      <c r="N20" s="15">
        <v>10</v>
      </c>
      <c r="O20" s="15">
        <v>10</v>
      </c>
      <c r="P20" s="15">
        <v>10</v>
      </c>
      <c r="Q20" s="15">
        <v>10</v>
      </c>
      <c r="R20" s="15">
        <v>10</v>
      </c>
      <c r="S20" s="15">
        <v>10</v>
      </c>
      <c r="T20" s="15">
        <v>10</v>
      </c>
      <c r="U20" s="15">
        <v>10</v>
      </c>
      <c r="V20" s="15">
        <v>10</v>
      </c>
      <c r="W20" s="15">
        <v>10</v>
      </c>
      <c r="X20" s="15">
        <v>10</v>
      </c>
      <c r="Y20" s="15">
        <v>10</v>
      </c>
      <c r="Z20" s="15">
        <v>10</v>
      </c>
      <c r="AA20" s="15">
        <v>10</v>
      </c>
      <c r="AB20" s="15">
        <v>10</v>
      </c>
      <c r="AC20" s="15">
        <v>10</v>
      </c>
      <c r="AD20" s="15">
        <v>10</v>
      </c>
      <c r="AE20" s="15">
        <v>10</v>
      </c>
      <c r="AF20" s="15">
        <v>10</v>
      </c>
      <c r="AG20" s="15">
        <v>10</v>
      </c>
    </row>
    <row r="21" spans="1:33" x14ac:dyDescent="0.3">
      <c r="A21" s="14" t="s">
        <v>89</v>
      </c>
      <c r="B21" s="15">
        <v>10</v>
      </c>
      <c r="C21" s="15">
        <v>10</v>
      </c>
      <c r="D21" s="15">
        <v>10</v>
      </c>
      <c r="E21" s="15">
        <v>10</v>
      </c>
      <c r="F21" s="15">
        <v>10</v>
      </c>
      <c r="G21" s="15">
        <v>10</v>
      </c>
      <c r="H21" s="15">
        <v>10</v>
      </c>
      <c r="I21" s="15">
        <v>10</v>
      </c>
      <c r="J21" s="15">
        <v>10</v>
      </c>
      <c r="K21" s="15">
        <v>10</v>
      </c>
      <c r="L21" s="15">
        <v>10</v>
      </c>
      <c r="M21" s="15">
        <v>10</v>
      </c>
      <c r="N21" s="15">
        <v>10</v>
      </c>
      <c r="O21" s="15">
        <v>10</v>
      </c>
      <c r="P21" s="15">
        <v>10</v>
      </c>
      <c r="Q21" s="15">
        <v>10</v>
      </c>
      <c r="R21" s="15">
        <v>10</v>
      </c>
      <c r="S21" s="15">
        <v>10</v>
      </c>
      <c r="T21" s="15">
        <v>10</v>
      </c>
      <c r="U21" s="15">
        <v>10</v>
      </c>
      <c r="V21" s="15">
        <v>10</v>
      </c>
      <c r="W21" s="15">
        <v>10</v>
      </c>
      <c r="X21" s="15">
        <v>10</v>
      </c>
      <c r="Y21" s="15">
        <v>10</v>
      </c>
      <c r="Z21" s="15">
        <v>10</v>
      </c>
      <c r="AA21" s="15">
        <v>10</v>
      </c>
      <c r="AB21" s="15">
        <v>10</v>
      </c>
      <c r="AC21" s="15">
        <v>10</v>
      </c>
      <c r="AD21" s="15">
        <v>10</v>
      </c>
      <c r="AE21" s="15">
        <v>10</v>
      </c>
      <c r="AF21" s="15">
        <v>10</v>
      </c>
      <c r="AG21" s="15">
        <v>10</v>
      </c>
    </row>
    <row r="22" spans="1:33" x14ac:dyDescent="0.3">
      <c r="A22" s="14" t="s">
        <v>90</v>
      </c>
      <c r="B22" s="15">
        <v>10</v>
      </c>
      <c r="C22" s="15">
        <v>10</v>
      </c>
      <c r="D22" s="15">
        <v>10</v>
      </c>
      <c r="E22" s="15">
        <v>10</v>
      </c>
      <c r="F22" s="15">
        <v>10</v>
      </c>
      <c r="G22" s="15">
        <v>10</v>
      </c>
      <c r="H22" s="15">
        <v>10</v>
      </c>
      <c r="I22" s="15">
        <v>10</v>
      </c>
      <c r="J22" s="15">
        <v>10</v>
      </c>
      <c r="K22" s="15">
        <v>10</v>
      </c>
      <c r="L22" s="15">
        <v>10</v>
      </c>
      <c r="M22" s="15">
        <v>10</v>
      </c>
      <c r="N22" s="15">
        <v>10</v>
      </c>
      <c r="O22" s="15">
        <v>10</v>
      </c>
      <c r="P22" s="15">
        <v>10</v>
      </c>
      <c r="Q22" s="15">
        <v>10</v>
      </c>
      <c r="R22" s="15">
        <v>10</v>
      </c>
      <c r="S22" s="15">
        <v>10</v>
      </c>
      <c r="T22" s="15">
        <v>10</v>
      </c>
      <c r="U22" s="15">
        <v>10</v>
      </c>
      <c r="V22" s="15">
        <v>10</v>
      </c>
      <c r="W22" s="15">
        <v>10</v>
      </c>
      <c r="X22" s="15">
        <v>10</v>
      </c>
      <c r="Y22" s="15">
        <v>10</v>
      </c>
      <c r="Z22" s="15">
        <v>10</v>
      </c>
      <c r="AA22" s="15">
        <v>10</v>
      </c>
      <c r="AB22" s="15">
        <v>10</v>
      </c>
      <c r="AC22" s="15">
        <v>10</v>
      </c>
      <c r="AD22" s="15">
        <v>10</v>
      </c>
      <c r="AE22" s="15">
        <v>10</v>
      </c>
      <c r="AF22" s="15">
        <v>10</v>
      </c>
      <c r="AG22" s="15">
        <v>10</v>
      </c>
    </row>
    <row r="23" spans="1:33" x14ac:dyDescent="0.3">
      <c r="A23" s="14" t="s">
        <v>91</v>
      </c>
      <c r="B23" s="15">
        <v>10</v>
      </c>
      <c r="C23" s="15">
        <v>10</v>
      </c>
      <c r="D23" s="15">
        <v>10</v>
      </c>
      <c r="E23" s="15">
        <v>10</v>
      </c>
      <c r="F23" s="15">
        <v>10</v>
      </c>
      <c r="G23" s="15">
        <v>10</v>
      </c>
      <c r="H23" s="15">
        <v>10</v>
      </c>
      <c r="I23" s="15">
        <v>10</v>
      </c>
      <c r="J23" s="15">
        <v>10</v>
      </c>
      <c r="K23" s="15">
        <v>10</v>
      </c>
      <c r="L23" s="15">
        <v>10</v>
      </c>
      <c r="M23" s="15">
        <v>10</v>
      </c>
      <c r="N23" s="15">
        <v>10</v>
      </c>
      <c r="O23" s="15">
        <v>10</v>
      </c>
      <c r="P23" s="15">
        <v>10</v>
      </c>
      <c r="Q23" s="15">
        <v>10</v>
      </c>
      <c r="R23" s="15">
        <v>10</v>
      </c>
      <c r="S23" s="15">
        <v>10</v>
      </c>
      <c r="T23" s="15">
        <v>10</v>
      </c>
      <c r="U23" s="15">
        <v>10</v>
      </c>
      <c r="V23" s="15">
        <v>10</v>
      </c>
      <c r="W23" s="15">
        <v>10</v>
      </c>
      <c r="X23" s="15">
        <v>10</v>
      </c>
      <c r="Y23" s="15">
        <v>10</v>
      </c>
      <c r="Z23" s="15">
        <v>10</v>
      </c>
      <c r="AA23" s="15">
        <v>10</v>
      </c>
      <c r="AB23" s="15">
        <v>10</v>
      </c>
      <c r="AC23" s="15">
        <v>10</v>
      </c>
      <c r="AD23" s="15">
        <v>10</v>
      </c>
      <c r="AE23" s="15">
        <v>10</v>
      </c>
      <c r="AF23" s="15">
        <v>10</v>
      </c>
      <c r="AG23" s="15">
        <v>10</v>
      </c>
    </row>
    <row r="24" spans="1:33" x14ac:dyDescent="0.3">
      <c r="A24" s="16" t="s">
        <v>92</v>
      </c>
      <c r="B24" s="15">
        <v>10</v>
      </c>
      <c r="C24" s="15">
        <v>10</v>
      </c>
      <c r="D24" s="15">
        <v>10</v>
      </c>
      <c r="E24" s="15">
        <v>10</v>
      </c>
      <c r="F24" s="15">
        <v>10</v>
      </c>
      <c r="G24" s="15">
        <v>10</v>
      </c>
      <c r="H24" s="15">
        <v>10</v>
      </c>
      <c r="I24" s="15">
        <v>10</v>
      </c>
      <c r="J24" s="15">
        <v>10</v>
      </c>
      <c r="K24" s="15">
        <v>10</v>
      </c>
      <c r="L24" s="15">
        <v>10</v>
      </c>
      <c r="M24" s="15">
        <v>10</v>
      </c>
      <c r="N24" s="15">
        <v>10</v>
      </c>
      <c r="O24" s="15">
        <v>10</v>
      </c>
      <c r="P24" s="15">
        <v>10</v>
      </c>
      <c r="Q24" s="15">
        <v>10</v>
      </c>
      <c r="R24" s="15">
        <v>10</v>
      </c>
      <c r="S24" s="15">
        <v>10</v>
      </c>
      <c r="T24" s="15">
        <v>10</v>
      </c>
      <c r="U24" s="15">
        <v>10</v>
      </c>
      <c r="V24" s="15">
        <v>10</v>
      </c>
      <c r="W24" s="15">
        <v>10</v>
      </c>
      <c r="X24" s="15">
        <v>10</v>
      </c>
      <c r="Y24" s="15">
        <v>10</v>
      </c>
      <c r="Z24" s="15">
        <v>10</v>
      </c>
      <c r="AA24" s="15">
        <v>10</v>
      </c>
      <c r="AB24" s="15">
        <v>10</v>
      </c>
      <c r="AC24" s="15">
        <v>10</v>
      </c>
      <c r="AD24" s="15">
        <v>10</v>
      </c>
      <c r="AE24" s="15">
        <v>10</v>
      </c>
      <c r="AF24" s="15">
        <v>10</v>
      </c>
      <c r="AG24" s="15">
        <v>10</v>
      </c>
    </row>
    <row r="25" spans="1:33" x14ac:dyDescent="0.3">
      <c r="A25" s="16" t="s">
        <v>93</v>
      </c>
      <c r="B25" s="15">
        <v>10</v>
      </c>
      <c r="C25" s="15">
        <v>10</v>
      </c>
      <c r="D25" s="15">
        <v>10</v>
      </c>
      <c r="E25" s="15">
        <v>10</v>
      </c>
      <c r="F25" s="15">
        <v>10</v>
      </c>
      <c r="G25" s="15">
        <v>10</v>
      </c>
      <c r="H25" s="15">
        <v>10</v>
      </c>
      <c r="I25" s="15">
        <v>10</v>
      </c>
      <c r="J25" s="15">
        <v>10</v>
      </c>
      <c r="K25" s="15">
        <v>10</v>
      </c>
      <c r="L25" s="15">
        <v>10</v>
      </c>
      <c r="M25" s="15">
        <v>10</v>
      </c>
      <c r="N25" s="15">
        <v>10</v>
      </c>
      <c r="O25" s="15">
        <v>10</v>
      </c>
      <c r="P25" s="15">
        <v>10</v>
      </c>
      <c r="Q25" s="15">
        <v>10</v>
      </c>
      <c r="R25" s="15">
        <v>10</v>
      </c>
      <c r="S25" s="15">
        <v>10</v>
      </c>
      <c r="T25" s="15">
        <v>10</v>
      </c>
      <c r="U25" s="15">
        <v>10</v>
      </c>
      <c r="V25" s="15">
        <v>10</v>
      </c>
      <c r="W25" s="15">
        <v>10</v>
      </c>
      <c r="X25" s="15">
        <v>10</v>
      </c>
      <c r="Y25" s="15">
        <v>10</v>
      </c>
      <c r="Z25" s="15">
        <v>10</v>
      </c>
      <c r="AA25" s="15">
        <v>10</v>
      </c>
      <c r="AB25" s="15">
        <v>10</v>
      </c>
      <c r="AC25" s="15">
        <v>10</v>
      </c>
      <c r="AD25" s="15">
        <v>10</v>
      </c>
      <c r="AE25" s="15">
        <v>10</v>
      </c>
      <c r="AF25" s="15">
        <v>10</v>
      </c>
      <c r="AG25" s="15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552E21-0A94-4C54-8680-B1BA083670A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5D6933B-AB37-4F31-A13B-FC25A7BD0D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35776E-EBFD-4346-B4EE-9E0E8A60D8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About</vt:lpstr>
      <vt:lpstr>Calculation</vt:lpstr>
      <vt:lpstr>BS-BSfTFpEUP-transportation</vt:lpstr>
      <vt:lpstr>BS-BSfTFpEUP-electricity</vt:lpstr>
      <vt:lpstr>BS-BSfTFpEUP-res-bldgs</vt:lpstr>
      <vt:lpstr>BS-BSfTFpEUP-com-bldgs</vt:lpstr>
      <vt:lpstr>BS-BSfTFpEUP-industry</vt:lpstr>
      <vt:lpstr>BS-BSfTFpEUP-dist-heat-hydgn</vt:lpstr>
      <vt:lpstr>BS-BSfTFpEUP-geoeng</vt:lpstr>
      <vt:lpstr>BS-BSpUEO</vt:lpstr>
      <vt:lpstr>BS-BSpUECB</vt:lpstr>
      <vt:lpstr>BS-DoSpUEO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Farah</dc:creator>
  <cp:keywords/>
  <dc:description/>
  <cp:lastModifiedBy>Rachel Goldstein</cp:lastModifiedBy>
  <cp:revision/>
  <dcterms:created xsi:type="dcterms:W3CDTF">2021-03-15T08:31:40Z</dcterms:created>
  <dcterms:modified xsi:type="dcterms:W3CDTF">2025-04-23T19:56:56Z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