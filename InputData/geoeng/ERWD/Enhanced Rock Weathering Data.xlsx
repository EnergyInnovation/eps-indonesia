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geoeng/ERWD/"/>
    </mc:Choice>
  </mc:AlternateContent>
  <xr:revisionPtr revIDLastSave="5" documentId="13_ncr:1_{98AAF143-D02D-4BA9-A61C-1E4CE8806B97}" xr6:coauthVersionLast="47" xr6:coauthVersionMax="47" xr10:uidLastSave="{4A93FF7D-5834-4A3B-BD85-82BC5EDE596F}"/>
  <bookViews>
    <workbookView xWindow="28680" yWindow="960" windowWidth="29040" windowHeight="15720" activeTab="1" xr2:uid="{00000000-000D-0000-FFFF-FFFF00000000}"/>
  </bookViews>
  <sheets>
    <sheet name="About" sheetId="1" r:id="rId1"/>
    <sheet name="Fuhrman data" sheetId="7" r:id="rId2"/>
    <sheet name="ERWD-potential" sheetId="3" r:id="rId3"/>
    <sheet name="ERWD-energyintensity" sheetId="5" r:id="rId4"/>
    <sheet name="ERWD-capex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3" l="1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L2" i="3"/>
  <c r="G2" i="3" l="1" a="1"/>
  <c r="G2" i="3" s="1"/>
  <c r="H2" i="3" s="1" a="1"/>
  <c r="H2" i="3" s="1"/>
  <c r="I2" i="3" s="1" a="1"/>
  <c r="I2" i="3" s="1"/>
  <c r="J2" i="3" s="1" a="1"/>
  <c r="J2" i="3" s="1"/>
  <c r="K2" i="3" s="1" a="1"/>
  <c r="K2" i="3" s="1"/>
  <c r="B2" i="5"/>
  <c r="N2" i="5" s="1"/>
  <c r="AF2" i="6"/>
  <c r="B2" i="6"/>
  <c r="M2" i="5" l="1"/>
  <c r="AC2" i="5"/>
  <c r="AA2" i="5"/>
  <c r="AB2" i="5"/>
  <c r="O2" i="5"/>
  <c r="K2" i="5"/>
  <c r="J2" i="5"/>
  <c r="C2" i="5"/>
  <c r="AF2" i="5"/>
  <c r="AE2" i="5"/>
  <c r="AD2" i="5"/>
  <c r="L2" i="5"/>
  <c r="I2" i="5"/>
  <c r="H2" i="5"/>
  <c r="G2" i="5"/>
  <c r="D2" i="5"/>
  <c r="Z2" i="5"/>
  <c r="F2" i="5"/>
  <c r="Y2" i="5"/>
  <c r="E2" i="5"/>
  <c r="X2" i="5"/>
  <c r="W2" i="5"/>
  <c r="V2" i="5"/>
  <c r="U2" i="5"/>
  <c r="T2" i="5"/>
  <c r="S2" i="5"/>
  <c r="R2" i="5"/>
  <c r="Q2" i="5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P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<sst xmlns="http://schemas.openxmlformats.org/spreadsheetml/2006/main" count="39" uniqueCount="39">
  <si>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>Sources:</t>
  </si>
  <si>
    <t>metric tons/yr</t>
  </si>
  <si>
    <t>BTU/metric ton CO2</t>
  </si>
  <si>
    <t>$/metric ton CO2</t>
  </si>
  <si>
    <t>amortized CapEx</t>
  </si>
  <si>
    <t>Notes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</si>
  <si>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</si>
  <si>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</si>
  <si>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</si>
  <si>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</si>
  <si>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</si>
  <si>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</si>
  <si>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</si>
  <si>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</si>
  <si>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</si>
  <si>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</si>
  <si>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</si>
  <si>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</si>
  <si>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</si>
  <si>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</si>
  <si>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Potential</t>
  </si>
  <si>
    <t>https://www.nature.com/articles/s41558-023-01604-9</t>
  </si>
  <si>
    <t>Fuhrman et al.</t>
  </si>
  <si>
    <t>Diverse carbon dioxide removal approaches could reduce impacts on the energy-water-land system</t>
  </si>
  <si>
    <t>Supplemental information, Figure 9</t>
  </si>
  <si>
    <t>Total potential</t>
  </si>
  <si>
    <t>2020 to 2012 USD</t>
  </si>
  <si>
    <t>2020 cost adder (declines to 0 by 2050 in Fuhrman et al), Supplementary Table 3</t>
  </si>
  <si>
    <t>Best estimate, electrical energy inputs (GJ/tCO2), Supplemental Table 4</t>
  </si>
  <si>
    <t>BTU per GJ</t>
  </si>
  <si>
    <t>ERWD Enhanced Rock Weathering Potential</t>
  </si>
  <si>
    <t>ERWD Enhanced Rock Weathering Energy Intensity</t>
  </si>
  <si>
    <t>ERWD Enhanced Rock Weathering Amortized CapEx and OM</t>
  </si>
  <si>
    <t>Because enhanced rock weathering involves the crushing of rock and application</t>
  </si>
  <si>
    <t>on fields, which are available technologies today, we assume the full potential</t>
  </si>
  <si>
    <t>could be realized as soon as 2030. However, it is worth noting that would require</t>
  </si>
  <si>
    <t>a very large scale-up of capacity and transportation logistics.</t>
  </si>
  <si>
    <t>We report the Indonesia specific cost and potential.</t>
  </si>
  <si>
    <t>Indonesia representative cost per 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</si>
</sst>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8</xdr:row>
      <xdr:rowOff>19050</xdr:rowOff>
    </xdr:from>
    <xdr:to>
      <xdr:col>6</xdr:col>
      <xdr:colOff>438945</xdr:colOff>
      <xdr:row>29</xdr:row>
      <xdr:rowOff>181556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C9408-8510-9476-05A0-D1CA178F2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924050"/>
          <a:ext cx="5696745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ature.com/articles/s41558-023-01604-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A14" sqref="A14"/>
    </sheetView>
  </sheetViews>
  <sheetFormatPr defaultRowHeight="15" x14ac:dyDescent="0.25"/>
  <cols>
    <col min="1" max="1" width="20.85546875" customWidth="1"/>
    <col min="2" max="2" width="53" customWidth="1"/>
  </cols>
  <sheetData>
    <row r="1" spans="1:2" x14ac:dyDescent="0.25">
      <c r="A1" s="1" t="s">
        <v>30</v>
      </c>
    </row>
    <row r="2" spans="1:2" x14ac:dyDescent="0.25">
      <c r="A2" s="1" t="s">
        <v>31</v>
      </c>
    </row>
    <row r="3" spans="1:2" x14ac:dyDescent="0.25">
      <c r="A3" s="1" t="s">
        <v>32</v>
      </c>
    </row>
    <row r="5" spans="1:2" x14ac:dyDescent="0.25">
      <c r="A5" s="1" t="s">
        <v>0</v>
      </c>
      <c r="B5" s="3" t="s">
        <v>20</v>
      </c>
    </row>
    <row r="6" spans="1:2" x14ac:dyDescent="0.25">
      <c r="B6" t="s">
        <v>22</v>
      </c>
    </row>
    <row r="7" spans="1:2" x14ac:dyDescent="0.25">
      <c r="B7" s="5">
        <v>2023</v>
      </c>
    </row>
    <row r="8" spans="1:2" ht="30" x14ac:dyDescent="0.25">
      <c r="B8" s="7" t="s">
        <v>23</v>
      </c>
    </row>
    <row r="9" spans="1:2" x14ac:dyDescent="0.25">
      <c r="B9" s="4" t="s">
        <v>21</v>
      </c>
    </row>
    <row r="10" spans="1:2" x14ac:dyDescent="0.25">
      <c r="B10" t="s">
        <v>24</v>
      </c>
    </row>
    <row r="12" spans="1:2" x14ac:dyDescent="0.25">
      <c r="A12" s="1" t="s">
        <v>5</v>
      </c>
    </row>
    <row r="13" spans="1:2" x14ac:dyDescent="0.25">
      <c r="A13" t="s">
        <v>37</v>
      </c>
    </row>
    <row r="15" spans="1:2" x14ac:dyDescent="0.25">
      <c r="A15" t="s">
        <v>33</v>
      </c>
    </row>
    <row r="16" spans="1:2" x14ac:dyDescent="0.25">
      <c r="A16" t="s">
        <v>34</v>
      </c>
    </row>
    <row r="17" spans="1:2" x14ac:dyDescent="0.25">
      <c r="A17" t="s">
        <v>35</v>
      </c>
    </row>
    <row r="18" spans="1:2" x14ac:dyDescent="0.25">
      <c r="A18" t="s">
        <v>36</v>
      </c>
    </row>
    <row r="20" spans="1:2" x14ac:dyDescent="0.25">
      <c r="A20" s="1" t="s">
        <v>19</v>
      </c>
    </row>
    <row r="21" spans="1:2" x14ac:dyDescent="0.25">
      <c r="A21" t="s">
        <v>17</v>
      </c>
    </row>
    <row r="22" spans="1:2" x14ac:dyDescent="0.25">
      <c r="A22" t="s">
        <v>18</v>
      </c>
    </row>
    <row r="24" spans="1:2" x14ac:dyDescent="0.25">
      <c r="A24" t="s">
        <v>26</v>
      </c>
    </row>
    <row r="25" spans="1:2" x14ac:dyDescent="0.25">
      <c r="A25">
        <v>0.88711067149387013</v>
      </c>
    </row>
    <row r="27" spans="1:2" x14ac:dyDescent="0.25">
      <c r="A27" t="s">
        <v>29</v>
      </c>
      <c r="B27">
        <v>947817</v>
      </c>
    </row>
  </sheetData>
  <hyperlinks>
    <hyperlink ref="B9" r:id="rId1" xr:uid="{8D117E34-86B7-4E98-B6B5-61267CC0F319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6B8D-FB10-40CA-B025-270C2E82347D}">
  <dimension ref="A1:B7"/>
  <sheetViews>
    <sheetView tabSelected="1" workbookViewId="0">
      <selection activeCell="A5" sqref="A5"/>
    </sheetView>
  </sheetViews>
  <sheetFormatPr defaultRowHeight="15" x14ac:dyDescent="0.25"/>
  <cols>
    <col min="1" max="1" width="30.5703125" customWidth="1"/>
    <col min="4" max="5" width="11.85546875" bestFit="1" customWidth="1"/>
  </cols>
  <sheetData>
    <row r="1" spans="1:2" x14ac:dyDescent="0.25">
      <c r="A1" t="s">
        <v>38</v>
      </c>
      <c r="B1">
        <v>40</v>
      </c>
    </row>
    <row r="2" spans="1:2" ht="45" x14ac:dyDescent="0.25">
      <c r="A2" s="7" t="s">
        <v>27</v>
      </c>
      <c r="B2">
        <v>138</v>
      </c>
    </row>
    <row r="3" spans="1:2" x14ac:dyDescent="0.25">
      <c r="A3" s="7" t="s">
        <v>25</v>
      </c>
      <c r="B3">
        <v>100</v>
      </c>
    </row>
    <row r="4" spans="1:2" ht="45" x14ac:dyDescent="0.25">
      <c r="A4" s="7" t="s">
        <v>28</v>
      </c>
      <c r="B4">
        <v>0.66</v>
      </c>
    </row>
    <row r="5" spans="1:2" x14ac:dyDescent="0.25">
      <c r="A5" s="7"/>
    </row>
    <row r="7" spans="1:2" x14ac:dyDescent="0.25">
      <c r="A7" s="7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2"/>
  <sheetViews>
    <sheetView workbookViewId="0">
      <selection activeCell="L2" sqref="L2"/>
    </sheetView>
  </sheetViews>
  <sheetFormatPr defaultRowHeight="15" x14ac:dyDescent="0.25"/>
  <cols>
    <col min="1" max="1" width="19.85546875" customWidth="1"/>
    <col min="2" max="21" width="9.42578125" bestFit="1" customWidth="1"/>
    <col min="22" max="22" width="10.85546875" bestFit="1" customWidth="1"/>
    <col min="23" max="32" width="9.42578125" bestFit="1" customWidth="1"/>
  </cols>
  <sheetData>
    <row r="1" spans="1:32" x14ac:dyDescent="0.25">
      <c r="A1" s="2" t="s">
        <v>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16</v>
      </c>
      <c r="B2" s="8">
        <v>0</v>
      </c>
      <c r="C2" s="8">
        <v>0</v>
      </c>
      <c r="D2" s="8">
        <v>0</v>
      </c>
      <c r="E2" s="8">
        <v>0</v>
      </c>
      <c r="F2" s="8">
        <f>E2</f>
        <v>0</v>
      </c>
      <c r="G2" s="8" cm="1">
        <f t="array" ref="G2">TREND($L$2-$F$2)/COUNT($G$1:$L$1)+F2</f>
        <v>16666666.666666666</v>
      </c>
      <c r="H2" s="8" cm="1">
        <f t="array" ref="H2">TREND($L$2-$F$2)/COUNT($G$1:$L$1)+G2</f>
        <v>33333333.333333332</v>
      </c>
      <c r="I2" s="8" cm="1">
        <f t="array" ref="I2">TREND($L$2-$F$2)/COUNT($G$1:$L$1)+H2</f>
        <v>50000000</v>
      </c>
      <c r="J2" s="8" cm="1">
        <f t="array" ref="J2">TREND($L$2-$F$2)/COUNT($G$1:$L$1)+I2</f>
        <v>66666666.666666664</v>
      </c>
      <c r="K2" s="8" cm="1">
        <f t="array" ref="K2">TREND($L$2-$F$2)/COUNT($G$1:$L$1)+J2</f>
        <v>83333333.333333328</v>
      </c>
      <c r="L2" s="8">
        <f>'Fuhrman data'!$B$3*10^6</f>
        <v>100000000</v>
      </c>
      <c r="M2" s="8">
        <f>'Fuhrman data'!$B$3*10^6</f>
        <v>100000000</v>
      </c>
      <c r="N2" s="8">
        <f>'Fuhrman data'!$B$3*10^6</f>
        <v>100000000</v>
      </c>
      <c r="O2" s="8">
        <f>'Fuhrman data'!$B$3*10^6</f>
        <v>100000000</v>
      </c>
      <c r="P2" s="8">
        <f>'Fuhrman data'!$B$3*10^6</f>
        <v>100000000</v>
      </c>
      <c r="Q2" s="8">
        <f>'Fuhrman data'!$B$3*10^6</f>
        <v>100000000</v>
      </c>
      <c r="R2" s="8">
        <f>'Fuhrman data'!$B$3*10^6</f>
        <v>100000000</v>
      </c>
      <c r="S2" s="8">
        <f>'Fuhrman data'!$B$3*10^6</f>
        <v>100000000</v>
      </c>
      <c r="T2" s="8">
        <f>'Fuhrman data'!$B$3*10^6</f>
        <v>100000000</v>
      </c>
      <c r="U2" s="8">
        <f>'Fuhrman data'!$B$3*10^6</f>
        <v>100000000</v>
      </c>
      <c r="V2" s="8">
        <f>'Fuhrman data'!$B$3*10^6</f>
        <v>100000000</v>
      </c>
      <c r="W2" s="8">
        <f>'Fuhrman data'!$B$3*10^6</f>
        <v>100000000</v>
      </c>
      <c r="X2" s="8">
        <f>'Fuhrman data'!$B$3*10^6</f>
        <v>100000000</v>
      </c>
      <c r="Y2" s="8">
        <f>'Fuhrman data'!$B$3*10^6</f>
        <v>100000000</v>
      </c>
      <c r="Z2" s="8">
        <f>'Fuhrman data'!$B$3*10^6</f>
        <v>100000000</v>
      </c>
      <c r="AA2" s="8">
        <f>'Fuhrman data'!$B$3*10^6</f>
        <v>100000000</v>
      </c>
      <c r="AB2" s="8">
        <f>'Fuhrman data'!$B$3*10^6</f>
        <v>100000000</v>
      </c>
      <c r="AC2" s="8">
        <f>'Fuhrman data'!$B$3*10^6</f>
        <v>100000000</v>
      </c>
      <c r="AD2" s="8">
        <f>'Fuhrman data'!$B$3*10^6</f>
        <v>100000000</v>
      </c>
      <c r="AE2" s="8">
        <f>'Fuhrman data'!$B$3*10^6</f>
        <v>100000000</v>
      </c>
      <c r="AF2" s="8">
        <f>'Fuhrman data'!$B$3*10^6</f>
        <v>100000000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F11"/>
  <sheetViews>
    <sheetView workbookViewId="0">
      <selection activeCell="B2" sqref="B2"/>
    </sheetView>
  </sheetViews>
  <sheetFormatPr defaultRowHeight="15" x14ac:dyDescent="0.25"/>
  <cols>
    <col min="1" max="1" width="24.7109375" customWidth="1"/>
  </cols>
  <sheetData>
    <row r="1" spans="1:32" x14ac:dyDescent="0.25">
      <c r="A1" s="2" t="s">
        <v>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6</v>
      </c>
      <c r="B2" s="6">
        <f>'Fuhrman data'!B4*About!B27</f>
        <v>625559.22</v>
      </c>
      <c r="C2" s="6">
        <f>$B$2</f>
        <v>625559.22</v>
      </c>
      <c r="D2" s="6">
        <f t="shared" ref="D2:AF2" si="0">$B$2</f>
        <v>625559.22</v>
      </c>
      <c r="E2" s="6">
        <f t="shared" si="0"/>
        <v>625559.22</v>
      </c>
      <c r="F2" s="6">
        <f t="shared" si="0"/>
        <v>625559.22</v>
      </c>
      <c r="G2" s="6">
        <f t="shared" si="0"/>
        <v>625559.22</v>
      </c>
      <c r="H2" s="6">
        <f t="shared" si="0"/>
        <v>625559.22</v>
      </c>
      <c r="I2" s="6">
        <f t="shared" si="0"/>
        <v>625559.22</v>
      </c>
      <c r="J2" s="6">
        <f t="shared" si="0"/>
        <v>625559.22</v>
      </c>
      <c r="K2" s="6">
        <f t="shared" si="0"/>
        <v>625559.22</v>
      </c>
      <c r="L2" s="6">
        <f t="shared" si="0"/>
        <v>625559.22</v>
      </c>
      <c r="M2" s="6">
        <f t="shared" si="0"/>
        <v>625559.22</v>
      </c>
      <c r="N2" s="6">
        <f t="shared" si="0"/>
        <v>625559.22</v>
      </c>
      <c r="O2" s="6">
        <f t="shared" si="0"/>
        <v>625559.22</v>
      </c>
      <c r="P2" s="6">
        <f t="shared" si="0"/>
        <v>625559.22</v>
      </c>
      <c r="Q2" s="6">
        <f t="shared" si="0"/>
        <v>625559.22</v>
      </c>
      <c r="R2" s="6">
        <f t="shared" si="0"/>
        <v>625559.22</v>
      </c>
      <c r="S2" s="6">
        <f t="shared" si="0"/>
        <v>625559.22</v>
      </c>
      <c r="T2" s="6">
        <f t="shared" si="0"/>
        <v>625559.22</v>
      </c>
      <c r="U2" s="6">
        <f t="shared" si="0"/>
        <v>625559.22</v>
      </c>
      <c r="V2" s="6">
        <f t="shared" si="0"/>
        <v>625559.22</v>
      </c>
      <c r="W2" s="6">
        <f t="shared" si="0"/>
        <v>625559.22</v>
      </c>
      <c r="X2" s="6">
        <f t="shared" si="0"/>
        <v>625559.22</v>
      </c>
      <c r="Y2" s="6">
        <f t="shared" si="0"/>
        <v>625559.22</v>
      </c>
      <c r="Z2" s="6">
        <f t="shared" si="0"/>
        <v>625559.22</v>
      </c>
      <c r="AA2" s="6">
        <f t="shared" si="0"/>
        <v>625559.22</v>
      </c>
      <c r="AB2" s="6">
        <f t="shared" si="0"/>
        <v>625559.22</v>
      </c>
      <c r="AC2" s="6">
        <f t="shared" si="0"/>
        <v>625559.22</v>
      </c>
      <c r="AD2" s="6">
        <f t="shared" si="0"/>
        <v>625559.22</v>
      </c>
      <c r="AE2" s="6">
        <f t="shared" si="0"/>
        <v>625559.22</v>
      </c>
      <c r="AF2" s="6">
        <f t="shared" si="0"/>
        <v>625559.22</v>
      </c>
    </row>
    <row r="3" spans="1:32" x14ac:dyDescent="0.25">
      <c r="A3" t="s">
        <v>7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25">
      <c r="A4" t="s">
        <v>8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25">
      <c r="A5" t="s">
        <v>9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25">
      <c r="A6" t="s">
        <v>10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25">
      <c r="A7" t="s">
        <v>11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25">
      <c r="A8" t="s">
        <v>12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25">
      <c r="A9" t="s">
        <v>13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2" x14ac:dyDescent="0.25">
      <c r="A10" t="s">
        <v>14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2" x14ac:dyDescent="0.25">
      <c r="A11" t="s">
        <v>15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F2"/>
  <sheetViews>
    <sheetView workbookViewId="0">
      <selection activeCell="B2" sqref="B2"/>
    </sheetView>
  </sheetViews>
  <sheetFormatPr defaultRowHeight="15" x14ac:dyDescent="0.25"/>
  <cols>
    <col min="1" max="1" width="24.7109375" customWidth="1"/>
  </cols>
  <sheetData>
    <row r="1" spans="1:32" x14ac:dyDescent="0.25">
      <c r="A1" s="2" t="s">
        <v>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4</v>
      </c>
      <c r="B2">
        <f>('Fuhrman data'!B1+'Fuhrman data'!B2)*About!A25</f>
        <v>157.90569952590889</v>
      </c>
      <c r="C2">
        <f>($AF$2-$B$2)/COUNT($C$1:$AF$1)+B2</f>
        <v>153.82499043703709</v>
      </c>
      <c r="D2">
        <f t="shared" ref="D2:AE2" si="0">($AF$2-$B$2)/COUNT($C$1:$AF$1)+C2</f>
        <v>149.74428134816529</v>
      </c>
      <c r="E2">
        <f t="shared" si="0"/>
        <v>145.66357225929349</v>
      </c>
      <c r="F2">
        <f t="shared" si="0"/>
        <v>141.58286317042169</v>
      </c>
      <c r="G2">
        <f t="shared" si="0"/>
        <v>137.50215408154989</v>
      </c>
      <c r="H2">
        <f t="shared" si="0"/>
        <v>133.42144499267809</v>
      </c>
      <c r="I2">
        <f t="shared" si="0"/>
        <v>129.34073590380629</v>
      </c>
      <c r="J2">
        <f t="shared" si="0"/>
        <v>125.26002681493449</v>
      </c>
      <c r="K2">
        <f t="shared" si="0"/>
        <v>121.17931772606269</v>
      </c>
      <c r="L2">
        <f t="shared" si="0"/>
        <v>117.09860863719089</v>
      </c>
      <c r="M2">
        <f t="shared" si="0"/>
        <v>113.01789954831909</v>
      </c>
      <c r="N2">
        <f t="shared" si="0"/>
        <v>108.93719045944729</v>
      </c>
      <c r="O2">
        <f t="shared" si="0"/>
        <v>104.85648137057549</v>
      </c>
      <c r="P2">
        <f t="shared" si="0"/>
        <v>100.77577228170369</v>
      </c>
      <c r="Q2">
        <f t="shared" si="0"/>
        <v>96.695063192831896</v>
      </c>
      <c r="R2">
        <f t="shared" si="0"/>
        <v>92.614354103960096</v>
      </c>
      <c r="S2">
        <f t="shared" si="0"/>
        <v>88.533645015088297</v>
      </c>
      <c r="T2">
        <f t="shared" si="0"/>
        <v>84.452935926216497</v>
      </c>
      <c r="U2">
        <f t="shared" si="0"/>
        <v>80.372226837344698</v>
      </c>
      <c r="V2">
        <f t="shared" si="0"/>
        <v>76.291517748472899</v>
      </c>
      <c r="W2">
        <f t="shared" si="0"/>
        <v>72.210808659601099</v>
      </c>
      <c r="X2">
        <f t="shared" si="0"/>
        <v>68.1300995707293</v>
      </c>
      <c r="Y2">
        <f t="shared" si="0"/>
        <v>64.0493904818575</v>
      </c>
      <c r="Z2">
        <f t="shared" si="0"/>
        <v>59.968681392985701</v>
      </c>
      <c r="AA2">
        <f t="shared" si="0"/>
        <v>55.887972304113902</v>
      </c>
      <c r="AB2">
        <f t="shared" si="0"/>
        <v>51.807263215242102</v>
      </c>
      <c r="AC2">
        <f t="shared" si="0"/>
        <v>47.726554126370303</v>
      </c>
      <c r="AD2">
        <f t="shared" si="0"/>
        <v>43.645845037498503</v>
      </c>
      <c r="AE2">
        <f t="shared" si="0"/>
        <v>39.565135948626704</v>
      </c>
      <c r="AF2">
        <f>'Fuhrman data'!B1*About!A25</f>
        <v>35.484426859754805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7F0B54-ACAD-459E-9DC9-B6D2586AA7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7AA6EE0-F3E9-4719-9A37-D48919F938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A634EBB-F2FB-4C37-9ED9-8916AADE47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59011e-6b88-4225-9a61-aaf33aaf19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Fuhrman data</vt:lpstr>
      <vt:lpstr>ERWD-potential</vt:lpstr>
      <vt:lpstr>ERWD-energyintensity</vt:lpstr>
      <vt:lpstr>ERWD-capex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2019-12-04T00:52:30Z</dcterms:created>
  <dcterms:modified xsi:type="dcterms:W3CDTF">2024-11-12T17:46:33Z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