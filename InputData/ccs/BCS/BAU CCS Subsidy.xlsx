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onesiaEPS/Shared Documents/Updated Indonesia InputData files/ccs/BCS/"/>
    </mc:Choice>
  </mc:AlternateContent>
  <xr:revisionPtr revIDLastSave="10" documentId="13_ncr:1_{F268FE25-6FA1-4964-97BE-7705BD55074C}" xr6:coauthVersionLast="47" xr6:coauthVersionMax="47" xr10:uidLastSave="{CE6FF5AB-5B37-43D8-9A34-98ECC3416F7E}"/>
  <bookViews>
    <workbookView xWindow="-110" yWindow="-110" windowWidth="19420" windowHeight="11500" xr2:uid="{00000000-000D-0000-FFFF-FFFF00000000}"/>
  </bookViews>
  <sheets>
    <sheet name="About" sheetId="1" r:id="rId1"/>
    <sheet name="Electricity Calculations" sheetId="5" r:id="rId2"/>
    <sheet name="BCS-BCS" sheetId="4" r:id="rId3"/>
    <sheet name="BCS-DoSfCS" sheetId="6" r:id="rId4"/>
  </sheets>
  <definedNames>
    <definedName name="solver_adj" localSheetId="0" hidden="1">About!$A$12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About!$A$10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0.15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2" i="4" l="1"/>
  <c r="L2" i="4"/>
  <c r="K2" i="4"/>
  <c r="J2" i="4"/>
  <c r="I2" i="4"/>
  <c r="H2" i="4"/>
  <c r="G2" i="4"/>
  <c r="F2" i="4"/>
  <c r="E2" i="4"/>
  <c r="D2" i="4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D2" i="6"/>
  <c r="C2" i="6"/>
  <c r="B1" i="5"/>
  <c r="B4" i="5" s="1"/>
  <c r="E3" i="4"/>
  <c r="F3" i="4"/>
  <c r="G3" i="4"/>
  <c r="H3" i="4"/>
  <c r="I3" i="4"/>
  <c r="J3" i="4"/>
  <c r="K3" i="4"/>
  <c r="L3" i="4"/>
  <c r="M3" i="4"/>
  <c r="D3" i="4"/>
</calcChain>
</file>

<file path=xl/sharedStrings.xml><?xml version="1.0" encoding="utf-8"?>
<sst xmlns="http://schemas.openxmlformats.org/spreadsheetml/2006/main" count="19" uniqueCount="18">
  <si>
    <t>Source:</t>
  </si>
  <si>
    <t>Notes:</t>
  </si>
  <si>
    <t>electricity sector</t>
  </si>
  <si>
    <t>industry sector</t>
  </si>
  <si>
    <t>None needed</t>
  </si>
  <si>
    <t>2022 to 2012 USD</t>
  </si>
  <si>
    <t>This variable captures any BAU subsidies for CCS, specified in dollars per ton captured.</t>
  </si>
  <si>
    <t>BCS BAU CCS Subsidy</t>
  </si>
  <si>
    <t>$ / metric ton</t>
  </si>
  <si>
    <t>Credit Amount</t>
  </si>
  <si>
    <t>Repayment Period for Financing</t>
  </si>
  <si>
    <t>45Q Credit Duration</t>
  </si>
  <si>
    <t>Credit Value</t>
  </si>
  <si>
    <t>For electricity, adjust the credit value based on its duration relative to the financing repayment period</t>
  </si>
  <si>
    <t>Years</t>
  </si>
  <si>
    <t>Duration</t>
  </si>
  <si>
    <t>Tax Credit Amount</t>
  </si>
  <si>
    <t>Indonesia does not currently have a CCS subsidy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</si>
</sst>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0" fillId="0" borderId="0" xfId="0" applyAlignment="1">
      <alignment horizontal="right" wrapText="1"/>
    </xf>
    <xf numFmtId="10" fontId="0" fillId="0" borderId="0" xfId="0" applyNumberFormat="1"/>
    <xf numFmtId="1" fontId="0" fillId="0" borderId="0" xfId="0" applyNumberFormat="1"/>
    <xf numFmtId="2" fontId="0" fillId="0" borderId="0" xfId="2" applyNumberFormat="1" applyFont="1"/>
    <xf numFmtId="44" fontId="0" fillId="0" borderId="0" xfId="1" applyFont="1"/>
    <xf numFmtId="44" fontId="0" fillId="0" borderId="0" xfId="0" applyNumberFormat="1"/>
    <xf numFmtId="0" fontId="0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18" sqref="B18"/>
    </sheetView>
  </sheetViews>
  <sheetFormatPr defaultRowHeight="14.5" x14ac:dyDescent="0.35"/>
  <cols>
    <col min="1" max="1" width="30.36328125" customWidth="1"/>
    <col min="2" max="2" width="55.90625" customWidth="1"/>
    <col min="4" max="4" width="30.54296875" customWidth="1"/>
  </cols>
  <sheetData>
    <row r="1" spans="1:2" x14ac:dyDescent="0.35">
      <c r="A1" s="1" t="s">
        <v>7</v>
      </c>
    </row>
    <row r="3" spans="1:2" x14ac:dyDescent="0.35">
      <c r="A3" s="1" t="s">
        <v>0</v>
      </c>
      <c r="B3" t="s">
        <v>4</v>
      </c>
    </row>
    <row r="5" spans="1:2" x14ac:dyDescent="0.35">
      <c r="A5" s="1" t="s">
        <v>1</v>
      </c>
    </row>
    <row r="6" spans="1:2" x14ac:dyDescent="0.35">
      <c r="A6" s="8" t="s">
        <v>17</v>
      </c>
    </row>
    <row r="7" spans="1:2" x14ac:dyDescent="0.35">
      <c r="A7" t="s">
        <v>6</v>
      </c>
    </row>
    <row r="8" spans="1:2" x14ac:dyDescent="0.35">
      <c r="A8" t="s">
        <v>13</v>
      </c>
    </row>
    <row r="10" spans="1:2" x14ac:dyDescent="0.35">
      <c r="A10" s="5">
        <v>0.78500000000000003</v>
      </c>
      <c r="B10" t="s">
        <v>5</v>
      </c>
    </row>
    <row r="12" spans="1:2" x14ac:dyDescent="0.35">
      <c r="A12" s="3" t="s">
        <v>16</v>
      </c>
      <c r="B12" s="6">
        <v>0</v>
      </c>
    </row>
    <row r="14" spans="1:2" x14ac:dyDescent="0.35">
      <c r="A14" t="s">
        <v>15</v>
      </c>
      <c r="B14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35C55-7F27-44A6-A8A7-496D78F28576}">
  <dimension ref="A1:B4"/>
  <sheetViews>
    <sheetView workbookViewId="0">
      <selection activeCell="B1" sqref="B1"/>
    </sheetView>
  </sheetViews>
  <sheetFormatPr defaultRowHeight="14.5" x14ac:dyDescent="0.35"/>
  <cols>
    <col min="1" max="1" width="30" bestFit="1" customWidth="1"/>
  </cols>
  <sheetData>
    <row r="1" spans="1:2" x14ac:dyDescent="0.35">
      <c r="A1" t="s">
        <v>9</v>
      </c>
      <c r="B1" s="7">
        <f>About!B12</f>
        <v>0</v>
      </c>
    </row>
    <row r="2" spans="1:2" x14ac:dyDescent="0.35">
      <c r="A2" t="s">
        <v>10</v>
      </c>
      <c r="B2">
        <v>20</v>
      </c>
    </row>
    <row r="3" spans="1:2" x14ac:dyDescent="0.35">
      <c r="A3" t="s">
        <v>11</v>
      </c>
      <c r="B3">
        <v>12</v>
      </c>
    </row>
    <row r="4" spans="1:2" x14ac:dyDescent="0.35">
      <c r="A4" t="s">
        <v>12</v>
      </c>
      <c r="B4" s="7">
        <f>B1*B3/B2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3"/>
  <sheetViews>
    <sheetView workbookViewId="0">
      <selection activeCell="C16" sqref="C16"/>
    </sheetView>
  </sheetViews>
  <sheetFormatPr defaultRowHeight="14.5" x14ac:dyDescent="0.35"/>
  <cols>
    <col min="1" max="1" width="19.453125" customWidth="1"/>
    <col min="2" max="2" width="24.54296875" customWidth="1"/>
  </cols>
  <sheetData>
    <row r="1" spans="1:31" x14ac:dyDescent="0.35">
      <c r="A1" t="s">
        <v>8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</row>
    <row r="2" spans="1:31" x14ac:dyDescent="0.35">
      <c r="A2" t="s">
        <v>2</v>
      </c>
      <c r="B2" s="4">
        <v>0</v>
      </c>
      <c r="C2" s="4">
        <v>0</v>
      </c>
      <c r="D2">
        <f>About!$B$12*About!$A$10</f>
        <v>0</v>
      </c>
      <c r="E2">
        <f>About!$B$12*About!$A$10</f>
        <v>0</v>
      </c>
      <c r="F2">
        <f>About!$B$12*About!$A$10</f>
        <v>0</v>
      </c>
      <c r="G2">
        <f>About!$B$12*About!$A$10</f>
        <v>0</v>
      </c>
      <c r="H2">
        <f>About!$B$12*About!$A$10</f>
        <v>0</v>
      </c>
      <c r="I2">
        <f>About!$B$12*About!$A$10</f>
        <v>0</v>
      </c>
      <c r="J2">
        <f>About!$B$12*About!$A$10</f>
        <v>0</v>
      </c>
      <c r="K2">
        <f>About!$B$12*About!$A$10</f>
        <v>0</v>
      </c>
      <c r="L2">
        <f>About!$B$12*About!$A$10</f>
        <v>0</v>
      </c>
      <c r="M2">
        <f>About!$B$12*About!$A$10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5">
      <c r="A3" t="s">
        <v>3</v>
      </c>
      <c r="B3" s="4">
        <v>0</v>
      </c>
      <c r="C3" s="4">
        <v>0</v>
      </c>
      <c r="D3">
        <f>About!$B$12*About!$A$10</f>
        <v>0</v>
      </c>
      <c r="E3">
        <f>About!$B$12*About!$A$10</f>
        <v>0</v>
      </c>
      <c r="F3">
        <f>About!$B$12*About!$A$10</f>
        <v>0</v>
      </c>
      <c r="G3">
        <f>About!$B$12*About!$A$10</f>
        <v>0</v>
      </c>
      <c r="H3">
        <f>About!$B$12*About!$A$10</f>
        <v>0</v>
      </c>
      <c r="I3">
        <f>About!$B$12*About!$A$10</f>
        <v>0</v>
      </c>
      <c r="J3">
        <f>About!$B$12*About!$A$10</f>
        <v>0</v>
      </c>
      <c r="K3">
        <f>About!$B$12*About!$A$10</f>
        <v>0</v>
      </c>
      <c r="L3">
        <f>About!$B$12*About!$A$10</f>
        <v>0</v>
      </c>
      <c r="M3">
        <f>About!$B$12*About!$A$10</f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8252-CD29-4D86-9D7F-2214C5598602}">
  <sheetPr>
    <tabColor theme="3"/>
  </sheetPr>
  <dimension ref="A1:AE2"/>
  <sheetViews>
    <sheetView workbookViewId="0">
      <selection activeCell="B3" sqref="B3"/>
    </sheetView>
  </sheetViews>
  <sheetFormatPr defaultRowHeight="14.5" x14ac:dyDescent="0.35"/>
  <sheetData>
    <row r="1" spans="1:31" x14ac:dyDescent="0.35">
      <c r="A1" t="s">
        <v>14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35">
      <c r="A2" t="s">
        <v>15</v>
      </c>
      <c r="B2">
        <v>0</v>
      </c>
      <c r="C2">
        <f>$B$2</f>
        <v>0</v>
      </c>
      <c r="D2">
        <f>$B$2</f>
        <v>0</v>
      </c>
      <c r="E2">
        <f t="shared" ref="E2:AE2" si="0">$B$2</f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B93425-FCD2-45AD-8275-B76D4316592B}"/>
</file>

<file path=customXml/itemProps2.xml><?xml version="1.0" encoding="utf-8"?>
<ds:datastoreItem xmlns:ds="http://schemas.openxmlformats.org/officeDocument/2006/customXml" ds:itemID="{2CAB1C50-F8BD-4623-AF82-BA0216F7F2B2}"/>
</file>

<file path=customXml/itemProps3.xml><?xml version="1.0" encoding="utf-8"?>
<ds:datastoreItem xmlns:ds="http://schemas.openxmlformats.org/officeDocument/2006/customXml" ds:itemID="{0612B897-9E6B-415C-B5ED-1A5707D32A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Electricity Calculations</vt:lpstr>
      <vt:lpstr>BCS-BCS</vt:lpstr>
      <vt:lpstr>BCS-DoSfCS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2014-08-18T23:28:12Z</dcterms:created>
  <dcterms:modified xsi:type="dcterms:W3CDTF">2024-10-30T14:37:42Z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