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ccs\CCSTaSC\"/>
    </mc:Choice>
  </mc:AlternateContent>
  <xr:revisionPtr revIDLastSave="0" documentId="13_ncr:1_{60EFB2D1-0228-4AE2-AB1E-78F7476DDC3E}" xr6:coauthVersionLast="47" xr6:coauthVersionMax="47" xr10:uidLastSave="{00000000-0000-0000-0000-000000000000}"/>
  <bookViews>
    <workbookView xWindow="2280" yWindow="2280" windowWidth="19200" windowHeight="11205" activeTab="1" xr2:uid="{00000000-000D-0000-FFFF-FFFF00000000}"/>
  </bookViews>
  <sheets>
    <sheet name="About" sheetId="1" r:id="rId1"/>
    <sheet name="CCSTaS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C2" i="3"/>
</calcChain>
</file>

<file path=xl/sharedStrings.xml><?xml version="1.0" encoding="utf-8"?>
<sst xmlns="http://schemas.openxmlformats.org/spreadsheetml/2006/main" count="9" uniqueCount="8">
  <si>
    <t>Source:</t>
  </si>
  <si>
    <t>CCS Transportation and Storage Cost</t>
  </si>
  <si>
    <t>Transportation and Storage Cost ($ per metric ton CO2)</t>
  </si>
  <si>
    <t>Value from study (2021 $)</t>
  </si>
  <si>
    <t>ScienceDirect</t>
  </si>
  <si>
    <t>Economic viability of full-chain CCUS-EOR in Indonesia</t>
  </si>
  <si>
    <t>https://www.sciencedirect.com/science/article/abs/pii/S0921344921006777#:~:text=This%20paper%20examines%20this%20premise,for%20CCUS%20deployment%20in%20Indonesia.</t>
  </si>
  <si>
    <t>2022 to 2012 $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</si>
</sst>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4" sqref="B14"/>
    </sheetView>
  </sheetViews>
  <sheetFormatPr defaultRowHeight="14.5" x14ac:dyDescent="0.35"/>
  <cols>
    <col min="1" max="1" width="31.26953125" customWidth="1"/>
    <col min="2" max="2" width="42.54296875" customWidth="1"/>
  </cols>
  <sheetData>
    <row r="1" spans="1:2" x14ac:dyDescent="0.35">
      <c r="A1" s="1" t="s">
        <v>1</v>
      </c>
    </row>
    <row r="3" spans="1:2" x14ac:dyDescent="0.35">
      <c r="A3" s="1" t="s">
        <v>0</v>
      </c>
      <c r="B3" s="3" t="s">
        <v>5</v>
      </c>
    </row>
    <row r="4" spans="1:2" x14ac:dyDescent="0.35">
      <c r="B4" s="4" t="s">
        <v>4</v>
      </c>
    </row>
    <row r="5" spans="1:2" x14ac:dyDescent="0.35">
      <c r="B5" s="5">
        <v>2022</v>
      </c>
    </row>
    <row r="6" spans="1:2" ht="29" x14ac:dyDescent="0.35">
      <c r="B6" s="4" t="s">
        <v>5</v>
      </c>
    </row>
    <row r="7" spans="1:2" x14ac:dyDescent="0.35">
      <c r="B7" s="6" t="s">
        <v>6</v>
      </c>
    </row>
    <row r="8" spans="1:2" x14ac:dyDescent="0.35">
      <c r="B8" s="4"/>
    </row>
    <row r="9" spans="1:2" x14ac:dyDescent="0.35">
      <c r="B9" s="4"/>
    </row>
    <row r="10" spans="1:2" x14ac:dyDescent="0.35">
      <c r="A10" t="s">
        <v>3</v>
      </c>
      <c r="B10">
        <v>59</v>
      </c>
    </row>
    <row r="11" spans="1:2" x14ac:dyDescent="0.35">
      <c r="A11" t="s">
        <v>7</v>
      </c>
      <c r="B11" s="7">
        <v>0.78452102304761584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tabSelected="1" workbookViewId="0">
      <selection activeCell="B3" sqref="B3"/>
    </sheetView>
  </sheetViews>
  <sheetFormatPr defaultRowHeight="14.5" x14ac:dyDescent="0.35"/>
  <cols>
    <col min="1" max="1" width="47.1796875" customWidth="1"/>
    <col min="2" max="31" width="9.453125" bestFit="1" customWidth="1"/>
  </cols>
  <sheetData>
    <row r="1" spans="1:32" x14ac:dyDescent="0.3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2</v>
      </c>
      <c r="B2">
        <f>C2</f>
        <v>46.286740359809336</v>
      </c>
      <c r="C2">
        <f>About!$B$10*About!$B$11</f>
        <v>46.286740359809336</v>
      </c>
      <c r="D2">
        <f>About!$B$10*About!$B$11</f>
        <v>46.286740359809336</v>
      </c>
      <c r="E2">
        <f>About!$B$10*About!$B$11</f>
        <v>46.286740359809336</v>
      </c>
      <c r="F2">
        <f>About!$B$10*About!$B$11</f>
        <v>46.286740359809336</v>
      </c>
      <c r="G2">
        <f>About!$B$10*About!$B$11</f>
        <v>46.286740359809336</v>
      </c>
      <c r="H2">
        <f>About!$B$10*About!$B$11</f>
        <v>46.286740359809336</v>
      </c>
      <c r="I2">
        <f>About!$B$10*About!$B$11</f>
        <v>46.286740359809336</v>
      </c>
      <c r="J2">
        <f>About!$B$10*About!$B$11</f>
        <v>46.286740359809336</v>
      </c>
      <c r="K2">
        <f>About!$B$10*About!$B$11</f>
        <v>46.286740359809336</v>
      </c>
      <c r="L2">
        <f>About!$B$10*About!$B$11</f>
        <v>46.286740359809336</v>
      </c>
      <c r="M2">
        <f>About!$B$10*About!$B$11</f>
        <v>46.286740359809336</v>
      </c>
      <c r="N2">
        <f>About!$B$10*About!$B$11</f>
        <v>46.286740359809336</v>
      </c>
      <c r="O2">
        <f>About!$B$10*About!$B$11</f>
        <v>46.286740359809336</v>
      </c>
      <c r="P2">
        <f>About!$B$10*About!$B$11</f>
        <v>46.286740359809336</v>
      </c>
      <c r="Q2">
        <f>About!$B$10*About!$B$11</f>
        <v>46.286740359809336</v>
      </c>
      <c r="R2">
        <f>About!$B$10*About!$B$11</f>
        <v>46.286740359809336</v>
      </c>
      <c r="S2">
        <f>About!$B$10*About!$B$11</f>
        <v>46.286740359809336</v>
      </c>
      <c r="T2">
        <f>About!$B$10*About!$B$11</f>
        <v>46.286740359809336</v>
      </c>
      <c r="U2">
        <f>About!$B$10*About!$B$11</f>
        <v>46.286740359809336</v>
      </c>
      <c r="V2">
        <f>About!$B$10*About!$B$11</f>
        <v>46.286740359809336</v>
      </c>
      <c r="W2">
        <f>About!$B$10*About!$B$11</f>
        <v>46.286740359809336</v>
      </c>
      <c r="X2">
        <f>About!$B$10*About!$B$11</f>
        <v>46.286740359809336</v>
      </c>
      <c r="Y2">
        <f>About!$B$10*About!$B$11</f>
        <v>46.286740359809336</v>
      </c>
      <c r="Z2">
        <f>About!$B$10*About!$B$11</f>
        <v>46.286740359809336</v>
      </c>
      <c r="AA2">
        <f>About!$B$10*About!$B$11</f>
        <v>46.286740359809336</v>
      </c>
      <c r="AB2">
        <f>About!$B$10*About!$B$11</f>
        <v>46.286740359809336</v>
      </c>
      <c r="AC2">
        <f>About!$B$10*About!$B$11</f>
        <v>46.286740359809336</v>
      </c>
      <c r="AD2">
        <f>About!$B$10*About!$B$11</f>
        <v>46.286740359809336</v>
      </c>
      <c r="AE2">
        <f>About!$B$10*About!$B$11</f>
        <v>46.286740359809336</v>
      </c>
      <c r="AF2">
        <f>About!$B$10*About!$B$11</f>
        <v>46.286740359809336</v>
      </c>
    </row>
    <row r="4" spans="1:32" x14ac:dyDescent="0.35">
      <c r="K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E5A007-C2FD-45E7-A4B1-27BB10681F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439C42-A395-413D-8A60-C1AB4FD4A7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5585E82-C794-4536-8A09-03B7BF373B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CCSTaSC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2015-07-06T20:49:06Z</dcterms:created>
  <dcterms:modified xsi:type="dcterms:W3CDTF">2025-04-15T19:57:17Z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