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o-model/BPEaCP/"/>
    </mc:Choice>
  </mc:AlternateContent>
  <xr:revisionPtr revIDLastSave="0" documentId="13_ncr:1_{2B95ABDC-BEF5-5444-A086-5B668393B84A}" xr6:coauthVersionLast="47" xr6:coauthVersionMax="47" xr10:uidLastSave="{00000000-0000-0000-0000-000000000000}"/>
  <bookViews>
    <workbookView xWindow="0" yWindow="780" windowWidth="34200" windowHeight="21360" firstSheet="4" activeTab="10" xr2:uid="{1123C965-C626-47FF-B97A-098977CD3CC4}"/>
  </bookViews>
  <sheets>
    <sheet name="About" sheetId="1" r:id="rId1"/>
    <sheet name="Pop Projection" sheetId="2" r:id="rId2"/>
    <sheet name="Indonesia Population Data" sheetId="15" r:id="rId3"/>
    <sheet name="Emp Pop Ratio" sheetId="3" r:id="rId4"/>
    <sheet name="Avg Emp-Pop Ratio" sheetId="4" r:id="rId5"/>
    <sheet name="OECD VAL" sheetId="10" r:id="rId6"/>
    <sheet name="BGDP_calc" sheetId="25" r:id="rId7"/>
    <sheet name="EE Comp Projection" sheetId="13" r:id="rId8"/>
    <sheet name="BPEaCP-population" sheetId="6" r:id="rId9"/>
    <sheet name="BPEaCP-employedpop" sheetId="8" r:id="rId10"/>
    <sheet name="BPEaCP-employeecomp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A2" i="14" l="1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AH2" i="6"/>
  <c r="C4" i="13" a="1"/>
  <c r="C4" i="13" s="1"/>
  <c r="A11" i="13" l="1"/>
  <c r="B5" i="4" l="1"/>
  <c r="C5" i="13" a="1"/>
  <c r="G5" i="13" s="1"/>
  <c r="C5" i="13"/>
  <c r="D5" i="13"/>
  <c r="E5" i="13"/>
  <c r="F5" i="13"/>
  <c r="K5" i="13"/>
  <c r="L5" i="13"/>
  <c r="M5" i="13"/>
  <c r="N5" i="13"/>
  <c r="S5" i="13"/>
  <c r="T5" i="13"/>
  <c r="U5" i="13"/>
  <c r="V5" i="13"/>
  <c r="AA5" i="13"/>
  <c r="AB5" i="13"/>
  <c r="AC5" i="13"/>
  <c r="AD5" i="13"/>
  <c r="AI5" i="13"/>
  <c r="AJ5" i="13"/>
  <c r="AK5" i="13"/>
  <c r="AL5" i="13"/>
  <c r="AQ5" i="13"/>
  <c r="AR5" i="13"/>
  <c r="AS5" i="13"/>
  <c r="AT5" i="13"/>
  <c r="AY5" i="13"/>
  <c r="AZ5" i="13"/>
  <c r="BA5" i="13"/>
  <c r="A12" i="13"/>
  <c r="A60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  <c r="AY6" i="13" l="1"/>
  <c r="AJ6" i="13"/>
  <c r="AB6" i="13"/>
  <c r="U6" i="13"/>
  <c r="AZ6" i="13"/>
  <c r="AZ8" i="13" s="1"/>
  <c r="AJ16" i="13" s="1"/>
  <c r="AI6" i="13"/>
  <c r="T6" i="13"/>
  <c r="T8" i="13" s="1"/>
  <c r="D16" i="13" s="1"/>
  <c r="AT6" i="13"/>
  <c r="S6" i="13"/>
  <c r="G6" i="13"/>
  <c r="K6" i="13"/>
  <c r="AC6" i="13"/>
  <c r="AL6" i="13"/>
  <c r="AL8" i="13" s="1"/>
  <c r="V16" i="13" s="1"/>
  <c r="C6" i="13"/>
  <c r="L6" i="13"/>
  <c r="D6" i="13"/>
  <c r="D8" i="13" s="1"/>
  <c r="AA6" i="13"/>
  <c r="V6" i="13"/>
  <c r="AQ6" i="13"/>
  <c r="F6" i="13"/>
  <c r="AS6" i="13"/>
  <c r="AS8" i="13" s="1"/>
  <c r="AC16" i="13" s="1"/>
  <c r="AD6" i="13"/>
  <c r="AD8" i="13" s="1"/>
  <c r="N16" i="13" s="1"/>
  <c r="M6" i="13"/>
  <c r="M8" i="13" s="1"/>
  <c r="N6" i="13"/>
  <c r="AR6" i="13"/>
  <c r="AK6" i="13"/>
  <c r="BA6" i="13"/>
  <c r="E6" i="13"/>
  <c r="B1" i="6" a="1"/>
  <c r="AX5" i="13"/>
  <c r="AX6" i="13" s="1"/>
  <c r="AY8" i="13" s="1"/>
  <c r="AI16" i="13" s="1"/>
  <c r="AP5" i="13"/>
  <c r="AP6" i="13" s="1"/>
  <c r="AQ8" i="13" s="1"/>
  <c r="AA16" i="13" s="1"/>
  <c r="AH5" i="13"/>
  <c r="Z5" i="13"/>
  <c r="Z6" i="13" s="1"/>
  <c r="R5" i="13"/>
  <c r="R6" i="13" s="1"/>
  <c r="J5" i="13"/>
  <c r="AW5" i="13"/>
  <c r="AO5" i="13"/>
  <c r="AG5" i="13"/>
  <c r="Y5" i="13"/>
  <c r="Y6" i="13" s="1"/>
  <c r="Q5" i="13"/>
  <c r="Q6" i="13" s="1"/>
  <c r="I5" i="13"/>
  <c r="AV5" i="13"/>
  <c r="AV6" i="13" s="1"/>
  <c r="AN5" i="13"/>
  <c r="AN6" i="13" s="1"/>
  <c r="AF5" i="13"/>
  <c r="X5" i="13"/>
  <c r="P5" i="13"/>
  <c r="P6" i="13" s="1"/>
  <c r="H5" i="13"/>
  <c r="H6" i="13" s="1"/>
  <c r="H8" i="13" s="1"/>
  <c r="AU5" i="13"/>
  <c r="AM5" i="13"/>
  <c r="AE5" i="13"/>
  <c r="W5" i="13"/>
  <c r="O5" i="13"/>
  <c r="O6" i="13" s="1"/>
  <c r="AB8" i="13" l="1"/>
  <c r="L16" i="13" s="1"/>
  <c r="AR8" i="13"/>
  <c r="AB16" i="13" s="1"/>
  <c r="AJ8" i="13"/>
  <c r="T16" i="13" s="1"/>
  <c r="J6" i="13"/>
  <c r="AE6" i="13"/>
  <c r="AC8" i="13"/>
  <c r="M16" i="13" s="1"/>
  <c r="AW6" i="13"/>
  <c r="AW8" i="13" s="1"/>
  <c r="AG16" i="13" s="1"/>
  <c r="AN8" i="13"/>
  <c r="X16" i="13" s="1"/>
  <c r="AM6" i="13"/>
  <c r="I6" i="13"/>
  <c r="I8" i="13" s="1"/>
  <c r="Z8" i="13"/>
  <c r="J16" i="13" s="1"/>
  <c r="W6" i="13"/>
  <c r="W8" i="13" s="1"/>
  <c r="G16" i="13" s="1"/>
  <c r="AU6" i="13"/>
  <c r="AU8" i="13" s="1"/>
  <c r="AE16" i="13" s="1"/>
  <c r="AH6" i="13"/>
  <c r="AI8" i="13" s="1"/>
  <c r="S16" i="13" s="1"/>
  <c r="U8" i="13"/>
  <c r="E16" i="13" s="1"/>
  <c r="AK8" i="13"/>
  <c r="U16" i="13" s="1"/>
  <c r="N8" i="13"/>
  <c r="R8" i="13"/>
  <c r="B16" i="13" s="1"/>
  <c r="B17" i="13" s="1"/>
  <c r="AE8" i="13"/>
  <c r="O16" i="13" s="1"/>
  <c r="F8" i="13"/>
  <c r="L8" i="13"/>
  <c r="BA8" i="13"/>
  <c r="AK16" i="13" s="1"/>
  <c r="V8" i="13"/>
  <c r="F16" i="13" s="1"/>
  <c r="G8" i="13"/>
  <c r="AT8" i="13"/>
  <c r="AD16" i="13" s="1"/>
  <c r="AM8" i="13"/>
  <c r="W16" i="13" s="1"/>
  <c r="E8" i="13"/>
  <c r="X6" i="13"/>
  <c r="X8" i="13" s="1"/>
  <c r="H16" i="13" s="1"/>
  <c r="AO6" i="13"/>
  <c r="AO8" i="13" s="1"/>
  <c r="Y16" i="13" s="1"/>
  <c r="AG6" i="13"/>
  <c r="AG8" i="13" s="1"/>
  <c r="Q16" i="13" s="1"/>
  <c r="O8" i="13"/>
  <c r="AF6" i="13"/>
  <c r="AF8" i="13" s="1"/>
  <c r="P16" i="13" s="1"/>
  <c r="AC2" i="6"/>
  <c r="AC2" i="8" s="1"/>
  <c r="AC1" i="6"/>
  <c r="P2" i="6"/>
  <c r="P2" i="8" s="1"/>
  <c r="S1" i="6"/>
  <c r="X1" i="6"/>
  <c r="Z2" i="6"/>
  <c r="Z2" i="8" s="1"/>
  <c r="J2" i="6"/>
  <c r="J2" i="8" s="1"/>
  <c r="V1" i="6"/>
  <c r="U1" i="6"/>
  <c r="AA2" i="6"/>
  <c r="AA2" i="8" s="1"/>
  <c r="G2" i="6"/>
  <c r="G2" i="8" s="1"/>
  <c r="O1" i="6"/>
  <c r="I2" i="6"/>
  <c r="I2" i="8" s="1"/>
  <c r="T2" i="6"/>
  <c r="T2" i="8" s="1"/>
  <c r="T1" i="6"/>
  <c r="R1" i="6"/>
  <c r="U2" i="6"/>
  <c r="U2" i="8" s="1"/>
  <c r="M1" i="6"/>
  <c r="H2" i="6"/>
  <c r="H2" i="8" s="1"/>
  <c r="K1" i="6"/>
  <c r="P1" i="6"/>
  <c r="V2" i="6"/>
  <c r="V2" i="8" s="1"/>
  <c r="F2" i="6"/>
  <c r="F2" i="8" s="1"/>
  <c r="N1" i="6"/>
  <c r="B1" i="6"/>
  <c r="X2" i="6"/>
  <c r="X2" i="8" s="1"/>
  <c r="W1" i="6"/>
  <c r="Q1" i="6"/>
  <c r="H1" i="6"/>
  <c r="N2" i="6"/>
  <c r="N2" i="8" s="1"/>
  <c r="F1" i="6"/>
  <c r="E1" i="6"/>
  <c r="Q2" i="6"/>
  <c r="Q2" i="8" s="1"/>
  <c r="D2" i="6"/>
  <c r="D2" i="8" s="1"/>
  <c r="AD1" i="6"/>
  <c r="AF2" i="6"/>
  <c r="AF2" i="8" s="1"/>
  <c r="AE2" i="6"/>
  <c r="AE2" i="8" s="1"/>
  <c r="AG1" i="6"/>
  <c r="M2" i="6"/>
  <c r="M2" i="8" s="1"/>
  <c r="O2" i="6"/>
  <c r="O2" i="8" s="1"/>
  <c r="G1" i="6"/>
  <c r="I1" i="6"/>
  <c r="S2" i="6"/>
  <c r="S2" i="8" s="1"/>
  <c r="C1" i="6"/>
  <c r="AB2" i="6"/>
  <c r="AB2" i="8" s="1"/>
  <c r="E2" i="6"/>
  <c r="E2" i="8" s="1"/>
  <c r="AF1" i="6"/>
  <c r="K2" i="6"/>
  <c r="K2" i="8" s="1"/>
  <c r="Y2" i="6"/>
  <c r="Y2" i="8" s="1"/>
  <c r="L2" i="6"/>
  <c r="L2" i="8" s="1"/>
  <c r="AD2" i="6"/>
  <c r="AD2" i="8" s="1"/>
  <c r="B2" i="6"/>
  <c r="B2" i="8" s="1"/>
  <c r="L1" i="6"/>
  <c r="C2" i="6"/>
  <c r="C2" i="8" s="1"/>
  <c r="D1" i="6"/>
  <c r="AE1" i="6"/>
  <c r="Z1" i="6"/>
  <c r="J1" i="6"/>
  <c r="AA1" i="6"/>
  <c r="AB1" i="6"/>
  <c r="R2" i="6"/>
  <c r="R2" i="8" s="1"/>
  <c r="AG2" i="6"/>
  <c r="AG2" i="8" s="1"/>
  <c r="W2" i="6"/>
  <c r="W2" i="8" s="1"/>
  <c r="Y1" i="6"/>
  <c r="Q8" i="13"/>
  <c r="S8" i="13"/>
  <c r="C16" i="13" s="1"/>
  <c r="K8" i="13"/>
  <c r="AA8" i="13"/>
  <c r="K16" i="13" s="1"/>
  <c r="P8" i="13"/>
  <c r="AH8" i="13" l="1"/>
  <c r="R16" i="13" s="1"/>
  <c r="AV8" i="13"/>
  <c r="AF16" i="13" s="1"/>
  <c r="J8" i="13"/>
  <c r="AX8" i="13"/>
  <c r="AH16" i="13" s="1"/>
  <c r="C17" i="13"/>
  <c r="D17" i="13" s="1"/>
  <c r="E17" i="13" s="1"/>
  <c r="F17" i="13" s="1"/>
  <c r="B2" i="14" s="1"/>
  <c r="AP8" i="13"/>
  <c r="Z16" i="13" s="1"/>
  <c r="Y8" i="13"/>
  <c r="I16" i="13" s="1"/>
  <c r="G17" i="13" l="1"/>
  <c r="H17" i="13" s="1"/>
  <c r="C2" i="14" l="1"/>
  <c r="I17" i="13"/>
  <c r="D2" i="14"/>
  <c r="J17" i="13" l="1"/>
  <c r="E2" i="14"/>
  <c r="K17" i="13" l="1"/>
  <c r="F2" i="14"/>
  <c r="G2" i="14" l="1"/>
  <c r="L17" i="13"/>
  <c r="H2" i="14" l="1"/>
  <c r="M17" i="13"/>
  <c r="N17" i="13" l="1"/>
  <c r="I2" i="14"/>
  <c r="O17" i="13" l="1"/>
  <c r="J2" i="14"/>
  <c r="P17" i="13" l="1"/>
  <c r="K2" i="14"/>
  <c r="Q17" i="13" l="1"/>
  <c r="L2" i="14"/>
  <c r="R17" i="13" l="1"/>
  <c r="M2" i="14"/>
  <c r="N2" i="14" l="1"/>
  <c r="S17" i="13"/>
  <c r="O2" i="14" l="1"/>
  <c r="T17" i="13"/>
  <c r="P2" i="14" l="1"/>
  <c r="U17" i="13"/>
  <c r="V17" i="13" l="1"/>
  <c r="Q2" i="14"/>
  <c r="W17" i="13" l="1"/>
  <c r="R2" i="14"/>
  <c r="X17" i="13" l="1"/>
  <c r="S2" i="14"/>
  <c r="Y17" i="13" l="1"/>
  <c r="T2" i="14"/>
  <c r="Z17" i="13" l="1"/>
  <c r="U2" i="14"/>
  <c r="V2" i="14" l="1"/>
  <c r="AA17" i="13"/>
  <c r="AB17" i="13" l="1"/>
  <c r="W2" i="14"/>
  <c r="X2" i="14" l="1"/>
  <c r="AC17" i="13"/>
  <c r="AD17" i="13" l="1"/>
  <c r="Y2" i="14"/>
  <c r="AE17" i="13" l="1"/>
  <c r="Z2" i="14"/>
  <c r="AF17" i="13" l="1"/>
  <c r="AA2" i="14"/>
  <c r="AG17" i="13" l="1"/>
  <c r="AB2" i="14"/>
  <c r="AH17" i="13" l="1"/>
  <c r="AC2" i="14"/>
  <c r="AD2" i="14" l="1"/>
  <c r="AI17" i="13"/>
  <c r="AJ17" i="13" l="1"/>
  <c r="AE2" i="14"/>
  <c r="AK17" i="13" l="1"/>
  <c r="AG2" i="14" s="1"/>
  <c r="AF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<sst xmlns="http://schemas.openxmlformats.org/spreadsheetml/2006/main" count="183" uniqueCount="137">
  <si>
    <t>Sources:</t>
  </si>
  <si>
    <t>Population Projection</t>
  </si>
  <si>
    <t>Employment-to-Population Ratio</t>
  </si>
  <si>
    <t>St. Louis Federal Reserve Bank</t>
  </si>
  <si>
    <t>YEAR</t>
  </si>
  <si>
    <t>TOTAL_POP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</si>
  <si>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</si>
  <si>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</si>
  <si>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</si>
  <si>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</si>
  <si>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</si>
  <si>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</si>
  <si>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Average Employment-to-Population Ratio</t>
  </si>
  <si>
    <t>from date</t>
  </si>
  <si>
    <t>to date</t>
  </si>
  <si>
    <t>is:</t>
  </si>
  <si>
    <t>Population</t>
  </si>
  <si>
    <t>Unit: people</t>
  </si>
  <si>
    <t>Employed Population</t>
  </si>
  <si>
    <t>Notes</t>
  </si>
  <si>
    <t>Dataset: Input-Output Tables 2018 edition</t>
  </si>
  <si>
    <t>Variable</t>
  </si>
  <si>
    <t>VAL: Value added</t>
  </si>
  <si>
    <t>Country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</si>
  <si>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</si>
  <si>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</si>
  <si>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</si>
  <si>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</si>
  <si>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</si>
  <si>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</si>
  <si>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</si>
  <si>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</si>
  <si>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</si>
  <si>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</si>
  <si>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</si>
  <si>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</si>
  <si>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</si>
  <si>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</si>
  <si>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</si>
  <si>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</si>
  <si>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</si>
  <si>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</si>
  <si>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</si>
  <si>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</si>
  <si>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</si>
  <si>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</si>
  <si>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</si>
  <si>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</si>
  <si>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</si>
  <si>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</si>
  <si>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</si>
  <si>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</si>
  <si>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</si>
  <si>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</si>
  <si>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</si>
  <si>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</si>
  <si>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</si>
  <si>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</si>
  <si>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</si>
  <si>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</si>
  <si>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</si>
  <si>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</si>
  <si>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</si>
  <si>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</si>
  <si>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</si>
  <si>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</si>
  <si>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/>
  </si>
  <si>
    <t>LABR: Compensation of employees</t>
  </si>
  <si>
    <t>OTXS: Other taxes less subsidies on production</t>
  </si>
  <si>
    <t>GOPS: Gross operating surplus and mixed income</t>
  </si>
  <si>
    <t>OECD 2015 Total Employee Compensation</t>
  </si>
  <si>
    <t>2015 USD</t>
  </si>
  <si>
    <t>2012 USD</t>
  </si>
  <si>
    <t>Projected Compensation (2012 $)</t>
  </si>
  <si>
    <t>Total EE Compensation</t>
  </si>
  <si>
    <t>Unit: 2012 $</t>
  </si>
  <si>
    <t>Projected Future Employee Compensation (2012 USD)</t>
  </si>
  <si>
    <t>Total Employee Compensation (from IO tables, historical year)</t>
  </si>
  <si>
    <t>OECD</t>
  </si>
  <si>
    <t>Input-Output Tables 2018 Edition (ISIC Rev. 4)</t>
  </si>
  <si>
    <t>https://stats.oecd.org/Index.aspx?DataSetCode=IOTS#</t>
  </si>
  <si>
    <t>Variable: VAL</t>
  </si>
  <si>
    <t>To project future numbers of employees, we sample the share of the population that is</t>
  </si>
  <si>
    <t>employed over a wide historical rage, and use that average going forward.  The share of</t>
  </si>
  <si>
    <t>the population that is employed has remained relatively stable over time despite tremendous</t>
  </si>
  <si>
    <t>increases in productivity (output per employee), so we believe this is likely to continue to</t>
  </si>
  <si>
    <t>happen in the future, and we do not need to adjust for productivity increases.  (That is,</t>
  </si>
  <si>
    <t>any displaced workers are integrated elsewhere in the economy.)</t>
  </si>
  <si>
    <t>Number of Employees</t>
  </si>
  <si>
    <t>Total Compensation</t>
  </si>
  <si>
    <t>We start with the total compensation number from the OECD input data we use in</t>
  </si>
  <si>
    <t>the input-output segment of the model, to ensure our assumptions are aligned.</t>
  </si>
  <si>
    <t>BPEaCP BAU Population Employment and Compensation Projections</t>
  </si>
  <si>
    <t>Country Name</t>
  </si>
  <si>
    <t>Country Code</t>
  </si>
  <si>
    <t>Series Name</t>
  </si>
  <si>
    <t>Population, total</t>
  </si>
  <si>
    <t>Series Code</t>
  </si>
  <si>
    <t>SP.POP.TOTL</t>
  </si>
  <si>
    <t>World Bank</t>
  </si>
  <si>
    <t>Databank</t>
  </si>
  <si>
    <t>Population estimates and Projections</t>
  </si>
  <si>
    <t>http://databank.worldbank.org/data/reports.aspx?source=Health-Nutrition-and-Population-Statistics:-Population-estimates-and-projections#</t>
  </si>
  <si>
    <t>Frequency: Annual</t>
  </si>
  <si>
    <t>We use gni per capita as a baseline to estimate current wages</t>
  </si>
  <si>
    <t>Employee Compensation</t>
  </si>
  <si>
    <t>GDP</t>
  </si>
  <si>
    <t>2012 dollars per 2010 dollar</t>
  </si>
  <si>
    <t>dollars per million dollars</t>
  </si>
  <si>
    <t>GNI</t>
  </si>
  <si>
    <t>GDP Forecast</t>
  </si>
  <si>
    <t>Quarterly National Accounts</t>
  </si>
  <si>
    <t>https://data.oecd.org/gdp/gdp-long-term-forecast.htm</t>
  </si>
  <si>
    <t>Real GDP long-term forecast</t>
  </si>
  <si>
    <t>GNI per capita (constant 2010 US$) - India</t>
  </si>
  <si>
    <t>The World Bank</t>
  </si>
  <si>
    <t>https://data.worldbank.org/indicator/NY.GNP.PCAP.KD?locations=IN</t>
  </si>
  <si>
    <t>GDP (constant 2010 US$) - India</t>
  </si>
  <si>
    <t>https://data.worldbank.org/indicator/NY.GDP.MKTP.KD?locations=IN</t>
  </si>
  <si>
    <t>We use the average ratio of the rate of change between GNI and GDP</t>
  </si>
  <si>
    <t>We use forecasted GDP and ratio of GDP to income to forecast income</t>
  </si>
  <si>
    <t>(USD 2012 $)</t>
  </si>
  <si>
    <t>USD 2012 $</t>
  </si>
  <si>
    <t>Perc Change in GDP as proxy for compensation</t>
  </si>
  <si>
    <t>2015 to 2012 dollars</t>
  </si>
  <si>
    <t>GDP/capita</t>
  </si>
  <si>
    <t>Annual change in GDP/capita</t>
  </si>
  <si>
    <t>We start with 2015 Total Employee Compensation and scale this value by forecasted real GDP growth/capita</t>
  </si>
  <si>
    <t>IDN</t>
  </si>
  <si>
    <t>Indonesia</t>
  </si>
  <si>
    <t>https://fred.stlouisfed.org/series/SLEMPTOTLSPZSIDN</t>
  </si>
  <si>
    <t>Employment-Population Ratio, Indonesia</t>
  </si>
  <si>
    <t>SLEMPTOTLSPZSIDN</t>
  </si>
  <si>
    <t>Employment to Population Ratio for Indonesia, Percent, Annual, Not Seasonally Adjusted</t>
  </si>
  <si>
    <t>observation_date</t>
  </si>
  <si>
    <t>IDN: Indonesia</t>
  </si>
  <si>
    <t>Data extracted on 02 Mar 2021 20:27 UTC (GMT) from OECD.Stat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</si>
</sst>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"/>
    <numFmt numFmtId="165" formatCode="0.0"/>
    <numFmt numFmtId="166" formatCode="0.0%"/>
    <numFmt numFmtId="167" formatCode="#,##0.0_ ;\-#,##0.0\ "/>
    <numFmt numFmtId="168" formatCode="0.000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4" fillId="0" borderId="0"/>
    <xf numFmtId="0" fontId="4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8" applyNumberFormat="0" applyAlignment="0" applyProtection="0"/>
    <xf numFmtId="0" fontId="24" fillId="18" borderId="9" applyNumberFormat="0" applyAlignment="0" applyProtection="0"/>
    <xf numFmtId="0" fontId="25" fillId="18" borderId="8" applyNumberFormat="0" applyAlignment="0" applyProtection="0"/>
    <xf numFmtId="0" fontId="26" fillId="0" borderId="10" applyNumberFormat="0" applyFill="0" applyAlignment="0" applyProtection="0"/>
    <xf numFmtId="0" fontId="27" fillId="19" borderId="11" applyNumberFormat="0" applyAlignment="0" applyProtection="0"/>
    <xf numFmtId="0" fontId="28" fillId="0" borderId="0" applyNumberFormat="0" applyFill="0" applyBorder="0" applyAlignment="0" applyProtection="0"/>
    <xf numFmtId="0" fontId="1" fillId="20" borderId="12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0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2"/>
    <xf numFmtId="16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6" fontId="0" fillId="4" borderId="0" xfId="1" applyNumberFormat="1" applyFont="1" applyFill="1"/>
    <xf numFmtId="0" fontId="0" fillId="2" borderId="0" xfId="0" applyFill="1"/>
    <xf numFmtId="11" fontId="0" fillId="0" borderId="0" xfId="0" applyNumberFormat="1"/>
    <xf numFmtId="166" fontId="0" fillId="0" borderId="0" xfId="1" applyNumberFormat="1" applyFont="1"/>
    <xf numFmtId="0" fontId="15" fillId="0" borderId="0" xfId="0" applyFont="1"/>
    <xf numFmtId="11" fontId="0" fillId="4" borderId="0" xfId="0" applyNumberFormat="1" applyFill="1"/>
    <xf numFmtId="0" fontId="5" fillId="0" borderId="1" xfId="5" applyFont="1" applyBorder="1"/>
    <xf numFmtId="0" fontId="4" fillId="0" borderId="0" xfId="5"/>
    <xf numFmtId="43" fontId="0" fillId="0" borderId="0" xfId="6" applyFont="1"/>
    <xf numFmtId="9" fontId="0" fillId="0" borderId="0" xfId="1" applyFont="1"/>
    <xf numFmtId="0" fontId="3" fillId="0" borderId="0" xfId="2" applyFill="1"/>
    <xf numFmtId="0" fontId="2" fillId="10" borderId="0" xfId="0" applyFont="1" applyFill="1"/>
    <xf numFmtId="0" fontId="0" fillId="10" borderId="0" xfId="0" applyFill="1"/>
    <xf numFmtId="11" fontId="0" fillId="0" borderId="0" xfId="6" applyNumberFormat="1" applyFont="1"/>
    <xf numFmtId="0" fontId="0" fillId="11" borderId="0" xfId="0" applyFill="1"/>
    <xf numFmtId="0" fontId="0" fillId="12" borderId="0" xfId="0" applyFill="1"/>
    <xf numFmtId="11" fontId="0" fillId="13" borderId="0" xfId="0" applyNumberFormat="1" applyFill="1"/>
    <xf numFmtId="11" fontId="2" fillId="0" borderId="0" xfId="0" applyNumberFormat="1" applyFont="1"/>
    <xf numFmtId="0" fontId="4" fillId="0" borderId="0" xfId="3"/>
    <xf numFmtId="164" fontId="4" fillId="0" borderId="0" xfId="3" applyNumberFormat="1"/>
    <xf numFmtId="168" fontId="4" fillId="0" borderId="0" xfId="3" applyNumberFormat="1"/>
    <xf numFmtId="0" fontId="13" fillId="0" borderId="0" xfId="0" applyFont="1" applyAlignment="1">
      <alignment horizontal="left"/>
    </xf>
    <xf numFmtId="0" fontId="6" fillId="0" borderId="1" xfId="3" applyFont="1" applyBorder="1" applyAlignment="1">
      <alignment horizontal="left" wrapText="1"/>
    </xf>
    <xf numFmtId="0" fontId="9" fillId="6" borderId="1" xfId="3" applyFont="1" applyFill="1" applyBorder="1" applyAlignment="1">
      <alignment horizontal="center" vertical="top" wrapText="1"/>
    </xf>
    <xf numFmtId="0" fontId="10" fillId="7" borderId="1" xfId="3" applyFont="1" applyFill="1" applyBorder="1" applyAlignment="1">
      <alignment wrapText="1"/>
    </xf>
    <xf numFmtId="0" fontId="11" fillId="8" borderId="1" xfId="3" applyFont="1" applyFill="1" applyBorder="1" applyAlignment="1">
      <alignment horizontal="center"/>
    </xf>
    <xf numFmtId="0" fontId="12" fillId="7" borderId="1" xfId="3" applyFont="1" applyFill="1" applyBorder="1" applyAlignment="1">
      <alignment vertical="top" wrapText="1"/>
    </xf>
    <xf numFmtId="167" fontId="5" fillId="0" borderId="1" xfId="3" applyNumberFormat="1" applyFont="1" applyBorder="1" applyAlignment="1">
      <alignment horizontal="right"/>
    </xf>
    <xf numFmtId="167" fontId="5" fillId="9" borderId="1" xfId="3" applyNumberFormat="1" applyFont="1" applyFill="1" applyBorder="1" applyAlignment="1">
      <alignment horizontal="right"/>
    </xf>
    <xf numFmtId="0" fontId="13" fillId="0" borderId="0" xfId="3" applyFont="1" applyAlignment="1">
      <alignment horizontal="left"/>
    </xf>
    <xf numFmtId="0" fontId="7" fillId="5" borderId="2" xfId="3" applyFont="1" applyFill="1" applyBorder="1" applyAlignment="1">
      <alignment horizontal="right" vertical="top" wrapText="1"/>
    </xf>
    <xf numFmtId="0" fontId="7" fillId="5" borderId="3" xfId="3" applyFont="1" applyFill="1" applyBorder="1" applyAlignment="1">
      <alignment horizontal="right" vertical="top" wrapText="1"/>
    </xf>
    <xf numFmtId="0" fontId="9" fillId="5" borderId="2" xfId="3" applyFont="1" applyFill="1" applyBorder="1" applyAlignment="1">
      <alignment vertical="top" wrapText="1"/>
    </xf>
    <xf numFmtId="0" fontId="9" fillId="5" borderId="4" xfId="3" applyFont="1" applyFill="1" applyBorder="1" applyAlignment="1">
      <alignment vertical="top" wrapText="1"/>
    </xf>
    <xf numFmtId="0" fontId="9" fillId="5" borderId="3" xfId="3" applyFont="1" applyFill="1" applyBorder="1" applyAlignment="1">
      <alignment vertical="top" wrapText="1"/>
    </xf>
    <xf numFmtId="0" fontId="7" fillId="6" borderId="2" xfId="3" applyFont="1" applyFill="1" applyBorder="1" applyAlignment="1">
      <alignment horizontal="right" vertical="center" wrapText="1"/>
    </xf>
    <xf numFmtId="0" fontId="7" fillId="6" borderId="3" xfId="3" applyFont="1" applyFill="1" applyBorder="1" applyAlignment="1">
      <alignment horizontal="right" vertical="center" wrapText="1"/>
    </xf>
    <xf numFmtId="0" fontId="8" fillId="5" borderId="2" xfId="3" applyFont="1" applyFill="1" applyBorder="1" applyAlignment="1">
      <alignment vertical="top" wrapText="1"/>
    </xf>
    <xf numFmtId="0" fontId="8" fillId="5" borderId="4" xfId="3" applyFont="1" applyFill="1" applyBorder="1" applyAlignment="1">
      <alignment vertical="top" wrapText="1"/>
    </xf>
    <xf numFmtId="0" fontId="8" fillId="5" borderId="3" xfId="3" applyFont="1" applyFill="1" applyBorder="1" applyAlignment="1">
      <alignment vertical="top" wrapText="1"/>
    </xf>
  </cellXfs>
  <cellStyles count="48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6" builtinId="3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2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3" xr:uid="{60584C86-1C12-49F9-A2AE-BB99BAC4A6EC}"/>
    <cellStyle name="Normal 3" xfId="4" xr:uid="{B4C9DD1A-39F2-4630-9872-DFCC541C84AB}"/>
    <cellStyle name="Normal 3 2" xfId="5" xr:uid="{63B9D23C-C46C-4A3E-B645-08E74149EC3A}"/>
    <cellStyle name="Note" xfId="21" builtinId="10" customBuiltin="1"/>
    <cellStyle name="Output" xfId="16" builtinId="21" customBuiltin="1"/>
    <cellStyle name="Percent" xfId="1" builtinId="5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Employment-Pop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 Pop Ratio'!$A$12:$A$41</c:f>
              <c:numCache>
                <c:formatCode>yyyy\-mm\-dd</c:formatCode>
                <c:ptCount val="30"/>
                <c:pt idx="0">
                  <c:v>33239</c:v>
                </c:pt>
                <c:pt idx="1">
                  <c:v>33604</c:v>
                </c:pt>
                <c:pt idx="2">
                  <c:v>33970</c:v>
                </c:pt>
                <c:pt idx="3">
                  <c:v>34335</c:v>
                </c:pt>
                <c:pt idx="4">
                  <c:v>34700</c:v>
                </c:pt>
                <c:pt idx="5">
                  <c:v>35065</c:v>
                </c:pt>
                <c:pt idx="6">
                  <c:v>35431</c:v>
                </c:pt>
                <c:pt idx="7">
                  <c:v>35796</c:v>
                </c:pt>
                <c:pt idx="8">
                  <c:v>36161</c:v>
                </c:pt>
                <c:pt idx="9">
                  <c:v>36526</c:v>
                </c:pt>
                <c:pt idx="10">
                  <c:v>36892</c:v>
                </c:pt>
                <c:pt idx="11">
                  <c:v>37257</c:v>
                </c:pt>
                <c:pt idx="12">
                  <c:v>37622</c:v>
                </c:pt>
                <c:pt idx="13">
                  <c:v>37987</c:v>
                </c:pt>
                <c:pt idx="14">
                  <c:v>38353</c:v>
                </c:pt>
                <c:pt idx="15">
                  <c:v>38718</c:v>
                </c:pt>
                <c:pt idx="16">
                  <c:v>39083</c:v>
                </c:pt>
                <c:pt idx="17">
                  <c:v>39448</c:v>
                </c:pt>
                <c:pt idx="18">
                  <c:v>39814</c:v>
                </c:pt>
                <c:pt idx="19">
                  <c:v>40179</c:v>
                </c:pt>
                <c:pt idx="20">
                  <c:v>40544</c:v>
                </c:pt>
                <c:pt idx="21">
                  <c:v>40909</c:v>
                </c:pt>
                <c:pt idx="22">
                  <c:v>41275</c:v>
                </c:pt>
                <c:pt idx="23">
                  <c:v>41640</c:v>
                </c:pt>
                <c:pt idx="24">
                  <c:v>42005</c:v>
                </c:pt>
                <c:pt idx="25">
                  <c:v>42370</c:v>
                </c:pt>
                <c:pt idx="26">
                  <c:v>42736</c:v>
                </c:pt>
                <c:pt idx="27">
                  <c:v>43101</c:v>
                </c:pt>
                <c:pt idx="28">
                  <c:v>43466</c:v>
                </c:pt>
                <c:pt idx="29">
                  <c:v>43831</c:v>
                </c:pt>
              </c:numCache>
            </c:numRef>
          </c:xVal>
          <c:yVal>
            <c:numRef>
              <c:f>'Emp Pop Ratio'!$B$12:$B$41</c:f>
              <c:numCache>
                <c:formatCode>0.0000000000000</c:formatCode>
                <c:ptCount val="30"/>
                <c:pt idx="0">
                  <c:v>63.799999237060497</c:v>
                </c:pt>
                <c:pt idx="1">
                  <c:v>64.080001831054702</c:v>
                </c:pt>
                <c:pt idx="2">
                  <c:v>63.299999237060497</c:v>
                </c:pt>
                <c:pt idx="3">
                  <c:v>63.5200004577637</c:v>
                </c:pt>
                <c:pt idx="4">
                  <c:v>63.419998168945298</c:v>
                </c:pt>
                <c:pt idx="5">
                  <c:v>63.299999237060497</c:v>
                </c:pt>
                <c:pt idx="6">
                  <c:v>62.970001220703097</c:v>
                </c:pt>
                <c:pt idx="7">
                  <c:v>62.860000610351598</c:v>
                </c:pt>
                <c:pt idx="8">
                  <c:v>62.590000152587898</c:v>
                </c:pt>
                <c:pt idx="9">
                  <c:v>63.150001525878899</c:v>
                </c:pt>
                <c:pt idx="10">
                  <c:v>62.330001831054702</c:v>
                </c:pt>
                <c:pt idx="11">
                  <c:v>60.880001068115199</c:v>
                </c:pt>
                <c:pt idx="12">
                  <c:v>60.450000762939503</c:v>
                </c:pt>
                <c:pt idx="13">
                  <c:v>60.290000915527301</c:v>
                </c:pt>
                <c:pt idx="14">
                  <c:v>58.830001831054702</c:v>
                </c:pt>
                <c:pt idx="15">
                  <c:v>59.209999084472699</c:v>
                </c:pt>
                <c:pt idx="16">
                  <c:v>60.939998626708999</c:v>
                </c:pt>
                <c:pt idx="17">
                  <c:v>61.840000152587898</c:v>
                </c:pt>
                <c:pt idx="18">
                  <c:v>62.590000152587898</c:v>
                </c:pt>
                <c:pt idx="19">
                  <c:v>63.419998168945298</c:v>
                </c:pt>
                <c:pt idx="20">
                  <c:v>63.810001373291001</c:v>
                </c:pt>
                <c:pt idx="21">
                  <c:v>64.709999084472699</c:v>
                </c:pt>
                <c:pt idx="22">
                  <c:v>64.139999389648395</c:v>
                </c:pt>
                <c:pt idx="23">
                  <c:v>64.110000610351605</c:v>
                </c:pt>
                <c:pt idx="24">
                  <c:v>63.490001678466797</c:v>
                </c:pt>
                <c:pt idx="25">
                  <c:v>63.330001831054702</c:v>
                </c:pt>
                <c:pt idx="26">
                  <c:v>64.209999084472699</c:v>
                </c:pt>
                <c:pt idx="27">
                  <c:v>64.470001220703097</c:v>
                </c:pt>
                <c:pt idx="28">
                  <c:v>65.540000915527301</c:v>
                </c:pt>
                <c:pt idx="29">
                  <c:v>63.720001220703097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C-4329-B505-4CE60E101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390991"/>
        <c:axId val="617317519"/>
      </c:scatterChart>
      <c:valAx>
        <c:axId val="712390991"/>
        <c:scaling>
          <c:orientation val="minMax"/>
          <c:max val="43983"/>
          <c:min val="175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17519"/>
        <c:crosses val="autoZero"/>
        <c:crossBetween val="midCat"/>
      </c:valAx>
      <c:valAx>
        <c:axId val="617317519"/>
        <c:scaling>
          <c:orientation val="minMax"/>
          <c:max val="66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9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52339955320647E-2"/>
          <c:y val="0.17038180850109527"/>
          <c:w val="0.90474826282974086"/>
          <c:h val="0.674004713828097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'EE Comp Projection'!$A$17</c:f>
              <c:strCache>
                <c:ptCount val="1"/>
                <c:pt idx="0">
                  <c:v>Projected Compensation (2012 $)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'EE Comp Projection'!$B$3:$T$3</c:f>
              <c:numCache>
                <c:formatCode>General</c:formatCode>
                <c:ptCount val="19"/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</c:numCache>
            </c:numRef>
          </c:xVal>
          <c:yVal>
            <c:numRef>
              <c:f>'EE Comp Projection'!$B$17:$T$17</c:f>
              <c:numCache>
                <c:formatCode>0.00E+00</c:formatCode>
                <c:ptCount val="19"/>
                <c:pt idx="0">
                  <c:v>283503785522.35913</c:v>
                </c:pt>
                <c:pt idx="1">
                  <c:v>294162659783.1698</c:v>
                </c:pt>
                <c:pt idx="2">
                  <c:v>305465372138.55615</c:v>
                </c:pt>
                <c:pt idx="3">
                  <c:v>317635287129.37451</c:v>
                </c:pt>
                <c:pt idx="4">
                  <c:v>329944180785.17224</c:v>
                </c:pt>
                <c:pt idx="5">
                  <c:v>342697593541.35498</c:v>
                </c:pt>
                <c:pt idx="6">
                  <c:v>355323331673.75104</c:v>
                </c:pt>
                <c:pt idx="7">
                  <c:v>368019895602.43121</c:v>
                </c:pt>
                <c:pt idx="8">
                  <c:v>380884817591.53583</c:v>
                </c:pt>
                <c:pt idx="9">
                  <c:v>394013695985.72363</c:v>
                </c:pt>
                <c:pt idx="10">
                  <c:v>407475559333.22839</c:v>
                </c:pt>
                <c:pt idx="11">
                  <c:v>421284263576.38123</c:v>
                </c:pt>
                <c:pt idx="12">
                  <c:v>435434375620.29999</c:v>
                </c:pt>
                <c:pt idx="13">
                  <c:v>449940595437.82104</c:v>
                </c:pt>
                <c:pt idx="14">
                  <c:v>464817813068.79596</c:v>
                </c:pt>
                <c:pt idx="15">
                  <c:v>480056017106.35553</c:v>
                </c:pt>
                <c:pt idx="16">
                  <c:v>495652589024.914</c:v>
                </c:pt>
                <c:pt idx="17">
                  <c:v>511652460228.73145</c:v>
                </c:pt>
                <c:pt idx="18">
                  <c:v>528067202221.94495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D2-4A52-97B0-079660E2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539519"/>
        <c:axId val="647196879"/>
      </c:scatterChart>
      <c:valAx>
        <c:axId val="56353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96879"/>
        <c:crosses val="autoZero"/>
        <c:crossBetween val="midCat"/>
      </c:valAx>
      <c:valAx>
        <c:axId val="6471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3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180974</xdr:rowOff>
    </xdr:from>
    <xdr:to>
      <xdr:col>14</xdr:col>
      <xdr:colOff>380999</xdr:colOff>
      <xdr:row>23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6C8F6-37B2-4B2E-A783-27BD5B157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20</xdr:row>
      <xdr:rowOff>54769</xdr:rowOff>
    </xdr:from>
    <xdr:to>
      <xdr:col>11</xdr:col>
      <xdr:colOff>447675</xdr:colOff>
      <xdr:row>37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3C175-2BCB-4AB6-A4C3-7F637A020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abank.worldbank.org/data/reports.aspx?source=Health-Nutrition-and-Population-Statistics:-Population-estimates-and-projections" TargetMode="External"/><Relationship Id="rId2" Type="http://schemas.openxmlformats.org/officeDocument/2006/relationships/hyperlink" Target="https://data.oecd.org/gdp/gdp-long-term-forecast.htm" TargetMode="External"/><Relationship Id="rId1" Type="http://schemas.openxmlformats.org/officeDocument/2006/relationships/hyperlink" Target="https://stats.oecd.org/Index.aspx?DataSetCode=IOT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ata.worldbank.org/indicator/NY.GDP.MKTP.KD?locations=IN" TargetMode="External"/><Relationship Id="rId4" Type="http://schemas.openxmlformats.org/officeDocument/2006/relationships/hyperlink" Target="https://data.worldbank.org/indicator/NY.GNP.PCAP.KD?locations=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I4_2018&amp;Coords=%5bVAR%5d.%5bVAL%5d&amp;ShowOnWeb=true&amp;Lang=en" TargetMode="External"/><Relationship Id="rId2" Type="http://schemas.openxmlformats.org/officeDocument/2006/relationships/hyperlink" Target="http://stats.oecd.org/OECDStat_Metadata/ShowMetadata.ashx?Dataset=IOTSI4_2018&amp;ShowOnWeb=true&amp;Lang=en" TargetMode="External"/><Relationship Id="rId1" Type="http://schemas.openxmlformats.org/officeDocument/2006/relationships/hyperlink" Target="https://stats-1.oecd.org/index.aspx?DatasetCode=IOTSI4_2018" TargetMode="External"/><Relationship Id="rId4" Type="http://schemas.openxmlformats.org/officeDocument/2006/relationships/hyperlink" Target="https://stats-1.oecd.org/index.aspx?DatasetCode=IOTSI4_2018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4350-AB87-478F-BE2E-F548EFE9AD6A}">
  <dimension ref="A1:B60"/>
  <sheetViews>
    <sheetView workbookViewId="0">
      <selection activeCell="A43" sqref="A43:B60"/>
    </sheetView>
  </sheetViews>
  <sheetFormatPr baseColWidth="10" defaultColWidth="8.83203125" defaultRowHeight="15" x14ac:dyDescent="0.2"/>
  <cols>
    <col min="2" max="2" width="73.33203125" customWidth="1"/>
  </cols>
  <sheetData>
    <row r="1" spans="1:2" x14ac:dyDescent="0.2">
      <c r="A1" s="1" t="s">
        <v>92</v>
      </c>
    </row>
    <row r="3" spans="1:2" x14ac:dyDescent="0.2">
      <c r="A3" t="s">
        <v>0</v>
      </c>
      <c r="B3" s="2" t="s">
        <v>1</v>
      </c>
    </row>
    <row r="4" spans="1:2" x14ac:dyDescent="0.2">
      <c r="B4" t="s">
        <v>99</v>
      </c>
    </row>
    <row r="5" spans="1:2" x14ac:dyDescent="0.2">
      <c r="B5" t="s">
        <v>100</v>
      </c>
    </row>
    <row r="6" spans="1:2" x14ac:dyDescent="0.2">
      <c r="B6" t="s">
        <v>101</v>
      </c>
    </row>
    <row r="7" spans="1:2" x14ac:dyDescent="0.2">
      <c r="B7" s="4" t="s">
        <v>102</v>
      </c>
    </row>
    <row r="9" spans="1:2" x14ac:dyDescent="0.2">
      <c r="B9" s="2" t="s">
        <v>2</v>
      </c>
    </row>
    <row r="10" spans="1:2" x14ac:dyDescent="0.2">
      <c r="B10" t="s">
        <v>3</v>
      </c>
    </row>
    <row r="11" spans="1:2" x14ac:dyDescent="0.2">
      <c r="B11" s="3">
        <v>2020</v>
      </c>
    </row>
    <row r="12" spans="1:2" x14ac:dyDescent="0.2">
      <c r="B12" t="s">
        <v>131</v>
      </c>
    </row>
    <row r="13" spans="1:2" x14ac:dyDescent="0.2">
      <c r="B13" s="4" t="s">
        <v>130</v>
      </c>
    </row>
    <row r="15" spans="1:2" x14ac:dyDescent="0.2">
      <c r="B15" s="2" t="s">
        <v>77</v>
      </c>
    </row>
    <row r="16" spans="1:2" x14ac:dyDescent="0.2">
      <c r="B16" t="s">
        <v>78</v>
      </c>
    </row>
    <row r="17" spans="2:2" x14ac:dyDescent="0.2">
      <c r="B17" s="3">
        <v>2018</v>
      </c>
    </row>
    <row r="18" spans="2:2" x14ac:dyDescent="0.2">
      <c r="B18" t="s">
        <v>79</v>
      </c>
    </row>
    <row r="19" spans="2:2" x14ac:dyDescent="0.2">
      <c r="B19" s="4" t="s">
        <v>80</v>
      </c>
    </row>
    <row r="20" spans="2:2" x14ac:dyDescent="0.2">
      <c r="B20" t="s">
        <v>81</v>
      </c>
    </row>
    <row r="22" spans="2:2" x14ac:dyDescent="0.2">
      <c r="B22" s="2" t="s">
        <v>109</v>
      </c>
    </row>
    <row r="23" spans="2:2" x14ac:dyDescent="0.2">
      <c r="B23" t="s">
        <v>115</v>
      </c>
    </row>
    <row r="24" spans="2:2" x14ac:dyDescent="0.2">
      <c r="B24" s="3">
        <v>2020</v>
      </c>
    </row>
    <row r="25" spans="2:2" x14ac:dyDescent="0.2">
      <c r="B25" t="s">
        <v>114</v>
      </c>
    </row>
    <row r="26" spans="2:2" x14ac:dyDescent="0.2">
      <c r="B26" s="4" t="s">
        <v>116</v>
      </c>
    </row>
    <row r="27" spans="2:2" x14ac:dyDescent="0.2">
      <c r="B27" s="1"/>
    </row>
    <row r="28" spans="2:2" x14ac:dyDescent="0.2">
      <c r="B28" s="2" t="s">
        <v>106</v>
      </c>
    </row>
    <row r="29" spans="2:2" x14ac:dyDescent="0.2">
      <c r="B29" t="s">
        <v>115</v>
      </c>
    </row>
    <row r="30" spans="2:2" x14ac:dyDescent="0.2">
      <c r="B30" s="3">
        <v>2020</v>
      </c>
    </row>
    <row r="31" spans="2:2" x14ac:dyDescent="0.2">
      <c r="B31" t="s">
        <v>117</v>
      </c>
    </row>
    <row r="32" spans="2:2" x14ac:dyDescent="0.2">
      <c r="B32" s="4" t="s">
        <v>118</v>
      </c>
    </row>
    <row r="33" spans="1:2" x14ac:dyDescent="0.2">
      <c r="B33" s="18"/>
    </row>
    <row r="34" spans="1:2" x14ac:dyDescent="0.2">
      <c r="B34" s="2" t="s">
        <v>110</v>
      </c>
    </row>
    <row r="35" spans="1:2" x14ac:dyDescent="0.2">
      <c r="B35" t="s">
        <v>78</v>
      </c>
    </row>
    <row r="36" spans="1:2" x14ac:dyDescent="0.2">
      <c r="B36" s="3">
        <v>2018</v>
      </c>
    </row>
    <row r="37" spans="1:2" x14ac:dyDescent="0.2">
      <c r="B37" t="s">
        <v>111</v>
      </c>
    </row>
    <row r="38" spans="1:2" x14ac:dyDescent="0.2">
      <c r="B38" s="4" t="s">
        <v>112</v>
      </c>
    </row>
    <row r="39" spans="1:2" x14ac:dyDescent="0.2">
      <c r="B39" t="s">
        <v>113</v>
      </c>
    </row>
    <row r="41" spans="1:2" x14ac:dyDescent="0.2">
      <c r="A41" s="1" t="s">
        <v>19</v>
      </c>
    </row>
    <row r="43" spans="1:2" x14ac:dyDescent="0.2">
      <c r="A43" s="1" t="s">
        <v>88</v>
      </c>
    </row>
    <row r="44" spans="1:2" x14ac:dyDescent="0.2">
      <c r="A44" t="s">
        <v>82</v>
      </c>
    </row>
    <row r="45" spans="1:2" x14ac:dyDescent="0.2">
      <c r="A45" t="s">
        <v>83</v>
      </c>
    </row>
    <row r="46" spans="1:2" x14ac:dyDescent="0.2">
      <c r="A46" t="s">
        <v>84</v>
      </c>
    </row>
    <row r="47" spans="1:2" x14ac:dyDescent="0.2">
      <c r="A47" t="s">
        <v>85</v>
      </c>
    </row>
    <row r="48" spans="1:2" x14ac:dyDescent="0.2">
      <c r="A48" t="s">
        <v>86</v>
      </c>
    </row>
    <row r="49" spans="1:2" x14ac:dyDescent="0.2">
      <c r="A49" t="s">
        <v>87</v>
      </c>
    </row>
    <row r="51" spans="1:2" x14ac:dyDescent="0.2">
      <c r="A51" s="1" t="s">
        <v>89</v>
      </c>
    </row>
    <row r="52" spans="1:2" x14ac:dyDescent="0.2">
      <c r="A52" t="s">
        <v>90</v>
      </c>
    </row>
    <row r="53" spans="1:2" x14ac:dyDescent="0.2">
      <c r="A53" t="s">
        <v>91</v>
      </c>
    </row>
    <row r="54" spans="1:2" x14ac:dyDescent="0.2">
      <c r="A54" t="s">
        <v>104</v>
      </c>
    </row>
    <row r="55" spans="1:2" x14ac:dyDescent="0.2">
      <c r="A55" t="s">
        <v>119</v>
      </c>
    </row>
    <row r="56" spans="1:2" x14ac:dyDescent="0.2">
      <c r="A56" t="s">
        <v>120</v>
      </c>
    </row>
    <row r="58" spans="1:2" x14ac:dyDescent="0.2">
      <c r="A58">
        <v>0.9686815713640794</v>
      </c>
      <c r="B58" t="s">
        <v>124</v>
      </c>
    </row>
    <row r="59" spans="1:2" x14ac:dyDescent="0.2">
      <c r="A59">
        <v>1.0529130131709286</v>
      </c>
      <c r="B59" t="s">
        <v>107</v>
      </c>
    </row>
    <row r="60" spans="1:2" x14ac:dyDescent="0.2">
      <c r="A60">
        <f>10^6</f>
        <v>1000000</v>
      </c>
      <c r="B60" t="s">
        <v>108</v>
      </c>
    </row>
  </sheetData>
  <hyperlinks>
    <hyperlink ref="B19" r:id="rId1" display="https://stats.oecd.org/Index.aspx?DataSetCode=IOTS" xr:uid="{6BFC046D-FBF4-4CDE-94E6-3BD9264C4041}"/>
    <hyperlink ref="B38" r:id="rId2" xr:uid="{53CD0C95-E294-4307-BEF1-B1C410FF2420}"/>
    <hyperlink ref="B7" r:id="rId3" xr:uid="{F25B7C8A-612E-4BEF-83C2-30F0C31DE36A}"/>
    <hyperlink ref="B26" r:id="rId4" xr:uid="{1322CFA9-E74A-4186-9D9A-3F055E761918}"/>
    <hyperlink ref="B32" r:id="rId5" xr:uid="{C0DEF7E5-1A5F-415D-8D13-B65D636E0EE3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4569-D43B-407E-BF6B-D144DA4F7038}">
  <sheetPr>
    <tabColor theme="9" tint="0.59999389629810485"/>
  </sheetPr>
  <dimension ref="A1:B38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5.5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2014</v>
      </c>
      <c r="B2">
        <f>'Indonesia Population Data'!B19</f>
        <v>255129004</v>
      </c>
    </row>
    <row r="3" spans="1:2" x14ac:dyDescent="0.2">
      <c r="A3">
        <v>2015</v>
      </c>
      <c r="B3">
        <f>'Indonesia Population Data'!B20</f>
        <v>258383256</v>
      </c>
    </row>
    <row r="4" spans="1:2" x14ac:dyDescent="0.2">
      <c r="A4">
        <v>2016</v>
      </c>
      <c r="B4">
        <f>'Indonesia Population Data'!B21</f>
        <v>261554226</v>
      </c>
    </row>
    <row r="5" spans="1:2" x14ac:dyDescent="0.2">
      <c r="A5">
        <v>2017</v>
      </c>
      <c r="B5">
        <f>'Indonesia Population Data'!B22</f>
        <v>264645886</v>
      </c>
    </row>
    <row r="6" spans="1:2" x14ac:dyDescent="0.2">
      <c r="A6">
        <v>2018</v>
      </c>
      <c r="B6">
        <f>'Indonesia Population Data'!B23</f>
        <v>267663435</v>
      </c>
    </row>
    <row r="7" spans="1:2" x14ac:dyDescent="0.2">
      <c r="A7">
        <v>2019</v>
      </c>
      <c r="B7">
        <f>'Indonesia Population Data'!B24</f>
        <v>270625568</v>
      </c>
    </row>
    <row r="8" spans="1:2" x14ac:dyDescent="0.2">
      <c r="A8">
        <v>2020</v>
      </c>
      <c r="B8">
        <f>'Indonesia Population Data'!B25</f>
        <v>273524000</v>
      </c>
    </row>
    <row r="9" spans="1:2" x14ac:dyDescent="0.2">
      <c r="A9">
        <v>2021</v>
      </c>
      <c r="B9">
        <f>'Indonesia Population Data'!B26</f>
        <v>276362000</v>
      </c>
    </row>
    <row r="10" spans="1:2" x14ac:dyDescent="0.2">
      <c r="A10">
        <v>2022</v>
      </c>
      <c r="B10">
        <f>'Indonesia Population Data'!B27</f>
        <v>279135000</v>
      </c>
    </row>
    <row r="11" spans="1:2" x14ac:dyDescent="0.2">
      <c r="A11">
        <v>2023</v>
      </c>
      <c r="B11">
        <f>'Indonesia Population Data'!B28</f>
        <v>281844000</v>
      </c>
    </row>
    <row r="12" spans="1:2" x14ac:dyDescent="0.2">
      <c r="A12">
        <v>2024</v>
      </c>
      <c r="B12">
        <f>'Indonesia Population Data'!B29</f>
        <v>284495000</v>
      </c>
    </row>
    <row r="13" spans="1:2" x14ac:dyDescent="0.2">
      <c r="A13">
        <v>2025</v>
      </c>
      <c r="B13">
        <f>'Indonesia Population Data'!B30</f>
        <v>287090000</v>
      </c>
    </row>
    <row r="14" spans="1:2" x14ac:dyDescent="0.2">
      <c r="A14">
        <v>2026</v>
      </c>
      <c r="B14">
        <f>'Indonesia Population Data'!B31</f>
        <v>289628000</v>
      </c>
    </row>
    <row r="15" spans="1:2" x14ac:dyDescent="0.2">
      <c r="A15">
        <v>2027</v>
      </c>
      <c r="B15">
        <f>'Indonesia Population Data'!B32</f>
        <v>292109000</v>
      </c>
    </row>
    <row r="16" spans="1:2" x14ac:dyDescent="0.2">
      <c r="A16">
        <v>2028</v>
      </c>
      <c r="B16">
        <f>'Indonesia Population Data'!B33</f>
        <v>294533000</v>
      </c>
    </row>
    <row r="17" spans="1:2" x14ac:dyDescent="0.2">
      <c r="A17">
        <v>2029</v>
      </c>
      <c r="B17">
        <f>'Indonesia Population Data'!B34</f>
        <v>296896000</v>
      </c>
    </row>
    <row r="18" spans="1:2" x14ac:dyDescent="0.2">
      <c r="A18">
        <v>2030</v>
      </c>
      <c r="B18">
        <f>'Indonesia Population Data'!B35</f>
        <v>299198000</v>
      </c>
    </row>
    <row r="19" spans="1:2" x14ac:dyDescent="0.2">
      <c r="A19">
        <v>2031</v>
      </c>
      <c r="B19">
        <f>'Indonesia Population Data'!B36</f>
        <v>301439000</v>
      </c>
    </row>
    <row r="20" spans="1:2" x14ac:dyDescent="0.2">
      <c r="A20">
        <v>2032</v>
      </c>
      <c r="B20">
        <f>'Indonesia Population Data'!B37</f>
        <v>303618000</v>
      </c>
    </row>
    <row r="21" spans="1:2" x14ac:dyDescent="0.2">
      <c r="A21">
        <v>2033</v>
      </c>
      <c r="B21">
        <f>'Indonesia Population Data'!B38</f>
        <v>305733000</v>
      </c>
    </row>
    <row r="22" spans="1:2" x14ac:dyDescent="0.2">
      <c r="A22">
        <v>2034</v>
      </c>
      <c r="B22">
        <f>'Indonesia Population Data'!B39</f>
        <v>307783000</v>
      </c>
    </row>
    <row r="23" spans="1:2" x14ac:dyDescent="0.2">
      <c r="A23">
        <v>2035</v>
      </c>
      <c r="B23">
        <f>'Indonesia Population Data'!B40</f>
        <v>309765000</v>
      </c>
    </row>
    <row r="24" spans="1:2" x14ac:dyDescent="0.2">
      <c r="A24">
        <v>2036</v>
      </c>
      <c r="B24">
        <f>'Indonesia Population Data'!B41</f>
        <v>311679000</v>
      </c>
    </row>
    <row r="25" spans="1:2" x14ac:dyDescent="0.2">
      <c r="A25">
        <v>2037</v>
      </c>
      <c r="B25">
        <f>'Indonesia Population Data'!B42</f>
        <v>313525000</v>
      </c>
    </row>
    <row r="26" spans="1:2" x14ac:dyDescent="0.2">
      <c r="A26">
        <v>2038</v>
      </c>
      <c r="B26">
        <f>'Indonesia Population Data'!B43</f>
        <v>315300000</v>
      </c>
    </row>
    <row r="27" spans="1:2" x14ac:dyDescent="0.2">
      <c r="A27">
        <v>2039</v>
      </c>
      <c r="B27">
        <f>'Indonesia Population Data'!B44</f>
        <v>317005000</v>
      </c>
    </row>
    <row r="28" spans="1:2" x14ac:dyDescent="0.2">
      <c r="A28">
        <v>2040</v>
      </c>
      <c r="B28">
        <f>'Indonesia Population Data'!B45</f>
        <v>318638000</v>
      </c>
    </row>
    <row r="29" spans="1:2" x14ac:dyDescent="0.2">
      <c r="A29">
        <v>2041</v>
      </c>
      <c r="B29">
        <f>'Indonesia Population Data'!B46</f>
        <v>320199000</v>
      </c>
    </row>
    <row r="30" spans="1:2" x14ac:dyDescent="0.2">
      <c r="A30">
        <v>2042</v>
      </c>
      <c r="B30">
        <f>'Indonesia Population Data'!B47</f>
        <v>321688000</v>
      </c>
    </row>
    <row r="31" spans="1:2" x14ac:dyDescent="0.2">
      <c r="A31">
        <v>2043</v>
      </c>
      <c r="B31">
        <f>'Indonesia Population Data'!B48</f>
        <v>323103000</v>
      </c>
    </row>
    <row r="32" spans="1:2" x14ac:dyDescent="0.2">
      <c r="A32">
        <v>2044</v>
      </c>
      <c r="B32">
        <f>'Indonesia Population Data'!B49</f>
        <v>324442000</v>
      </c>
    </row>
    <row r="33" spans="1:2" x14ac:dyDescent="0.2">
      <c r="A33">
        <v>2045</v>
      </c>
      <c r="B33">
        <f>'Indonesia Population Data'!B50</f>
        <v>325705000</v>
      </c>
    </row>
    <row r="34" spans="1:2" x14ac:dyDescent="0.2">
      <c r="A34">
        <v>2046</v>
      </c>
      <c r="B34">
        <f>'Indonesia Population Data'!B51</f>
        <v>326892000</v>
      </c>
    </row>
    <row r="35" spans="1:2" x14ac:dyDescent="0.2">
      <c r="A35">
        <v>2047</v>
      </c>
      <c r="B35">
        <f>'Indonesia Population Data'!B52</f>
        <v>328004000</v>
      </c>
    </row>
    <row r="36" spans="1:2" x14ac:dyDescent="0.2">
      <c r="A36">
        <v>2048</v>
      </c>
      <c r="B36">
        <f>'Indonesia Population Data'!B53</f>
        <v>329042000</v>
      </c>
    </row>
    <row r="37" spans="1:2" x14ac:dyDescent="0.2">
      <c r="A37">
        <v>2049</v>
      </c>
      <c r="B37">
        <f>'Indonesia Population Data'!B54</f>
        <v>330008000</v>
      </c>
    </row>
    <row r="38" spans="1:2" x14ac:dyDescent="0.2">
      <c r="A38">
        <v>2050</v>
      </c>
      <c r="B38">
        <f>'Indonesia Population Data'!B55</f>
        <v>330905000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D72D-FB12-4EFD-BBFA-B9A83A93CCFD}">
  <sheetPr>
    <tabColor theme="9" tint="0.59999389629810485"/>
  </sheetPr>
  <dimension ref="A1:B55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13.83203125" bestFit="1" customWidth="1"/>
    <col min="2" max="2" width="16.6640625" customWidth="1"/>
  </cols>
  <sheetData>
    <row r="1" spans="1:2" x14ac:dyDescent="0.2">
      <c r="A1" t="s">
        <v>93</v>
      </c>
      <c r="B1" t="s">
        <v>129</v>
      </c>
    </row>
    <row r="2" spans="1:2" x14ac:dyDescent="0.2">
      <c r="A2" t="s">
        <v>94</v>
      </c>
      <c r="B2" t="s">
        <v>128</v>
      </c>
    </row>
    <row r="3" spans="1:2" x14ac:dyDescent="0.2">
      <c r="A3" t="s">
        <v>95</v>
      </c>
      <c r="B3" t="s">
        <v>96</v>
      </c>
    </row>
    <row r="4" spans="1:2" x14ac:dyDescent="0.2">
      <c r="A4" t="s">
        <v>97</v>
      </c>
      <c r="B4" t="s">
        <v>98</v>
      </c>
    </row>
    <row r="5" spans="1:2" x14ac:dyDescent="0.2">
      <c r="A5">
        <v>2000</v>
      </c>
      <c r="B5">
        <v>211513823</v>
      </c>
    </row>
    <row r="6" spans="1:2" x14ac:dyDescent="0.2">
      <c r="A6">
        <v>2001</v>
      </c>
      <c r="B6">
        <v>214427417</v>
      </c>
    </row>
    <row r="7" spans="1:2" x14ac:dyDescent="0.2">
      <c r="A7">
        <v>2002</v>
      </c>
      <c r="B7">
        <v>217357793</v>
      </c>
    </row>
    <row r="8" spans="1:2" x14ac:dyDescent="0.2">
      <c r="A8">
        <v>2003</v>
      </c>
      <c r="B8">
        <v>220309469</v>
      </c>
    </row>
    <row r="9" spans="1:2" x14ac:dyDescent="0.2">
      <c r="A9">
        <v>2004</v>
      </c>
      <c r="B9">
        <v>223285676</v>
      </c>
    </row>
    <row r="10" spans="1:2" x14ac:dyDescent="0.2">
      <c r="A10">
        <v>2005</v>
      </c>
      <c r="B10">
        <v>226289470</v>
      </c>
    </row>
    <row r="11" spans="1:2" x14ac:dyDescent="0.2">
      <c r="A11">
        <v>2006</v>
      </c>
      <c r="B11">
        <v>229318262</v>
      </c>
    </row>
    <row r="12" spans="1:2" x14ac:dyDescent="0.2">
      <c r="A12">
        <v>2007</v>
      </c>
      <c r="B12">
        <v>232374245</v>
      </c>
    </row>
    <row r="13" spans="1:2" x14ac:dyDescent="0.2">
      <c r="A13">
        <v>2008</v>
      </c>
      <c r="B13">
        <v>235469762</v>
      </c>
    </row>
    <row r="14" spans="1:2" x14ac:dyDescent="0.2">
      <c r="A14">
        <v>2009</v>
      </c>
      <c r="B14">
        <v>238620563</v>
      </c>
    </row>
    <row r="15" spans="1:2" x14ac:dyDescent="0.2">
      <c r="A15">
        <v>2010</v>
      </c>
      <c r="B15">
        <v>241834215</v>
      </c>
    </row>
    <row r="16" spans="1:2" x14ac:dyDescent="0.2">
      <c r="A16">
        <v>2011</v>
      </c>
      <c r="B16">
        <v>245116206</v>
      </c>
    </row>
    <row r="17" spans="1:2" x14ac:dyDescent="0.2">
      <c r="A17">
        <v>2012</v>
      </c>
      <c r="B17">
        <v>248452413</v>
      </c>
    </row>
    <row r="18" spans="1:2" x14ac:dyDescent="0.2">
      <c r="A18">
        <v>2013</v>
      </c>
      <c r="B18">
        <v>251806402</v>
      </c>
    </row>
    <row r="19" spans="1:2" x14ac:dyDescent="0.2">
      <c r="A19">
        <v>2014</v>
      </c>
      <c r="B19">
        <v>255129004</v>
      </c>
    </row>
    <row r="20" spans="1:2" x14ac:dyDescent="0.2">
      <c r="A20">
        <v>2015</v>
      </c>
      <c r="B20">
        <v>258383256</v>
      </c>
    </row>
    <row r="21" spans="1:2" x14ac:dyDescent="0.2">
      <c r="A21">
        <v>2016</v>
      </c>
      <c r="B21">
        <v>261554226</v>
      </c>
    </row>
    <row r="22" spans="1:2" x14ac:dyDescent="0.2">
      <c r="A22">
        <v>2017</v>
      </c>
      <c r="B22">
        <v>264645886</v>
      </c>
    </row>
    <row r="23" spans="1:2" x14ac:dyDescent="0.2">
      <c r="A23">
        <v>2018</v>
      </c>
      <c r="B23">
        <v>267663435</v>
      </c>
    </row>
    <row r="24" spans="1:2" x14ac:dyDescent="0.2">
      <c r="A24">
        <v>2019</v>
      </c>
      <c r="B24">
        <v>270625568</v>
      </c>
    </row>
    <row r="25" spans="1:2" x14ac:dyDescent="0.2">
      <c r="A25">
        <v>2020</v>
      </c>
      <c r="B25">
        <v>273524000</v>
      </c>
    </row>
    <row r="26" spans="1:2" x14ac:dyDescent="0.2">
      <c r="A26">
        <v>2021</v>
      </c>
      <c r="B26">
        <v>276362000</v>
      </c>
    </row>
    <row r="27" spans="1:2" x14ac:dyDescent="0.2">
      <c r="A27">
        <v>2022</v>
      </c>
      <c r="B27">
        <v>279135000</v>
      </c>
    </row>
    <row r="28" spans="1:2" x14ac:dyDescent="0.2">
      <c r="A28">
        <v>2023</v>
      </c>
      <c r="B28">
        <v>281844000</v>
      </c>
    </row>
    <row r="29" spans="1:2" x14ac:dyDescent="0.2">
      <c r="A29">
        <v>2024</v>
      </c>
      <c r="B29">
        <v>284495000</v>
      </c>
    </row>
    <row r="30" spans="1:2" x14ac:dyDescent="0.2">
      <c r="A30">
        <v>2025</v>
      </c>
      <c r="B30">
        <v>287090000</v>
      </c>
    </row>
    <row r="31" spans="1:2" x14ac:dyDescent="0.2">
      <c r="A31">
        <v>2026</v>
      </c>
      <c r="B31">
        <v>289628000</v>
      </c>
    </row>
    <row r="32" spans="1:2" x14ac:dyDescent="0.2">
      <c r="A32">
        <v>2027</v>
      </c>
      <c r="B32">
        <v>292109000</v>
      </c>
    </row>
    <row r="33" spans="1:2" x14ac:dyDescent="0.2">
      <c r="A33">
        <v>2028</v>
      </c>
      <c r="B33">
        <v>294533000</v>
      </c>
    </row>
    <row r="34" spans="1:2" x14ac:dyDescent="0.2">
      <c r="A34">
        <v>2029</v>
      </c>
      <c r="B34">
        <v>296896000</v>
      </c>
    </row>
    <row r="35" spans="1:2" x14ac:dyDescent="0.2">
      <c r="A35">
        <v>2030</v>
      </c>
      <c r="B35">
        <v>299198000</v>
      </c>
    </row>
    <row r="36" spans="1:2" x14ac:dyDescent="0.2">
      <c r="A36">
        <v>2031</v>
      </c>
      <c r="B36">
        <v>301439000</v>
      </c>
    </row>
    <row r="37" spans="1:2" x14ac:dyDescent="0.2">
      <c r="A37">
        <v>2032</v>
      </c>
      <c r="B37">
        <v>303618000</v>
      </c>
    </row>
    <row r="38" spans="1:2" x14ac:dyDescent="0.2">
      <c r="A38">
        <v>2033</v>
      </c>
      <c r="B38">
        <v>305733000</v>
      </c>
    </row>
    <row r="39" spans="1:2" x14ac:dyDescent="0.2">
      <c r="A39">
        <v>2034</v>
      </c>
      <c r="B39">
        <v>307783000</v>
      </c>
    </row>
    <row r="40" spans="1:2" x14ac:dyDescent="0.2">
      <c r="A40">
        <v>2035</v>
      </c>
      <c r="B40">
        <v>309765000</v>
      </c>
    </row>
    <row r="41" spans="1:2" x14ac:dyDescent="0.2">
      <c r="A41">
        <v>2036</v>
      </c>
      <c r="B41">
        <v>311679000</v>
      </c>
    </row>
    <row r="42" spans="1:2" x14ac:dyDescent="0.2">
      <c r="A42">
        <v>2037</v>
      </c>
      <c r="B42">
        <v>313525000</v>
      </c>
    </row>
    <row r="43" spans="1:2" x14ac:dyDescent="0.2">
      <c r="A43">
        <v>2038</v>
      </c>
      <c r="B43">
        <v>315300000</v>
      </c>
    </row>
    <row r="44" spans="1:2" x14ac:dyDescent="0.2">
      <c r="A44">
        <v>2039</v>
      </c>
      <c r="B44">
        <v>317005000</v>
      </c>
    </row>
    <row r="45" spans="1:2" x14ac:dyDescent="0.2">
      <c r="A45">
        <v>2040</v>
      </c>
      <c r="B45">
        <v>318638000</v>
      </c>
    </row>
    <row r="46" spans="1:2" x14ac:dyDescent="0.2">
      <c r="A46">
        <v>2041</v>
      </c>
      <c r="B46">
        <v>320199000</v>
      </c>
    </row>
    <row r="47" spans="1:2" x14ac:dyDescent="0.2">
      <c r="A47">
        <v>2042</v>
      </c>
      <c r="B47">
        <v>321688000</v>
      </c>
    </row>
    <row r="48" spans="1:2" x14ac:dyDescent="0.2">
      <c r="A48">
        <v>2043</v>
      </c>
      <c r="B48">
        <v>323103000</v>
      </c>
    </row>
    <row r="49" spans="1:2" x14ac:dyDescent="0.2">
      <c r="A49">
        <v>2044</v>
      </c>
      <c r="B49">
        <v>324442000</v>
      </c>
    </row>
    <row r="50" spans="1:2" x14ac:dyDescent="0.2">
      <c r="A50">
        <v>2045</v>
      </c>
      <c r="B50">
        <v>325705000</v>
      </c>
    </row>
    <row r="51" spans="1:2" x14ac:dyDescent="0.2">
      <c r="A51">
        <v>2046</v>
      </c>
      <c r="B51">
        <v>326892000</v>
      </c>
    </row>
    <row r="52" spans="1:2" x14ac:dyDescent="0.2">
      <c r="A52">
        <v>2047</v>
      </c>
      <c r="B52">
        <v>328004000</v>
      </c>
    </row>
    <row r="53" spans="1:2" x14ac:dyDescent="0.2">
      <c r="A53">
        <v>2048</v>
      </c>
      <c r="B53">
        <v>329042000</v>
      </c>
    </row>
    <row r="54" spans="1:2" x14ac:dyDescent="0.2">
      <c r="A54">
        <v>2049</v>
      </c>
      <c r="B54">
        <v>330008000</v>
      </c>
    </row>
    <row r="55" spans="1:2" x14ac:dyDescent="0.2">
      <c r="A55">
        <v>2050</v>
      </c>
      <c r="B55">
        <v>330905000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2AED-73AE-45CB-BD7F-6154AA286092}">
  <sheetPr>
    <tabColor theme="9" tint="0.59999389629810485"/>
  </sheetPr>
  <dimension ref="A1:B881"/>
  <sheetViews>
    <sheetView topLeftCell="A34" workbookViewId="0">
      <selection activeCell="E26" sqref="E26"/>
    </sheetView>
  </sheetViews>
  <sheetFormatPr baseColWidth="10" defaultColWidth="8.83203125" defaultRowHeight="15" x14ac:dyDescent="0.2"/>
  <cols>
    <col min="1" max="2" width="20.6640625" customWidth="1"/>
  </cols>
  <sheetData>
    <row r="1" spans="1:2" x14ac:dyDescent="0.2">
      <c r="A1" t="s">
        <v>6</v>
      </c>
    </row>
    <row r="2" spans="1:2" x14ac:dyDescent="0.2">
      <c r="A2" t="s">
        <v>7</v>
      </c>
    </row>
    <row r="3" spans="1:2" x14ac:dyDescent="0.2">
      <c r="A3" t="s">
        <v>8</v>
      </c>
    </row>
    <row r="4" spans="1:2" x14ac:dyDescent="0.2">
      <c r="A4" t="s">
        <v>9</v>
      </c>
    </row>
    <row r="5" spans="1:2" x14ac:dyDescent="0.2">
      <c r="A5" t="s">
        <v>10</v>
      </c>
    </row>
    <row r="6" spans="1:2" x14ac:dyDescent="0.2">
      <c r="A6" t="s">
        <v>11</v>
      </c>
    </row>
    <row r="8" spans="1:2" x14ac:dyDescent="0.2">
      <c r="A8" s="26" t="s">
        <v>132</v>
      </c>
      <c r="B8" s="26" t="s">
        <v>133</v>
      </c>
    </row>
    <row r="10" spans="1:2" x14ac:dyDescent="0.2">
      <c r="A10" s="26" t="s">
        <v>103</v>
      </c>
      <c r="B10" s="26"/>
    </row>
    <row r="11" spans="1:2" x14ac:dyDescent="0.2">
      <c r="A11" s="26" t="s">
        <v>134</v>
      </c>
      <c r="B11" s="26" t="s">
        <v>132</v>
      </c>
    </row>
    <row r="12" spans="1:2" x14ac:dyDescent="0.2">
      <c r="A12" s="27">
        <v>33239</v>
      </c>
      <c r="B12" s="28">
        <v>63.799999237060497</v>
      </c>
    </row>
    <row r="13" spans="1:2" x14ac:dyDescent="0.2">
      <c r="A13" s="27">
        <v>33604</v>
      </c>
      <c r="B13" s="28">
        <v>64.080001831054702</v>
      </c>
    </row>
    <row r="14" spans="1:2" x14ac:dyDescent="0.2">
      <c r="A14" s="27">
        <v>33970</v>
      </c>
      <c r="B14" s="28">
        <v>63.299999237060497</v>
      </c>
    </row>
    <row r="15" spans="1:2" x14ac:dyDescent="0.2">
      <c r="A15" s="27">
        <v>34335</v>
      </c>
      <c r="B15" s="28">
        <v>63.5200004577637</v>
      </c>
    </row>
    <row r="16" spans="1:2" x14ac:dyDescent="0.2">
      <c r="A16" s="27">
        <v>34700</v>
      </c>
      <c r="B16" s="28">
        <v>63.419998168945298</v>
      </c>
    </row>
    <row r="17" spans="1:2" x14ac:dyDescent="0.2">
      <c r="A17" s="27">
        <v>35065</v>
      </c>
      <c r="B17" s="28">
        <v>63.299999237060497</v>
      </c>
    </row>
    <row r="18" spans="1:2" x14ac:dyDescent="0.2">
      <c r="A18" s="27">
        <v>35431</v>
      </c>
      <c r="B18" s="28">
        <v>62.970001220703097</v>
      </c>
    </row>
    <row r="19" spans="1:2" x14ac:dyDescent="0.2">
      <c r="A19" s="27">
        <v>35796</v>
      </c>
      <c r="B19" s="28">
        <v>62.860000610351598</v>
      </c>
    </row>
    <row r="20" spans="1:2" x14ac:dyDescent="0.2">
      <c r="A20" s="27">
        <v>36161</v>
      </c>
      <c r="B20" s="28">
        <v>62.590000152587898</v>
      </c>
    </row>
    <row r="21" spans="1:2" x14ac:dyDescent="0.2">
      <c r="A21" s="27">
        <v>36526</v>
      </c>
      <c r="B21" s="28">
        <v>63.150001525878899</v>
      </c>
    </row>
    <row r="22" spans="1:2" x14ac:dyDescent="0.2">
      <c r="A22" s="27">
        <v>36892</v>
      </c>
      <c r="B22" s="28">
        <v>62.330001831054702</v>
      </c>
    </row>
    <row r="23" spans="1:2" x14ac:dyDescent="0.2">
      <c r="A23" s="27">
        <v>37257</v>
      </c>
      <c r="B23" s="28">
        <v>60.880001068115199</v>
      </c>
    </row>
    <row r="24" spans="1:2" x14ac:dyDescent="0.2">
      <c r="A24" s="27">
        <v>37622</v>
      </c>
      <c r="B24" s="28">
        <v>60.450000762939503</v>
      </c>
    </row>
    <row r="25" spans="1:2" x14ac:dyDescent="0.2">
      <c r="A25" s="27">
        <v>37987</v>
      </c>
      <c r="B25" s="28">
        <v>60.290000915527301</v>
      </c>
    </row>
    <row r="26" spans="1:2" x14ac:dyDescent="0.2">
      <c r="A26" s="27">
        <v>38353</v>
      </c>
      <c r="B26" s="28">
        <v>58.830001831054702</v>
      </c>
    </row>
    <row r="27" spans="1:2" x14ac:dyDescent="0.2">
      <c r="A27" s="27">
        <v>38718</v>
      </c>
      <c r="B27" s="28">
        <v>59.209999084472699</v>
      </c>
    </row>
    <row r="28" spans="1:2" x14ac:dyDescent="0.2">
      <c r="A28" s="27">
        <v>39083</v>
      </c>
      <c r="B28" s="28">
        <v>60.939998626708999</v>
      </c>
    </row>
    <row r="29" spans="1:2" x14ac:dyDescent="0.2">
      <c r="A29" s="27">
        <v>39448</v>
      </c>
      <c r="B29" s="28">
        <v>61.840000152587898</v>
      </c>
    </row>
    <row r="30" spans="1:2" x14ac:dyDescent="0.2">
      <c r="A30" s="27">
        <v>39814</v>
      </c>
      <c r="B30" s="28">
        <v>62.590000152587898</v>
      </c>
    </row>
    <row r="31" spans="1:2" x14ac:dyDescent="0.2">
      <c r="A31" s="27">
        <v>40179</v>
      </c>
      <c r="B31" s="28">
        <v>63.419998168945298</v>
      </c>
    </row>
    <row r="32" spans="1:2" x14ac:dyDescent="0.2">
      <c r="A32" s="27">
        <v>40544</v>
      </c>
      <c r="B32" s="28">
        <v>63.810001373291001</v>
      </c>
    </row>
    <row r="33" spans="1:2" x14ac:dyDescent="0.2">
      <c r="A33" s="27">
        <v>40909</v>
      </c>
      <c r="B33" s="28">
        <v>64.709999084472699</v>
      </c>
    </row>
    <row r="34" spans="1:2" x14ac:dyDescent="0.2">
      <c r="A34" s="27">
        <v>41275</v>
      </c>
      <c r="B34" s="28">
        <v>64.139999389648395</v>
      </c>
    </row>
    <row r="35" spans="1:2" x14ac:dyDescent="0.2">
      <c r="A35" s="27">
        <v>41640</v>
      </c>
      <c r="B35" s="28">
        <v>64.110000610351605</v>
      </c>
    </row>
    <row r="36" spans="1:2" x14ac:dyDescent="0.2">
      <c r="A36" s="27">
        <v>42005</v>
      </c>
      <c r="B36" s="28">
        <v>63.490001678466797</v>
      </c>
    </row>
    <row r="37" spans="1:2" x14ac:dyDescent="0.2">
      <c r="A37" s="27">
        <v>42370</v>
      </c>
      <c r="B37" s="28">
        <v>63.330001831054702</v>
      </c>
    </row>
    <row r="38" spans="1:2" x14ac:dyDescent="0.2">
      <c r="A38" s="27">
        <v>42736</v>
      </c>
      <c r="B38" s="28">
        <v>64.209999084472699</v>
      </c>
    </row>
    <row r="39" spans="1:2" x14ac:dyDescent="0.2">
      <c r="A39" s="27">
        <v>43101</v>
      </c>
      <c r="B39" s="28">
        <v>64.470001220703097</v>
      </c>
    </row>
    <row r="40" spans="1:2" x14ac:dyDescent="0.2">
      <c r="A40" s="27">
        <v>43466</v>
      </c>
      <c r="B40" s="28">
        <v>65.540000915527301</v>
      </c>
    </row>
    <row r="41" spans="1:2" x14ac:dyDescent="0.2">
      <c r="A41" s="27">
        <v>43831</v>
      </c>
      <c r="B41" s="28">
        <v>63.720001220703097</v>
      </c>
    </row>
    <row r="42" spans="1:2" x14ac:dyDescent="0.2">
      <c r="A42" s="5"/>
      <c r="B42" s="6"/>
    </row>
    <row r="43" spans="1:2" x14ac:dyDescent="0.2">
      <c r="A43" s="5"/>
      <c r="B43" s="6"/>
    </row>
    <row r="44" spans="1:2" x14ac:dyDescent="0.2">
      <c r="A44" s="5"/>
      <c r="B44" s="6"/>
    </row>
    <row r="45" spans="1:2" x14ac:dyDescent="0.2">
      <c r="A45" s="5"/>
      <c r="B45" s="6"/>
    </row>
    <row r="46" spans="1:2" x14ac:dyDescent="0.2">
      <c r="A46" s="5"/>
      <c r="B46" s="6"/>
    </row>
    <row r="47" spans="1:2" x14ac:dyDescent="0.2">
      <c r="A47" s="5"/>
      <c r="B47" s="6"/>
    </row>
    <row r="48" spans="1:2" x14ac:dyDescent="0.2">
      <c r="A48" s="5"/>
      <c r="B48" s="6"/>
    </row>
    <row r="49" spans="1:2" x14ac:dyDescent="0.2">
      <c r="A49" s="5"/>
      <c r="B49" s="6"/>
    </row>
    <row r="50" spans="1:2" x14ac:dyDescent="0.2">
      <c r="A50" s="5"/>
      <c r="B50" s="6"/>
    </row>
    <row r="51" spans="1:2" x14ac:dyDescent="0.2">
      <c r="A51" s="5"/>
      <c r="B51" s="6"/>
    </row>
    <row r="52" spans="1:2" x14ac:dyDescent="0.2">
      <c r="A52" s="5"/>
      <c r="B52" s="6"/>
    </row>
    <row r="53" spans="1:2" x14ac:dyDescent="0.2">
      <c r="A53" s="5"/>
      <c r="B53" s="6"/>
    </row>
    <row r="54" spans="1:2" x14ac:dyDescent="0.2">
      <c r="A54" s="5"/>
      <c r="B54" s="6"/>
    </row>
    <row r="55" spans="1:2" x14ac:dyDescent="0.2">
      <c r="A55" s="5"/>
      <c r="B55" s="6"/>
    </row>
    <row r="56" spans="1:2" x14ac:dyDescent="0.2">
      <c r="A56" s="5"/>
      <c r="B56" s="6"/>
    </row>
    <row r="57" spans="1:2" x14ac:dyDescent="0.2">
      <c r="A57" s="5"/>
      <c r="B57" s="6"/>
    </row>
    <row r="58" spans="1:2" x14ac:dyDescent="0.2">
      <c r="A58" s="5"/>
      <c r="B58" s="6"/>
    </row>
    <row r="59" spans="1:2" x14ac:dyDescent="0.2">
      <c r="A59" s="5"/>
      <c r="B59" s="6"/>
    </row>
    <row r="60" spans="1:2" x14ac:dyDescent="0.2">
      <c r="A60" s="5"/>
      <c r="B60" s="6"/>
    </row>
    <row r="61" spans="1:2" x14ac:dyDescent="0.2">
      <c r="A61" s="5"/>
      <c r="B61" s="6"/>
    </row>
    <row r="62" spans="1:2" x14ac:dyDescent="0.2">
      <c r="A62" s="5"/>
      <c r="B62" s="6"/>
    </row>
    <row r="63" spans="1:2" x14ac:dyDescent="0.2">
      <c r="A63" s="5"/>
      <c r="B63" s="6"/>
    </row>
    <row r="64" spans="1:2" x14ac:dyDescent="0.2">
      <c r="A64" s="5"/>
      <c r="B64" s="6"/>
    </row>
    <row r="65" spans="1:2" x14ac:dyDescent="0.2">
      <c r="A65" s="5"/>
      <c r="B65" s="6"/>
    </row>
    <row r="66" spans="1:2" x14ac:dyDescent="0.2">
      <c r="A66" s="5"/>
      <c r="B66" s="6"/>
    </row>
    <row r="67" spans="1:2" x14ac:dyDescent="0.2">
      <c r="A67" s="5"/>
      <c r="B67" s="6"/>
    </row>
    <row r="68" spans="1:2" x14ac:dyDescent="0.2">
      <c r="A68" s="5"/>
      <c r="B68" s="6"/>
    </row>
    <row r="69" spans="1:2" x14ac:dyDescent="0.2">
      <c r="A69" s="5"/>
      <c r="B69" s="6"/>
    </row>
    <row r="70" spans="1:2" x14ac:dyDescent="0.2">
      <c r="A70" s="5"/>
      <c r="B70" s="6"/>
    </row>
    <row r="71" spans="1:2" x14ac:dyDescent="0.2">
      <c r="A71" s="5"/>
      <c r="B71" s="6"/>
    </row>
    <row r="72" spans="1:2" x14ac:dyDescent="0.2">
      <c r="A72" s="5"/>
      <c r="B72" s="6"/>
    </row>
    <row r="73" spans="1:2" x14ac:dyDescent="0.2">
      <c r="A73" s="5"/>
      <c r="B73" s="6"/>
    </row>
    <row r="74" spans="1:2" x14ac:dyDescent="0.2">
      <c r="A74" s="5"/>
      <c r="B74" s="6"/>
    </row>
    <row r="75" spans="1:2" x14ac:dyDescent="0.2">
      <c r="A75" s="5"/>
      <c r="B75" s="6"/>
    </row>
    <row r="76" spans="1:2" x14ac:dyDescent="0.2">
      <c r="A76" s="5"/>
      <c r="B76" s="6"/>
    </row>
    <row r="77" spans="1:2" x14ac:dyDescent="0.2">
      <c r="A77" s="5"/>
      <c r="B77" s="6"/>
    </row>
    <row r="78" spans="1:2" x14ac:dyDescent="0.2">
      <c r="A78" s="5"/>
      <c r="B78" s="6"/>
    </row>
    <row r="79" spans="1:2" x14ac:dyDescent="0.2">
      <c r="A79" s="5"/>
      <c r="B79" s="6"/>
    </row>
    <row r="80" spans="1:2" x14ac:dyDescent="0.2">
      <c r="A80" s="5"/>
      <c r="B80" s="6"/>
    </row>
    <row r="81" spans="1:2" x14ac:dyDescent="0.2">
      <c r="A81" s="5"/>
      <c r="B81" s="6"/>
    </row>
    <row r="82" spans="1:2" x14ac:dyDescent="0.2">
      <c r="A82" s="5"/>
      <c r="B82" s="6"/>
    </row>
    <row r="83" spans="1:2" x14ac:dyDescent="0.2">
      <c r="A83" s="5"/>
      <c r="B83" s="6"/>
    </row>
    <row r="84" spans="1:2" x14ac:dyDescent="0.2">
      <c r="A84" s="5"/>
      <c r="B84" s="6"/>
    </row>
    <row r="85" spans="1:2" x14ac:dyDescent="0.2">
      <c r="A85" s="5"/>
      <c r="B85" s="6"/>
    </row>
    <row r="86" spans="1:2" x14ac:dyDescent="0.2">
      <c r="A86" s="5"/>
      <c r="B86" s="6"/>
    </row>
    <row r="87" spans="1:2" x14ac:dyDescent="0.2">
      <c r="A87" s="5"/>
      <c r="B87" s="6"/>
    </row>
    <row r="88" spans="1:2" x14ac:dyDescent="0.2">
      <c r="A88" s="5"/>
      <c r="B88" s="6"/>
    </row>
    <row r="89" spans="1:2" x14ac:dyDescent="0.2">
      <c r="A89" s="5"/>
      <c r="B89" s="6"/>
    </row>
    <row r="90" spans="1:2" x14ac:dyDescent="0.2">
      <c r="A90" s="5"/>
      <c r="B90" s="6"/>
    </row>
    <row r="91" spans="1:2" x14ac:dyDescent="0.2">
      <c r="A91" s="5"/>
      <c r="B91" s="6"/>
    </row>
    <row r="92" spans="1:2" x14ac:dyDescent="0.2">
      <c r="A92" s="5"/>
      <c r="B92" s="6"/>
    </row>
    <row r="93" spans="1:2" x14ac:dyDescent="0.2">
      <c r="A93" s="5"/>
      <c r="B93" s="6"/>
    </row>
    <row r="94" spans="1:2" x14ac:dyDescent="0.2">
      <c r="A94" s="5"/>
      <c r="B94" s="6"/>
    </row>
    <row r="95" spans="1:2" x14ac:dyDescent="0.2">
      <c r="A95" s="5"/>
      <c r="B95" s="6"/>
    </row>
    <row r="96" spans="1:2" x14ac:dyDescent="0.2">
      <c r="A96" s="5"/>
      <c r="B96" s="6"/>
    </row>
    <row r="97" spans="1:2" x14ac:dyDescent="0.2">
      <c r="A97" s="5"/>
      <c r="B97" s="6"/>
    </row>
    <row r="98" spans="1:2" x14ac:dyDescent="0.2">
      <c r="A98" s="5"/>
      <c r="B98" s="6"/>
    </row>
    <row r="99" spans="1:2" x14ac:dyDescent="0.2">
      <c r="A99" s="5"/>
      <c r="B99" s="6"/>
    </row>
    <row r="100" spans="1:2" x14ac:dyDescent="0.2">
      <c r="A100" s="5"/>
      <c r="B100" s="6"/>
    </row>
    <row r="101" spans="1:2" x14ac:dyDescent="0.2">
      <c r="A101" s="5"/>
      <c r="B101" s="6"/>
    </row>
    <row r="102" spans="1:2" x14ac:dyDescent="0.2">
      <c r="A102" s="5"/>
      <c r="B102" s="6"/>
    </row>
    <row r="103" spans="1:2" x14ac:dyDescent="0.2">
      <c r="A103" s="5"/>
      <c r="B103" s="6"/>
    </row>
    <row r="104" spans="1:2" x14ac:dyDescent="0.2">
      <c r="A104" s="5"/>
      <c r="B104" s="6"/>
    </row>
    <row r="105" spans="1:2" x14ac:dyDescent="0.2">
      <c r="A105" s="5"/>
      <c r="B105" s="6"/>
    </row>
    <row r="106" spans="1:2" x14ac:dyDescent="0.2">
      <c r="A106" s="5"/>
      <c r="B106" s="6"/>
    </row>
    <row r="107" spans="1:2" x14ac:dyDescent="0.2">
      <c r="A107" s="5"/>
      <c r="B107" s="6"/>
    </row>
    <row r="108" spans="1:2" x14ac:dyDescent="0.2">
      <c r="A108" s="5"/>
      <c r="B108" s="6"/>
    </row>
    <row r="109" spans="1:2" x14ac:dyDescent="0.2">
      <c r="A109" s="5"/>
      <c r="B109" s="6"/>
    </row>
    <row r="110" spans="1:2" x14ac:dyDescent="0.2">
      <c r="A110" s="5"/>
      <c r="B110" s="6"/>
    </row>
    <row r="111" spans="1:2" x14ac:dyDescent="0.2">
      <c r="A111" s="5"/>
      <c r="B111" s="6"/>
    </row>
    <row r="112" spans="1:2" x14ac:dyDescent="0.2">
      <c r="A112" s="5"/>
      <c r="B112" s="6"/>
    </row>
    <row r="113" spans="1:2" x14ac:dyDescent="0.2">
      <c r="A113" s="5"/>
      <c r="B113" s="6"/>
    </row>
    <row r="114" spans="1:2" x14ac:dyDescent="0.2">
      <c r="A114" s="5"/>
      <c r="B114" s="6"/>
    </row>
    <row r="115" spans="1:2" x14ac:dyDescent="0.2">
      <c r="A115" s="5"/>
      <c r="B115" s="6"/>
    </row>
    <row r="116" spans="1:2" x14ac:dyDescent="0.2">
      <c r="A116" s="5"/>
      <c r="B116" s="6"/>
    </row>
    <row r="117" spans="1:2" x14ac:dyDescent="0.2">
      <c r="A117" s="5"/>
      <c r="B117" s="6"/>
    </row>
    <row r="118" spans="1:2" x14ac:dyDescent="0.2">
      <c r="A118" s="5"/>
      <c r="B118" s="6"/>
    </row>
    <row r="119" spans="1:2" x14ac:dyDescent="0.2">
      <c r="A119" s="5"/>
      <c r="B119" s="6"/>
    </row>
    <row r="120" spans="1:2" x14ac:dyDescent="0.2">
      <c r="A120" s="5"/>
      <c r="B120" s="6"/>
    </row>
    <row r="121" spans="1:2" x14ac:dyDescent="0.2">
      <c r="A121" s="5"/>
      <c r="B121" s="6"/>
    </row>
    <row r="122" spans="1:2" x14ac:dyDescent="0.2">
      <c r="A122" s="5"/>
      <c r="B122" s="6"/>
    </row>
    <row r="123" spans="1:2" x14ac:dyDescent="0.2">
      <c r="A123" s="5"/>
      <c r="B123" s="6"/>
    </row>
    <row r="124" spans="1:2" x14ac:dyDescent="0.2">
      <c r="A124" s="5"/>
      <c r="B124" s="6"/>
    </row>
    <row r="125" spans="1:2" x14ac:dyDescent="0.2">
      <c r="A125" s="5"/>
      <c r="B125" s="6"/>
    </row>
    <row r="126" spans="1:2" x14ac:dyDescent="0.2">
      <c r="A126" s="5"/>
      <c r="B126" s="6"/>
    </row>
    <row r="127" spans="1:2" x14ac:dyDescent="0.2">
      <c r="A127" s="5"/>
      <c r="B127" s="6"/>
    </row>
    <row r="128" spans="1:2" x14ac:dyDescent="0.2">
      <c r="A128" s="5"/>
      <c r="B128" s="6"/>
    </row>
    <row r="129" spans="1:2" x14ac:dyDescent="0.2">
      <c r="A129" s="5"/>
      <c r="B129" s="6"/>
    </row>
    <row r="130" spans="1:2" x14ac:dyDescent="0.2">
      <c r="A130" s="5"/>
      <c r="B130" s="6"/>
    </row>
    <row r="131" spans="1:2" x14ac:dyDescent="0.2">
      <c r="A131" s="5"/>
      <c r="B131" s="6"/>
    </row>
    <row r="132" spans="1:2" x14ac:dyDescent="0.2">
      <c r="A132" s="5"/>
      <c r="B132" s="6"/>
    </row>
    <row r="133" spans="1:2" x14ac:dyDescent="0.2">
      <c r="A133" s="5"/>
      <c r="B133" s="6"/>
    </row>
    <row r="134" spans="1:2" x14ac:dyDescent="0.2">
      <c r="A134" s="5"/>
      <c r="B134" s="6"/>
    </row>
    <row r="135" spans="1:2" x14ac:dyDescent="0.2">
      <c r="A135" s="5"/>
      <c r="B135" s="6"/>
    </row>
    <row r="136" spans="1:2" x14ac:dyDescent="0.2">
      <c r="A136" s="5"/>
      <c r="B136" s="6"/>
    </row>
    <row r="137" spans="1:2" x14ac:dyDescent="0.2">
      <c r="A137" s="5"/>
      <c r="B137" s="6"/>
    </row>
    <row r="138" spans="1:2" x14ac:dyDescent="0.2">
      <c r="A138" s="5"/>
      <c r="B138" s="6"/>
    </row>
    <row r="139" spans="1:2" x14ac:dyDescent="0.2">
      <c r="A139" s="5"/>
      <c r="B139" s="6"/>
    </row>
    <row r="140" spans="1:2" x14ac:dyDescent="0.2">
      <c r="A140" s="5"/>
      <c r="B140" s="6"/>
    </row>
    <row r="141" spans="1:2" x14ac:dyDescent="0.2">
      <c r="A141" s="5"/>
      <c r="B141" s="6"/>
    </row>
    <row r="142" spans="1:2" x14ac:dyDescent="0.2">
      <c r="A142" s="5"/>
      <c r="B142" s="6"/>
    </row>
    <row r="143" spans="1:2" x14ac:dyDescent="0.2">
      <c r="A143" s="5"/>
      <c r="B143" s="6"/>
    </row>
    <row r="144" spans="1:2" x14ac:dyDescent="0.2">
      <c r="A144" s="5"/>
      <c r="B144" s="6"/>
    </row>
    <row r="145" spans="1:2" x14ac:dyDescent="0.2">
      <c r="A145" s="5"/>
      <c r="B145" s="6"/>
    </row>
    <row r="146" spans="1:2" x14ac:dyDescent="0.2">
      <c r="A146" s="5"/>
      <c r="B146" s="6"/>
    </row>
    <row r="147" spans="1:2" x14ac:dyDescent="0.2">
      <c r="A147" s="5"/>
      <c r="B147" s="6"/>
    </row>
    <row r="148" spans="1:2" x14ac:dyDescent="0.2">
      <c r="A148" s="5"/>
      <c r="B148" s="6"/>
    </row>
    <row r="149" spans="1:2" x14ac:dyDescent="0.2">
      <c r="A149" s="5"/>
      <c r="B149" s="6"/>
    </row>
    <row r="150" spans="1:2" x14ac:dyDescent="0.2">
      <c r="A150" s="5"/>
      <c r="B150" s="6"/>
    </row>
    <row r="151" spans="1:2" x14ac:dyDescent="0.2">
      <c r="A151" s="5"/>
      <c r="B151" s="6"/>
    </row>
    <row r="152" spans="1:2" x14ac:dyDescent="0.2">
      <c r="A152" s="5"/>
      <c r="B152" s="6"/>
    </row>
    <row r="153" spans="1:2" x14ac:dyDescent="0.2">
      <c r="A153" s="5"/>
      <c r="B153" s="6"/>
    </row>
    <row r="154" spans="1:2" x14ac:dyDescent="0.2">
      <c r="A154" s="5"/>
      <c r="B154" s="6"/>
    </row>
    <row r="155" spans="1:2" x14ac:dyDescent="0.2">
      <c r="A155" s="5"/>
      <c r="B155" s="6"/>
    </row>
    <row r="156" spans="1:2" x14ac:dyDescent="0.2">
      <c r="A156" s="5"/>
      <c r="B156" s="6"/>
    </row>
    <row r="157" spans="1:2" x14ac:dyDescent="0.2">
      <c r="A157" s="5"/>
      <c r="B157" s="6"/>
    </row>
    <row r="158" spans="1:2" x14ac:dyDescent="0.2">
      <c r="A158" s="5"/>
      <c r="B158" s="6"/>
    </row>
    <row r="159" spans="1:2" x14ac:dyDescent="0.2">
      <c r="A159" s="5"/>
      <c r="B159" s="6"/>
    </row>
    <row r="160" spans="1:2" x14ac:dyDescent="0.2">
      <c r="A160" s="5"/>
      <c r="B160" s="6"/>
    </row>
    <row r="161" spans="1:2" x14ac:dyDescent="0.2">
      <c r="A161" s="5"/>
      <c r="B161" s="6"/>
    </row>
    <row r="162" spans="1:2" x14ac:dyDescent="0.2">
      <c r="A162" s="5"/>
      <c r="B162" s="6"/>
    </row>
    <row r="163" spans="1:2" x14ac:dyDescent="0.2">
      <c r="A163" s="5"/>
      <c r="B163" s="6"/>
    </row>
    <row r="164" spans="1:2" x14ac:dyDescent="0.2">
      <c r="A164" s="5"/>
      <c r="B164" s="6"/>
    </row>
    <row r="165" spans="1:2" x14ac:dyDescent="0.2">
      <c r="A165" s="5"/>
      <c r="B165" s="6"/>
    </row>
    <row r="166" spans="1:2" x14ac:dyDescent="0.2">
      <c r="A166" s="5"/>
      <c r="B166" s="6"/>
    </row>
    <row r="167" spans="1:2" x14ac:dyDescent="0.2">
      <c r="A167" s="5"/>
      <c r="B167" s="6"/>
    </row>
    <row r="168" spans="1:2" x14ac:dyDescent="0.2">
      <c r="A168" s="5"/>
      <c r="B168" s="6"/>
    </row>
    <row r="169" spans="1:2" x14ac:dyDescent="0.2">
      <c r="A169" s="5"/>
      <c r="B169" s="6"/>
    </row>
    <row r="170" spans="1:2" x14ac:dyDescent="0.2">
      <c r="A170" s="5"/>
      <c r="B170" s="6"/>
    </row>
    <row r="171" spans="1:2" x14ac:dyDescent="0.2">
      <c r="A171" s="5"/>
      <c r="B171" s="6"/>
    </row>
    <row r="172" spans="1:2" x14ac:dyDescent="0.2">
      <c r="A172" s="5"/>
      <c r="B172" s="6"/>
    </row>
    <row r="173" spans="1:2" x14ac:dyDescent="0.2">
      <c r="A173" s="5"/>
      <c r="B173" s="6"/>
    </row>
    <row r="174" spans="1:2" x14ac:dyDescent="0.2">
      <c r="A174" s="5"/>
      <c r="B174" s="6"/>
    </row>
    <row r="175" spans="1:2" x14ac:dyDescent="0.2">
      <c r="A175" s="5"/>
      <c r="B175" s="6"/>
    </row>
    <row r="176" spans="1:2" x14ac:dyDescent="0.2">
      <c r="A176" s="5"/>
      <c r="B176" s="6"/>
    </row>
    <row r="177" spans="1:2" x14ac:dyDescent="0.2">
      <c r="A177" s="5"/>
      <c r="B177" s="6"/>
    </row>
    <row r="178" spans="1:2" x14ac:dyDescent="0.2">
      <c r="A178" s="5"/>
      <c r="B178" s="6"/>
    </row>
    <row r="179" spans="1:2" x14ac:dyDescent="0.2">
      <c r="A179" s="5"/>
      <c r="B179" s="6"/>
    </row>
    <row r="180" spans="1:2" x14ac:dyDescent="0.2">
      <c r="A180" s="5"/>
      <c r="B180" s="6"/>
    </row>
    <row r="181" spans="1:2" x14ac:dyDescent="0.2">
      <c r="A181" s="5"/>
      <c r="B181" s="6"/>
    </row>
    <row r="182" spans="1:2" x14ac:dyDescent="0.2">
      <c r="A182" s="5"/>
      <c r="B182" s="6"/>
    </row>
    <row r="183" spans="1:2" x14ac:dyDescent="0.2">
      <c r="A183" s="5"/>
      <c r="B183" s="6"/>
    </row>
    <row r="184" spans="1:2" x14ac:dyDescent="0.2">
      <c r="A184" s="5"/>
      <c r="B184" s="6"/>
    </row>
    <row r="185" spans="1:2" x14ac:dyDescent="0.2">
      <c r="A185" s="5"/>
      <c r="B185" s="6"/>
    </row>
    <row r="186" spans="1:2" x14ac:dyDescent="0.2">
      <c r="A186" s="5"/>
      <c r="B186" s="6"/>
    </row>
    <row r="187" spans="1:2" x14ac:dyDescent="0.2">
      <c r="A187" s="5"/>
      <c r="B187" s="6"/>
    </row>
    <row r="188" spans="1:2" x14ac:dyDescent="0.2">
      <c r="A188" s="5"/>
      <c r="B188" s="6"/>
    </row>
    <row r="189" spans="1:2" x14ac:dyDescent="0.2">
      <c r="A189" s="5"/>
      <c r="B189" s="6"/>
    </row>
    <row r="190" spans="1:2" x14ac:dyDescent="0.2">
      <c r="A190" s="5"/>
      <c r="B190" s="6"/>
    </row>
    <row r="191" spans="1:2" x14ac:dyDescent="0.2">
      <c r="A191" s="5"/>
      <c r="B191" s="6"/>
    </row>
    <row r="192" spans="1:2" x14ac:dyDescent="0.2">
      <c r="A192" s="5"/>
      <c r="B192" s="6"/>
    </row>
    <row r="193" spans="1:2" x14ac:dyDescent="0.2">
      <c r="A193" s="5"/>
      <c r="B193" s="6"/>
    </row>
    <row r="194" spans="1:2" x14ac:dyDescent="0.2">
      <c r="A194" s="5"/>
      <c r="B194" s="6"/>
    </row>
    <row r="195" spans="1:2" x14ac:dyDescent="0.2">
      <c r="A195" s="5"/>
      <c r="B195" s="6"/>
    </row>
    <row r="196" spans="1:2" x14ac:dyDescent="0.2">
      <c r="A196" s="5"/>
      <c r="B196" s="6"/>
    </row>
    <row r="197" spans="1:2" x14ac:dyDescent="0.2">
      <c r="A197" s="5"/>
      <c r="B197" s="6"/>
    </row>
    <row r="198" spans="1:2" x14ac:dyDescent="0.2">
      <c r="A198" s="5"/>
      <c r="B198" s="6"/>
    </row>
    <row r="199" spans="1:2" x14ac:dyDescent="0.2">
      <c r="A199" s="5"/>
      <c r="B199" s="6"/>
    </row>
    <row r="200" spans="1:2" x14ac:dyDescent="0.2">
      <c r="A200" s="5"/>
      <c r="B200" s="6"/>
    </row>
    <row r="201" spans="1:2" x14ac:dyDescent="0.2">
      <c r="A201" s="5"/>
      <c r="B201" s="6"/>
    </row>
    <row r="202" spans="1:2" x14ac:dyDescent="0.2">
      <c r="A202" s="5"/>
      <c r="B202" s="6"/>
    </row>
    <row r="203" spans="1:2" x14ac:dyDescent="0.2">
      <c r="A203" s="5"/>
      <c r="B203" s="6"/>
    </row>
    <row r="204" spans="1:2" x14ac:dyDescent="0.2">
      <c r="A204" s="5"/>
      <c r="B204" s="6"/>
    </row>
    <row r="205" spans="1:2" x14ac:dyDescent="0.2">
      <c r="A205" s="5"/>
      <c r="B205" s="6"/>
    </row>
    <row r="206" spans="1:2" x14ac:dyDescent="0.2">
      <c r="A206" s="5"/>
      <c r="B206" s="6"/>
    </row>
    <row r="207" spans="1:2" x14ac:dyDescent="0.2">
      <c r="A207" s="5"/>
      <c r="B207" s="6"/>
    </row>
    <row r="208" spans="1:2" x14ac:dyDescent="0.2">
      <c r="A208" s="5"/>
      <c r="B208" s="6"/>
    </row>
    <row r="209" spans="1:2" x14ac:dyDescent="0.2">
      <c r="A209" s="5"/>
      <c r="B209" s="6"/>
    </row>
    <row r="210" spans="1:2" x14ac:dyDescent="0.2">
      <c r="A210" s="5"/>
      <c r="B210" s="6"/>
    </row>
    <row r="211" spans="1:2" x14ac:dyDescent="0.2">
      <c r="A211" s="5"/>
      <c r="B211" s="6"/>
    </row>
    <row r="212" spans="1:2" x14ac:dyDescent="0.2">
      <c r="A212" s="5"/>
      <c r="B212" s="6"/>
    </row>
    <row r="213" spans="1:2" x14ac:dyDescent="0.2">
      <c r="A213" s="5"/>
      <c r="B213" s="6"/>
    </row>
    <row r="214" spans="1:2" x14ac:dyDescent="0.2">
      <c r="A214" s="5"/>
      <c r="B214" s="6"/>
    </row>
    <row r="215" spans="1:2" x14ac:dyDescent="0.2">
      <c r="A215" s="5"/>
      <c r="B215" s="6"/>
    </row>
    <row r="216" spans="1:2" x14ac:dyDescent="0.2">
      <c r="A216" s="5"/>
      <c r="B216" s="6"/>
    </row>
    <row r="217" spans="1:2" x14ac:dyDescent="0.2">
      <c r="A217" s="5"/>
      <c r="B217" s="6"/>
    </row>
    <row r="218" spans="1:2" x14ac:dyDescent="0.2">
      <c r="A218" s="5"/>
      <c r="B218" s="6"/>
    </row>
    <row r="219" spans="1:2" x14ac:dyDescent="0.2">
      <c r="A219" s="5"/>
      <c r="B219" s="6"/>
    </row>
    <row r="220" spans="1:2" x14ac:dyDescent="0.2">
      <c r="A220" s="5"/>
      <c r="B220" s="6"/>
    </row>
    <row r="221" spans="1:2" x14ac:dyDescent="0.2">
      <c r="A221" s="5"/>
      <c r="B221" s="6"/>
    </row>
    <row r="222" spans="1:2" x14ac:dyDescent="0.2">
      <c r="A222" s="5"/>
      <c r="B222" s="6"/>
    </row>
    <row r="223" spans="1:2" x14ac:dyDescent="0.2">
      <c r="A223" s="5"/>
      <c r="B223" s="6"/>
    </row>
    <row r="224" spans="1:2" x14ac:dyDescent="0.2">
      <c r="A224" s="5"/>
      <c r="B224" s="6"/>
    </row>
    <row r="225" spans="1:2" x14ac:dyDescent="0.2">
      <c r="A225" s="5"/>
      <c r="B225" s="6"/>
    </row>
    <row r="226" spans="1:2" x14ac:dyDescent="0.2">
      <c r="A226" s="5"/>
      <c r="B226" s="6"/>
    </row>
    <row r="227" spans="1:2" x14ac:dyDescent="0.2">
      <c r="A227" s="5"/>
      <c r="B227" s="6"/>
    </row>
    <row r="228" spans="1:2" x14ac:dyDescent="0.2">
      <c r="A228" s="5"/>
      <c r="B228" s="6"/>
    </row>
    <row r="229" spans="1:2" x14ac:dyDescent="0.2">
      <c r="A229" s="5"/>
      <c r="B229" s="6"/>
    </row>
    <row r="230" spans="1:2" x14ac:dyDescent="0.2">
      <c r="A230" s="5"/>
      <c r="B230" s="6"/>
    </row>
    <row r="231" spans="1:2" x14ac:dyDescent="0.2">
      <c r="A231" s="5"/>
      <c r="B231" s="6"/>
    </row>
    <row r="232" spans="1:2" x14ac:dyDescent="0.2">
      <c r="A232" s="5"/>
      <c r="B232" s="6"/>
    </row>
    <row r="233" spans="1:2" x14ac:dyDescent="0.2">
      <c r="A233" s="5"/>
      <c r="B233" s="6"/>
    </row>
    <row r="234" spans="1:2" x14ac:dyDescent="0.2">
      <c r="A234" s="5"/>
      <c r="B234" s="6"/>
    </row>
    <row r="235" spans="1:2" x14ac:dyDescent="0.2">
      <c r="A235" s="5"/>
      <c r="B235" s="6"/>
    </row>
    <row r="236" spans="1:2" x14ac:dyDescent="0.2">
      <c r="A236" s="5"/>
      <c r="B236" s="6"/>
    </row>
    <row r="237" spans="1:2" x14ac:dyDescent="0.2">
      <c r="A237" s="5"/>
      <c r="B237" s="6"/>
    </row>
    <row r="238" spans="1:2" x14ac:dyDescent="0.2">
      <c r="A238" s="5"/>
      <c r="B238" s="6"/>
    </row>
    <row r="239" spans="1:2" x14ac:dyDescent="0.2">
      <c r="A239" s="5"/>
      <c r="B239" s="6"/>
    </row>
    <row r="240" spans="1:2" x14ac:dyDescent="0.2">
      <c r="A240" s="5"/>
      <c r="B240" s="6"/>
    </row>
    <row r="241" spans="1:2" x14ac:dyDescent="0.2">
      <c r="A241" s="5"/>
      <c r="B241" s="6"/>
    </row>
    <row r="242" spans="1:2" x14ac:dyDescent="0.2">
      <c r="A242" s="5"/>
      <c r="B242" s="6"/>
    </row>
    <row r="243" spans="1:2" x14ac:dyDescent="0.2">
      <c r="A243" s="5"/>
      <c r="B243" s="6"/>
    </row>
    <row r="244" spans="1:2" x14ac:dyDescent="0.2">
      <c r="A244" s="5"/>
      <c r="B244" s="6"/>
    </row>
    <row r="245" spans="1:2" x14ac:dyDescent="0.2">
      <c r="A245" s="5"/>
      <c r="B245" s="6"/>
    </row>
    <row r="246" spans="1:2" x14ac:dyDescent="0.2">
      <c r="A246" s="5"/>
      <c r="B246" s="6"/>
    </row>
    <row r="247" spans="1:2" x14ac:dyDescent="0.2">
      <c r="A247" s="5"/>
      <c r="B247" s="6"/>
    </row>
    <row r="248" spans="1:2" x14ac:dyDescent="0.2">
      <c r="A248" s="5"/>
      <c r="B248" s="6"/>
    </row>
    <row r="249" spans="1:2" x14ac:dyDescent="0.2">
      <c r="A249" s="5"/>
      <c r="B249" s="6"/>
    </row>
    <row r="250" spans="1:2" x14ac:dyDescent="0.2">
      <c r="A250" s="5"/>
      <c r="B250" s="6"/>
    </row>
    <row r="251" spans="1:2" x14ac:dyDescent="0.2">
      <c r="A251" s="5"/>
      <c r="B251" s="6"/>
    </row>
    <row r="252" spans="1:2" x14ac:dyDescent="0.2">
      <c r="A252" s="5"/>
      <c r="B252" s="6"/>
    </row>
    <row r="253" spans="1:2" x14ac:dyDescent="0.2">
      <c r="A253" s="5"/>
      <c r="B253" s="6"/>
    </row>
    <row r="254" spans="1:2" x14ac:dyDescent="0.2">
      <c r="A254" s="5"/>
      <c r="B254" s="6"/>
    </row>
    <row r="255" spans="1:2" x14ac:dyDescent="0.2">
      <c r="A255" s="5"/>
      <c r="B255" s="6"/>
    </row>
    <row r="256" spans="1:2" x14ac:dyDescent="0.2">
      <c r="A256" s="5"/>
      <c r="B256" s="6"/>
    </row>
    <row r="257" spans="1:2" x14ac:dyDescent="0.2">
      <c r="A257" s="5"/>
      <c r="B257" s="6"/>
    </row>
    <row r="258" spans="1:2" x14ac:dyDescent="0.2">
      <c r="A258" s="5"/>
      <c r="B258" s="6"/>
    </row>
    <row r="259" spans="1:2" x14ac:dyDescent="0.2">
      <c r="A259" s="5"/>
      <c r="B259" s="6"/>
    </row>
    <row r="260" spans="1:2" x14ac:dyDescent="0.2">
      <c r="A260" s="5"/>
      <c r="B260" s="6"/>
    </row>
    <row r="261" spans="1:2" x14ac:dyDescent="0.2">
      <c r="A261" s="5"/>
      <c r="B261" s="6"/>
    </row>
    <row r="262" spans="1:2" x14ac:dyDescent="0.2">
      <c r="A262" s="5"/>
      <c r="B262" s="6"/>
    </row>
    <row r="263" spans="1:2" x14ac:dyDescent="0.2">
      <c r="A263" s="5"/>
      <c r="B263" s="6"/>
    </row>
    <row r="264" spans="1:2" x14ac:dyDescent="0.2">
      <c r="A264" s="5"/>
      <c r="B264" s="6"/>
    </row>
    <row r="265" spans="1:2" x14ac:dyDescent="0.2">
      <c r="A265" s="5"/>
      <c r="B265" s="6"/>
    </row>
    <row r="266" spans="1:2" x14ac:dyDescent="0.2">
      <c r="A266" s="5"/>
      <c r="B266" s="6"/>
    </row>
    <row r="267" spans="1:2" x14ac:dyDescent="0.2">
      <c r="A267" s="5"/>
      <c r="B267" s="6"/>
    </row>
    <row r="268" spans="1:2" x14ac:dyDescent="0.2">
      <c r="A268" s="5"/>
      <c r="B268" s="6"/>
    </row>
    <row r="269" spans="1:2" x14ac:dyDescent="0.2">
      <c r="A269" s="5"/>
      <c r="B269" s="6"/>
    </row>
    <row r="270" spans="1:2" x14ac:dyDescent="0.2">
      <c r="A270" s="5"/>
      <c r="B270" s="6"/>
    </row>
    <row r="271" spans="1:2" x14ac:dyDescent="0.2">
      <c r="A271" s="5"/>
      <c r="B271" s="6"/>
    </row>
    <row r="272" spans="1:2" x14ac:dyDescent="0.2">
      <c r="A272" s="5"/>
      <c r="B272" s="6"/>
    </row>
    <row r="273" spans="1:2" x14ac:dyDescent="0.2">
      <c r="A273" s="5"/>
      <c r="B273" s="6"/>
    </row>
    <row r="274" spans="1:2" x14ac:dyDescent="0.2">
      <c r="A274" s="5"/>
      <c r="B274" s="6"/>
    </row>
    <row r="275" spans="1:2" x14ac:dyDescent="0.2">
      <c r="A275" s="5"/>
      <c r="B275" s="6"/>
    </row>
    <row r="276" spans="1:2" x14ac:dyDescent="0.2">
      <c r="A276" s="5"/>
      <c r="B276" s="6"/>
    </row>
    <row r="277" spans="1:2" x14ac:dyDescent="0.2">
      <c r="A277" s="5"/>
      <c r="B277" s="6"/>
    </row>
    <row r="278" spans="1:2" x14ac:dyDescent="0.2">
      <c r="A278" s="5"/>
      <c r="B278" s="6"/>
    </row>
    <row r="279" spans="1:2" x14ac:dyDescent="0.2">
      <c r="A279" s="5"/>
      <c r="B279" s="6"/>
    </row>
    <row r="280" spans="1:2" x14ac:dyDescent="0.2">
      <c r="A280" s="5"/>
      <c r="B280" s="6"/>
    </row>
    <row r="281" spans="1:2" x14ac:dyDescent="0.2">
      <c r="A281" s="5"/>
      <c r="B281" s="6"/>
    </row>
    <row r="282" spans="1:2" x14ac:dyDescent="0.2">
      <c r="A282" s="5"/>
      <c r="B282" s="6"/>
    </row>
    <row r="283" spans="1:2" x14ac:dyDescent="0.2">
      <c r="A283" s="5"/>
      <c r="B283" s="6"/>
    </row>
    <row r="284" spans="1:2" x14ac:dyDescent="0.2">
      <c r="A284" s="5"/>
      <c r="B284" s="6"/>
    </row>
    <row r="285" spans="1:2" x14ac:dyDescent="0.2">
      <c r="A285" s="5"/>
      <c r="B285" s="6"/>
    </row>
    <row r="286" spans="1:2" x14ac:dyDescent="0.2">
      <c r="A286" s="5"/>
      <c r="B286" s="6"/>
    </row>
    <row r="287" spans="1:2" x14ac:dyDescent="0.2">
      <c r="A287" s="5"/>
      <c r="B287" s="6"/>
    </row>
    <row r="288" spans="1:2" x14ac:dyDescent="0.2">
      <c r="A288" s="5"/>
      <c r="B288" s="6"/>
    </row>
    <row r="289" spans="1:2" x14ac:dyDescent="0.2">
      <c r="A289" s="5"/>
      <c r="B289" s="6"/>
    </row>
    <row r="290" spans="1:2" x14ac:dyDescent="0.2">
      <c r="A290" s="5"/>
      <c r="B290" s="6"/>
    </row>
    <row r="291" spans="1:2" x14ac:dyDescent="0.2">
      <c r="A291" s="5"/>
      <c r="B291" s="6"/>
    </row>
    <row r="292" spans="1:2" x14ac:dyDescent="0.2">
      <c r="A292" s="5"/>
      <c r="B292" s="6"/>
    </row>
    <row r="293" spans="1:2" x14ac:dyDescent="0.2">
      <c r="A293" s="5"/>
      <c r="B293" s="6"/>
    </row>
    <row r="294" spans="1:2" x14ac:dyDescent="0.2">
      <c r="A294" s="5"/>
      <c r="B294" s="6"/>
    </row>
    <row r="295" spans="1:2" x14ac:dyDescent="0.2">
      <c r="A295" s="5"/>
      <c r="B295" s="6"/>
    </row>
    <row r="296" spans="1:2" x14ac:dyDescent="0.2">
      <c r="A296" s="5"/>
      <c r="B296" s="6"/>
    </row>
    <row r="297" spans="1:2" x14ac:dyDescent="0.2">
      <c r="A297" s="5"/>
      <c r="B297" s="6"/>
    </row>
    <row r="298" spans="1:2" x14ac:dyDescent="0.2">
      <c r="A298" s="5"/>
      <c r="B298" s="6"/>
    </row>
    <row r="299" spans="1:2" x14ac:dyDescent="0.2">
      <c r="A299" s="5"/>
      <c r="B299" s="6"/>
    </row>
    <row r="300" spans="1:2" x14ac:dyDescent="0.2">
      <c r="A300" s="5"/>
      <c r="B300" s="6"/>
    </row>
    <row r="301" spans="1:2" x14ac:dyDescent="0.2">
      <c r="A301" s="5"/>
      <c r="B301" s="6"/>
    </row>
    <row r="302" spans="1:2" x14ac:dyDescent="0.2">
      <c r="A302" s="5"/>
      <c r="B302" s="6"/>
    </row>
    <row r="303" spans="1:2" x14ac:dyDescent="0.2">
      <c r="A303" s="5"/>
      <c r="B303" s="6"/>
    </row>
    <row r="304" spans="1:2" x14ac:dyDescent="0.2">
      <c r="A304" s="5"/>
      <c r="B304" s="6"/>
    </row>
    <row r="305" spans="1:2" x14ac:dyDescent="0.2">
      <c r="A305" s="5"/>
      <c r="B305" s="6"/>
    </row>
    <row r="306" spans="1:2" x14ac:dyDescent="0.2">
      <c r="A306" s="5"/>
      <c r="B306" s="6"/>
    </row>
    <row r="307" spans="1:2" x14ac:dyDescent="0.2">
      <c r="A307" s="5"/>
      <c r="B307" s="6"/>
    </row>
    <row r="308" spans="1:2" x14ac:dyDescent="0.2">
      <c r="A308" s="5"/>
      <c r="B308" s="6"/>
    </row>
    <row r="309" spans="1:2" x14ac:dyDescent="0.2">
      <c r="A309" s="5"/>
      <c r="B309" s="6"/>
    </row>
    <row r="310" spans="1:2" x14ac:dyDescent="0.2">
      <c r="A310" s="5"/>
      <c r="B310" s="6"/>
    </row>
    <row r="311" spans="1:2" x14ac:dyDescent="0.2">
      <c r="A311" s="5"/>
      <c r="B311" s="6"/>
    </row>
    <row r="312" spans="1:2" x14ac:dyDescent="0.2">
      <c r="A312" s="5"/>
      <c r="B312" s="6"/>
    </row>
    <row r="313" spans="1:2" x14ac:dyDescent="0.2">
      <c r="A313" s="5"/>
      <c r="B313" s="6"/>
    </row>
    <row r="314" spans="1:2" x14ac:dyDescent="0.2">
      <c r="A314" s="5"/>
      <c r="B314" s="6"/>
    </row>
    <row r="315" spans="1:2" x14ac:dyDescent="0.2">
      <c r="A315" s="5"/>
      <c r="B315" s="6"/>
    </row>
    <row r="316" spans="1:2" x14ac:dyDescent="0.2">
      <c r="A316" s="5"/>
      <c r="B316" s="6"/>
    </row>
    <row r="317" spans="1:2" x14ac:dyDescent="0.2">
      <c r="A317" s="5"/>
      <c r="B317" s="6"/>
    </row>
    <row r="318" spans="1:2" x14ac:dyDescent="0.2">
      <c r="A318" s="5"/>
      <c r="B318" s="6"/>
    </row>
    <row r="319" spans="1:2" x14ac:dyDescent="0.2">
      <c r="A319" s="5"/>
      <c r="B319" s="6"/>
    </row>
    <row r="320" spans="1:2" x14ac:dyDescent="0.2">
      <c r="A320" s="5"/>
      <c r="B320" s="6"/>
    </row>
    <row r="321" spans="1:2" x14ac:dyDescent="0.2">
      <c r="A321" s="5"/>
      <c r="B321" s="6"/>
    </row>
    <row r="322" spans="1:2" x14ac:dyDescent="0.2">
      <c r="A322" s="5"/>
      <c r="B322" s="6"/>
    </row>
    <row r="323" spans="1:2" x14ac:dyDescent="0.2">
      <c r="A323" s="5"/>
      <c r="B323" s="6"/>
    </row>
    <row r="324" spans="1:2" x14ac:dyDescent="0.2">
      <c r="A324" s="5"/>
      <c r="B324" s="6"/>
    </row>
    <row r="325" spans="1:2" x14ac:dyDescent="0.2">
      <c r="A325" s="5"/>
      <c r="B325" s="6"/>
    </row>
    <row r="326" spans="1:2" x14ac:dyDescent="0.2">
      <c r="A326" s="5"/>
      <c r="B326" s="6"/>
    </row>
    <row r="327" spans="1:2" x14ac:dyDescent="0.2">
      <c r="A327" s="5"/>
      <c r="B327" s="6"/>
    </row>
    <row r="328" spans="1:2" x14ac:dyDescent="0.2">
      <c r="A328" s="5"/>
      <c r="B328" s="6"/>
    </row>
    <row r="329" spans="1:2" x14ac:dyDescent="0.2">
      <c r="A329" s="5"/>
      <c r="B329" s="6"/>
    </row>
    <row r="330" spans="1:2" x14ac:dyDescent="0.2">
      <c r="A330" s="5"/>
      <c r="B330" s="6"/>
    </row>
    <row r="331" spans="1:2" x14ac:dyDescent="0.2">
      <c r="A331" s="5"/>
      <c r="B331" s="6"/>
    </row>
    <row r="332" spans="1:2" x14ac:dyDescent="0.2">
      <c r="A332" s="5"/>
      <c r="B332" s="6"/>
    </row>
    <row r="333" spans="1:2" x14ac:dyDescent="0.2">
      <c r="A333" s="5"/>
      <c r="B333" s="6"/>
    </row>
    <row r="334" spans="1:2" x14ac:dyDescent="0.2">
      <c r="A334" s="5"/>
      <c r="B334" s="6"/>
    </row>
    <row r="335" spans="1:2" x14ac:dyDescent="0.2">
      <c r="A335" s="5"/>
      <c r="B335" s="6"/>
    </row>
    <row r="336" spans="1:2" x14ac:dyDescent="0.2">
      <c r="A336" s="5"/>
      <c r="B336" s="6"/>
    </row>
    <row r="337" spans="1:2" x14ac:dyDescent="0.2">
      <c r="A337" s="5"/>
      <c r="B337" s="6"/>
    </row>
    <row r="338" spans="1:2" x14ac:dyDescent="0.2">
      <c r="A338" s="5"/>
      <c r="B338" s="6"/>
    </row>
    <row r="339" spans="1:2" x14ac:dyDescent="0.2">
      <c r="A339" s="5"/>
      <c r="B339" s="6"/>
    </row>
    <row r="340" spans="1:2" x14ac:dyDescent="0.2">
      <c r="A340" s="5"/>
      <c r="B340" s="6"/>
    </row>
    <row r="341" spans="1:2" x14ac:dyDescent="0.2">
      <c r="A341" s="5"/>
      <c r="B341" s="6"/>
    </row>
    <row r="342" spans="1:2" x14ac:dyDescent="0.2">
      <c r="A342" s="5"/>
      <c r="B342" s="6"/>
    </row>
    <row r="343" spans="1:2" x14ac:dyDescent="0.2">
      <c r="A343" s="5"/>
      <c r="B343" s="6"/>
    </row>
    <row r="344" spans="1:2" x14ac:dyDescent="0.2">
      <c r="A344" s="5"/>
      <c r="B344" s="6"/>
    </row>
    <row r="345" spans="1:2" x14ac:dyDescent="0.2">
      <c r="A345" s="5"/>
      <c r="B345" s="6"/>
    </row>
    <row r="346" spans="1:2" x14ac:dyDescent="0.2">
      <c r="A346" s="5"/>
      <c r="B346" s="6"/>
    </row>
    <row r="347" spans="1:2" x14ac:dyDescent="0.2">
      <c r="A347" s="5"/>
      <c r="B347" s="6"/>
    </row>
    <row r="348" spans="1:2" x14ac:dyDescent="0.2">
      <c r="A348" s="5"/>
      <c r="B348" s="6"/>
    </row>
    <row r="349" spans="1:2" x14ac:dyDescent="0.2">
      <c r="A349" s="5"/>
      <c r="B349" s="6"/>
    </row>
    <row r="350" spans="1:2" x14ac:dyDescent="0.2">
      <c r="A350" s="5"/>
      <c r="B350" s="6"/>
    </row>
    <row r="351" spans="1:2" x14ac:dyDescent="0.2">
      <c r="A351" s="5"/>
      <c r="B351" s="6"/>
    </row>
    <row r="352" spans="1:2" x14ac:dyDescent="0.2">
      <c r="A352" s="5"/>
      <c r="B352" s="6"/>
    </row>
    <row r="353" spans="1:2" x14ac:dyDescent="0.2">
      <c r="A353" s="5"/>
      <c r="B353" s="6"/>
    </row>
    <row r="354" spans="1:2" x14ac:dyDescent="0.2">
      <c r="A354" s="5"/>
      <c r="B354" s="6"/>
    </row>
    <row r="355" spans="1:2" x14ac:dyDescent="0.2">
      <c r="A355" s="5"/>
      <c r="B355" s="6"/>
    </row>
    <row r="356" spans="1:2" x14ac:dyDescent="0.2">
      <c r="A356" s="5"/>
      <c r="B356" s="6"/>
    </row>
    <row r="357" spans="1:2" x14ac:dyDescent="0.2">
      <c r="A357" s="5"/>
      <c r="B357" s="6"/>
    </row>
    <row r="358" spans="1:2" x14ac:dyDescent="0.2">
      <c r="A358" s="5"/>
      <c r="B358" s="6"/>
    </row>
    <row r="359" spans="1:2" x14ac:dyDescent="0.2">
      <c r="A359" s="5"/>
      <c r="B359" s="6"/>
    </row>
    <row r="360" spans="1:2" x14ac:dyDescent="0.2">
      <c r="A360" s="5"/>
      <c r="B360" s="6"/>
    </row>
    <row r="361" spans="1:2" x14ac:dyDescent="0.2">
      <c r="A361" s="5"/>
      <c r="B361" s="6"/>
    </row>
    <row r="362" spans="1:2" x14ac:dyDescent="0.2">
      <c r="A362" s="5"/>
      <c r="B362" s="6"/>
    </row>
    <row r="363" spans="1:2" x14ac:dyDescent="0.2">
      <c r="A363" s="5"/>
      <c r="B363" s="6"/>
    </row>
    <row r="364" spans="1:2" x14ac:dyDescent="0.2">
      <c r="A364" s="5"/>
      <c r="B364" s="6"/>
    </row>
    <row r="365" spans="1:2" x14ac:dyDescent="0.2">
      <c r="A365" s="5"/>
      <c r="B365" s="6"/>
    </row>
    <row r="366" spans="1:2" x14ac:dyDescent="0.2">
      <c r="A366" s="5"/>
      <c r="B366" s="6"/>
    </row>
    <row r="367" spans="1:2" x14ac:dyDescent="0.2">
      <c r="A367" s="5"/>
      <c r="B367" s="6"/>
    </row>
    <row r="368" spans="1:2" x14ac:dyDescent="0.2">
      <c r="A368" s="5"/>
      <c r="B368" s="6"/>
    </row>
    <row r="369" spans="1:2" x14ac:dyDescent="0.2">
      <c r="A369" s="5"/>
      <c r="B369" s="6"/>
    </row>
    <row r="370" spans="1:2" x14ac:dyDescent="0.2">
      <c r="A370" s="5"/>
      <c r="B370" s="6"/>
    </row>
    <row r="371" spans="1:2" x14ac:dyDescent="0.2">
      <c r="A371" s="5"/>
      <c r="B371" s="6"/>
    </row>
    <row r="372" spans="1:2" x14ac:dyDescent="0.2">
      <c r="A372" s="5"/>
      <c r="B372" s="6"/>
    </row>
    <row r="373" spans="1:2" x14ac:dyDescent="0.2">
      <c r="A373" s="5"/>
      <c r="B373" s="6"/>
    </row>
    <row r="374" spans="1:2" x14ac:dyDescent="0.2">
      <c r="A374" s="5"/>
      <c r="B374" s="6"/>
    </row>
    <row r="375" spans="1:2" x14ac:dyDescent="0.2">
      <c r="A375" s="5"/>
      <c r="B375" s="6"/>
    </row>
    <row r="376" spans="1:2" x14ac:dyDescent="0.2">
      <c r="A376" s="5"/>
      <c r="B376" s="6"/>
    </row>
    <row r="377" spans="1:2" x14ac:dyDescent="0.2">
      <c r="A377" s="5"/>
      <c r="B377" s="6"/>
    </row>
    <row r="378" spans="1:2" x14ac:dyDescent="0.2">
      <c r="A378" s="5"/>
      <c r="B378" s="6"/>
    </row>
    <row r="379" spans="1:2" x14ac:dyDescent="0.2">
      <c r="A379" s="5"/>
      <c r="B379" s="6"/>
    </row>
    <row r="380" spans="1:2" x14ac:dyDescent="0.2">
      <c r="A380" s="5"/>
      <c r="B380" s="6"/>
    </row>
    <row r="381" spans="1:2" x14ac:dyDescent="0.2">
      <c r="A381" s="5"/>
      <c r="B381" s="6"/>
    </row>
    <row r="382" spans="1:2" x14ac:dyDescent="0.2">
      <c r="A382" s="5"/>
      <c r="B382" s="6"/>
    </row>
    <row r="383" spans="1:2" x14ac:dyDescent="0.2">
      <c r="A383" s="5"/>
      <c r="B383" s="6"/>
    </row>
    <row r="384" spans="1:2" x14ac:dyDescent="0.2">
      <c r="A384" s="5"/>
      <c r="B384" s="6"/>
    </row>
    <row r="385" spans="1:2" x14ac:dyDescent="0.2">
      <c r="A385" s="5"/>
      <c r="B385" s="6"/>
    </row>
    <row r="386" spans="1:2" x14ac:dyDescent="0.2">
      <c r="A386" s="5"/>
      <c r="B386" s="6"/>
    </row>
    <row r="387" spans="1:2" x14ac:dyDescent="0.2">
      <c r="A387" s="5"/>
      <c r="B387" s="6"/>
    </row>
    <row r="388" spans="1:2" x14ac:dyDescent="0.2">
      <c r="A388" s="5"/>
      <c r="B388" s="6"/>
    </row>
    <row r="389" spans="1:2" x14ac:dyDescent="0.2">
      <c r="A389" s="5"/>
      <c r="B389" s="6"/>
    </row>
    <row r="390" spans="1:2" x14ac:dyDescent="0.2">
      <c r="A390" s="5"/>
      <c r="B390" s="6"/>
    </row>
    <row r="391" spans="1:2" x14ac:dyDescent="0.2">
      <c r="A391" s="5"/>
      <c r="B391" s="6"/>
    </row>
    <row r="392" spans="1:2" x14ac:dyDescent="0.2">
      <c r="A392" s="5"/>
      <c r="B392" s="6"/>
    </row>
    <row r="393" spans="1:2" x14ac:dyDescent="0.2">
      <c r="A393" s="5"/>
      <c r="B393" s="6"/>
    </row>
    <row r="394" spans="1:2" x14ac:dyDescent="0.2">
      <c r="A394" s="5"/>
      <c r="B394" s="6"/>
    </row>
    <row r="395" spans="1:2" x14ac:dyDescent="0.2">
      <c r="A395" s="5"/>
      <c r="B395" s="6"/>
    </row>
    <row r="396" spans="1:2" x14ac:dyDescent="0.2">
      <c r="A396" s="5"/>
      <c r="B396" s="6"/>
    </row>
    <row r="397" spans="1:2" x14ac:dyDescent="0.2">
      <c r="A397" s="5"/>
      <c r="B397" s="6"/>
    </row>
    <row r="398" spans="1:2" x14ac:dyDescent="0.2">
      <c r="A398" s="5"/>
      <c r="B398" s="6"/>
    </row>
    <row r="399" spans="1:2" x14ac:dyDescent="0.2">
      <c r="A399" s="5"/>
      <c r="B399" s="6"/>
    </row>
    <row r="400" spans="1:2" x14ac:dyDescent="0.2">
      <c r="A400" s="5"/>
      <c r="B400" s="6"/>
    </row>
    <row r="401" spans="1:2" x14ac:dyDescent="0.2">
      <c r="A401" s="5"/>
      <c r="B401" s="6"/>
    </row>
    <row r="402" spans="1:2" x14ac:dyDescent="0.2">
      <c r="A402" s="5"/>
      <c r="B402" s="6"/>
    </row>
    <row r="403" spans="1:2" x14ac:dyDescent="0.2">
      <c r="A403" s="5"/>
      <c r="B403" s="6"/>
    </row>
    <row r="404" spans="1:2" x14ac:dyDescent="0.2">
      <c r="A404" s="5"/>
      <c r="B404" s="6"/>
    </row>
    <row r="405" spans="1:2" x14ac:dyDescent="0.2">
      <c r="A405" s="5"/>
      <c r="B405" s="6"/>
    </row>
    <row r="406" spans="1:2" x14ac:dyDescent="0.2">
      <c r="A406" s="5"/>
      <c r="B406" s="6"/>
    </row>
    <row r="407" spans="1:2" x14ac:dyDescent="0.2">
      <c r="A407" s="5"/>
      <c r="B407" s="6"/>
    </row>
    <row r="408" spans="1:2" x14ac:dyDescent="0.2">
      <c r="A408" s="5"/>
      <c r="B408" s="6"/>
    </row>
    <row r="409" spans="1:2" x14ac:dyDescent="0.2">
      <c r="A409" s="5"/>
      <c r="B409" s="6"/>
    </row>
    <row r="410" spans="1:2" x14ac:dyDescent="0.2">
      <c r="A410" s="5"/>
      <c r="B410" s="6"/>
    </row>
    <row r="411" spans="1:2" x14ac:dyDescent="0.2">
      <c r="A411" s="5"/>
      <c r="B411" s="6"/>
    </row>
    <row r="412" spans="1:2" x14ac:dyDescent="0.2">
      <c r="A412" s="5"/>
      <c r="B412" s="6"/>
    </row>
    <row r="413" spans="1:2" x14ac:dyDescent="0.2">
      <c r="A413" s="5"/>
      <c r="B413" s="6"/>
    </row>
    <row r="414" spans="1:2" x14ac:dyDescent="0.2">
      <c r="A414" s="5"/>
      <c r="B414" s="6"/>
    </row>
    <row r="415" spans="1:2" x14ac:dyDescent="0.2">
      <c r="A415" s="5"/>
      <c r="B415" s="6"/>
    </row>
    <row r="416" spans="1:2" x14ac:dyDescent="0.2">
      <c r="A416" s="5"/>
      <c r="B416" s="6"/>
    </row>
    <row r="417" spans="1:2" x14ac:dyDescent="0.2">
      <c r="A417" s="5"/>
      <c r="B417" s="6"/>
    </row>
    <row r="418" spans="1:2" x14ac:dyDescent="0.2">
      <c r="A418" s="5"/>
      <c r="B418" s="6"/>
    </row>
    <row r="419" spans="1:2" x14ac:dyDescent="0.2">
      <c r="A419" s="5"/>
      <c r="B419" s="6"/>
    </row>
    <row r="420" spans="1:2" x14ac:dyDescent="0.2">
      <c r="A420" s="5"/>
      <c r="B420" s="6"/>
    </row>
    <row r="421" spans="1:2" x14ac:dyDescent="0.2">
      <c r="A421" s="5"/>
      <c r="B421" s="6"/>
    </row>
    <row r="422" spans="1:2" x14ac:dyDescent="0.2">
      <c r="A422" s="5"/>
      <c r="B422" s="6"/>
    </row>
    <row r="423" spans="1:2" x14ac:dyDescent="0.2">
      <c r="A423" s="5"/>
      <c r="B423" s="6"/>
    </row>
    <row r="424" spans="1:2" x14ac:dyDescent="0.2">
      <c r="A424" s="5"/>
      <c r="B424" s="6"/>
    </row>
    <row r="425" spans="1:2" x14ac:dyDescent="0.2">
      <c r="A425" s="5"/>
      <c r="B425" s="6"/>
    </row>
    <row r="426" spans="1:2" x14ac:dyDescent="0.2">
      <c r="A426" s="5"/>
      <c r="B426" s="6"/>
    </row>
    <row r="427" spans="1:2" x14ac:dyDescent="0.2">
      <c r="A427" s="5"/>
      <c r="B427" s="6"/>
    </row>
    <row r="428" spans="1:2" x14ac:dyDescent="0.2">
      <c r="A428" s="5"/>
      <c r="B428" s="6"/>
    </row>
    <row r="429" spans="1:2" x14ac:dyDescent="0.2">
      <c r="A429" s="5"/>
      <c r="B429" s="6"/>
    </row>
    <row r="430" spans="1:2" x14ac:dyDescent="0.2">
      <c r="A430" s="5"/>
      <c r="B430" s="6"/>
    </row>
    <row r="431" spans="1:2" x14ac:dyDescent="0.2">
      <c r="A431" s="5"/>
      <c r="B431" s="6"/>
    </row>
    <row r="432" spans="1:2" x14ac:dyDescent="0.2">
      <c r="A432" s="5"/>
      <c r="B432" s="6"/>
    </row>
    <row r="433" spans="1:2" x14ac:dyDescent="0.2">
      <c r="A433" s="5"/>
      <c r="B433" s="6"/>
    </row>
    <row r="434" spans="1:2" x14ac:dyDescent="0.2">
      <c r="A434" s="5"/>
      <c r="B434" s="6"/>
    </row>
    <row r="435" spans="1:2" x14ac:dyDescent="0.2">
      <c r="A435" s="5"/>
      <c r="B435" s="6"/>
    </row>
    <row r="436" spans="1:2" x14ac:dyDescent="0.2">
      <c r="A436" s="5"/>
      <c r="B436" s="6"/>
    </row>
    <row r="437" spans="1:2" x14ac:dyDescent="0.2">
      <c r="A437" s="5"/>
      <c r="B437" s="6"/>
    </row>
    <row r="438" spans="1:2" x14ac:dyDescent="0.2">
      <c r="A438" s="5"/>
      <c r="B438" s="6"/>
    </row>
    <row r="439" spans="1:2" x14ac:dyDescent="0.2">
      <c r="A439" s="5"/>
      <c r="B439" s="6"/>
    </row>
    <row r="440" spans="1:2" x14ac:dyDescent="0.2">
      <c r="A440" s="5"/>
      <c r="B440" s="6"/>
    </row>
    <row r="441" spans="1:2" x14ac:dyDescent="0.2">
      <c r="A441" s="5"/>
      <c r="B441" s="6"/>
    </row>
    <row r="442" spans="1:2" x14ac:dyDescent="0.2">
      <c r="A442" s="5"/>
      <c r="B442" s="6"/>
    </row>
    <row r="443" spans="1:2" x14ac:dyDescent="0.2">
      <c r="A443" s="5"/>
      <c r="B443" s="6"/>
    </row>
    <row r="444" spans="1:2" x14ac:dyDescent="0.2">
      <c r="A444" s="5"/>
      <c r="B444" s="6"/>
    </row>
    <row r="445" spans="1:2" x14ac:dyDescent="0.2">
      <c r="A445" s="5"/>
      <c r="B445" s="6"/>
    </row>
    <row r="446" spans="1:2" x14ac:dyDescent="0.2">
      <c r="A446" s="5"/>
      <c r="B446" s="6"/>
    </row>
    <row r="447" spans="1:2" x14ac:dyDescent="0.2">
      <c r="A447" s="5"/>
      <c r="B447" s="6"/>
    </row>
    <row r="448" spans="1:2" x14ac:dyDescent="0.2">
      <c r="A448" s="5"/>
      <c r="B448" s="6"/>
    </row>
    <row r="449" spans="1:2" x14ac:dyDescent="0.2">
      <c r="A449" s="5"/>
      <c r="B449" s="6"/>
    </row>
    <row r="450" spans="1:2" x14ac:dyDescent="0.2">
      <c r="A450" s="5"/>
      <c r="B450" s="6"/>
    </row>
    <row r="451" spans="1:2" x14ac:dyDescent="0.2">
      <c r="A451" s="5"/>
      <c r="B451" s="6"/>
    </row>
    <row r="452" spans="1:2" x14ac:dyDescent="0.2">
      <c r="A452" s="5"/>
      <c r="B452" s="6"/>
    </row>
    <row r="453" spans="1:2" x14ac:dyDescent="0.2">
      <c r="A453" s="5"/>
      <c r="B453" s="6"/>
    </row>
    <row r="454" spans="1:2" x14ac:dyDescent="0.2">
      <c r="A454" s="5"/>
      <c r="B454" s="6"/>
    </row>
    <row r="455" spans="1:2" x14ac:dyDescent="0.2">
      <c r="A455" s="5"/>
      <c r="B455" s="6"/>
    </row>
    <row r="456" spans="1:2" x14ac:dyDescent="0.2">
      <c r="A456" s="5"/>
      <c r="B456" s="6"/>
    </row>
    <row r="457" spans="1:2" x14ac:dyDescent="0.2">
      <c r="A457" s="5"/>
      <c r="B457" s="6"/>
    </row>
    <row r="458" spans="1:2" x14ac:dyDescent="0.2">
      <c r="A458" s="5"/>
      <c r="B458" s="6"/>
    </row>
    <row r="459" spans="1:2" x14ac:dyDescent="0.2">
      <c r="A459" s="5"/>
      <c r="B459" s="6"/>
    </row>
    <row r="460" spans="1:2" x14ac:dyDescent="0.2">
      <c r="A460" s="5"/>
      <c r="B460" s="6"/>
    </row>
    <row r="461" spans="1:2" x14ac:dyDescent="0.2">
      <c r="A461" s="5"/>
      <c r="B461" s="6"/>
    </row>
    <row r="462" spans="1:2" x14ac:dyDescent="0.2">
      <c r="A462" s="5"/>
      <c r="B462" s="6"/>
    </row>
    <row r="463" spans="1:2" x14ac:dyDescent="0.2">
      <c r="A463" s="5"/>
      <c r="B463" s="6"/>
    </row>
    <row r="464" spans="1:2" x14ac:dyDescent="0.2">
      <c r="A464" s="5"/>
      <c r="B464" s="6"/>
    </row>
    <row r="465" spans="1:2" x14ac:dyDescent="0.2">
      <c r="A465" s="5"/>
      <c r="B465" s="6"/>
    </row>
    <row r="466" spans="1:2" x14ac:dyDescent="0.2">
      <c r="A466" s="5"/>
      <c r="B466" s="6"/>
    </row>
    <row r="467" spans="1:2" x14ac:dyDescent="0.2">
      <c r="A467" s="5"/>
      <c r="B467" s="6"/>
    </row>
    <row r="468" spans="1:2" x14ac:dyDescent="0.2">
      <c r="A468" s="5"/>
      <c r="B468" s="6"/>
    </row>
    <row r="469" spans="1:2" x14ac:dyDescent="0.2">
      <c r="A469" s="5"/>
      <c r="B469" s="6"/>
    </row>
    <row r="470" spans="1:2" x14ac:dyDescent="0.2">
      <c r="A470" s="5"/>
      <c r="B470" s="6"/>
    </row>
    <row r="471" spans="1:2" x14ac:dyDescent="0.2">
      <c r="A471" s="5"/>
      <c r="B471" s="6"/>
    </row>
    <row r="472" spans="1:2" x14ac:dyDescent="0.2">
      <c r="A472" s="5"/>
      <c r="B472" s="6"/>
    </row>
    <row r="473" spans="1:2" x14ac:dyDescent="0.2">
      <c r="A473" s="5"/>
      <c r="B473" s="6"/>
    </row>
    <row r="474" spans="1:2" x14ac:dyDescent="0.2">
      <c r="A474" s="5"/>
      <c r="B474" s="6"/>
    </row>
    <row r="475" spans="1:2" x14ac:dyDescent="0.2">
      <c r="A475" s="5"/>
      <c r="B475" s="6"/>
    </row>
    <row r="476" spans="1:2" x14ac:dyDescent="0.2">
      <c r="A476" s="5"/>
      <c r="B476" s="6"/>
    </row>
    <row r="477" spans="1:2" x14ac:dyDescent="0.2">
      <c r="A477" s="5"/>
      <c r="B477" s="6"/>
    </row>
    <row r="478" spans="1:2" x14ac:dyDescent="0.2">
      <c r="A478" s="5"/>
      <c r="B478" s="6"/>
    </row>
    <row r="479" spans="1:2" x14ac:dyDescent="0.2">
      <c r="A479" s="5"/>
      <c r="B479" s="6"/>
    </row>
    <row r="480" spans="1:2" x14ac:dyDescent="0.2">
      <c r="A480" s="5"/>
      <c r="B480" s="6"/>
    </row>
    <row r="481" spans="1:2" x14ac:dyDescent="0.2">
      <c r="A481" s="5"/>
      <c r="B481" s="6"/>
    </row>
    <row r="482" spans="1:2" x14ac:dyDescent="0.2">
      <c r="A482" s="5"/>
      <c r="B482" s="6"/>
    </row>
    <row r="483" spans="1:2" x14ac:dyDescent="0.2">
      <c r="A483" s="5"/>
      <c r="B483" s="6"/>
    </row>
    <row r="484" spans="1:2" x14ac:dyDescent="0.2">
      <c r="A484" s="5"/>
      <c r="B484" s="6"/>
    </row>
    <row r="485" spans="1:2" x14ac:dyDescent="0.2">
      <c r="A485" s="5"/>
      <c r="B485" s="6"/>
    </row>
    <row r="486" spans="1:2" x14ac:dyDescent="0.2">
      <c r="A486" s="5"/>
      <c r="B486" s="6"/>
    </row>
    <row r="487" spans="1:2" x14ac:dyDescent="0.2">
      <c r="A487" s="5"/>
      <c r="B487" s="6"/>
    </row>
    <row r="488" spans="1:2" x14ac:dyDescent="0.2">
      <c r="A488" s="5"/>
      <c r="B488" s="6"/>
    </row>
    <row r="489" spans="1:2" x14ac:dyDescent="0.2">
      <c r="A489" s="5"/>
      <c r="B489" s="6"/>
    </row>
    <row r="490" spans="1:2" x14ac:dyDescent="0.2">
      <c r="A490" s="5"/>
      <c r="B490" s="6"/>
    </row>
    <row r="491" spans="1:2" x14ac:dyDescent="0.2">
      <c r="A491" s="5"/>
      <c r="B491" s="6"/>
    </row>
    <row r="492" spans="1:2" x14ac:dyDescent="0.2">
      <c r="A492" s="5"/>
      <c r="B492" s="6"/>
    </row>
    <row r="493" spans="1:2" x14ac:dyDescent="0.2">
      <c r="A493" s="5"/>
      <c r="B493" s="6"/>
    </row>
    <row r="494" spans="1:2" x14ac:dyDescent="0.2">
      <c r="A494" s="5"/>
      <c r="B494" s="6"/>
    </row>
    <row r="495" spans="1:2" x14ac:dyDescent="0.2">
      <c r="A495" s="5"/>
      <c r="B495" s="6"/>
    </row>
    <row r="496" spans="1:2" x14ac:dyDescent="0.2">
      <c r="A496" s="5"/>
      <c r="B496" s="6"/>
    </row>
    <row r="497" spans="1:2" x14ac:dyDescent="0.2">
      <c r="A497" s="5"/>
      <c r="B497" s="6"/>
    </row>
    <row r="498" spans="1:2" x14ac:dyDescent="0.2">
      <c r="A498" s="5"/>
      <c r="B498" s="6"/>
    </row>
    <row r="499" spans="1:2" x14ac:dyDescent="0.2">
      <c r="A499" s="5"/>
      <c r="B499" s="6"/>
    </row>
    <row r="500" spans="1:2" x14ac:dyDescent="0.2">
      <c r="A500" s="5"/>
      <c r="B500" s="6"/>
    </row>
    <row r="501" spans="1:2" x14ac:dyDescent="0.2">
      <c r="A501" s="5"/>
      <c r="B501" s="6"/>
    </row>
    <row r="502" spans="1:2" x14ac:dyDescent="0.2">
      <c r="A502" s="5"/>
      <c r="B502" s="6"/>
    </row>
    <row r="503" spans="1:2" x14ac:dyDescent="0.2">
      <c r="A503" s="5"/>
      <c r="B503" s="6"/>
    </row>
    <row r="504" spans="1:2" x14ac:dyDescent="0.2">
      <c r="A504" s="5"/>
      <c r="B504" s="6"/>
    </row>
    <row r="505" spans="1:2" x14ac:dyDescent="0.2">
      <c r="A505" s="5"/>
      <c r="B505" s="6"/>
    </row>
    <row r="506" spans="1:2" x14ac:dyDescent="0.2">
      <c r="A506" s="5"/>
      <c r="B506" s="6"/>
    </row>
    <row r="507" spans="1:2" x14ac:dyDescent="0.2">
      <c r="A507" s="5"/>
      <c r="B507" s="6"/>
    </row>
    <row r="508" spans="1:2" x14ac:dyDescent="0.2">
      <c r="A508" s="5"/>
      <c r="B508" s="6"/>
    </row>
    <row r="509" spans="1:2" x14ac:dyDescent="0.2">
      <c r="A509" s="5"/>
      <c r="B509" s="6"/>
    </row>
    <row r="510" spans="1:2" x14ac:dyDescent="0.2">
      <c r="A510" s="5"/>
      <c r="B510" s="6"/>
    </row>
    <row r="511" spans="1:2" x14ac:dyDescent="0.2">
      <c r="A511" s="5"/>
      <c r="B511" s="6"/>
    </row>
    <row r="512" spans="1:2" x14ac:dyDescent="0.2">
      <c r="A512" s="5"/>
      <c r="B512" s="6"/>
    </row>
    <row r="513" spans="1:2" x14ac:dyDescent="0.2">
      <c r="A513" s="5"/>
      <c r="B513" s="6"/>
    </row>
    <row r="514" spans="1:2" x14ac:dyDescent="0.2">
      <c r="A514" s="5"/>
      <c r="B514" s="6"/>
    </row>
    <row r="515" spans="1:2" x14ac:dyDescent="0.2">
      <c r="A515" s="5"/>
      <c r="B515" s="6"/>
    </row>
    <row r="516" spans="1:2" x14ac:dyDescent="0.2">
      <c r="A516" s="5"/>
      <c r="B516" s="6"/>
    </row>
    <row r="517" spans="1:2" x14ac:dyDescent="0.2">
      <c r="A517" s="5"/>
      <c r="B517" s="6"/>
    </row>
    <row r="518" spans="1:2" x14ac:dyDescent="0.2">
      <c r="A518" s="5"/>
      <c r="B518" s="6"/>
    </row>
    <row r="519" spans="1:2" x14ac:dyDescent="0.2">
      <c r="A519" s="5"/>
      <c r="B519" s="6"/>
    </row>
    <row r="520" spans="1:2" x14ac:dyDescent="0.2">
      <c r="A520" s="5"/>
      <c r="B520" s="6"/>
    </row>
    <row r="521" spans="1:2" x14ac:dyDescent="0.2">
      <c r="A521" s="5"/>
      <c r="B521" s="6"/>
    </row>
    <row r="522" spans="1:2" x14ac:dyDescent="0.2">
      <c r="A522" s="5"/>
      <c r="B522" s="6"/>
    </row>
    <row r="523" spans="1:2" x14ac:dyDescent="0.2">
      <c r="A523" s="5"/>
      <c r="B523" s="6"/>
    </row>
    <row r="524" spans="1:2" x14ac:dyDescent="0.2">
      <c r="A524" s="5"/>
      <c r="B524" s="6"/>
    </row>
    <row r="525" spans="1:2" x14ac:dyDescent="0.2">
      <c r="A525" s="5"/>
      <c r="B525" s="6"/>
    </row>
    <row r="526" spans="1:2" x14ac:dyDescent="0.2">
      <c r="A526" s="5"/>
      <c r="B526" s="6"/>
    </row>
    <row r="527" spans="1:2" x14ac:dyDescent="0.2">
      <c r="A527" s="5"/>
      <c r="B527" s="6"/>
    </row>
    <row r="528" spans="1:2" x14ac:dyDescent="0.2">
      <c r="A528" s="5"/>
      <c r="B528" s="6"/>
    </row>
    <row r="529" spans="1:2" x14ac:dyDescent="0.2">
      <c r="A529" s="5"/>
      <c r="B529" s="6"/>
    </row>
    <row r="530" spans="1:2" x14ac:dyDescent="0.2">
      <c r="A530" s="5"/>
      <c r="B530" s="6"/>
    </row>
    <row r="531" spans="1:2" x14ac:dyDescent="0.2">
      <c r="A531" s="5"/>
      <c r="B531" s="6"/>
    </row>
    <row r="532" spans="1:2" x14ac:dyDescent="0.2">
      <c r="A532" s="5"/>
      <c r="B532" s="6"/>
    </row>
    <row r="533" spans="1:2" x14ac:dyDescent="0.2">
      <c r="A533" s="5"/>
      <c r="B533" s="6"/>
    </row>
    <row r="534" spans="1:2" x14ac:dyDescent="0.2">
      <c r="A534" s="5"/>
      <c r="B534" s="6"/>
    </row>
    <row r="535" spans="1:2" x14ac:dyDescent="0.2">
      <c r="A535" s="5"/>
      <c r="B535" s="6"/>
    </row>
    <row r="536" spans="1:2" x14ac:dyDescent="0.2">
      <c r="A536" s="5"/>
      <c r="B536" s="6"/>
    </row>
    <row r="537" spans="1:2" x14ac:dyDescent="0.2">
      <c r="A537" s="5"/>
      <c r="B537" s="6"/>
    </row>
    <row r="538" spans="1:2" x14ac:dyDescent="0.2">
      <c r="A538" s="5"/>
      <c r="B538" s="6"/>
    </row>
    <row r="539" spans="1:2" x14ac:dyDescent="0.2">
      <c r="A539" s="5"/>
      <c r="B539" s="6"/>
    </row>
    <row r="540" spans="1:2" x14ac:dyDescent="0.2">
      <c r="A540" s="5"/>
      <c r="B540" s="6"/>
    </row>
    <row r="541" spans="1:2" x14ac:dyDescent="0.2">
      <c r="A541" s="5"/>
      <c r="B541" s="6"/>
    </row>
    <row r="542" spans="1:2" x14ac:dyDescent="0.2">
      <c r="A542" s="5"/>
      <c r="B542" s="6"/>
    </row>
    <row r="543" spans="1:2" x14ac:dyDescent="0.2">
      <c r="A543" s="5"/>
      <c r="B543" s="6"/>
    </row>
    <row r="544" spans="1:2" x14ac:dyDescent="0.2">
      <c r="A544" s="5"/>
      <c r="B544" s="6"/>
    </row>
    <row r="545" spans="1:2" x14ac:dyDescent="0.2">
      <c r="A545" s="5"/>
      <c r="B545" s="6"/>
    </row>
    <row r="546" spans="1:2" x14ac:dyDescent="0.2">
      <c r="A546" s="5"/>
      <c r="B546" s="6"/>
    </row>
    <row r="547" spans="1:2" x14ac:dyDescent="0.2">
      <c r="A547" s="5"/>
      <c r="B547" s="6"/>
    </row>
    <row r="548" spans="1:2" x14ac:dyDescent="0.2">
      <c r="A548" s="5"/>
      <c r="B548" s="6"/>
    </row>
    <row r="549" spans="1:2" x14ac:dyDescent="0.2">
      <c r="A549" s="5"/>
      <c r="B549" s="6"/>
    </row>
    <row r="550" spans="1:2" x14ac:dyDescent="0.2">
      <c r="A550" s="5"/>
      <c r="B550" s="6"/>
    </row>
    <row r="551" spans="1:2" x14ac:dyDescent="0.2">
      <c r="A551" s="5"/>
      <c r="B551" s="6"/>
    </row>
    <row r="552" spans="1:2" x14ac:dyDescent="0.2">
      <c r="A552" s="5"/>
      <c r="B552" s="6"/>
    </row>
    <row r="553" spans="1:2" x14ac:dyDescent="0.2">
      <c r="A553" s="5"/>
      <c r="B553" s="6"/>
    </row>
    <row r="554" spans="1:2" x14ac:dyDescent="0.2">
      <c r="A554" s="5"/>
      <c r="B554" s="6"/>
    </row>
    <row r="555" spans="1:2" x14ac:dyDescent="0.2">
      <c r="A555" s="5"/>
      <c r="B555" s="6"/>
    </row>
    <row r="556" spans="1:2" x14ac:dyDescent="0.2">
      <c r="A556" s="5"/>
      <c r="B556" s="6"/>
    </row>
    <row r="557" spans="1:2" x14ac:dyDescent="0.2">
      <c r="A557" s="5"/>
      <c r="B557" s="6"/>
    </row>
    <row r="558" spans="1:2" x14ac:dyDescent="0.2">
      <c r="A558" s="5"/>
      <c r="B558" s="6"/>
    </row>
    <row r="559" spans="1:2" x14ac:dyDescent="0.2">
      <c r="A559" s="5"/>
      <c r="B559" s="6"/>
    </row>
    <row r="560" spans="1:2" x14ac:dyDescent="0.2">
      <c r="A560" s="5"/>
      <c r="B560" s="6"/>
    </row>
    <row r="561" spans="1:2" x14ac:dyDescent="0.2">
      <c r="A561" s="5"/>
      <c r="B561" s="6"/>
    </row>
    <row r="562" spans="1:2" x14ac:dyDescent="0.2">
      <c r="A562" s="5"/>
      <c r="B562" s="6"/>
    </row>
    <row r="563" spans="1:2" x14ac:dyDescent="0.2">
      <c r="A563" s="5"/>
      <c r="B563" s="6"/>
    </row>
    <row r="564" spans="1:2" x14ac:dyDescent="0.2">
      <c r="A564" s="5"/>
      <c r="B564" s="6"/>
    </row>
    <row r="565" spans="1:2" x14ac:dyDescent="0.2">
      <c r="A565" s="5"/>
      <c r="B565" s="6"/>
    </row>
    <row r="566" spans="1:2" x14ac:dyDescent="0.2">
      <c r="A566" s="5"/>
      <c r="B566" s="6"/>
    </row>
    <row r="567" spans="1:2" x14ac:dyDescent="0.2">
      <c r="A567" s="5"/>
      <c r="B567" s="6"/>
    </row>
    <row r="568" spans="1:2" x14ac:dyDescent="0.2">
      <c r="A568" s="5"/>
      <c r="B568" s="6"/>
    </row>
    <row r="569" spans="1:2" x14ac:dyDescent="0.2">
      <c r="A569" s="5"/>
      <c r="B569" s="6"/>
    </row>
    <row r="570" spans="1:2" x14ac:dyDescent="0.2">
      <c r="A570" s="5"/>
      <c r="B570" s="6"/>
    </row>
    <row r="571" spans="1:2" x14ac:dyDescent="0.2">
      <c r="A571" s="5"/>
      <c r="B571" s="6"/>
    </row>
    <row r="572" spans="1:2" x14ac:dyDescent="0.2">
      <c r="A572" s="5"/>
      <c r="B572" s="6"/>
    </row>
    <row r="573" spans="1:2" x14ac:dyDescent="0.2">
      <c r="A573" s="5"/>
      <c r="B573" s="6"/>
    </row>
    <row r="574" spans="1:2" x14ac:dyDescent="0.2">
      <c r="A574" s="5"/>
      <c r="B574" s="6"/>
    </row>
    <row r="575" spans="1:2" x14ac:dyDescent="0.2">
      <c r="A575" s="5"/>
      <c r="B575" s="6"/>
    </row>
    <row r="576" spans="1:2" x14ac:dyDescent="0.2">
      <c r="A576" s="5"/>
      <c r="B576" s="6"/>
    </row>
    <row r="577" spans="1:2" x14ac:dyDescent="0.2">
      <c r="A577" s="5"/>
      <c r="B577" s="6"/>
    </row>
    <row r="578" spans="1:2" x14ac:dyDescent="0.2">
      <c r="A578" s="5"/>
      <c r="B578" s="6"/>
    </row>
    <row r="579" spans="1:2" x14ac:dyDescent="0.2">
      <c r="A579" s="5"/>
      <c r="B579" s="6"/>
    </row>
    <row r="580" spans="1:2" x14ac:dyDescent="0.2">
      <c r="A580" s="5"/>
      <c r="B580" s="6"/>
    </row>
    <row r="581" spans="1:2" x14ac:dyDescent="0.2">
      <c r="A581" s="5"/>
      <c r="B581" s="6"/>
    </row>
    <row r="582" spans="1:2" x14ac:dyDescent="0.2">
      <c r="A582" s="5"/>
      <c r="B582" s="6"/>
    </row>
    <row r="583" spans="1:2" x14ac:dyDescent="0.2">
      <c r="A583" s="5"/>
      <c r="B583" s="6"/>
    </row>
    <row r="584" spans="1:2" x14ac:dyDescent="0.2">
      <c r="A584" s="5"/>
      <c r="B584" s="6"/>
    </row>
    <row r="585" spans="1:2" x14ac:dyDescent="0.2">
      <c r="A585" s="5"/>
      <c r="B585" s="6"/>
    </row>
    <row r="586" spans="1:2" x14ac:dyDescent="0.2">
      <c r="A586" s="5"/>
      <c r="B586" s="6"/>
    </row>
    <row r="587" spans="1:2" x14ac:dyDescent="0.2">
      <c r="A587" s="5"/>
      <c r="B587" s="6"/>
    </row>
    <row r="588" spans="1:2" x14ac:dyDescent="0.2">
      <c r="A588" s="5"/>
      <c r="B588" s="6"/>
    </row>
    <row r="589" spans="1:2" x14ac:dyDescent="0.2">
      <c r="A589" s="5"/>
      <c r="B589" s="6"/>
    </row>
    <row r="590" spans="1:2" x14ac:dyDescent="0.2">
      <c r="A590" s="5"/>
      <c r="B590" s="6"/>
    </row>
    <row r="591" spans="1:2" x14ac:dyDescent="0.2">
      <c r="A591" s="5"/>
      <c r="B591" s="6"/>
    </row>
    <row r="592" spans="1:2" x14ac:dyDescent="0.2">
      <c r="A592" s="5"/>
      <c r="B592" s="6"/>
    </row>
    <row r="593" spans="1:2" x14ac:dyDescent="0.2">
      <c r="A593" s="5"/>
      <c r="B593" s="6"/>
    </row>
    <row r="594" spans="1:2" x14ac:dyDescent="0.2">
      <c r="A594" s="5"/>
      <c r="B594" s="6"/>
    </row>
    <row r="595" spans="1:2" x14ac:dyDescent="0.2">
      <c r="A595" s="5"/>
      <c r="B595" s="6"/>
    </row>
    <row r="596" spans="1:2" x14ac:dyDescent="0.2">
      <c r="A596" s="5"/>
      <c r="B596" s="6"/>
    </row>
    <row r="597" spans="1:2" x14ac:dyDescent="0.2">
      <c r="A597" s="5"/>
      <c r="B597" s="6"/>
    </row>
    <row r="598" spans="1:2" x14ac:dyDescent="0.2">
      <c r="A598" s="5"/>
      <c r="B598" s="6"/>
    </row>
    <row r="599" spans="1:2" x14ac:dyDescent="0.2">
      <c r="A599" s="5"/>
      <c r="B599" s="6"/>
    </row>
    <row r="600" spans="1:2" x14ac:dyDescent="0.2">
      <c r="A600" s="5"/>
      <c r="B600" s="6"/>
    </row>
    <row r="601" spans="1:2" x14ac:dyDescent="0.2">
      <c r="A601" s="5"/>
      <c r="B601" s="6"/>
    </row>
    <row r="602" spans="1:2" x14ac:dyDescent="0.2">
      <c r="A602" s="5"/>
      <c r="B602" s="6"/>
    </row>
    <row r="603" spans="1:2" x14ac:dyDescent="0.2">
      <c r="A603" s="5"/>
      <c r="B603" s="6"/>
    </row>
    <row r="604" spans="1:2" x14ac:dyDescent="0.2">
      <c r="A604" s="5"/>
      <c r="B604" s="6"/>
    </row>
    <row r="605" spans="1:2" x14ac:dyDescent="0.2">
      <c r="A605" s="5"/>
      <c r="B605" s="6"/>
    </row>
    <row r="606" spans="1:2" x14ac:dyDescent="0.2">
      <c r="A606" s="5"/>
      <c r="B606" s="6"/>
    </row>
    <row r="607" spans="1:2" x14ac:dyDescent="0.2">
      <c r="A607" s="5"/>
      <c r="B607" s="6"/>
    </row>
    <row r="608" spans="1:2" x14ac:dyDescent="0.2">
      <c r="A608" s="5"/>
      <c r="B608" s="6"/>
    </row>
    <row r="609" spans="1:2" x14ac:dyDescent="0.2">
      <c r="A609" s="5"/>
      <c r="B609" s="6"/>
    </row>
    <row r="610" spans="1:2" x14ac:dyDescent="0.2">
      <c r="A610" s="5"/>
      <c r="B610" s="6"/>
    </row>
    <row r="611" spans="1:2" x14ac:dyDescent="0.2">
      <c r="A611" s="5"/>
      <c r="B611" s="6"/>
    </row>
    <row r="612" spans="1:2" x14ac:dyDescent="0.2">
      <c r="A612" s="5"/>
      <c r="B612" s="6"/>
    </row>
    <row r="613" spans="1:2" x14ac:dyDescent="0.2">
      <c r="A613" s="5"/>
      <c r="B613" s="6"/>
    </row>
    <row r="614" spans="1:2" x14ac:dyDescent="0.2">
      <c r="A614" s="5"/>
      <c r="B614" s="6"/>
    </row>
    <row r="615" spans="1:2" x14ac:dyDescent="0.2">
      <c r="A615" s="5"/>
      <c r="B615" s="6"/>
    </row>
    <row r="616" spans="1:2" x14ac:dyDescent="0.2">
      <c r="A616" s="5"/>
      <c r="B616" s="6"/>
    </row>
    <row r="617" spans="1:2" x14ac:dyDescent="0.2">
      <c r="A617" s="5"/>
      <c r="B617" s="6"/>
    </row>
    <row r="618" spans="1:2" x14ac:dyDescent="0.2">
      <c r="A618" s="5"/>
      <c r="B618" s="6"/>
    </row>
    <row r="619" spans="1:2" x14ac:dyDescent="0.2">
      <c r="A619" s="5"/>
      <c r="B619" s="6"/>
    </row>
    <row r="620" spans="1:2" x14ac:dyDescent="0.2">
      <c r="A620" s="5"/>
      <c r="B620" s="6"/>
    </row>
    <row r="621" spans="1:2" x14ac:dyDescent="0.2">
      <c r="A621" s="5"/>
      <c r="B621" s="6"/>
    </row>
    <row r="622" spans="1:2" x14ac:dyDescent="0.2">
      <c r="A622" s="5"/>
      <c r="B622" s="6"/>
    </row>
    <row r="623" spans="1:2" x14ac:dyDescent="0.2">
      <c r="A623" s="5"/>
      <c r="B623" s="6"/>
    </row>
    <row r="624" spans="1:2" x14ac:dyDescent="0.2">
      <c r="A624" s="5"/>
      <c r="B624" s="6"/>
    </row>
    <row r="625" spans="1:2" x14ac:dyDescent="0.2">
      <c r="A625" s="5"/>
      <c r="B625" s="6"/>
    </row>
    <row r="626" spans="1:2" x14ac:dyDescent="0.2">
      <c r="A626" s="5"/>
      <c r="B626" s="6"/>
    </row>
    <row r="627" spans="1:2" x14ac:dyDescent="0.2">
      <c r="A627" s="5"/>
      <c r="B627" s="6"/>
    </row>
    <row r="628" spans="1:2" x14ac:dyDescent="0.2">
      <c r="A628" s="5"/>
      <c r="B628" s="6"/>
    </row>
    <row r="629" spans="1:2" x14ac:dyDescent="0.2">
      <c r="A629" s="5"/>
      <c r="B629" s="6"/>
    </row>
    <row r="630" spans="1:2" x14ac:dyDescent="0.2">
      <c r="A630" s="5"/>
      <c r="B630" s="6"/>
    </row>
    <row r="631" spans="1:2" x14ac:dyDescent="0.2">
      <c r="A631" s="5"/>
      <c r="B631" s="6"/>
    </row>
    <row r="632" spans="1:2" x14ac:dyDescent="0.2">
      <c r="A632" s="5"/>
      <c r="B632" s="6"/>
    </row>
    <row r="633" spans="1:2" x14ac:dyDescent="0.2">
      <c r="A633" s="5"/>
      <c r="B633" s="6"/>
    </row>
    <row r="634" spans="1:2" x14ac:dyDescent="0.2">
      <c r="A634" s="5"/>
      <c r="B634" s="6"/>
    </row>
    <row r="635" spans="1:2" x14ac:dyDescent="0.2">
      <c r="A635" s="5"/>
      <c r="B635" s="6"/>
    </row>
    <row r="636" spans="1:2" x14ac:dyDescent="0.2">
      <c r="A636" s="5"/>
      <c r="B636" s="6"/>
    </row>
    <row r="637" spans="1:2" x14ac:dyDescent="0.2">
      <c r="A637" s="5"/>
      <c r="B637" s="6"/>
    </row>
    <row r="638" spans="1:2" x14ac:dyDescent="0.2">
      <c r="A638" s="5"/>
      <c r="B638" s="6"/>
    </row>
    <row r="639" spans="1:2" x14ac:dyDescent="0.2">
      <c r="A639" s="5"/>
      <c r="B639" s="6"/>
    </row>
    <row r="640" spans="1:2" x14ac:dyDescent="0.2">
      <c r="A640" s="5"/>
      <c r="B640" s="6"/>
    </row>
    <row r="641" spans="1:2" x14ac:dyDescent="0.2">
      <c r="A641" s="5"/>
      <c r="B641" s="6"/>
    </row>
    <row r="642" spans="1:2" x14ac:dyDescent="0.2">
      <c r="A642" s="5"/>
      <c r="B642" s="6"/>
    </row>
    <row r="643" spans="1:2" x14ac:dyDescent="0.2">
      <c r="A643" s="5"/>
      <c r="B643" s="6"/>
    </row>
    <row r="644" spans="1:2" x14ac:dyDescent="0.2">
      <c r="A644" s="5"/>
      <c r="B644" s="6"/>
    </row>
    <row r="645" spans="1:2" x14ac:dyDescent="0.2">
      <c r="A645" s="5"/>
      <c r="B645" s="6"/>
    </row>
    <row r="646" spans="1:2" x14ac:dyDescent="0.2">
      <c r="A646" s="5"/>
      <c r="B646" s="6"/>
    </row>
    <row r="647" spans="1:2" x14ac:dyDescent="0.2">
      <c r="A647" s="5"/>
      <c r="B647" s="6"/>
    </row>
    <row r="648" spans="1:2" x14ac:dyDescent="0.2">
      <c r="A648" s="5"/>
      <c r="B648" s="6"/>
    </row>
    <row r="649" spans="1:2" x14ac:dyDescent="0.2">
      <c r="A649" s="5"/>
      <c r="B649" s="6"/>
    </row>
    <row r="650" spans="1:2" x14ac:dyDescent="0.2">
      <c r="A650" s="5"/>
      <c r="B650" s="6"/>
    </row>
    <row r="651" spans="1:2" x14ac:dyDescent="0.2">
      <c r="A651" s="5"/>
      <c r="B651" s="6"/>
    </row>
    <row r="652" spans="1:2" x14ac:dyDescent="0.2">
      <c r="A652" s="5"/>
      <c r="B652" s="6"/>
    </row>
    <row r="653" spans="1:2" x14ac:dyDescent="0.2">
      <c r="A653" s="5"/>
      <c r="B653" s="6"/>
    </row>
    <row r="654" spans="1:2" x14ac:dyDescent="0.2">
      <c r="A654" s="5"/>
      <c r="B654" s="6"/>
    </row>
    <row r="655" spans="1:2" x14ac:dyDescent="0.2">
      <c r="A655" s="5"/>
      <c r="B655" s="6"/>
    </row>
    <row r="656" spans="1:2" x14ac:dyDescent="0.2">
      <c r="A656" s="5"/>
      <c r="B656" s="6"/>
    </row>
    <row r="657" spans="1:2" x14ac:dyDescent="0.2">
      <c r="A657" s="5"/>
      <c r="B657" s="6"/>
    </row>
    <row r="658" spans="1:2" x14ac:dyDescent="0.2">
      <c r="A658" s="5"/>
      <c r="B658" s="6"/>
    </row>
    <row r="659" spans="1:2" x14ac:dyDescent="0.2">
      <c r="A659" s="5"/>
      <c r="B659" s="6"/>
    </row>
    <row r="660" spans="1:2" x14ac:dyDescent="0.2">
      <c r="A660" s="5"/>
      <c r="B660" s="6"/>
    </row>
    <row r="661" spans="1:2" x14ac:dyDescent="0.2">
      <c r="A661" s="5"/>
      <c r="B661" s="6"/>
    </row>
    <row r="662" spans="1:2" x14ac:dyDescent="0.2">
      <c r="A662" s="5"/>
      <c r="B662" s="6"/>
    </row>
    <row r="663" spans="1:2" x14ac:dyDescent="0.2">
      <c r="A663" s="5"/>
      <c r="B663" s="6"/>
    </row>
    <row r="664" spans="1:2" x14ac:dyDescent="0.2">
      <c r="A664" s="5"/>
      <c r="B664" s="6"/>
    </row>
    <row r="665" spans="1:2" x14ac:dyDescent="0.2">
      <c r="A665" s="5"/>
      <c r="B665" s="6"/>
    </row>
    <row r="666" spans="1:2" x14ac:dyDescent="0.2">
      <c r="A666" s="5"/>
      <c r="B666" s="6"/>
    </row>
    <row r="667" spans="1:2" x14ac:dyDescent="0.2">
      <c r="A667" s="5"/>
      <c r="B667" s="6"/>
    </row>
    <row r="668" spans="1:2" x14ac:dyDescent="0.2">
      <c r="A668" s="5"/>
      <c r="B668" s="6"/>
    </row>
    <row r="669" spans="1:2" x14ac:dyDescent="0.2">
      <c r="A669" s="5"/>
      <c r="B669" s="6"/>
    </row>
    <row r="670" spans="1:2" x14ac:dyDescent="0.2">
      <c r="A670" s="5"/>
      <c r="B670" s="6"/>
    </row>
    <row r="671" spans="1:2" x14ac:dyDescent="0.2">
      <c r="A671" s="5"/>
      <c r="B671" s="6"/>
    </row>
    <row r="672" spans="1:2" x14ac:dyDescent="0.2">
      <c r="A672" s="5"/>
      <c r="B672" s="6"/>
    </row>
    <row r="673" spans="1:2" x14ac:dyDescent="0.2">
      <c r="A673" s="5"/>
      <c r="B673" s="6"/>
    </row>
    <row r="674" spans="1:2" x14ac:dyDescent="0.2">
      <c r="A674" s="5"/>
      <c r="B674" s="6"/>
    </row>
    <row r="675" spans="1:2" x14ac:dyDescent="0.2">
      <c r="A675" s="5"/>
      <c r="B675" s="6"/>
    </row>
    <row r="676" spans="1:2" x14ac:dyDescent="0.2">
      <c r="A676" s="5"/>
      <c r="B676" s="6"/>
    </row>
    <row r="677" spans="1:2" x14ac:dyDescent="0.2">
      <c r="A677" s="5"/>
      <c r="B677" s="6"/>
    </row>
    <row r="678" spans="1:2" x14ac:dyDescent="0.2">
      <c r="A678" s="5"/>
      <c r="B678" s="6"/>
    </row>
    <row r="679" spans="1:2" x14ac:dyDescent="0.2">
      <c r="A679" s="5"/>
      <c r="B679" s="6"/>
    </row>
    <row r="680" spans="1:2" x14ac:dyDescent="0.2">
      <c r="A680" s="5"/>
      <c r="B680" s="6"/>
    </row>
    <row r="681" spans="1:2" x14ac:dyDescent="0.2">
      <c r="A681" s="5"/>
      <c r="B681" s="6"/>
    </row>
    <row r="682" spans="1:2" x14ac:dyDescent="0.2">
      <c r="A682" s="5"/>
      <c r="B682" s="6"/>
    </row>
    <row r="683" spans="1:2" x14ac:dyDescent="0.2">
      <c r="A683" s="5"/>
      <c r="B683" s="6"/>
    </row>
    <row r="684" spans="1:2" x14ac:dyDescent="0.2">
      <c r="A684" s="5"/>
      <c r="B684" s="6"/>
    </row>
    <row r="685" spans="1:2" x14ac:dyDescent="0.2">
      <c r="A685" s="5"/>
      <c r="B685" s="6"/>
    </row>
    <row r="686" spans="1:2" x14ac:dyDescent="0.2">
      <c r="A686" s="5"/>
      <c r="B686" s="6"/>
    </row>
    <row r="687" spans="1:2" x14ac:dyDescent="0.2">
      <c r="A687" s="5"/>
      <c r="B687" s="6"/>
    </row>
    <row r="688" spans="1:2" x14ac:dyDescent="0.2">
      <c r="A688" s="5"/>
      <c r="B688" s="6"/>
    </row>
    <row r="689" spans="1:2" x14ac:dyDescent="0.2">
      <c r="A689" s="5"/>
      <c r="B689" s="6"/>
    </row>
    <row r="690" spans="1:2" x14ac:dyDescent="0.2">
      <c r="A690" s="5"/>
      <c r="B690" s="6"/>
    </row>
    <row r="691" spans="1:2" x14ac:dyDescent="0.2">
      <c r="A691" s="5"/>
      <c r="B691" s="6"/>
    </row>
    <row r="692" spans="1:2" x14ac:dyDescent="0.2">
      <c r="A692" s="5"/>
      <c r="B692" s="6"/>
    </row>
    <row r="693" spans="1:2" x14ac:dyDescent="0.2">
      <c r="A693" s="5"/>
      <c r="B693" s="6"/>
    </row>
    <row r="694" spans="1:2" x14ac:dyDescent="0.2">
      <c r="A694" s="5"/>
      <c r="B694" s="6"/>
    </row>
    <row r="695" spans="1:2" x14ac:dyDescent="0.2">
      <c r="A695" s="5"/>
      <c r="B695" s="6"/>
    </row>
    <row r="696" spans="1:2" x14ac:dyDescent="0.2">
      <c r="A696" s="5"/>
      <c r="B696" s="6"/>
    </row>
    <row r="697" spans="1:2" x14ac:dyDescent="0.2">
      <c r="A697" s="5"/>
      <c r="B697" s="6"/>
    </row>
    <row r="698" spans="1:2" x14ac:dyDescent="0.2">
      <c r="A698" s="5"/>
      <c r="B698" s="6"/>
    </row>
    <row r="699" spans="1:2" x14ac:dyDescent="0.2">
      <c r="A699" s="5"/>
      <c r="B699" s="6"/>
    </row>
    <row r="700" spans="1:2" x14ac:dyDescent="0.2">
      <c r="A700" s="5"/>
      <c r="B700" s="6"/>
    </row>
    <row r="701" spans="1:2" x14ac:dyDescent="0.2">
      <c r="A701" s="5"/>
      <c r="B701" s="6"/>
    </row>
    <row r="702" spans="1:2" x14ac:dyDescent="0.2">
      <c r="A702" s="5"/>
      <c r="B702" s="6"/>
    </row>
    <row r="703" spans="1:2" x14ac:dyDescent="0.2">
      <c r="A703" s="5"/>
      <c r="B703" s="6"/>
    </row>
    <row r="704" spans="1:2" x14ac:dyDescent="0.2">
      <c r="A704" s="5"/>
      <c r="B704" s="6"/>
    </row>
    <row r="705" spans="1:2" x14ac:dyDescent="0.2">
      <c r="A705" s="5"/>
      <c r="B705" s="6"/>
    </row>
    <row r="706" spans="1:2" x14ac:dyDescent="0.2">
      <c r="A706" s="5"/>
      <c r="B706" s="6"/>
    </row>
    <row r="707" spans="1:2" x14ac:dyDescent="0.2">
      <c r="A707" s="5"/>
      <c r="B707" s="6"/>
    </row>
    <row r="708" spans="1:2" x14ac:dyDescent="0.2">
      <c r="A708" s="5"/>
      <c r="B708" s="6"/>
    </row>
    <row r="709" spans="1:2" x14ac:dyDescent="0.2">
      <c r="A709" s="5"/>
      <c r="B709" s="6"/>
    </row>
    <row r="710" spans="1:2" x14ac:dyDescent="0.2">
      <c r="A710" s="5"/>
      <c r="B710" s="6"/>
    </row>
    <row r="711" spans="1:2" x14ac:dyDescent="0.2">
      <c r="A711" s="5"/>
      <c r="B711" s="6"/>
    </row>
    <row r="712" spans="1:2" x14ac:dyDescent="0.2">
      <c r="A712" s="5"/>
      <c r="B712" s="6"/>
    </row>
    <row r="713" spans="1:2" x14ac:dyDescent="0.2">
      <c r="A713" s="5"/>
      <c r="B713" s="6"/>
    </row>
    <row r="714" spans="1:2" x14ac:dyDescent="0.2">
      <c r="A714" s="5"/>
      <c r="B714" s="6"/>
    </row>
    <row r="715" spans="1:2" x14ac:dyDescent="0.2">
      <c r="A715" s="5"/>
      <c r="B715" s="6"/>
    </row>
    <row r="716" spans="1:2" x14ac:dyDescent="0.2">
      <c r="A716" s="5"/>
      <c r="B716" s="6"/>
    </row>
    <row r="717" spans="1:2" x14ac:dyDescent="0.2">
      <c r="A717" s="5"/>
      <c r="B717" s="6"/>
    </row>
    <row r="718" spans="1:2" x14ac:dyDescent="0.2">
      <c r="A718" s="5"/>
      <c r="B718" s="6"/>
    </row>
    <row r="719" spans="1:2" x14ac:dyDescent="0.2">
      <c r="A719" s="5"/>
      <c r="B719" s="6"/>
    </row>
    <row r="720" spans="1:2" x14ac:dyDescent="0.2">
      <c r="A720" s="5"/>
      <c r="B720" s="6"/>
    </row>
    <row r="721" spans="1:2" x14ac:dyDescent="0.2">
      <c r="A721" s="5"/>
      <c r="B721" s="6"/>
    </row>
    <row r="722" spans="1:2" x14ac:dyDescent="0.2">
      <c r="A722" s="5"/>
      <c r="B722" s="6"/>
    </row>
    <row r="723" spans="1:2" x14ac:dyDescent="0.2">
      <c r="A723" s="5"/>
      <c r="B723" s="6"/>
    </row>
    <row r="724" spans="1:2" x14ac:dyDescent="0.2">
      <c r="A724" s="5"/>
      <c r="B724" s="6"/>
    </row>
    <row r="725" spans="1:2" x14ac:dyDescent="0.2">
      <c r="A725" s="5"/>
      <c r="B725" s="6"/>
    </row>
    <row r="726" spans="1:2" x14ac:dyDescent="0.2">
      <c r="A726" s="5"/>
      <c r="B726" s="6"/>
    </row>
    <row r="727" spans="1:2" x14ac:dyDescent="0.2">
      <c r="A727" s="5"/>
      <c r="B727" s="6"/>
    </row>
    <row r="728" spans="1:2" x14ac:dyDescent="0.2">
      <c r="A728" s="5"/>
      <c r="B728" s="6"/>
    </row>
    <row r="729" spans="1:2" x14ac:dyDescent="0.2">
      <c r="A729" s="5"/>
      <c r="B729" s="6"/>
    </row>
    <row r="730" spans="1:2" x14ac:dyDescent="0.2">
      <c r="A730" s="5"/>
      <c r="B730" s="6"/>
    </row>
    <row r="731" spans="1:2" x14ac:dyDescent="0.2">
      <c r="A731" s="5"/>
      <c r="B731" s="6"/>
    </row>
    <row r="732" spans="1:2" x14ac:dyDescent="0.2">
      <c r="A732" s="5"/>
      <c r="B732" s="6"/>
    </row>
    <row r="733" spans="1:2" x14ac:dyDescent="0.2">
      <c r="A733" s="5"/>
      <c r="B733" s="6"/>
    </row>
    <row r="734" spans="1:2" x14ac:dyDescent="0.2">
      <c r="A734" s="5"/>
      <c r="B734" s="6"/>
    </row>
    <row r="735" spans="1:2" x14ac:dyDescent="0.2">
      <c r="A735" s="5"/>
      <c r="B735" s="6"/>
    </row>
    <row r="736" spans="1:2" x14ac:dyDescent="0.2">
      <c r="A736" s="5"/>
      <c r="B736" s="6"/>
    </row>
    <row r="737" spans="1:2" x14ac:dyDescent="0.2">
      <c r="A737" s="5"/>
      <c r="B737" s="6"/>
    </row>
    <row r="738" spans="1:2" x14ac:dyDescent="0.2">
      <c r="A738" s="5"/>
      <c r="B738" s="6"/>
    </row>
    <row r="739" spans="1:2" x14ac:dyDescent="0.2">
      <c r="A739" s="5"/>
      <c r="B739" s="6"/>
    </row>
    <row r="740" spans="1:2" x14ac:dyDescent="0.2">
      <c r="A740" s="5"/>
      <c r="B740" s="6"/>
    </row>
    <row r="741" spans="1:2" x14ac:dyDescent="0.2">
      <c r="A741" s="5"/>
      <c r="B741" s="6"/>
    </row>
    <row r="742" spans="1:2" x14ac:dyDescent="0.2">
      <c r="A742" s="5"/>
      <c r="B742" s="6"/>
    </row>
    <row r="743" spans="1:2" x14ac:dyDescent="0.2">
      <c r="A743" s="5"/>
      <c r="B743" s="6"/>
    </row>
    <row r="744" spans="1:2" x14ac:dyDescent="0.2">
      <c r="A744" s="5"/>
      <c r="B744" s="6"/>
    </row>
    <row r="745" spans="1:2" x14ac:dyDescent="0.2">
      <c r="A745" s="5"/>
      <c r="B745" s="6"/>
    </row>
    <row r="746" spans="1:2" x14ac:dyDescent="0.2">
      <c r="A746" s="5"/>
      <c r="B746" s="6"/>
    </row>
    <row r="747" spans="1:2" x14ac:dyDescent="0.2">
      <c r="A747" s="5"/>
      <c r="B747" s="6"/>
    </row>
    <row r="748" spans="1:2" x14ac:dyDescent="0.2">
      <c r="A748" s="5"/>
      <c r="B748" s="6"/>
    </row>
    <row r="749" spans="1:2" x14ac:dyDescent="0.2">
      <c r="A749" s="5"/>
      <c r="B749" s="6"/>
    </row>
    <row r="750" spans="1:2" x14ac:dyDescent="0.2">
      <c r="A750" s="5"/>
      <c r="B750" s="6"/>
    </row>
    <row r="751" spans="1:2" x14ac:dyDescent="0.2">
      <c r="A751" s="5"/>
      <c r="B751" s="6"/>
    </row>
    <row r="752" spans="1:2" x14ac:dyDescent="0.2">
      <c r="A752" s="5"/>
      <c r="B752" s="6"/>
    </row>
    <row r="753" spans="1:2" x14ac:dyDescent="0.2">
      <c r="A753" s="5"/>
      <c r="B753" s="6"/>
    </row>
    <row r="754" spans="1:2" x14ac:dyDescent="0.2">
      <c r="A754" s="5"/>
      <c r="B754" s="6"/>
    </row>
    <row r="755" spans="1:2" x14ac:dyDescent="0.2">
      <c r="A755" s="5"/>
      <c r="B755" s="6"/>
    </row>
    <row r="756" spans="1:2" x14ac:dyDescent="0.2">
      <c r="A756" s="5"/>
      <c r="B756" s="6"/>
    </row>
    <row r="757" spans="1:2" x14ac:dyDescent="0.2">
      <c r="A757" s="5"/>
      <c r="B757" s="6"/>
    </row>
    <row r="758" spans="1:2" x14ac:dyDescent="0.2">
      <c r="A758" s="5"/>
      <c r="B758" s="6"/>
    </row>
    <row r="759" spans="1:2" x14ac:dyDescent="0.2">
      <c r="A759" s="5"/>
      <c r="B759" s="6"/>
    </row>
    <row r="760" spans="1:2" x14ac:dyDescent="0.2">
      <c r="A760" s="5"/>
      <c r="B760" s="6"/>
    </row>
    <row r="761" spans="1:2" x14ac:dyDescent="0.2">
      <c r="A761" s="5"/>
      <c r="B761" s="6"/>
    </row>
    <row r="762" spans="1:2" x14ac:dyDescent="0.2">
      <c r="A762" s="5"/>
      <c r="B762" s="6"/>
    </row>
    <row r="763" spans="1:2" x14ac:dyDescent="0.2">
      <c r="A763" s="5"/>
      <c r="B763" s="6"/>
    </row>
    <row r="764" spans="1:2" x14ac:dyDescent="0.2">
      <c r="A764" s="5"/>
      <c r="B764" s="6"/>
    </row>
    <row r="765" spans="1:2" x14ac:dyDescent="0.2">
      <c r="A765" s="5"/>
      <c r="B765" s="6"/>
    </row>
    <row r="766" spans="1:2" x14ac:dyDescent="0.2">
      <c r="A766" s="5"/>
      <c r="B766" s="6"/>
    </row>
    <row r="767" spans="1:2" x14ac:dyDescent="0.2">
      <c r="A767" s="5"/>
      <c r="B767" s="6"/>
    </row>
    <row r="768" spans="1:2" x14ac:dyDescent="0.2">
      <c r="A768" s="5"/>
      <c r="B768" s="6"/>
    </row>
    <row r="769" spans="1:2" x14ac:dyDescent="0.2">
      <c r="A769" s="5"/>
      <c r="B769" s="6"/>
    </row>
    <row r="770" spans="1:2" x14ac:dyDescent="0.2">
      <c r="A770" s="5"/>
      <c r="B770" s="6"/>
    </row>
    <row r="771" spans="1:2" x14ac:dyDescent="0.2">
      <c r="A771" s="5"/>
      <c r="B771" s="6"/>
    </row>
    <row r="772" spans="1:2" x14ac:dyDescent="0.2">
      <c r="A772" s="5"/>
      <c r="B772" s="6"/>
    </row>
    <row r="773" spans="1:2" x14ac:dyDescent="0.2">
      <c r="A773" s="5"/>
      <c r="B773" s="6"/>
    </row>
    <row r="774" spans="1:2" x14ac:dyDescent="0.2">
      <c r="A774" s="5"/>
      <c r="B774" s="6"/>
    </row>
    <row r="775" spans="1:2" x14ac:dyDescent="0.2">
      <c r="A775" s="5"/>
      <c r="B775" s="6"/>
    </row>
    <row r="776" spans="1:2" x14ac:dyDescent="0.2">
      <c r="A776" s="5"/>
      <c r="B776" s="6"/>
    </row>
    <row r="777" spans="1:2" x14ac:dyDescent="0.2">
      <c r="A777" s="5"/>
      <c r="B777" s="6"/>
    </row>
    <row r="778" spans="1:2" x14ac:dyDescent="0.2">
      <c r="A778" s="5"/>
      <c r="B778" s="6"/>
    </row>
    <row r="779" spans="1:2" x14ac:dyDescent="0.2">
      <c r="A779" s="5"/>
      <c r="B779" s="6"/>
    </row>
    <row r="780" spans="1:2" x14ac:dyDescent="0.2">
      <c r="A780" s="5"/>
      <c r="B780" s="6"/>
    </row>
    <row r="781" spans="1:2" x14ac:dyDescent="0.2">
      <c r="A781" s="5"/>
      <c r="B781" s="6"/>
    </row>
    <row r="782" spans="1:2" x14ac:dyDescent="0.2">
      <c r="A782" s="5"/>
      <c r="B782" s="6"/>
    </row>
    <row r="783" spans="1:2" x14ac:dyDescent="0.2">
      <c r="A783" s="5"/>
      <c r="B783" s="6"/>
    </row>
    <row r="784" spans="1:2" x14ac:dyDescent="0.2">
      <c r="A784" s="5"/>
      <c r="B784" s="6"/>
    </row>
    <row r="785" spans="1:2" x14ac:dyDescent="0.2">
      <c r="A785" s="5"/>
      <c r="B785" s="6"/>
    </row>
    <row r="786" spans="1:2" x14ac:dyDescent="0.2">
      <c r="A786" s="5"/>
      <c r="B786" s="6"/>
    </row>
    <row r="787" spans="1:2" x14ac:dyDescent="0.2">
      <c r="A787" s="5"/>
      <c r="B787" s="6"/>
    </row>
    <row r="788" spans="1:2" x14ac:dyDescent="0.2">
      <c r="A788" s="5"/>
      <c r="B788" s="6"/>
    </row>
    <row r="789" spans="1:2" x14ac:dyDescent="0.2">
      <c r="A789" s="5"/>
      <c r="B789" s="6"/>
    </row>
    <row r="790" spans="1:2" x14ac:dyDescent="0.2">
      <c r="A790" s="5"/>
      <c r="B790" s="6"/>
    </row>
    <row r="791" spans="1:2" x14ac:dyDescent="0.2">
      <c r="A791" s="5"/>
      <c r="B791" s="6"/>
    </row>
    <row r="792" spans="1:2" x14ac:dyDescent="0.2">
      <c r="A792" s="5"/>
      <c r="B792" s="6"/>
    </row>
    <row r="793" spans="1:2" x14ac:dyDescent="0.2">
      <c r="A793" s="5"/>
      <c r="B793" s="6"/>
    </row>
    <row r="794" spans="1:2" x14ac:dyDescent="0.2">
      <c r="A794" s="5"/>
      <c r="B794" s="6"/>
    </row>
    <row r="795" spans="1:2" x14ac:dyDescent="0.2">
      <c r="A795" s="5"/>
      <c r="B795" s="6"/>
    </row>
    <row r="796" spans="1:2" x14ac:dyDescent="0.2">
      <c r="A796" s="5"/>
      <c r="B796" s="6"/>
    </row>
    <row r="797" spans="1:2" x14ac:dyDescent="0.2">
      <c r="A797" s="5"/>
      <c r="B797" s="6"/>
    </row>
    <row r="798" spans="1:2" x14ac:dyDescent="0.2">
      <c r="A798" s="5"/>
      <c r="B798" s="6"/>
    </row>
    <row r="799" spans="1:2" x14ac:dyDescent="0.2">
      <c r="A799" s="5"/>
      <c r="B799" s="6"/>
    </row>
    <row r="800" spans="1:2" x14ac:dyDescent="0.2">
      <c r="A800" s="5"/>
      <c r="B800" s="6"/>
    </row>
    <row r="801" spans="1:2" x14ac:dyDescent="0.2">
      <c r="A801" s="5"/>
      <c r="B801" s="6"/>
    </row>
    <row r="802" spans="1:2" x14ac:dyDescent="0.2">
      <c r="A802" s="5"/>
      <c r="B802" s="6"/>
    </row>
    <row r="803" spans="1:2" x14ac:dyDescent="0.2">
      <c r="A803" s="5"/>
      <c r="B803" s="6"/>
    </row>
    <row r="804" spans="1:2" x14ac:dyDescent="0.2">
      <c r="A804" s="5"/>
      <c r="B804" s="6"/>
    </row>
    <row r="805" spans="1:2" x14ac:dyDescent="0.2">
      <c r="A805" s="5"/>
      <c r="B805" s="6"/>
    </row>
    <row r="806" spans="1:2" x14ac:dyDescent="0.2">
      <c r="A806" s="5"/>
      <c r="B806" s="6"/>
    </row>
    <row r="807" spans="1:2" x14ac:dyDescent="0.2">
      <c r="A807" s="5"/>
      <c r="B807" s="6"/>
    </row>
    <row r="808" spans="1:2" x14ac:dyDescent="0.2">
      <c r="A808" s="5"/>
      <c r="B808" s="6"/>
    </row>
    <row r="809" spans="1:2" x14ac:dyDescent="0.2">
      <c r="A809" s="5"/>
      <c r="B809" s="6"/>
    </row>
    <row r="810" spans="1:2" x14ac:dyDescent="0.2">
      <c r="A810" s="5"/>
      <c r="B810" s="6"/>
    </row>
    <row r="811" spans="1:2" x14ac:dyDescent="0.2">
      <c r="A811" s="5"/>
      <c r="B811" s="6"/>
    </row>
    <row r="812" spans="1:2" x14ac:dyDescent="0.2">
      <c r="A812" s="5"/>
      <c r="B812" s="6"/>
    </row>
    <row r="813" spans="1:2" x14ac:dyDescent="0.2">
      <c r="A813" s="5"/>
      <c r="B813" s="6"/>
    </row>
    <row r="814" spans="1:2" x14ac:dyDescent="0.2">
      <c r="A814" s="5"/>
      <c r="B814" s="6"/>
    </row>
    <row r="815" spans="1:2" x14ac:dyDescent="0.2">
      <c r="A815" s="5"/>
      <c r="B815" s="6"/>
    </row>
    <row r="816" spans="1:2" x14ac:dyDescent="0.2">
      <c r="A816" s="5"/>
      <c r="B816" s="6"/>
    </row>
    <row r="817" spans="1:2" x14ac:dyDescent="0.2">
      <c r="A817" s="5"/>
      <c r="B817" s="6"/>
    </row>
    <row r="818" spans="1:2" x14ac:dyDescent="0.2">
      <c r="A818" s="5"/>
      <c r="B818" s="6"/>
    </row>
    <row r="819" spans="1:2" x14ac:dyDescent="0.2">
      <c r="A819" s="5"/>
      <c r="B819" s="6"/>
    </row>
    <row r="820" spans="1:2" x14ac:dyDescent="0.2">
      <c r="A820" s="5"/>
      <c r="B820" s="6"/>
    </row>
    <row r="821" spans="1:2" x14ac:dyDescent="0.2">
      <c r="A821" s="5"/>
      <c r="B821" s="6"/>
    </row>
    <row r="822" spans="1:2" x14ac:dyDescent="0.2">
      <c r="A822" s="5"/>
      <c r="B822" s="6"/>
    </row>
    <row r="823" spans="1:2" x14ac:dyDescent="0.2">
      <c r="A823" s="5"/>
      <c r="B823" s="6"/>
    </row>
    <row r="824" spans="1:2" x14ac:dyDescent="0.2">
      <c r="A824" s="5"/>
      <c r="B824" s="6"/>
    </row>
    <row r="825" spans="1:2" x14ac:dyDescent="0.2">
      <c r="A825" s="5"/>
      <c r="B825" s="6"/>
    </row>
    <row r="826" spans="1:2" x14ac:dyDescent="0.2">
      <c r="A826" s="5"/>
      <c r="B826" s="6"/>
    </row>
    <row r="827" spans="1:2" x14ac:dyDescent="0.2">
      <c r="A827" s="5"/>
      <c r="B827" s="6"/>
    </row>
    <row r="828" spans="1:2" x14ac:dyDescent="0.2">
      <c r="A828" s="5"/>
      <c r="B828" s="6"/>
    </row>
    <row r="829" spans="1:2" x14ac:dyDescent="0.2">
      <c r="A829" s="5"/>
      <c r="B829" s="6"/>
    </row>
    <row r="830" spans="1:2" x14ac:dyDescent="0.2">
      <c r="A830" s="5"/>
      <c r="B830" s="6"/>
    </row>
    <row r="831" spans="1:2" x14ac:dyDescent="0.2">
      <c r="A831" s="5"/>
      <c r="B831" s="6"/>
    </row>
    <row r="832" spans="1:2" x14ac:dyDescent="0.2">
      <c r="A832" s="5"/>
      <c r="B832" s="6"/>
    </row>
    <row r="833" spans="1:2" x14ac:dyDescent="0.2">
      <c r="A833" s="5"/>
      <c r="B833" s="6"/>
    </row>
    <row r="834" spans="1:2" x14ac:dyDescent="0.2">
      <c r="A834" s="5"/>
      <c r="B834" s="6"/>
    </row>
    <row r="835" spans="1:2" x14ac:dyDescent="0.2">
      <c r="A835" s="5"/>
      <c r="B835" s="6"/>
    </row>
    <row r="836" spans="1:2" x14ac:dyDescent="0.2">
      <c r="A836" s="5"/>
      <c r="B836" s="6"/>
    </row>
    <row r="837" spans="1:2" x14ac:dyDescent="0.2">
      <c r="A837" s="5"/>
      <c r="B837" s="6"/>
    </row>
    <row r="838" spans="1:2" x14ac:dyDescent="0.2">
      <c r="A838" s="5"/>
      <c r="B838" s="6"/>
    </row>
    <row r="839" spans="1:2" x14ac:dyDescent="0.2">
      <c r="A839" s="5"/>
      <c r="B839" s="6"/>
    </row>
    <row r="840" spans="1:2" x14ac:dyDescent="0.2">
      <c r="A840" s="5"/>
      <c r="B840" s="6"/>
    </row>
    <row r="841" spans="1:2" x14ac:dyDescent="0.2">
      <c r="A841" s="5"/>
      <c r="B841" s="6"/>
    </row>
    <row r="842" spans="1:2" x14ac:dyDescent="0.2">
      <c r="A842" s="5"/>
      <c r="B842" s="6"/>
    </row>
    <row r="843" spans="1:2" x14ac:dyDescent="0.2">
      <c r="A843" s="5"/>
      <c r="B843" s="6"/>
    </row>
    <row r="844" spans="1:2" x14ac:dyDescent="0.2">
      <c r="A844" s="5"/>
      <c r="B844" s="6"/>
    </row>
    <row r="845" spans="1:2" x14ac:dyDescent="0.2">
      <c r="A845" s="5"/>
      <c r="B845" s="6"/>
    </row>
    <row r="846" spans="1:2" x14ac:dyDescent="0.2">
      <c r="A846" s="5"/>
      <c r="B846" s="6"/>
    </row>
    <row r="847" spans="1:2" x14ac:dyDescent="0.2">
      <c r="A847" s="5"/>
      <c r="B847" s="6"/>
    </row>
    <row r="848" spans="1:2" x14ac:dyDescent="0.2">
      <c r="A848" s="5"/>
      <c r="B848" s="6"/>
    </row>
    <row r="849" spans="1:2" x14ac:dyDescent="0.2">
      <c r="A849" s="5"/>
      <c r="B849" s="6"/>
    </row>
    <row r="850" spans="1:2" x14ac:dyDescent="0.2">
      <c r="A850" s="5"/>
      <c r="B850" s="6"/>
    </row>
    <row r="851" spans="1:2" x14ac:dyDescent="0.2">
      <c r="A851" s="5"/>
      <c r="B851" s="6"/>
    </row>
    <row r="852" spans="1:2" x14ac:dyDescent="0.2">
      <c r="A852" s="5"/>
      <c r="B852" s="6"/>
    </row>
    <row r="853" spans="1:2" x14ac:dyDescent="0.2">
      <c r="A853" s="5"/>
      <c r="B853" s="6"/>
    </row>
    <row r="854" spans="1:2" x14ac:dyDescent="0.2">
      <c r="A854" s="5"/>
      <c r="B854" s="6"/>
    </row>
    <row r="855" spans="1:2" x14ac:dyDescent="0.2">
      <c r="A855" s="5"/>
      <c r="B855" s="6"/>
    </row>
    <row r="856" spans="1:2" x14ac:dyDescent="0.2">
      <c r="A856" s="5"/>
      <c r="B856" s="6"/>
    </row>
    <row r="857" spans="1:2" x14ac:dyDescent="0.2">
      <c r="A857" s="5"/>
      <c r="B857" s="6"/>
    </row>
    <row r="858" spans="1:2" x14ac:dyDescent="0.2">
      <c r="A858" s="5"/>
      <c r="B858" s="6"/>
    </row>
    <row r="859" spans="1:2" x14ac:dyDescent="0.2">
      <c r="A859" s="5"/>
      <c r="B859" s="6"/>
    </row>
    <row r="860" spans="1:2" x14ac:dyDescent="0.2">
      <c r="A860" s="5"/>
      <c r="B860" s="6"/>
    </row>
    <row r="861" spans="1:2" x14ac:dyDescent="0.2">
      <c r="A861" s="5"/>
      <c r="B861" s="6"/>
    </row>
    <row r="862" spans="1:2" x14ac:dyDescent="0.2">
      <c r="A862" s="5"/>
      <c r="B862" s="6"/>
    </row>
    <row r="863" spans="1:2" x14ac:dyDescent="0.2">
      <c r="A863" s="5"/>
      <c r="B863" s="6"/>
    </row>
    <row r="864" spans="1:2" x14ac:dyDescent="0.2">
      <c r="A864" s="5"/>
      <c r="B864" s="6"/>
    </row>
    <row r="865" spans="1:2" x14ac:dyDescent="0.2">
      <c r="A865" s="5"/>
      <c r="B865" s="6"/>
    </row>
    <row r="866" spans="1:2" x14ac:dyDescent="0.2">
      <c r="A866" s="5"/>
      <c r="B866" s="6"/>
    </row>
    <row r="867" spans="1:2" x14ac:dyDescent="0.2">
      <c r="A867" s="5"/>
      <c r="B867" s="6"/>
    </row>
    <row r="868" spans="1:2" x14ac:dyDescent="0.2">
      <c r="A868" s="5"/>
      <c r="B868" s="6"/>
    </row>
    <row r="869" spans="1:2" x14ac:dyDescent="0.2">
      <c r="A869" s="5"/>
      <c r="B869" s="6"/>
    </row>
    <row r="870" spans="1:2" x14ac:dyDescent="0.2">
      <c r="A870" s="5"/>
      <c r="B870" s="6"/>
    </row>
    <row r="871" spans="1:2" x14ac:dyDescent="0.2">
      <c r="A871" s="5"/>
      <c r="B871" s="6"/>
    </row>
    <row r="872" spans="1:2" x14ac:dyDescent="0.2">
      <c r="A872" s="5"/>
      <c r="B872" s="6"/>
    </row>
    <row r="873" spans="1:2" x14ac:dyDescent="0.2">
      <c r="A873" s="5"/>
      <c r="B873" s="6"/>
    </row>
    <row r="874" spans="1:2" x14ac:dyDescent="0.2">
      <c r="A874" s="5"/>
      <c r="B874" s="6"/>
    </row>
    <row r="875" spans="1:2" x14ac:dyDescent="0.2">
      <c r="A875" s="5"/>
      <c r="B875" s="6"/>
    </row>
    <row r="876" spans="1:2" x14ac:dyDescent="0.2">
      <c r="A876" s="5"/>
      <c r="B876" s="6"/>
    </row>
    <row r="877" spans="1:2" x14ac:dyDescent="0.2">
      <c r="A877" s="5"/>
      <c r="B877" s="6"/>
    </row>
    <row r="878" spans="1:2" x14ac:dyDescent="0.2">
      <c r="A878" s="5"/>
      <c r="B878" s="6"/>
    </row>
    <row r="879" spans="1:2" x14ac:dyDescent="0.2">
      <c r="A879" s="5"/>
      <c r="B879" s="6"/>
    </row>
    <row r="880" spans="1:2" x14ac:dyDescent="0.2">
      <c r="A880" s="5"/>
      <c r="B880" s="6"/>
    </row>
    <row r="881" spans="1:2" x14ac:dyDescent="0.2">
      <c r="A881" s="5"/>
      <c r="B88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F043-555E-495A-9D00-07B3497D7EAD}">
  <sheetPr>
    <tabColor theme="9" tint="-0.499984740745262"/>
  </sheetPr>
  <dimension ref="A1:B5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0.5" customWidth="1"/>
    <col min="2" max="2" width="11.5" customWidth="1"/>
  </cols>
  <sheetData>
    <row r="1" spans="1:2" x14ac:dyDescent="0.2">
      <c r="A1" t="s">
        <v>12</v>
      </c>
    </row>
    <row r="2" spans="1:2" x14ac:dyDescent="0.2">
      <c r="A2" t="s">
        <v>13</v>
      </c>
      <c r="B2" s="7">
        <v>40179</v>
      </c>
    </row>
    <row r="3" spans="1:2" x14ac:dyDescent="0.2">
      <c r="A3" t="s">
        <v>14</v>
      </c>
      <c r="B3" s="7">
        <v>43830</v>
      </c>
    </row>
    <row r="5" spans="1:2" x14ac:dyDescent="0.2">
      <c r="A5" t="s">
        <v>15</v>
      </c>
      <c r="B5" s="8">
        <f>AVERAGEIFS('Emp Pop Ratio'!B:B,'Emp Pop Ratio'!A:A,"&gt;="&amp;'Avg Emp-Pop Ratio'!B2,'Emp Pop Ratio'!A:A,"&lt;="&amp;'Avg Emp-Pop Ratio'!B3)/100</f>
        <v>0.64123000335693359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8DD8-FEA5-4D0F-A5C5-448514959D37}">
  <sheetPr>
    <tabColor theme="9" tint="0.59999389629810485"/>
  </sheetPr>
  <dimension ref="A1:AL16"/>
  <sheetViews>
    <sheetView topLeftCell="A2" workbookViewId="0">
      <selection activeCell="I22" sqref="I22"/>
    </sheetView>
  </sheetViews>
  <sheetFormatPr baseColWidth="10" defaultColWidth="9.1640625" defaultRowHeight="13" x14ac:dyDescent="0.15"/>
  <cols>
    <col min="1" max="1" width="27.5" style="15" customWidth="1"/>
    <col min="2" max="2" width="2.5" style="15" customWidth="1"/>
    <col min="3" max="16384" width="9.1640625" style="15"/>
  </cols>
  <sheetData>
    <row r="1" spans="1:38" hidden="1" x14ac:dyDescent="0.15">
      <c r="A1" s="14"/>
      <c r="B1" s="14"/>
    </row>
    <row r="2" spans="1:38" customFormat="1" ht="27" x14ac:dyDescent="0.2">
      <c r="A2" s="30" t="s">
        <v>20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customFormat="1" ht="15" x14ac:dyDescent="0.2">
      <c r="A3" s="38" t="s">
        <v>21</v>
      </c>
      <c r="B3" s="39"/>
      <c r="C3" s="45" t="s">
        <v>22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7"/>
    </row>
    <row r="4" spans="1:38" customFormat="1" ht="15" x14ac:dyDescent="0.2">
      <c r="A4" s="38" t="s">
        <v>23</v>
      </c>
      <c r="B4" s="39"/>
      <c r="C4" s="40" t="s">
        <v>135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2"/>
    </row>
    <row r="5" spans="1:38" customFormat="1" ht="15" x14ac:dyDescent="0.2">
      <c r="A5" s="38" t="s">
        <v>24</v>
      </c>
      <c r="B5" s="39"/>
      <c r="C5" s="40" t="s">
        <v>25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2"/>
    </row>
    <row r="6" spans="1:38" customFormat="1" ht="15" x14ac:dyDescent="0.2">
      <c r="A6" s="38" t="s">
        <v>26</v>
      </c>
      <c r="B6" s="39"/>
      <c r="C6" s="40" t="s">
        <v>27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2"/>
    </row>
    <row r="7" spans="1:38" customFormat="1" ht="120" x14ac:dyDescent="0.2">
      <c r="A7" s="43" t="s">
        <v>28</v>
      </c>
      <c r="B7" s="44"/>
      <c r="C7" s="31" t="s">
        <v>29</v>
      </c>
      <c r="D7" s="31" t="s">
        <v>30</v>
      </c>
      <c r="E7" s="31" t="s">
        <v>31</v>
      </c>
      <c r="F7" s="31" t="s">
        <v>32</v>
      </c>
      <c r="G7" s="31" t="s">
        <v>33</v>
      </c>
      <c r="H7" s="31" t="s">
        <v>34</v>
      </c>
      <c r="I7" s="31" t="s">
        <v>35</v>
      </c>
      <c r="J7" s="31" t="s">
        <v>36</v>
      </c>
      <c r="K7" s="31" t="s">
        <v>37</v>
      </c>
      <c r="L7" s="31" t="s">
        <v>38</v>
      </c>
      <c r="M7" s="31" t="s">
        <v>39</v>
      </c>
      <c r="N7" s="31" t="s">
        <v>40</v>
      </c>
      <c r="O7" s="31" t="s">
        <v>41</v>
      </c>
      <c r="P7" s="31" t="s">
        <v>42</v>
      </c>
      <c r="Q7" s="31" t="s">
        <v>43</v>
      </c>
      <c r="R7" s="31" t="s">
        <v>44</v>
      </c>
      <c r="S7" s="31" t="s">
        <v>45</v>
      </c>
      <c r="T7" s="31" t="s">
        <v>46</v>
      </c>
      <c r="U7" s="31" t="s">
        <v>47</v>
      </c>
      <c r="V7" s="31" t="s">
        <v>48</v>
      </c>
      <c r="W7" s="31" t="s">
        <v>49</v>
      </c>
      <c r="X7" s="31" t="s">
        <v>50</v>
      </c>
      <c r="Y7" s="31" t="s">
        <v>51</v>
      </c>
      <c r="Z7" s="31" t="s">
        <v>52</v>
      </c>
      <c r="AA7" s="31" t="s">
        <v>53</v>
      </c>
      <c r="AB7" s="31" t="s">
        <v>54</v>
      </c>
      <c r="AC7" s="31" t="s">
        <v>55</v>
      </c>
      <c r="AD7" s="31" t="s">
        <v>56</v>
      </c>
      <c r="AE7" s="31" t="s">
        <v>57</v>
      </c>
      <c r="AF7" s="31" t="s">
        <v>58</v>
      </c>
      <c r="AG7" s="31" t="s">
        <v>59</v>
      </c>
      <c r="AH7" s="31" t="s">
        <v>60</v>
      </c>
      <c r="AI7" s="31" t="s">
        <v>61</v>
      </c>
      <c r="AJ7" s="31" t="s">
        <v>62</v>
      </c>
      <c r="AK7" s="31" t="s">
        <v>63</v>
      </c>
      <c r="AL7" s="31" t="s">
        <v>64</v>
      </c>
    </row>
    <row r="8" spans="1:38" customFormat="1" ht="15" x14ac:dyDescent="0.2">
      <c r="A8" s="32" t="s">
        <v>65</v>
      </c>
      <c r="B8" s="33" t="s">
        <v>66</v>
      </c>
      <c r="C8" s="33" t="s">
        <v>66</v>
      </c>
      <c r="D8" s="33" t="s">
        <v>66</v>
      </c>
      <c r="E8" s="33" t="s">
        <v>66</v>
      </c>
      <c r="F8" s="33" t="s">
        <v>66</v>
      </c>
      <c r="G8" s="33" t="s">
        <v>66</v>
      </c>
      <c r="H8" s="33" t="s">
        <v>66</v>
      </c>
      <c r="I8" s="33" t="s">
        <v>66</v>
      </c>
      <c r="J8" s="33" t="s">
        <v>66</v>
      </c>
      <c r="K8" s="33" t="s">
        <v>66</v>
      </c>
      <c r="L8" s="33" t="s">
        <v>66</v>
      </c>
      <c r="M8" s="33" t="s">
        <v>66</v>
      </c>
      <c r="N8" s="33" t="s">
        <v>66</v>
      </c>
      <c r="O8" s="33" t="s">
        <v>66</v>
      </c>
      <c r="P8" s="33" t="s">
        <v>66</v>
      </c>
      <c r="Q8" s="33" t="s">
        <v>66</v>
      </c>
      <c r="R8" s="33" t="s">
        <v>66</v>
      </c>
      <c r="S8" s="33" t="s">
        <v>66</v>
      </c>
      <c r="T8" s="33" t="s">
        <v>66</v>
      </c>
      <c r="U8" s="33" t="s">
        <v>66</v>
      </c>
      <c r="V8" s="33" t="s">
        <v>66</v>
      </c>
      <c r="W8" s="33" t="s">
        <v>66</v>
      </c>
      <c r="X8" s="33" t="s">
        <v>66</v>
      </c>
      <c r="Y8" s="33" t="s">
        <v>66</v>
      </c>
      <c r="Z8" s="33" t="s">
        <v>66</v>
      </c>
      <c r="AA8" s="33" t="s">
        <v>66</v>
      </c>
      <c r="AB8" s="33" t="s">
        <v>66</v>
      </c>
      <c r="AC8" s="33" t="s">
        <v>66</v>
      </c>
      <c r="AD8" s="33" t="s">
        <v>66</v>
      </c>
      <c r="AE8" s="33" t="s">
        <v>66</v>
      </c>
      <c r="AF8" s="33" t="s">
        <v>66</v>
      </c>
      <c r="AG8" s="33" t="s">
        <v>66</v>
      </c>
      <c r="AH8" s="33" t="s">
        <v>66</v>
      </c>
      <c r="AI8" s="33" t="s">
        <v>66</v>
      </c>
      <c r="AJ8" s="33" t="s">
        <v>66</v>
      </c>
      <c r="AK8" s="33" t="s">
        <v>66</v>
      </c>
      <c r="AL8" s="33" t="s">
        <v>66</v>
      </c>
    </row>
    <row r="9" spans="1:38" customFormat="1" ht="15" x14ac:dyDescent="0.2">
      <c r="A9" s="34" t="s">
        <v>67</v>
      </c>
      <c r="B9" s="33" t="s">
        <v>66</v>
      </c>
      <c r="C9" s="35">
        <v>29262.673999999999</v>
      </c>
      <c r="D9" s="35">
        <v>4975.9210000000003</v>
      </c>
      <c r="E9" s="35">
        <v>2242.136</v>
      </c>
      <c r="F9" s="35">
        <v>2007.81</v>
      </c>
      <c r="G9" s="35">
        <v>14592.644</v>
      </c>
      <c r="H9" s="35">
        <v>3959.9879999999998</v>
      </c>
      <c r="I9" s="35">
        <v>1593.3630000000001</v>
      </c>
      <c r="J9" s="35">
        <v>1918.7380000000001</v>
      </c>
      <c r="K9" s="35">
        <v>6049.9470000000001</v>
      </c>
      <c r="L9" s="35">
        <v>5443.2039999999997</v>
      </c>
      <c r="M9" s="35">
        <v>2177.0239999999999</v>
      </c>
      <c r="N9" s="35">
        <v>1971.729</v>
      </c>
      <c r="O9" s="35">
        <v>1635.3610000000001</v>
      </c>
      <c r="P9" s="35">
        <v>1810.2080000000001</v>
      </c>
      <c r="Q9" s="35">
        <v>1727.854</v>
      </c>
      <c r="R9" s="35">
        <v>1053.039</v>
      </c>
      <c r="S9" s="35">
        <v>1174.9770000000001</v>
      </c>
      <c r="T9" s="35">
        <v>4857.665</v>
      </c>
      <c r="U9" s="35">
        <v>204.369</v>
      </c>
      <c r="V9" s="35">
        <v>898.87300000000005</v>
      </c>
      <c r="W9" s="35">
        <v>2769.5239999999999</v>
      </c>
      <c r="X9" s="35">
        <v>35126.419000000002</v>
      </c>
      <c r="Y9" s="35">
        <v>33095.794999999998</v>
      </c>
      <c r="Z9" s="35">
        <v>15284.425999999999</v>
      </c>
      <c r="AA9" s="35">
        <v>8958.4079999999994</v>
      </c>
      <c r="AB9" s="35">
        <v>3090.2849999999999</v>
      </c>
      <c r="AC9" s="35">
        <v>6742.17</v>
      </c>
      <c r="AD9" s="35">
        <v>1462.4169999999999</v>
      </c>
      <c r="AE9" s="35">
        <v>10616.784</v>
      </c>
      <c r="AF9" s="35">
        <v>1332.691</v>
      </c>
      <c r="AG9" s="35">
        <v>4373.2539999999999</v>
      </c>
      <c r="AH9" s="35">
        <v>29908.789000000001</v>
      </c>
      <c r="AI9" s="35">
        <v>23779.981</v>
      </c>
      <c r="AJ9" s="35">
        <v>4499.8190000000004</v>
      </c>
      <c r="AK9" s="35">
        <v>10633.825999999999</v>
      </c>
      <c r="AL9" s="35">
        <v>1389.2</v>
      </c>
    </row>
    <row r="10" spans="1:38" customFormat="1" ht="24" x14ac:dyDescent="0.2">
      <c r="A10" s="34" t="s">
        <v>68</v>
      </c>
      <c r="B10" s="33" t="s">
        <v>66</v>
      </c>
      <c r="C10" s="36">
        <v>967.63499999999999</v>
      </c>
      <c r="D10" s="36">
        <v>1917.4390000000001</v>
      </c>
      <c r="E10" s="36">
        <v>639.09799999999996</v>
      </c>
      <c r="F10" s="36">
        <v>249.27199999999999</v>
      </c>
      <c r="G10" s="36">
        <v>8878.7379999999994</v>
      </c>
      <c r="H10" s="36">
        <v>365.67399999999998</v>
      </c>
      <c r="I10" s="36">
        <v>174.38300000000001</v>
      </c>
      <c r="J10" s="36">
        <v>173.18199999999999</v>
      </c>
      <c r="K10" s="36">
        <v>-9098.5190000000002</v>
      </c>
      <c r="L10" s="36">
        <v>60.228000000000002</v>
      </c>
      <c r="M10" s="36">
        <v>358.56900000000002</v>
      </c>
      <c r="N10" s="36">
        <v>409.18599999999998</v>
      </c>
      <c r="O10" s="36">
        <v>372.32100000000003</v>
      </c>
      <c r="P10" s="36">
        <v>186.87299999999999</v>
      </c>
      <c r="Q10" s="36">
        <v>374.298</v>
      </c>
      <c r="R10" s="36">
        <v>165.446</v>
      </c>
      <c r="S10" s="36">
        <v>167.33099999999999</v>
      </c>
      <c r="T10" s="36">
        <v>503.53500000000003</v>
      </c>
      <c r="U10" s="36">
        <v>17.329000000000001</v>
      </c>
      <c r="V10" s="36">
        <v>98.558999999999997</v>
      </c>
      <c r="W10" s="36">
        <v>85.218000000000004</v>
      </c>
      <c r="X10" s="36">
        <v>728.74400000000003</v>
      </c>
      <c r="Y10" s="36">
        <v>855.48500000000001</v>
      </c>
      <c r="Z10" s="36">
        <v>334.95600000000002</v>
      </c>
      <c r="AA10" s="36">
        <v>198.429</v>
      </c>
      <c r="AB10" s="36">
        <v>126.89100000000001</v>
      </c>
      <c r="AC10" s="36">
        <v>694.89200000000005</v>
      </c>
      <c r="AD10" s="36">
        <v>55.884999999999998</v>
      </c>
      <c r="AE10" s="36">
        <v>197.928</v>
      </c>
      <c r="AF10" s="36">
        <v>1060.796</v>
      </c>
      <c r="AG10" s="36">
        <v>114.321</v>
      </c>
      <c r="AH10" s="36">
        <v>-324.755</v>
      </c>
      <c r="AI10" s="36">
        <v>89.658000000000001</v>
      </c>
      <c r="AJ10" s="36">
        <v>50.713000000000001</v>
      </c>
      <c r="AK10" s="36">
        <v>115.815</v>
      </c>
      <c r="AL10" s="36">
        <v>0</v>
      </c>
    </row>
    <row r="11" spans="1:38" customFormat="1" ht="24" x14ac:dyDescent="0.2">
      <c r="A11" s="34" t="s">
        <v>69</v>
      </c>
      <c r="B11" s="33" t="s">
        <v>66</v>
      </c>
      <c r="C11" s="35">
        <v>84985.290999999997</v>
      </c>
      <c r="D11" s="35">
        <v>38614.54</v>
      </c>
      <c r="E11" s="35">
        <v>12666.565000000001</v>
      </c>
      <c r="F11" s="35">
        <v>1983.818</v>
      </c>
      <c r="G11" s="35">
        <v>32496.018</v>
      </c>
      <c r="H11" s="35">
        <v>8326.0380000000005</v>
      </c>
      <c r="I11" s="35">
        <v>4008.2539999999999</v>
      </c>
      <c r="J11" s="35">
        <v>4407.4799999999996</v>
      </c>
      <c r="K11" s="35">
        <v>26771.572</v>
      </c>
      <c r="L11" s="35">
        <v>10033.067999999999</v>
      </c>
      <c r="M11" s="35">
        <v>3829.8069999999998</v>
      </c>
      <c r="N11" s="35">
        <v>3793.386</v>
      </c>
      <c r="O11" s="35">
        <v>4669.3180000000002</v>
      </c>
      <c r="P11" s="35">
        <v>3097.2190000000001</v>
      </c>
      <c r="Q11" s="35">
        <v>6304.7479999999996</v>
      </c>
      <c r="R11" s="35">
        <v>2067.7150000000001</v>
      </c>
      <c r="S11" s="35">
        <v>1419.0920000000001</v>
      </c>
      <c r="T11" s="35">
        <v>10374.1</v>
      </c>
      <c r="U11" s="35">
        <v>373.60199999999998</v>
      </c>
      <c r="V11" s="35">
        <v>1876.1679999999999</v>
      </c>
      <c r="W11" s="35">
        <v>9349.3580000000002</v>
      </c>
      <c r="X11" s="35">
        <v>51317.436000000002</v>
      </c>
      <c r="Y11" s="35">
        <v>79749.22</v>
      </c>
      <c r="Z11" s="35">
        <v>27264.616999999998</v>
      </c>
      <c r="AA11" s="35">
        <v>16138.163</v>
      </c>
      <c r="AB11" s="35">
        <v>2551.723</v>
      </c>
      <c r="AC11" s="35">
        <v>14614.338</v>
      </c>
      <c r="AD11" s="35">
        <v>728.39800000000002</v>
      </c>
      <c r="AE11" s="35">
        <v>23623.788</v>
      </c>
      <c r="AF11" s="35">
        <v>21868.012999999999</v>
      </c>
      <c r="AG11" s="35">
        <v>9604.8250000000007</v>
      </c>
      <c r="AH11" s="35">
        <v>3759.3670000000002</v>
      </c>
      <c r="AI11" s="35">
        <v>4867.9610000000002</v>
      </c>
      <c r="AJ11" s="35">
        <v>4553.2690000000002</v>
      </c>
      <c r="AK11" s="35">
        <v>7658.46</v>
      </c>
      <c r="AL11" s="35">
        <v>0</v>
      </c>
    </row>
    <row r="12" spans="1:38" customFormat="1" ht="15" x14ac:dyDescent="0.2">
      <c r="A12" s="37" t="s">
        <v>136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6" spans="1:38" customFormat="1" ht="15" x14ac:dyDescent="0.2">
      <c r="A16" s="29"/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13" r:id="rId1" display="https://stats-1.oecd.org/index.aspx?DatasetCode=IOTSI4_2018" xr:uid="{00000000-0004-0000-0500-000002000000}"/>
    <hyperlink ref="A2" r:id="rId2" display="http://stats.oecd.org/OECDStat_Metadata/ShowMetadata.ashx?Dataset=IOTSI4_2018&amp;ShowOnWeb=true&amp;Lang=en" xr:uid="{00000000-0004-0000-0500-000001000000}"/>
    <hyperlink ref="C3" r:id="rId3" display="http://stats.oecd.org/OECDStat_Metadata/ShowMetadata.ashx?Dataset=IOTSI4_2018&amp;Coords=[VAR].[VAL]&amp;ShowOnWeb=true&amp;Lang=en" xr:uid="{00000000-0004-0000-0500-000002000000}"/>
    <hyperlink ref="A12" r:id="rId4" display="https://stats-1.oecd.org/index.aspx?DatasetCode=IOTSI4_2018" xr:uid="{00000000-0004-0000-0500-000003000000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7CE8-DED7-4D15-8E70-0480E590D8FC}">
  <sheetPr>
    <tabColor theme="9" tint="0.59999389629810485"/>
  </sheetPr>
  <dimension ref="A4:D95"/>
  <sheetViews>
    <sheetView topLeftCell="A60" workbookViewId="0">
      <selection activeCell="B5" sqref="B5:B95"/>
    </sheetView>
  </sheetViews>
  <sheetFormatPr baseColWidth="10" defaultColWidth="8.83203125" defaultRowHeight="15" x14ac:dyDescent="0.2"/>
  <cols>
    <col min="1" max="2" width="17.83203125" customWidth="1"/>
    <col min="3" max="3" width="19" customWidth="1"/>
    <col min="4" max="4" width="21.83203125" customWidth="1"/>
  </cols>
  <sheetData>
    <row r="4" spans="1:3" x14ac:dyDescent="0.2">
      <c r="A4" s="1" t="s">
        <v>99</v>
      </c>
      <c r="B4" s="1" t="s">
        <v>122</v>
      </c>
      <c r="C4" s="1"/>
    </row>
    <row r="5" spans="1:3" x14ac:dyDescent="0.2">
      <c r="A5" s="20">
        <v>1960</v>
      </c>
      <c r="B5" s="22">
        <v>63779252802.949417</v>
      </c>
      <c r="C5" s="21"/>
    </row>
    <row r="6" spans="1:3" x14ac:dyDescent="0.2">
      <c r="A6" s="20">
        <v>1961</v>
      </c>
      <c r="B6" s="22">
        <v>67440593814.710876</v>
      </c>
      <c r="C6" s="21"/>
    </row>
    <row r="7" spans="1:3" x14ac:dyDescent="0.2">
      <c r="A7" s="20">
        <v>1962</v>
      </c>
      <c r="B7" s="22">
        <v>68682834515.122711</v>
      </c>
      <c r="C7" s="21"/>
    </row>
    <row r="8" spans="1:3" x14ac:dyDescent="0.2">
      <c r="A8" s="20">
        <v>1963</v>
      </c>
      <c r="B8" s="22">
        <v>67146378911.979324</v>
      </c>
      <c r="C8" s="21"/>
    </row>
    <row r="9" spans="1:3" x14ac:dyDescent="0.2">
      <c r="A9" s="20">
        <v>1964</v>
      </c>
      <c r="B9" s="22">
        <v>69516443406.185806</v>
      </c>
      <c r="C9" s="21"/>
    </row>
    <row r="10" spans="1:3" x14ac:dyDescent="0.2">
      <c r="A10" s="20">
        <v>1965</v>
      </c>
      <c r="B10" s="22">
        <v>70268325935.386093</v>
      </c>
      <c r="C10" s="21"/>
    </row>
    <row r="11" spans="1:3" x14ac:dyDescent="0.2">
      <c r="A11" s="20">
        <v>1966</v>
      </c>
      <c r="B11" s="22">
        <v>72229758620.255402</v>
      </c>
      <c r="C11" s="21"/>
    </row>
    <row r="12" spans="1:3" x14ac:dyDescent="0.2">
      <c r="A12" s="20">
        <v>1967</v>
      </c>
      <c r="B12" s="22">
        <v>73226820235.067276</v>
      </c>
      <c r="C12" s="21"/>
    </row>
    <row r="13" spans="1:3" x14ac:dyDescent="0.2">
      <c r="A13" s="20">
        <v>1968</v>
      </c>
      <c r="B13" s="22">
        <v>81219658425.904541</v>
      </c>
      <c r="C13" s="21"/>
    </row>
    <row r="14" spans="1:3" x14ac:dyDescent="0.2">
      <c r="A14" s="20">
        <v>1969</v>
      </c>
      <c r="B14" s="22">
        <v>86760705760.649384</v>
      </c>
      <c r="C14" s="21"/>
    </row>
    <row r="15" spans="1:3" x14ac:dyDescent="0.2">
      <c r="A15" s="20">
        <v>1970</v>
      </c>
      <c r="B15" s="22">
        <v>93315159982.583252</v>
      </c>
      <c r="C15" s="21"/>
    </row>
    <row r="16" spans="1:3" x14ac:dyDescent="0.2">
      <c r="A16" s="20">
        <v>1971</v>
      </c>
      <c r="B16" s="22">
        <v>99869614204.51712</v>
      </c>
      <c r="C16" s="21"/>
    </row>
    <row r="17" spans="1:3" x14ac:dyDescent="0.2">
      <c r="A17" s="20">
        <v>1972</v>
      </c>
      <c r="B17" s="22">
        <v>106898081325.29692</v>
      </c>
      <c r="C17" s="21"/>
    </row>
    <row r="18" spans="1:3" x14ac:dyDescent="0.2">
      <c r="A18" s="20">
        <v>1973</v>
      </c>
      <c r="B18" s="22">
        <v>115561075683.4601</v>
      </c>
      <c r="C18" s="21"/>
    </row>
    <row r="19" spans="1:3" x14ac:dyDescent="0.2">
      <c r="A19" s="20">
        <v>1974</v>
      </c>
      <c r="B19" s="22">
        <v>124383785817.97733</v>
      </c>
      <c r="C19" s="21"/>
    </row>
    <row r="20" spans="1:3" x14ac:dyDescent="0.2">
      <c r="A20" s="20">
        <v>1975</v>
      </c>
      <c r="B20" s="22">
        <v>130574741067.52371</v>
      </c>
      <c r="C20" s="21"/>
    </row>
    <row r="21" spans="1:3" x14ac:dyDescent="0.2">
      <c r="A21" s="20">
        <v>1976</v>
      </c>
      <c r="B21" s="22">
        <v>139566855450.15109</v>
      </c>
      <c r="C21" s="21"/>
    </row>
    <row r="22" spans="1:3" x14ac:dyDescent="0.2">
      <c r="A22" s="20">
        <v>1977</v>
      </c>
      <c r="B22" s="22">
        <v>151794762087.3045</v>
      </c>
      <c r="C22" s="21"/>
    </row>
    <row r="23" spans="1:3" x14ac:dyDescent="0.2">
      <c r="A23" s="20">
        <v>1978</v>
      </c>
      <c r="B23" s="22">
        <v>162066819677.97824</v>
      </c>
      <c r="C23" s="21"/>
    </row>
    <row r="24" spans="1:3" x14ac:dyDescent="0.2">
      <c r="A24" s="20">
        <v>1979</v>
      </c>
      <c r="B24" s="22">
        <v>173937095124.65628</v>
      </c>
      <c r="C24" s="21"/>
    </row>
    <row r="25" spans="1:3" x14ac:dyDescent="0.2">
      <c r="A25" s="20">
        <v>1980</v>
      </c>
      <c r="B25" s="22">
        <v>191122214961.90308</v>
      </c>
      <c r="C25" s="21"/>
    </row>
    <row r="26" spans="1:3" x14ac:dyDescent="0.2">
      <c r="A26" s="20">
        <v>1981</v>
      </c>
      <c r="B26" s="22">
        <v>206272772667.68161</v>
      </c>
      <c r="C26" s="21"/>
    </row>
    <row r="27" spans="1:3" x14ac:dyDescent="0.2">
      <c r="A27" s="20">
        <v>1982</v>
      </c>
      <c r="B27" s="22">
        <v>210906577757.71387</v>
      </c>
      <c r="C27" s="21"/>
    </row>
    <row r="28" spans="1:3" x14ac:dyDescent="0.2">
      <c r="A28" s="20">
        <v>1983</v>
      </c>
      <c r="B28" s="22">
        <v>219749821740.48193</v>
      </c>
      <c r="C28" s="21"/>
    </row>
    <row r="29" spans="1:3" x14ac:dyDescent="0.2">
      <c r="A29" s="20">
        <v>1984</v>
      </c>
      <c r="B29" s="22">
        <v>235078531665.86829</v>
      </c>
      <c r="C29" s="21"/>
    </row>
    <row r="30" spans="1:3" x14ac:dyDescent="0.2">
      <c r="A30" s="20">
        <v>1985</v>
      </c>
      <c r="B30" s="22">
        <v>240866502604.15536</v>
      </c>
      <c r="C30" s="21"/>
    </row>
    <row r="31" spans="1:3" x14ac:dyDescent="0.2">
      <c r="A31" s="20">
        <v>1986</v>
      </c>
      <c r="B31" s="22">
        <v>255017518271.61011</v>
      </c>
      <c r="C31" s="21"/>
    </row>
    <row r="32" spans="1:3" x14ac:dyDescent="0.2">
      <c r="A32" s="20">
        <v>1987</v>
      </c>
      <c r="B32" s="22">
        <v>267579495989.60876</v>
      </c>
      <c r="C32" s="21"/>
    </row>
    <row r="33" spans="1:3" x14ac:dyDescent="0.2">
      <c r="A33" s="20">
        <v>1988</v>
      </c>
      <c r="B33" s="22">
        <v>283046924709.80109</v>
      </c>
      <c r="C33" s="21"/>
    </row>
    <row r="34" spans="1:3" x14ac:dyDescent="0.2">
      <c r="A34" s="20">
        <v>1989</v>
      </c>
      <c r="B34" s="22">
        <v>304152564689.80353</v>
      </c>
      <c r="C34" s="21"/>
    </row>
    <row r="35" spans="1:3" x14ac:dyDescent="0.2">
      <c r="A35" s="20">
        <v>1990</v>
      </c>
      <c r="B35" s="22">
        <v>326179693806.70959</v>
      </c>
      <c r="C35" s="21"/>
    </row>
    <row r="36" spans="1:3" x14ac:dyDescent="0.2">
      <c r="A36" s="20">
        <v>1991</v>
      </c>
      <c r="B36" s="22">
        <v>348725178256.86316</v>
      </c>
      <c r="C36" s="21"/>
    </row>
    <row r="37" spans="1:3" x14ac:dyDescent="0.2">
      <c r="A37" s="20">
        <v>1992</v>
      </c>
      <c r="B37" s="22">
        <v>371383619439.91998</v>
      </c>
      <c r="C37" s="21"/>
    </row>
    <row r="38" spans="1:3" x14ac:dyDescent="0.2">
      <c r="A38" s="20">
        <v>1993</v>
      </c>
      <c r="B38" s="22">
        <v>395510215051.24738</v>
      </c>
      <c r="C38" s="21"/>
    </row>
    <row r="39" spans="1:3" x14ac:dyDescent="0.2">
      <c r="A39" s="20">
        <v>1994</v>
      </c>
      <c r="B39" s="22">
        <v>425331570945.91821</v>
      </c>
      <c r="C39" s="21"/>
    </row>
    <row r="40" spans="1:3" x14ac:dyDescent="0.2">
      <c r="A40" s="20">
        <v>1995</v>
      </c>
      <c r="B40" s="22">
        <v>460293857548.10419</v>
      </c>
      <c r="C40" s="21"/>
    </row>
    <row r="41" spans="1:3" x14ac:dyDescent="0.2">
      <c r="A41" s="20">
        <v>1996</v>
      </c>
      <c r="B41" s="22">
        <v>496280492433.8139</v>
      </c>
      <c r="C41" s="21"/>
    </row>
    <row r="42" spans="1:3" x14ac:dyDescent="0.2">
      <c r="A42" s="20">
        <v>1997</v>
      </c>
      <c r="B42" s="22">
        <v>519605074353.76117</v>
      </c>
      <c r="C42" s="21"/>
    </row>
    <row r="43" spans="1:3" x14ac:dyDescent="0.2">
      <c r="A43" s="20">
        <v>1998</v>
      </c>
      <c r="B43" s="22">
        <v>451397942598.85651</v>
      </c>
      <c r="C43" s="21"/>
    </row>
    <row r="44" spans="1:3" x14ac:dyDescent="0.2">
      <c r="A44" s="20">
        <v>1999</v>
      </c>
      <c r="B44" s="22">
        <v>454969069456.3606</v>
      </c>
      <c r="C44" s="21"/>
    </row>
    <row r="45" spans="1:3" x14ac:dyDescent="0.2">
      <c r="A45" s="20">
        <v>2000</v>
      </c>
      <c r="B45" s="22">
        <v>477353855901.58588</v>
      </c>
      <c r="C45" s="21"/>
    </row>
    <row r="46" spans="1:3" x14ac:dyDescent="0.2">
      <c r="A46" s="20">
        <v>2001</v>
      </c>
      <c r="B46" s="22">
        <v>494746083475.8468</v>
      </c>
      <c r="C46" s="21"/>
    </row>
    <row r="47" spans="1:3" x14ac:dyDescent="0.2">
      <c r="A47" s="20">
        <v>2002</v>
      </c>
      <c r="B47" s="22">
        <v>517007061749.07452</v>
      </c>
      <c r="C47" s="21"/>
    </row>
    <row r="48" spans="1:3" x14ac:dyDescent="0.2">
      <c r="A48" s="20">
        <v>2003</v>
      </c>
      <c r="B48" s="22">
        <v>541721907685.81445</v>
      </c>
      <c r="C48" s="21"/>
    </row>
    <row r="49" spans="1:4" x14ac:dyDescent="0.2">
      <c r="A49" s="20">
        <v>2004</v>
      </c>
      <c r="B49" s="22">
        <v>568975253994.02832</v>
      </c>
      <c r="C49" s="21"/>
    </row>
    <row r="50" spans="1:4" x14ac:dyDescent="0.2">
      <c r="A50" s="20">
        <v>2005</v>
      </c>
      <c r="B50" s="22">
        <v>601364576028.80811</v>
      </c>
      <c r="C50" s="21"/>
    </row>
    <row r="51" spans="1:4" x14ac:dyDescent="0.2">
      <c r="A51" s="20">
        <v>2006</v>
      </c>
      <c r="B51" s="22">
        <v>634445351409.44629</v>
      </c>
      <c r="C51" s="21"/>
    </row>
    <row r="52" spans="1:4" x14ac:dyDescent="0.2">
      <c r="A52" s="20">
        <v>2007</v>
      </c>
      <c r="B52" s="22">
        <v>674701049972.46387</v>
      </c>
      <c r="C52" s="21"/>
    </row>
    <row r="53" spans="1:4" x14ac:dyDescent="0.2">
      <c r="A53" s="20">
        <v>2008</v>
      </c>
      <c r="B53" s="22">
        <v>715275571304.51135</v>
      </c>
      <c r="C53" s="21"/>
    </row>
    <row r="54" spans="1:4" x14ac:dyDescent="0.2">
      <c r="A54" s="20">
        <v>2009</v>
      </c>
      <c r="B54" s="22">
        <v>748384756100.5282</v>
      </c>
      <c r="C54" s="21"/>
    </row>
    <row r="55" spans="1:4" x14ac:dyDescent="0.2">
      <c r="A55" s="20">
        <v>2010</v>
      </c>
      <c r="B55" s="22">
        <v>794963132030.24109</v>
      </c>
      <c r="C55" s="21"/>
    </row>
    <row r="56" spans="1:4" x14ac:dyDescent="0.2">
      <c r="A56" s="20">
        <v>2011</v>
      </c>
      <c r="B56" s="22">
        <v>844010641807.36023</v>
      </c>
      <c r="C56" s="21"/>
    </row>
    <row r="57" spans="1:4" x14ac:dyDescent="0.2">
      <c r="A57" s="20">
        <v>2012</v>
      </c>
      <c r="B57" s="22">
        <v>894904911025.52832</v>
      </c>
      <c r="C57" s="21"/>
    </row>
    <row r="58" spans="1:4" x14ac:dyDescent="0.2">
      <c r="A58" s="20">
        <v>2013</v>
      </c>
      <c r="B58" s="22">
        <v>944637136696.22327</v>
      </c>
      <c r="C58" s="21"/>
      <c r="D58" s="17"/>
    </row>
    <row r="59" spans="1:4" x14ac:dyDescent="0.2">
      <c r="A59" s="20">
        <v>2014</v>
      </c>
      <c r="B59" s="22">
        <v>991931985957.14905</v>
      </c>
      <c r="C59" s="21"/>
    </row>
    <row r="60" spans="1:4" x14ac:dyDescent="0.2">
      <c r="A60" s="20">
        <v>2015</v>
      </c>
      <c r="B60" s="22">
        <v>1040301786591.4049</v>
      </c>
      <c r="C60" s="21"/>
    </row>
    <row r="61" spans="1:4" x14ac:dyDescent="0.2">
      <c r="A61" s="20">
        <v>2016</v>
      </c>
      <c r="B61" s="22">
        <v>1092660895220.4731</v>
      </c>
      <c r="C61" s="21"/>
    </row>
    <row r="62" spans="1:4" x14ac:dyDescent="0.2">
      <c r="A62" s="20">
        <v>2017</v>
      </c>
      <c r="B62" s="22">
        <v>1148056463235.9163</v>
      </c>
      <c r="C62" s="21"/>
    </row>
    <row r="63" spans="1:4" x14ac:dyDescent="0.2">
      <c r="A63" s="20">
        <v>2018</v>
      </c>
      <c r="B63" s="22">
        <v>1207407602610.0977</v>
      </c>
      <c r="C63" s="21"/>
    </row>
    <row r="64" spans="1:4" x14ac:dyDescent="0.2">
      <c r="A64" s="20">
        <v>2019</v>
      </c>
      <c r="B64" s="22">
        <v>1268076381723.1899</v>
      </c>
      <c r="C64" s="21"/>
    </row>
    <row r="65" spans="1:3" x14ac:dyDescent="0.2">
      <c r="A65" s="23">
        <v>2020</v>
      </c>
      <c r="B65">
        <v>1331197854951.0962</v>
      </c>
      <c r="C65" s="24"/>
    </row>
    <row r="66" spans="1:3" x14ac:dyDescent="0.2">
      <c r="A66" s="23">
        <v>2021</v>
      </c>
      <c r="B66">
        <v>1394563094720.7156</v>
      </c>
      <c r="C66" s="24"/>
    </row>
    <row r="67" spans="1:3" x14ac:dyDescent="0.2">
      <c r="A67" s="23">
        <v>2022</v>
      </c>
      <c r="B67">
        <v>1458887180768.865</v>
      </c>
      <c r="C67" s="24"/>
    </row>
    <row r="68" spans="1:3" x14ac:dyDescent="0.2">
      <c r="A68" s="23">
        <v>2023</v>
      </c>
      <c r="B68">
        <v>1524539112858.2749</v>
      </c>
      <c r="C68" s="24"/>
    </row>
    <row r="69" spans="1:3" x14ac:dyDescent="0.2">
      <c r="A69" s="23">
        <v>2024</v>
      </c>
      <c r="B69">
        <v>1591923052399.3022</v>
      </c>
      <c r="C69" s="24"/>
    </row>
    <row r="70" spans="1:3" x14ac:dyDescent="0.2">
      <c r="A70" s="23">
        <v>2025</v>
      </c>
      <c r="B70">
        <v>1661329379290.8838</v>
      </c>
      <c r="C70" s="24"/>
    </row>
    <row r="71" spans="1:3" x14ac:dyDescent="0.2">
      <c r="A71" s="23">
        <v>2026</v>
      </c>
      <c r="B71">
        <v>1732813799064.6521</v>
      </c>
      <c r="C71" s="24"/>
    </row>
    <row r="72" spans="1:3" x14ac:dyDescent="0.2">
      <c r="A72" s="23">
        <v>2027</v>
      </c>
      <c r="B72">
        <v>1806357743210.0632</v>
      </c>
      <c r="C72" s="24"/>
    </row>
    <row r="73" spans="1:3" x14ac:dyDescent="0.2">
      <c r="A73" s="23">
        <v>2028</v>
      </c>
      <c r="B73">
        <v>1882024423677.906</v>
      </c>
      <c r="C73" s="24"/>
    </row>
    <row r="74" spans="1:3" x14ac:dyDescent="0.2">
      <c r="A74" s="23">
        <v>2029</v>
      </c>
      <c r="B74">
        <v>1959851767638.6536</v>
      </c>
      <c r="C74" s="24"/>
    </row>
    <row r="75" spans="1:3" x14ac:dyDescent="0.2">
      <c r="A75" s="23">
        <v>2030</v>
      </c>
      <c r="B75">
        <v>2039795921801.4465</v>
      </c>
      <c r="C75" s="24"/>
    </row>
    <row r="76" spans="1:3" x14ac:dyDescent="0.2">
      <c r="A76" s="23">
        <v>2031</v>
      </c>
      <c r="B76">
        <v>2121841478253.2798</v>
      </c>
      <c r="C76" s="24"/>
    </row>
    <row r="77" spans="1:3" x14ac:dyDescent="0.2">
      <c r="A77" s="23">
        <v>2032</v>
      </c>
      <c r="B77">
        <v>2206168591053.9019</v>
      </c>
      <c r="C77" s="24"/>
    </row>
    <row r="78" spans="1:3" x14ac:dyDescent="0.2">
      <c r="A78" s="23">
        <v>2033</v>
      </c>
      <c r="B78">
        <v>2292807680954.6299</v>
      </c>
      <c r="C78" s="24"/>
    </row>
    <row r="79" spans="1:3" x14ac:dyDescent="0.2">
      <c r="A79" s="23">
        <v>2034</v>
      </c>
      <c r="B79">
        <v>2381797860350.0146</v>
      </c>
      <c r="C79" s="24"/>
    </row>
    <row r="80" spans="1:3" x14ac:dyDescent="0.2">
      <c r="A80" s="23">
        <v>2035</v>
      </c>
      <c r="B80">
        <v>2473181797306.8389</v>
      </c>
      <c r="C80" s="24"/>
    </row>
    <row r="81" spans="1:3" x14ac:dyDescent="0.2">
      <c r="A81" s="23">
        <v>2036</v>
      </c>
      <c r="B81">
        <v>2566944083912.0972</v>
      </c>
      <c r="C81" s="24"/>
    </row>
    <row r="82" spans="1:3" x14ac:dyDescent="0.2">
      <c r="A82" s="23">
        <v>2037</v>
      </c>
      <c r="B82">
        <v>2663029014634.1577</v>
      </c>
      <c r="C82" s="24"/>
    </row>
    <row r="83" spans="1:3" x14ac:dyDescent="0.2">
      <c r="A83" s="23">
        <v>2038</v>
      </c>
      <c r="B83">
        <v>2761518765009.0454</v>
      </c>
      <c r="C83" s="24"/>
    </row>
    <row r="84" spans="1:3" x14ac:dyDescent="0.2">
      <c r="A84" s="23">
        <v>2039</v>
      </c>
      <c r="B84">
        <v>2862364740849.5913</v>
      </c>
      <c r="C84" s="24"/>
    </row>
    <row r="85" spans="1:3" x14ac:dyDescent="0.2">
      <c r="A85" s="23">
        <v>2040</v>
      </c>
      <c r="B85">
        <v>2965504915429.0845</v>
      </c>
      <c r="C85" s="24"/>
    </row>
    <row r="86" spans="1:3" x14ac:dyDescent="0.2">
      <c r="A86" s="23">
        <v>2041</v>
      </c>
      <c r="B86">
        <v>3070912818743.1313</v>
      </c>
      <c r="C86" s="24"/>
    </row>
    <row r="87" spans="1:3" x14ac:dyDescent="0.2">
      <c r="A87" s="23">
        <v>2042</v>
      </c>
      <c r="B87">
        <v>3178551313770.6431</v>
      </c>
      <c r="C87" s="24"/>
    </row>
    <row r="88" spans="1:3" x14ac:dyDescent="0.2">
      <c r="A88" s="23">
        <v>2043</v>
      </c>
      <c r="B88">
        <v>3288388794536.2261</v>
      </c>
      <c r="C88" s="24"/>
    </row>
    <row r="89" spans="1:3" x14ac:dyDescent="0.2">
      <c r="A89" s="23">
        <v>2044</v>
      </c>
      <c r="B89">
        <v>3400324516993.3101</v>
      </c>
      <c r="C89" s="24"/>
    </row>
    <row r="90" spans="1:3" x14ac:dyDescent="0.2">
      <c r="A90" s="23">
        <v>2045</v>
      </c>
      <c r="B90">
        <v>3514035705118.1787</v>
      </c>
      <c r="C90" s="24"/>
    </row>
    <row r="91" spans="1:3" x14ac:dyDescent="0.2">
      <c r="A91" s="23">
        <v>2046</v>
      </c>
      <c r="B91">
        <v>3629199977961.8081</v>
      </c>
      <c r="C91" s="24"/>
    </row>
    <row r="92" spans="1:3" x14ac:dyDescent="0.2">
      <c r="A92" s="23">
        <v>2047</v>
      </c>
      <c r="B92">
        <v>3745684195352.8501</v>
      </c>
      <c r="C92" s="24"/>
    </row>
    <row r="93" spans="1:3" x14ac:dyDescent="0.2">
      <c r="A93" s="23">
        <v>2048</v>
      </c>
      <c r="B93">
        <v>3863444108925.7515</v>
      </c>
      <c r="C93" s="24"/>
    </row>
    <row r="94" spans="1:3" x14ac:dyDescent="0.2">
      <c r="A94" s="23">
        <v>2049</v>
      </c>
      <c r="B94">
        <v>3982443766883.501</v>
      </c>
      <c r="C94" s="24"/>
    </row>
    <row r="95" spans="1:3" x14ac:dyDescent="0.2">
      <c r="A95" s="23">
        <v>2050</v>
      </c>
      <c r="B95">
        <v>4102637340561.7769</v>
      </c>
      <c r="C95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27DF-B76C-4128-BEDA-C952593F02B8}">
  <sheetPr>
    <tabColor theme="9" tint="0.59999389629810485"/>
  </sheetPr>
  <dimension ref="A1:BA19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1" max="1" width="41.33203125" customWidth="1"/>
    <col min="2" max="2" width="15.33203125" customWidth="1"/>
    <col min="3" max="3" width="19.5" bestFit="1" customWidth="1"/>
    <col min="4" max="4" width="11.33203125" customWidth="1"/>
    <col min="5" max="5" width="11.1640625" customWidth="1"/>
    <col min="6" max="6" width="13.5" customWidth="1"/>
    <col min="7" max="7" width="12.1640625" customWidth="1"/>
    <col min="8" max="17" width="9.5" bestFit="1" customWidth="1"/>
    <col min="18" max="22" width="9.83203125" bestFit="1" customWidth="1"/>
    <col min="23" max="34" width="13" bestFit="1" customWidth="1"/>
    <col min="35" max="35" width="12" bestFit="1" customWidth="1"/>
    <col min="36" max="36" width="11.6640625" customWidth="1"/>
    <col min="37" max="37" width="12.83203125" customWidth="1"/>
    <col min="38" max="40" width="13" bestFit="1" customWidth="1"/>
    <col min="41" max="41" width="12" bestFit="1" customWidth="1"/>
    <col min="42" max="47" width="13" bestFit="1" customWidth="1"/>
    <col min="48" max="48" width="12" bestFit="1" customWidth="1"/>
    <col min="49" max="50" width="13" bestFit="1" customWidth="1"/>
    <col min="51" max="51" width="10.83203125" bestFit="1" customWidth="1"/>
    <col min="52" max="53" width="12" bestFit="1" customWidth="1"/>
  </cols>
  <sheetData>
    <row r="1" spans="1:53" x14ac:dyDescent="0.2">
      <c r="A1" t="s">
        <v>127</v>
      </c>
    </row>
    <row r="3" spans="1:53" s="20" customFormat="1" x14ac:dyDescent="0.2">
      <c r="A3" s="19" t="s">
        <v>105</v>
      </c>
      <c r="C3" s="20">
        <v>2000</v>
      </c>
      <c r="D3" s="20">
        <v>2001</v>
      </c>
      <c r="E3" s="20">
        <v>2002</v>
      </c>
      <c r="F3" s="20">
        <v>2003</v>
      </c>
      <c r="G3" s="20">
        <v>2004</v>
      </c>
      <c r="H3" s="20">
        <v>2005</v>
      </c>
      <c r="I3" s="20">
        <v>2006</v>
      </c>
      <c r="J3" s="20">
        <v>2007</v>
      </c>
      <c r="K3" s="20">
        <v>2008</v>
      </c>
      <c r="L3" s="20">
        <v>2009</v>
      </c>
      <c r="M3" s="20">
        <v>2010</v>
      </c>
      <c r="N3" s="20">
        <v>2011</v>
      </c>
      <c r="O3" s="20">
        <v>2012</v>
      </c>
      <c r="P3" s="20">
        <v>2013</v>
      </c>
      <c r="Q3" s="20">
        <v>2014</v>
      </c>
      <c r="R3" s="20">
        <v>2015</v>
      </c>
      <c r="S3" s="20">
        <v>2016</v>
      </c>
      <c r="T3" s="20">
        <v>2017</v>
      </c>
      <c r="U3" s="20">
        <v>2018</v>
      </c>
      <c r="V3" s="20">
        <v>2019</v>
      </c>
      <c r="W3" s="20">
        <v>2020</v>
      </c>
      <c r="X3" s="20">
        <v>2021</v>
      </c>
      <c r="Y3" s="20">
        <v>2022</v>
      </c>
      <c r="Z3" s="20">
        <v>2023</v>
      </c>
      <c r="AA3" s="20">
        <v>2024</v>
      </c>
      <c r="AB3" s="20">
        <v>2025</v>
      </c>
      <c r="AC3" s="20">
        <v>2026</v>
      </c>
      <c r="AD3" s="20">
        <v>2027</v>
      </c>
      <c r="AE3" s="20">
        <v>2028</v>
      </c>
      <c r="AF3" s="20">
        <v>2029</v>
      </c>
      <c r="AG3" s="20">
        <v>2030</v>
      </c>
      <c r="AH3" s="20">
        <v>2031</v>
      </c>
      <c r="AI3" s="20">
        <v>2032</v>
      </c>
      <c r="AJ3" s="20">
        <v>2033</v>
      </c>
      <c r="AK3" s="20">
        <v>2034</v>
      </c>
      <c r="AL3" s="20">
        <v>2035</v>
      </c>
      <c r="AM3" s="20">
        <v>2036</v>
      </c>
      <c r="AN3" s="20">
        <v>2037</v>
      </c>
      <c r="AO3" s="20">
        <v>2038</v>
      </c>
      <c r="AP3" s="20">
        <v>2039</v>
      </c>
      <c r="AQ3" s="20">
        <v>2040</v>
      </c>
      <c r="AR3" s="20">
        <v>2041</v>
      </c>
      <c r="AS3" s="20">
        <v>2042</v>
      </c>
      <c r="AT3" s="20">
        <v>2043</v>
      </c>
      <c r="AU3" s="20">
        <v>2044</v>
      </c>
      <c r="AV3" s="20">
        <v>2045</v>
      </c>
      <c r="AW3" s="20">
        <v>2046</v>
      </c>
      <c r="AX3" s="20">
        <v>2047</v>
      </c>
      <c r="AY3" s="20">
        <v>2048</v>
      </c>
      <c r="AZ3" s="20">
        <v>2049</v>
      </c>
      <c r="BA3" s="20">
        <v>2050</v>
      </c>
    </row>
    <row r="4" spans="1:53" x14ac:dyDescent="0.2">
      <c r="A4" s="1" t="s">
        <v>106</v>
      </c>
      <c r="B4" t="s">
        <v>121</v>
      </c>
      <c r="C4" s="10" cm="1">
        <f t="array" ref="C4:BA4">TRANSPOSE(BGDP_calc!B45:B95)</f>
        <v>477353855901.58588</v>
      </c>
      <c r="D4" s="10">
        <v>494746083475.8468</v>
      </c>
      <c r="E4" s="10">
        <v>517007061749.07452</v>
      </c>
      <c r="F4" s="10">
        <v>541721907685.81445</v>
      </c>
      <c r="G4" s="10">
        <v>568975253994.02832</v>
      </c>
      <c r="H4" s="10">
        <v>601364576028.80811</v>
      </c>
      <c r="I4" s="10">
        <v>634445351409.44629</v>
      </c>
      <c r="J4" s="10">
        <v>674701049972.46387</v>
      </c>
      <c r="K4" s="10">
        <v>715275571304.51135</v>
      </c>
      <c r="L4" s="10">
        <v>748384756100.5282</v>
      </c>
      <c r="M4" s="10">
        <v>794963132030.24109</v>
      </c>
      <c r="N4" s="10">
        <v>844010641807.36023</v>
      </c>
      <c r="O4" s="10">
        <v>894904911025.52832</v>
      </c>
      <c r="P4" s="10">
        <v>944637136696.22327</v>
      </c>
      <c r="Q4" s="10">
        <v>991931985957.14905</v>
      </c>
      <c r="R4" s="10">
        <v>1040301786591.4049</v>
      </c>
      <c r="S4" s="10">
        <v>1092660895220.4731</v>
      </c>
      <c r="T4" s="10">
        <v>1148056463235.9163</v>
      </c>
      <c r="U4" s="10">
        <v>1207407602610.0977</v>
      </c>
      <c r="V4" s="10">
        <v>1268076381723.1899</v>
      </c>
      <c r="W4">
        <v>1331197854951.0962</v>
      </c>
      <c r="X4">
        <v>1394563094720.7156</v>
      </c>
      <c r="Y4">
        <v>1458887180768.865</v>
      </c>
      <c r="Z4">
        <v>1524539112858.2749</v>
      </c>
      <c r="AA4">
        <v>1591923052399.3022</v>
      </c>
      <c r="AB4">
        <v>1661329379290.8838</v>
      </c>
      <c r="AC4">
        <v>1732813799064.6521</v>
      </c>
      <c r="AD4">
        <v>1806357743210.0632</v>
      </c>
      <c r="AE4">
        <v>1882024423677.906</v>
      </c>
      <c r="AF4">
        <v>1959851767638.6536</v>
      </c>
      <c r="AG4">
        <v>2039795921801.4465</v>
      </c>
      <c r="AH4">
        <v>2121841478253.2798</v>
      </c>
      <c r="AI4">
        <v>2206168591053.9019</v>
      </c>
      <c r="AJ4">
        <v>2292807680954.6299</v>
      </c>
      <c r="AK4">
        <v>2381797860350.0146</v>
      </c>
      <c r="AL4">
        <v>2473181797306.8389</v>
      </c>
      <c r="AM4">
        <v>2566944083912.0972</v>
      </c>
      <c r="AN4">
        <v>2663029014634.1577</v>
      </c>
      <c r="AO4">
        <v>2761518765009.0454</v>
      </c>
      <c r="AP4">
        <v>2862364740849.5913</v>
      </c>
      <c r="AQ4">
        <v>2965504915429.0845</v>
      </c>
      <c r="AR4">
        <v>3070912818743.1313</v>
      </c>
      <c r="AS4">
        <v>3178551313770.6431</v>
      </c>
      <c r="AT4">
        <v>3288388794536.2261</v>
      </c>
      <c r="AU4">
        <v>3400324516993.3101</v>
      </c>
      <c r="AV4">
        <v>3514035705118.1787</v>
      </c>
      <c r="AW4">
        <v>3629199977961.8081</v>
      </c>
      <c r="AX4">
        <v>3745684195352.8501</v>
      </c>
      <c r="AY4">
        <v>3863444108925.7515</v>
      </c>
      <c r="AZ4">
        <v>3982443766883.501</v>
      </c>
      <c r="BA4">
        <v>4102637340561.7769</v>
      </c>
    </row>
    <row r="5" spans="1:53" x14ac:dyDescent="0.2">
      <c r="A5" s="1" t="s">
        <v>16</v>
      </c>
      <c r="C5" s="10">
        <f t="array" ref="C5:BA5">TRANSPOSE('Indonesia Population Data'!B5:B55)</f>
        <v>211513823</v>
      </c>
      <c r="D5" s="10">
        <v>214427417</v>
      </c>
      <c r="E5" s="10">
        <v>217357793</v>
      </c>
      <c r="F5" s="10">
        <v>220309469</v>
      </c>
      <c r="G5" s="10">
        <v>223285676</v>
      </c>
      <c r="H5" s="10">
        <v>226289470</v>
      </c>
      <c r="I5" s="10">
        <v>229318262</v>
      </c>
      <c r="J5" s="10">
        <v>232374245</v>
      </c>
      <c r="K5" s="10">
        <v>235469762</v>
      </c>
      <c r="L5" s="10">
        <v>238620563</v>
      </c>
      <c r="M5" s="10">
        <v>241834215</v>
      </c>
      <c r="N5" s="10">
        <v>245116206</v>
      </c>
      <c r="O5" s="10">
        <v>248452413</v>
      </c>
      <c r="P5" s="10">
        <v>251806402</v>
      </c>
      <c r="Q5" s="10">
        <v>255129004</v>
      </c>
      <c r="R5" s="10">
        <v>258383256</v>
      </c>
      <c r="S5" s="10">
        <v>261554226</v>
      </c>
      <c r="T5" s="10">
        <v>264645886</v>
      </c>
      <c r="U5" s="10">
        <v>267663435</v>
      </c>
      <c r="V5" s="10">
        <v>270625568</v>
      </c>
      <c r="W5">
        <v>273524000</v>
      </c>
      <c r="X5">
        <v>276362000</v>
      </c>
      <c r="Y5">
        <v>279135000</v>
      </c>
      <c r="Z5">
        <v>281844000</v>
      </c>
      <c r="AA5">
        <v>284495000</v>
      </c>
      <c r="AB5">
        <v>287090000</v>
      </c>
      <c r="AC5">
        <v>289628000</v>
      </c>
      <c r="AD5">
        <v>292109000</v>
      </c>
      <c r="AE5">
        <v>294533000</v>
      </c>
      <c r="AF5">
        <v>296896000</v>
      </c>
      <c r="AG5">
        <v>299198000</v>
      </c>
      <c r="AH5">
        <v>301439000</v>
      </c>
      <c r="AI5">
        <v>303618000</v>
      </c>
      <c r="AJ5">
        <v>305733000</v>
      </c>
      <c r="AK5">
        <v>307783000</v>
      </c>
      <c r="AL5">
        <v>309765000</v>
      </c>
      <c r="AM5">
        <v>311679000</v>
      </c>
      <c r="AN5">
        <v>313525000</v>
      </c>
      <c r="AO5">
        <v>315300000</v>
      </c>
      <c r="AP5">
        <v>317005000</v>
      </c>
      <c r="AQ5">
        <v>318638000</v>
      </c>
      <c r="AR5">
        <v>320199000</v>
      </c>
      <c r="AS5">
        <v>321688000</v>
      </c>
      <c r="AT5">
        <v>323103000</v>
      </c>
      <c r="AU5">
        <v>324442000</v>
      </c>
      <c r="AV5">
        <v>325705000</v>
      </c>
      <c r="AW5">
        <v>326892000</v>
      </c>
      <c r="AX5">
        <v>328004000</v>
      </c>
      <c r="AY5">
        <v>329042000</v>
      </c>
      <c r="AZ5">
        <v>330008000</v>
      </c>
      <c r="BA5">
        <v>330905000</v>
      </c>
    </row>
    <row r="6" spans="1:53" x14ac:dyDescent="0.2">
      <c r="A6" s="1" t="s">
        <v>125</v>
      </c>
      <c r="C6" s="25">
        <f>C4/C5</f>
        <v>2256.8447259429749</v>
      </c>
      <c r="D6" s="25">
        <f t="shared" ref="D6:BA6" si="0">D4/D5</f>
        <v>2307.289293494809</v>
      </c>
      <c r="E6" s="25">
        <f t="shared" si="0"/>
        <v>2378.5991503376854</v>
      </c>
      <c r="F6" s="25">
        <f t="shared" si="0"/>
        <v>2458.9134100532669</v>
      </c>
      <c r="G6" s="25">
        <f t="shared" si="0"/>
        <v>2548.194152830602</v>
      </c>
      <c r="H6" s="25">
        <f t="shared" si="0"/>
        <v>2657.5013677340271</v>
      </c>
      <c r="I6" s="25">
        <f t="shared" si="0"/>
        <v>2766.658642343305</v>
      </c>
      <c r="J6" s="25">
        <f t="shared" si="0"/>
        <v>2903.5104556120832</v>
      </c>
      <c r="K6" s="25">
        <f t="shared" si="0"/>
        <v>3037.6536045613848</v>
      </c>
      <c r="L6" s="25">
        <f t="shared" si="0"/>
        <v>3136.2961627935151</v>
      </c>
      <c r="M6" s="25">
        <f t="shared" si="0"/>
        <v>3287.223571859925</v>
      </c>
      <c r="N6" s="25">
        <f t="shared" si="0"/>
        <v>3443.308198917538</v>
      </c>
      <c r="O6" s="25">
        <f t="shared" si="0"/>
        <v>3601.9167623279568</v>
      </c>
      <c r="P6" s="25">
        <f t="shared" si="0"/>
        <v>3751.4420967590145</v>
      </c>
      <c r="Q6" s="25">
        <f t="shared" si="0"/>
        <v>3887.9624441176788</v>
      </c>
      <c r="R6" s="25">
        <f t="shared" si="0"/>
        <v>4026.1965991767088</v>
      </c>
      <c r="S6" s="25">
        <f t="shared" si="0"/>
        <v>4177.5692632871978</v>
      </c>
      <c r="T6" s="25">
        <f t="shared" si="0"/>
        <v>4338.0854340426677</v>
      </c>
      <c r="U6" s="25">
        <f t="shared" si="0"/>
        <v>4510.9172368280251</v>
      </c>
      <c r="V6" s="25">
        <f t="shared" si="0"/>
        <v>4685.7227537465715</v>
      </c>
      <c r="W6" s="25">
        <f t="shared" si="0"/>
        <v>4866.8411362479937</v>
      </c>
      <c r="X6" s="25">
        <f t="shared" si="0"/>
        <v>5046.1463396585477</v>
      </c>
      <c r="Y6" s="25">
        <f t="shared" si="0"/>
        <v>5226.4573800091894</v>
      </c>
      <c r="Z6" s="25">
        <f t="shared" si="0"/>
        <v>5409.1593678001836</v>
      </c>
      <c r="AA6" s="25">
        <f t="shared" si="0"/>
        <v>5595.6099488542932</v>
      </c>
      <c r="AB6" s="25">
        <f t="shared" si="0"/>
        <v>5786.7894363819141</v>
      </c>
      <c r="AC6" s="25">
        <f t="shared" si="0"/>
        <v>5982.8946064077099</v>
      </c>
      <c r="AD6" s="25">
        <f t="shared" si="0"/>
        <v>6183.8483004976333</v>
      </c>
      <c r="AE6" s="25">
        <f t="shared" si="0"/>
        <v>6389.8592812279303</v>
      </c>
      <c r="AF6" s="25">
        <f t="shared" si="0"/>
        <v>6601.1390104233587</v>
      </c>
      <c r="AG6" s="25">
        <f t="shared" si="0"/>
        <v>6817.5453104681401</v>
      </c>
      <c r="AH6" s="25">
        <f t="shared" si="0"/>
        <v>7039.0409942087117</v>
      </c>
      <c r="AI6" s="25">
        <f t="shared" si="0"/>
        <v>7266.2641577702962</v>
      </c>
      <c r="AJ6" s="25">
        <f t="shared" si="0"/>
        <v>7499.3791345868121</v>
      </c>
      <c r="AK6" s="25">
        <f t="shared" si="0"/>
        <v>7738.5621049571118</v>
      </c>
      <c r="AL6" s="25">
        <f t="shared" si="0"/>
        <v>7984.0582290021111</v>
      </c>
      <c r="AM6" s="25">
        <f t="shared" si="0"/>
        <v>8235.8583154851531</v>
      </c>
      <c r="AN6" s="25">
        <f t="shared" si="0"/>
        <v>8493.8330743454517</v>
      </c>
      <c r="AO6" s="25">
        <f t="shared" si="0"/>
        <v>8758.3849191533318</v>
      </c>
      <c r="AP6" s="25">
        <f t="shared" si="0"/>
        <v>9029.3993496935109</v>
      </c>
      <c r="AQ6" s="25">
        <f t="shared" si="0"/>
        <v>9306.8149920256983</v>
      </c>
      <c r="AR6" s="25">
        <f t="shared" si="0"/>
        <v>9590.6383803295175</v>
      </c>
      <c r="AS6" s="25">
        <f t="shared" si="0"/>
        <v>9880.8513645850726</v>
      </c>
      <c r="AT6" s="25">
        <f t="shared" si="0"/>
        <v>10177.524797158263</v>
      </c>
      <c r="AU6" s="25">
        <f t="shared" si="0"/>
        <v>10480.531241310651</v>
      </c>
      <c r="AV6" s="25">
        <f t="shared" si="0"/>
        <v>10789.013693735676</v>
      </c>
      <c r="AW6" s="25">
        <f t="shared" si="0"/>
        <v>11102.137641673116</v>
      </c>
      <c r="AX6" s="25">
        <f t="shared" si="0"/>
        <v>11419.629624494975</v>
      </c>
      <c r="AY6" s="25">
        <f t="shared" si="0"/>
        <v>11741.492298629815</v>
      </c>
      <c r="AZ6" s="25">
        <f t="shared" si="0"/>
        <v>12067.718864038148</v>
      </c>
      <c r="BA6" s="25">
        <f t="shared" si="0"/>
        <v>12398.233150184424</v>
      </c>
    </row>
    <row r="7" spans="1:53" x14ac:dyDescent="0.2">
      <c r="A7" s="1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53" x14ac:dyDescent="0.2">
      <c r="A8" s="1" t="s">
        <v>126</v>
      </c>
      <c r="C8" s="17"/>
      <c r="D8" s="17">
        <f>(D6-C6)/C6</f>
        <v>2.2351811346151385E-2</v>
      </c>
      <c r="E8" s="17">
        <f t="shared" ref="E8:BA8" si="1">(E6-D6)/D6</f>
        <v>3.0906335431767466E-2</v>
      </c>
      <c r="F8" s="17">
        <f t="shared" si="1"/>
        <v>3.3765361306960645E-2</v>
      </c>
      <c r="G8" s="17">
        <f t="shared" si="1"/>
        <v>3.6309022681445688E-2</v>
      </c>
      <c r="H8" s="17">
        <f t="shared" si="1"/>
        <v>4.2895952328437674E-2</v>
      </c>
      <c r="I8" s="17">
        <f t="shared" si="1"/>
        <v>4.1075152748595987E-2</v>
      </c>
      <c r="J8" s="17">
        <f t="shared" si="1"/>
        <v>4.9464654285238246E-2</v>
      </c>
      <c r="K8" s="17">
        <f t="shared" si="1"/>
        <v>4.6200332666280389E-2</v>
      </c>
      <c r="L8" s="17">
        <f t="shared" si="1"/>
        <v>3.2473274136329187E-2</v>
      </c>
      <c r="M8" s="17">
        <f t="shared" si="1"/>
        <v>4.8122817882089941E-2</v>
      </c>
      <c r="N8" s="17">
        <f t="shared" si="1"/>
        <v>4.7482206076205423E-2</v>
      </c>
      <c r="O8" s="17">
        <f t="shared" si="1"/>
        <v>4.6062842547838177E-2</v>
      </c>
      <c r="P8" s="17">
        <f t="shared" si="1"/>
        <v>4.1512712341086382E-2</v>
      </c>
      <c r="Q8" s="17">
        <f t="shared" si="1"/>
        <v>3.6391431304939631E-2</v>
      </c>
      <c r="R8" s="17">
        <f t="shared" si="1"/>
        <v>3.555439566248185E-2</v>
      </c>
      <c r="S8" s="17">
        <f t="shared" si="1"/>
        <v>3.7596938048539974E-2</v>
      </c>
      <c r="T8" s="17">
        <f t="shared" si="1"/>
        <v>3.8423341574752183E-2</v>
      </c>
      <c r="U8" s="17">
        <f t="shared" si="1"/>
        <v>3.9840571471709184E-2</v>
      </c>
      <c r="V8" s="17">
        <f t="shared" si="1"/>
        <v>3.8751656867343817E-2</v>
      </c>
      <c r="W8" s="17">
        <f t="shared" si="1"/>
        <v>3.8653243484498764E-2</v>
      </c>
      <c r="X8" s="17">
        <f t="shared" si="1"/>
        <v>3.6842214157166056E-2</v>
      </c>
      <c r="Y8" s="17">
        <f t="shared" si="1"/>
        <v>3.5732423955592722E-2</v>
      </c>
      <c r="Z8" s="17">
        <f t="shared" si="1"/>
        <v>3.4957137216848989E-2</v>
      </c>
      <c r="AA8" s="17">
        <f t="shared" si="1"/>
        <v>3.446941906796433E-2</v>
      </c>
      <c r="AB8" s="17">
        <f t="shared" si="1"/>
        <v>3.4165978199885989E-2</v>
      </c>
      <c r="AC8" s="17">
        <f t="shared" si="1"/>
        <v>3.3888423309973936E-2</v>
      </c>
      <c r="AD8" s="17">
        <f t="shared" si="1"/>
        <v>3.3588038451270889E-2</v>
      </c>
      <c r="AE8" s="17">
        <f t="shared" si="1"/>
        <v>3.3314365217160753E-2</v>
      </c>
      <c r="AF8" s="17">
        <f t="shared" si="1"/>
        <v>3.3064848519610453E-2</v>
      </c>
      <c r="AG8" s="17">
        <f t="shared" si="1"/>
        <v>3.2783175706960654E-2</v>
      </c>
      <c r="AH8" s="17">
        <f t="shared" si="1"/>
        <v>3.2489066614705374E-2</v>
      </c>
      <c r="AI8" s="17">
        <f t="shared" si="1"/>
        <v>3.2280414867384581E-2</v>
      </c>
      <c r="AJ8" s="17">
        <f t="shared" si="1"/>
        <v>3.2081819729500305E-2</v>
      </c>
      <c r="AK8" s="17">
        <f t="shared" si="1"/>
        <v>3.1893702942314008E-2</v>
      </c>
      <c r="AL8" s="17">
        <f t="shared" si="1"/>
        <v>3.1723738947283399E-2</v>
      </c>
      <c r="AM8" s="17">
        <f t="shared" si="1"/>
        <v>3.1537856972081876E-2</v>
      </c>
      <c r="AN8" s="17">
        <f t="shared" si="1"/>
        <v>3.1323360477832844E-2</v>
      </c>
      <c r="AO8" s="17">
        <f t="shared" si="1"/>
        <v>3.1146343764033402E-2</v>
      </c>
      <c r="AP8" s="17">
        <f t="shared" si="1"/>
        <v>3.0943425419395463E-2</v>
      </c>
      <c r="AQ8" s="17">
        <f t="shared" si="1"/>
        <v>3.0723598723275417E-2</v>
      </c>
      <c r="AR8" s="17">
        <f t="shared" si="1"/>
        <v>3.0496296374968868E-2</v>
      </c>
      <c r="AS8" s="17">
        <f t="shared" si="1"/>
        <v>3.0260027825758127E-2</v>
      </c>
      <c r="AT8" s="17">
        <f t="shared" si="1"/>
        <v>3.0025088084669176E-2</v>
      </c>
      <c r="AU8" s="17">
        <f t="shared" si="1"/>
        <v>2.9772115538052309E-2</v>
      </c>
      <c r="AV8" s="17">
        <f t="shared" si="1"/>
        <v>2.9433856483256637E-2</v>
      </c>
      <c r="AW8" s="17">
        <f t="shared" si="1"/>
        <v>2.9022481278269775E-2</v>
      </c>
      <c r="AX8" s="17">
        <f t="shared" si="1"/>
        <v>2.8597374043546109E-2</v>
      </c>
      <c r="AY8" s="17">
        <f t="shared" si="1"/>
        <v>2.8185036180547227E-2</v>
      </c>
      <c r="AZ8" s="17">
        <f t="shared" si="1"/>
        <v>2.7784080346107486E-2</v>
      </c>
      <c r="BA8" s="17">
        <f t="shared" si="1"/>
        <v>2.7388298473807624E-2</v>
      </c>
    </row>
    <row r="9" spans="1:53" x14ac:dyDescent="0.2"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53" x14ac:dyDescent="0.2">
      <c r="A10" s="2" t="s">
        <v>70</v>
      </c>
      <c r="B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53" x14ac:dyDescent="0.2">
      <c r="A11" s="10">
        <f>SUM('OECD VAL'!C9:AL9)*10^6</f>
        <v>282621312000.00006</v>
      </c>
      <c r="B11" t="s">
        <v>71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53" x14ac:dyDescent="0.2">
      <c r="A12" s="10">
        <f>A11*About!$A$58</f>
        <v>273770056609.13782</v>
      </c>
      <c r="B12" t="s">
        <v>72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53" x14ac:dyDescent="0.2"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53" x14ac:dyDescent="0.2">
      <c r="A14" s="1" t="s">
        <v>76</v>
      </c>
    </row>
    <row r="15" spans="1:53" x14ac:dyDescent="0.2">
      <c r="B15">
        <v>2015</v>
      </c>
      <c r="C15">
        <v>2016</v>
      </c>
      <c r="D15">
        <v>2017</v>
      </c>
      <c r="E15">
        <v>2018</v>
      </c>
      <c r="F15">
        <v>2019</v>
      </c>
      <c r="G15">
        <v>2020</v>
      </c>
      <c r="H15">
        <v>2021</v>
      </c>
      <c r="I15">
        <v>2022</v>
      </c>
      <c r="J15">
        <v>2023</v>
      </c>
      <c r="K15">
        <v>2024</v>
      </c>
      <c r="L15">
        <v>2025</v>
      </c>
      <c r="M15">
        <v>2026</v>
      </c>
      <c r="N15">
        <v>2027</v>
      </c>
      <c r="O15">
        <v>2028</v>
      </c>
      <c r="P15">
        <v>2029</v>
      </c>
      <c r="Q15">
        <v>2030</v>
      </c>
      <c r="R15">
        <v>2031</v>
      </c>
      <c r="S15">
        <v>2032</v>
      </c>
      <c r="T15">
        <v>2033</v>
      </c>
      <c r="U15">
        <v>2034</v>
      </c>
      <c r="V15">
        <v>2035</v>
      </c>
      <c r="W15">
        <v>2036</v>
      </c>
      <c r="X15">
        <v>2037</v>
      </c>
      <c r="Y15">
        <v>2038</v>
      </c>
      <c r="Z15">
        <v>2039</v>
      </c>
      <c r="AA15">
        <v>2040</v>
      </c>
      <c r="AB15">
        <v>2041</v>
      </c>
      <c r="AC15">
        <v>2042</v>
      </c>
      <c r="AD15">
        <v>2043</v>
      </c>
      <c r="AE15">
        <v>2044</v>
      </c>
      <c r="AF15">
        <v>2045</v>
      </c>
      <c r="AG15">
        <v>2046</v>
      </c>
      <c r="AH15">
        <v>2047</v>
      </c>
      <c r="AI15">
        <v>2048</v>
      </c>
      <c r="AJ15">
        <v>2049</v>
      </c>
      <c r="AK15">
        <v>2050</v>
      </c>
    </row>
    <row r="16" spans="1:53" x14ac:dyDescent="0.2">
      <c r="A16" t="s">
        <v>123</v>
      </c>
      <c r="B16" s="11">
        <f>R8</f>
        <v>3.555439566248185E-2</v>
      </c>
      <c r="C16" s="11">
        <f t="shared" ref="C16:E16" si="2">S8</f>
        <v>3.7596938048539974E-2</v>
      </c>
      <c r="D16" s="11">
        <f t="shared" si="2"/>
        <v>3.8423341574752183E-2</v>
      </c>
      <c r="E16" s="11">
        <f t="shared" si="2"/>
        <v>3.9840571471709184E-2</v>
      </c>
      <c r="F16" s="11">
        <f t="shared" ref="F16:AK16" si="3">V8</f>
        <v>3.8751656867343817E-2</v>
      </c>
      <c r="G16" s="11">
        <f t="shared" si="3"/>
        <v>3.8653243484498764E-2</v>
      </c>
      <c r="H16" s="11">
        <f t="shared" si="3"/>
        <v>3.6842214157166056E-2</v>
      </c>
      <c r="I16" s="11">
        <f t="shared" si="3"/>
        <v>3.5732423955592722E-2</v>
      </c>
      <c r="J16" s="11">
        <f t="shared" si="3"/>
        <v>3.4957137216848989E-2</v>
      </c>
      <c r="K16" s="11">
        <f t="shared" si="3"/>
        <v>3.446941906796433E-2</v>
      </c>
      <c r="L16" s="11">
        <f t="shared" si="3"/>
        <v>3.4165978199885989E-2</v>
      </c>
      <c r="M16" s="11">
        <f t="shared" si="3"/>
        <v>3.3888423309973936E-2</v>
      </c>
      <c r="N16" s="11">
        <f t="shared" si="3"/>
        <v>3.3588038451270889E-2</v>
      </c>
      <c r="O16" s="11">
        <f t="shared" si="3"/>
        <v>3.3314365217160753E-2</v>
      </c>
      <c r="P16" s="11">
        <f t="shared" si="3"/>
        <v>3.3064848519610453E-2</v>
      </c>
      <c r="Q16" s="11">
        <f t="shared" si="3"/>
        <v>3.2783175706960654E-2</v>
      </c>
      <c r="R16" s="11">
        <f t="shared" si="3"/>
        <v>3.2489066614705374E-2</v>
      </c>
      <c r="S16" s="11">
        <f>AI8</f>
        <v>3.2280414867384581E-2</v>
      </c>
      <c r="T16" s="11">
        <f t="shared" si="3"/>
        <v>3.2081819729500305E-2</v>
      </c>
      <c r="U16" s="11">
        <f t="shared" si="3"/>
        <v>3.1893702942314008E-2</v>
      </c>
      <c r="V16" s="11">
        <f t="shared" si="3"/>
        <v>3.1723738947283399E-2</v>
      </c>
      <c r="W16" s="11">
        <f t="shared" si="3"/>
        <v>3.1537856972081876E-2</v>
      </c>
      <c r="X16" s="11">
        <f t="shared" si="3"/>
        <v>3.1323360477832844E-2</v>
      </c>
      <c r="Y16" s="11">
        <f t="shared" si="3"/>
        <v>3.1146343764033402E-2</v>
      </c>
      <c r="Z16" s="11">
        <f t="shared" si="3"/>
        <v>3.0943425419395463E-2</v>
      </c>
      <c r="AA16" s="11">
        <f t="shared" si="3"/>
        <v>3.0723598723275417E-2</v>
      </c>
      <c r="AB16" s="11">
        <f t="shared" si="3"/>
        <v>3.0496296374968868E-2</v>
      </c>
      <c r="AC16" s="11">
        <f t="shared" si="3"/>
        <v>3.0260027825758127E-2</v>
      </c>
      <c r="AD16" s="11">
        <f t="shared" si="3"/>
        <v>3.0025088084669176E-2</v>
      </c>
      <c r="AE16" s="11">
        <f t="shared" si="3"/>
        <v>2.9772115538052309E-2</v>
      </c>
      <c r="AF16" s="11">
        <f t="shared" si="3"/>
        <v>2.9433856483256637E-2</v>
      </c>
      <c r="AG16" s="11">
        <f t="shared" si="3"/>
        <v>2.9022481278269775E-2</v>
      </c>
      <c r="AH16" s="11">
        <f t="shared" si="3"/>
        <v>2.8597374043546109E-2</v>
      </c>
      <c r="AI16" s="11">
        <f t="shared" si="3"/>
        <v>2.8185036180547227E-2</v>
      </c>
      <c r="AJ16" s="11">
        <f t="shared" si="3"/>
        <v>2.7784080346107486E-2</v>
      </c>
      <c r="AK16" s="11">
        <f t="shared" si="3"/>
        <v>2.7388298473807624E-2</v>
      </c>
    </row>
    <row r="17" spans="1:37" x14ac:dyDescent="0.2">
      <c r="A17" t="s">
        <v>73</v>
      </c>
      <c r="B17" s="13">
        <f>A12*(1+B16)</f>
        <v>283503785522.35913</v>
      </c>
      <c r="C17" s="13">
        <f>B17*(1+C16)</f>
        <v>294162659783.1698</v>
      </c>
      <c r="D17" s="13">
        <f t="shared" ref="D17:AK17" si="4">C17*(1+D16)</f>
        <v>305465372138.55615</v>
      </c>
      <c r="E17" s="13">
        <f t="shared" si="4"/>
        <v>317635287129.37451</v>
      </c>
      <c r="F17" s="13">
        <f>E17*(1+F16)</f>
        <v>329944180785.17224</v>
      </c>
      <c r="G17" s="13">
        <f t="shared" si="4"/>
        <v>342697593541.35498</v>
      </c>
      <c r="H17" s="13">
        <f t="shared" si="4"/>
        <v>355323331673.75104</v>
      </c>
      <c r="I17" s="13">
        <f t="shared" si="4"/>
        <v>368019895602.43121</v>
      </c>
      <c r="J17" s="13">
        <f t="shared" si="4"/>
        <v>380884817591.53583</v>
      </c>
      <c r="K17" s="13">
        <f t="shared" si="4"/>
        <v>394013695985.72363</v>
      </c>
      <c r="L17" s="13">
        <f>K17*(1+L16)</f>
        <v>407475559333.22839</v>
      </c>
      <c r="M17" s="13">
        <f t="shared" si="4"/>
        <v>421284263576.38123</v>
      </c>
      <c r="N17" s="13">
        <f t="shared" si="4"/>
        <v>435434375620.29999</v>
      </c>
      <c r="O17" s="13">
        <f t="shared" si="4"/>
        <v>449940595437.82104</v>
      </c>
      <c r="P17" s="13">
        <f t="shared" si="4"/>
        <v>464817813068.79596</v>
      </c>
      <c r="Q17" s="13">
        <f t="shared" si="4"/>
        <v>480056017106.35553</v>
      </c>
      <c r="R17" s="13">
        <f t="shared" si="4"/>
        <v>495652589024.914</v>
      </c>
      <c r="S17" s="13">
        <f t="shared" si="4"/>
        <v>511652460228.73145</v>
      </c>
      <c r="T17" s="13">
        <f t="shared" si="4"/>
        <v>528067202221.94495</v>
      </c>
      <c r="U17" s="13">
        <f t="shared" si="4"/>
        <v>544909220703.19055</v>
      </c>
      <c r="V17" s="13">
        <f t="shared" si="4"/>
        <v>562195778570.74609</v>
      </c>
      <c r="W17" s="13">
        <f t="shared" si="4"/>
        <v>579926228625.61853</v>
      </c>
      <c r="X17" s="13">
        <f t="shared" si="4"/>
        <v>598091466935.40894</v>
      </c>
      <c r="Y17" s="13">
        <f t="shared" si="4"/>
        <v>616719829366.91418</v>
      </c>
      <c r="Z17" s="13">
        <f t="shared" si="4"/>
        <v>635803253411.59155</v>
      </c>
      <c r="AA17" s="13">
        <f t="shared" si="4"/>
        <v>655337417436.3623</v>
      </c>
      <c r="AB17" s="13">
        <f t="shared" si="4"/>
        <v>675322781544.10828</v>
      </c>
      <c r="AC17" s="13">
        <f t="shared" si="4"/>
        <v>695758067705.00134</v>
      </c>
      <c r="AD17" s="13">
        <f t="shared" si="4"/>
        <v>716648264973.46313</v>
      </c>
      <c r="AE17" s="13">
        <f t="shared" si="4"/>
        <v>737984399918.39783</v>
      </c>
      <c r="AF17" s="13">
        <f t="shared" si="4"/>
        <v>759706126832.47815</v>
      </c>
      <c r="AG17" s="13">
        <f t="shared" si="4"/>
        <v>781754683675.46057</v>
      </c>
      <c r="AH17" s="13">
        <f t="shared" si="4"/>
        <v>804110814774.82178</v>
      </c>
      <c r="AI17" s="13">
        <f t="shared" si="4"/>
        <v>826774707182.41931</v>
      </c>
      <c r="AJ17" s="13">
        <f t="shared" si="4"/>
        <v>849745882074.90527</v>
      </c>
      <c r="AK17" s="13">
        <f t="shared" si="4"/>
        <v>873018975920.06177</v>
      </c>
    </row>
    <row r="19" spans="1:37" x14ac:dyDescent="0.2">
      <c r="B19" s="10"/>
      <c r="AK19" s="10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B7A6-B7E4-4B42-ADE9-1C2AC0869798}">
  <sheetPr>
    <tabColor theme="4" tint="-0.249977111117893"/>
  </sheetPr>
  <dimension ref="A1:BA2"/>
  <sheetViews>
    <sheetView topLeftCell="AB1" workbookViewId="0">
      <selection activeCell="AH2" sqref="AH2:BA2"/>
    </sheetView>
  </sheetViews>
  <sheetFormatPr baseColWidth="10" defaultColWidth="8.83203125" defaultRowHeight="15" x14ac:dyDescent="0.2"/>
  <cols>
    <col min="1" max="1" width="22.1640625" customWidth="1"/>
    <col min="2" max="33" width="10" bestFit="1" customWidth="1"/>
    <col min="34" max="34" width="10.1640625" bestFit="1" customWidth="1"/>
  </cols>
  <sheetData>
    <row r="1" spans="1:53" x14ac:dyDescent="0.2">
      <c r="A1" s="12" t="s">
        <v>17</v>
      </c>
      <c r="B1">
        <f t="array" ref="B1:AG2">TRANSPOSE('Pop Projection'!A7:B38)</f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t="s">
        <v>16</v>
      </c>
      <c r="B2">
        <v>270625568</v>
      </c>
      <c r="C2">
        <v>273524000</v>
      </c>
      <c r="D2">
        <v>276362000</v>
      </c>
      <c r="E2">
        <v>279135000</v>
      </c>
      <c r="F2">
        <v>281844000</v>
      </c>
      <c r="G2">
        <v>284495000</v>
      </c>
      <c r="H2">
        <v>287090000</v>
      </c>
      <c r="I2">
        <v>289628000</v>
      </c>
      <c r="J2">
        <v>292109000</v>
      </c>
      <c r="K2">
        <v>294533000</v>
      </c>
      <c r="L2">
        <v>296896000</v>
      </c>
      <c r="M2">
        <v>299198000</v>
      </c>
      <c r="N2">
        <v>301439000</v>
      </c>
      <c r="O2">
        <v>303618000</v>
      </c>
      <c r="P2">
        <v>305733000</v>
      </c>
      <c r="Q2">
        <v>307783000</v>
      </c>
      <c r="R2">
        <v>309765000</v>
      </c>
      <c r="S2">
        <v>311679000</v>
      </c>
      <c r="T2">
        <v>313525000</v>
      </c>
      <c r="U2">
        <v>315300000</v>
      </c>
      <c r="V2">
        <v>317005000</v>
      </c>
      <c r="W2">
        <v>318638000</v>
      </c>
      <c r="X2">
        <v>320199000</v>
      </c>
      <c r="Y2">
        <v>321688000</v>
      </c>
      <c r="Z2">
        <v>323103000</v>
      </c>
      <c r="AA2">
        <v>324442000</v>
      </c>
      <c r="AB2">
        <v>325705000</v>
      </c>
      <c r="AC2">
        <v>326892000</v>
      </c>
      <c r="AD2">
        <v>328004000</v>
      </c>
      <c r="AE2">
        <v>329042000</v>
      </c>
      <c r="AF2">
        <v>330008000</v>
      </c>
      <c r="AG2">
        <v>330905000</v>
      </c>
      <c r="AH2">
        <f>_xlfn.FORECAST.LINEAR(AH1,$B$2:$AG$2,$B$1:$AG$1)</f>
        <v>338215645.95161295</v>
      </c>
      <c r="AI2">
        <f t="shared" ref="AI2:BA2" si="0">_xlfn.FORECAST.LINEAR(AI1,$B$2:$AG$2,$B$1:$AG$1)</f>
        <v>340172062.81231689</v>
      </c>
      <c r="AJ2">
        <f t="shared" si="0"/>
        <v>342128479.67302084</v>
      </c>
      <c r="AK2">
        <f t="shared" si="0"/>
        <v>344084896.53372431</v>
      </c>
      <c r="AL2">
        <f t="shared" si="0"/>
        <v>346041313.39442825</v>
      </c>
      <c r="AM2">
        <f t="shared" si="0"/>
        <v>347997730.2551322</v>
      </c>
      <c r="AN2">
        <f t="shared" si="0"/>
        <v>349954147.11583567</v>
      </c>
      <c r="AO2">
        <f t="shared" si="0"/>
        <v>351910563.97653961</v>
      </c>
      <c r="AP2">
        <f t="shared" si="0"/>
        <v>353866980.83724356</v>
      </c>
      <c r="AQ2">
        <f t="shared" si="0"/>
        <v>355823397.6979475</v>
      </c>
      <c r="AR2">
        <f t="shared" si="0"/>
        <v>357779814.55865097</v>
      </c>
      <c r="AS2">
        <f t="shared" si="0"/>
        <v>359736231.41935492</v>
      </c>
      <c r="AT2">
        <f t="shared" si="0"/>
        <v>361692648.28005886</v>
      </c>
      <c r="AU2">
        <f t="shared" si="0"/>
        <v>363649065.14076281</v>
      </c>
      <c r="AV2">
        <f t="shared" si="0"/>
        <v>365605482.00146627</v>
      </c>
      <c r="AW2">
        <f t="shared" si="0"/>
        <v>367561898.86217022</v>
      </c>
      <c r="AX2">
        <f t="shared" si="0"/>
        <v>369518315.72287416</v>
      </c>
      <c r="AY2">
        <f t="shared" si="0"/>
        <v>371474732.58357763</v>
      </c>
      <c r="AZ2">
        <f t="shared" si="0"/>
        <v>373431149.44428158</v>
      </c>
      <c r="BA2">
        <f t="shared" si="0"/>
        <v>375387566.30498552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3FD9-0E1F-491A-A9F5-EE1CCFCBCFA0}">
  <sheetPr>
    <tabColor theme="4" tint="-0.249977111117893"/>
  </sheetPr>
  <dimension ref="A1:BA2"/>
  <sheetViews>
    <sheetView topLeftCell="AB1" workbookViewId="0">
      <selection activeCell="AH2" sqref="AH2:BA2"/>
    </sheetView>
  </sheetViews>
  <sheetFormatPr baseColWidth="10" defaultColWidth="8.83203125" defaultRowHeight="15" x14ac:dyDescent="0.2"/>
  <cols>
    <col min="1" max="1" width="22.1640625" customWidth="1"/>
    <col min="2" max="33" width="10" bestFit="1" customWidth="1"/>
  </cols>
  <sheetData>
    <row r="1" spans="1:53" x14ac:dyDescent="0.2">
      <c r="A1" s="12" t="s">
        <v>17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t="s">
        <v>18</v>
      </c>
      <c r="B2">
        <f>'BPEaCP-population'!B2*'Avg Emp-Pop Ratio'!$B$5</f>
        <v>173533233.87711206</v>
      </c>
      <c r="C2">
        <f>'BPEaCP-population'!C2*'Avg Emp-Pop Ratio'!$B$5</f>
        <v>175391795.4382019</v>
      </c>
      <c r="D2">
        <f>'BPEaCP-population'!D2*'Avg Emp-Pop Ratio'!$B$5</f>
        <v>177211606.18772888</v>
      </c>
      <c r="E2">
        <f>'BPEaCP-population'!E2*'Avg Emp-Pop Ratio'!$B$5</f>
        <v>178989736.98703766</v>
      </c>
      <c r="F2">
        <f>'BPEaCP-population'!F2*'Avg Emp-Pop Ratio'!$B$5</f>
        <v>180726829.06613159</v>
      </c>
      <c r="G2">
        <f>'BPEaCP-population'!G2*'Avg Emp-Pop Ratio'!$B$5</f>
        <v>182426729.80503082</v>
      </c>
      <c r="H2">
        <f>'BPEaCP-population'!H2*'Avg Emp-Pop Ratio'!$B$5</f>
        <v>184090721.66374207</v>
      </c>
      <c r="I2">
        <f>'BPEaCP-population'!I2*'Avg Emp-Pop Ratio'!$B$5</f>
        <v>185718163.41226196</v>
      </c>
      <c r="J2">
        <f>'BPEaCP-population'!J2*'Avg Emp-Pop Ratio'!$B$5</f>
        <v>187309055.05059052</v>
      </c>
      <c r="K2">
        <f>'BPEaCP-population'!K2*'Avg Emp-Pop Ratio'!$B$5</f>
        <v>188863396.57872772</v>
      </c>
      <c r="L2">
        <f>'BPEaCP-population'!L2*'Avg Emp-Pop Ratio'!$B$5</f>
        <v>190378623.07666016</v>
      </c>
      <c r="M2">
        <f>'BPEaCP-population'!M2*'Avg Emp-Pop Ratio'!$B$5</f>
        <v>191854734.54438782</v>
      </c>
      <c r="N2">
        <f>'BPEaCP-population'!N2*'Avg Emp-Pop Ratio'!$B$5</f>
        <v>193291730.98191071</v>
      </c>
      <c r="O2">
        <f>'BPEaCP-population'!O2*'Avg Emp-Pop Ratio'!$B$5</f>
        <v>194688971.15922546</v>
      </c>
      <c r="P2">
        <f>'BPEaCP-population'!P2*'Avg Emp-Pop Ratio'!$B$5</f>
        <v>196045172.61632538</v>
      </c>
      <c r="Q2">
        <f>'BPEaCP-population'!Q2*'Avg Emp-Pop Ratio'!$B$5</f>
        <v>197359694.12320709</v>
      </c>
      <c r="R2">
        <f>'BPEaCP-population'!R2*'Avg Emp-Pop Ratio'!$B$5</f>
        <v>198630611.98986053</v>
      </c>
      <c r="S2">
        <f>'BPEaCP-population'!S2*'Avg Emp-Pop Ratio'!$B$5</f>
        <v>199857926.21628571</v>
      </c>
      <c r="T2">
        <f>'BPEaCP-population'!T2*'Avg Emp-Pop Ratio'!$B$5</f>
        <v>201041636.8024826</v>
      </c>
      <c r="U2">
        <f>'BPEaCP-population'!U2*'Avg Emp-Pop Ratio'!$B$5</f>
        <v>202179820.05844116</v>
      </c>
      <c r="V2">
        <f>'BPEaCP-population'!V2*'Avg Emp-Pop Ratio'!$B$5</f>
        <v>203273117.21416473</v>
      </c>
      <c r="W2">
        <f>'BPEaCP-population'!W2*'Avg Emp-Pop Ratio'!$B$5</f>
        <v>204320245.80964661</v>
      </c>
      <c r="X2">
        <f>'BPEaCP-population'!X2*'Avg Emp-Pop Ratio'!$B$5</f>
        <v>205321205.84488678</v>
      </c>
      <c r="Y2">
        <f>'BPEaCP-population'!Y2*'Avg Emp-Pop Ratio'!$B$5</f>
        <v>206275997.31988525</v>
      </c>
      <c r="Z2">
        <f>'BPEaCP-population'!Z2*'Avg Emp-Pop Ratio'!$B$5</f>
        <v>207183337.77463531</v>
      </c>
      <c r="AA2">
        <f>'BPEaCP-population'!AA2*'Avg Emp-Pop Ratio'!$B$5</f>
        <v>208041944.74913025</v>
      </c>
      <c r="AB2">
        <f>'BPEaCP-population'!AB2*'Avg Emp-Pop Ratio'!$B$5</f>
        <v>208851818.24337006</v>
      </c>
      <c r="AC2">
        <f>'BPEaCP-population'!AC2*'Avg Emp-Pop Ratio'!$B$5</f>
        <v>209612958.25735474</v>
      </c>
      <c r="AD2">
        <f>'BPEaCP-population'!AD2*'Avg Emp-Pop Ratio'!$B$5</f>
        <v>210326006.02108765</v>
      </c>
      <c r="AE2">
        <f>'BPEaCP-population'!AE2*'Avg Emp-Pop Ratio'!$B$5</f>
        <v>210991602.76457214</v>
      </c>
      <c r="AF2">
        <f>'BPEaCP-population'!AF2*'Avg Emp-Pop Ratio'!$B$5</f>
        <v>211611030.94781494</v>
      </c>
      <c r="AG2">
        <f>'BPEaCP-population'!AG2*'Avg Emp-Pop Ratio'!$B$5</f>
        <v>212186214.26082611</v>
      </c>
      <c r="AH2">
        <f>_xlfn.FORECAST.LINEAR(AH1,$B$2:$AG$2,$B$1:$AG$1)</f>
        <v>216874019.78891993</v>
      </c>
      <c r="AI2">
        <f t="shared" ref="AI2:BA2" si="0">_xlfn.FORECAST.LINEAR(AI1,$B$2:$AG$2,$B$1:$AG$1)</f>
        <v>218128532.97907686</v>
      </c>
      <c r="AJ2">
        <f t="shared" si="0"/>
        <v>219383046.16923332</v>
      </c>
      <c r="AK2">
        <f t="shared" si="0"/>
        <v>220637559.35939026</v>
      </c>
      <c r="AL2">
        <f t="shared" si="0"/>
        <v>221892072.54954672</v>
      </c>
      <c r="AM2">
        <f t="shared" si="0"/>
        <v>223146585.73970318</v>
      </c>
      <c r="AN2">
        <f t="shared" si="0"/>
        <v>224401098.92986012</v>
      </c>
      <c r="AO2">
        <f t="shared" si="0"/>
        <v>225655612.12001657</v>
      </c>
      <c r="AP2">
        <f t="shared" si="0"/>
        <v>226910125.31017351</v>
      </c>
      <c r="AQ2">
        <f t="shared" si="0"/>
        <v>228164638.50032997</v>
      </c>
      <c r="AR2">
        <f t="shared" si="0"/>
        <v>229419151.69048691</v>
      </c>
      <c r="AS2">
        <f t="shared" si="0"/>
        <v>230673664.88064337</v>
      </c>
      <c r="AT2">
        <f t="shared" si="0"/>
        <v>231928178.0708003</v>
      </c>
      <c r="AU2">
        <f t="shared" si="0"/>
        <v>233182691.26095676</v>
      </c>
      <c r="AV2">
        <f t="shared" si="0"/>
        <v>234437204.45111322</v>
      </c>
      <c r="AW2">
        <f t="shared" si="0"/>
        <v>235691717.64127016</v>
      </c>
      <c r="AX2">
        <f t="shared" si="0"/>
        <v>236946230.83142662</v>
      </c>
      <c r="AY2">
        <f t="shared" si="0"/>
        <v>238200744.02158356</v>
      </c>
      <c r="AZ2">
        <f t="shared" si="0"/>
        <v>239455257.21174002</v>
      </c>
      <c r="BA2">
        <f t="shared" si="0"/>
        <v>240709770.40189695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7CEA-1BC2-4D8B-AD93-998F1C33A4B5}">
  <sheetPr>
    <tabColor theme="4" tint="-0.249977111117893"/>
  </sheetPr>
  <dimension ref="A1:BA2"/>
  <sheetViews>
    <sheetView tabSelected="1" topLeftCell="Q1" workbookViewId="0">
      <selection activeCell="AH2" sqref="AH2:BA2"/>
    </sheetView>
  </sheetViews>
  <sheetFormatPr baseColWidth="10" defaultColWidth="8.83203125" defaultRowHeight="15" x14ac:dyDescent="0.2"/>
  <cols>
    <col min="1" max="1" width="22.1640625" customWidth="1"/>
    <col min="2" max="33" width="10" bestFit="1" customWidth="1"/>
  </cols>
  <sheetData>
    <row r="1" spans="1:53" x14ac:dyDescent="0.2">
      <c r="A1" s="12" t="s">
        <v>75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t="s">
        <v>74</v>
      </c>
      <c r="B2" s="10">
        <f>'EE Comp Projection'!F17</f>
        <v>329944180785.17224</v>
      </c>
      <c r="C2" s="10">
        <f>'EE Comp Projection'!G17</f>
        <v>342697593541.35498</v>
      </c>
      <c r="D2" s="10">
        <f>'EE Comp Projection'!H17</f>
        <v>355323331673.75104</v>
      </c>
      <c r="E2" s="10">
        <f>'EE Comp Projection'!I17</f>
        <v>368019895602.43121</v>
      </c>
      <c r="F2" s="10">
        <f>'EE Comp Projection'!J17</f>
        <v>380884817591.53583</v>
      </c>
      <c r="G2" s="10">
        <f>'EE Comp Projection'!K17</f>
        <v>394013695985.72363</v>
      </c>
      <c r="H2" s="10">
        <f>'EE Comp Projection'!L17</f>
        <v>407475559333.22839</v>
      </c>
      <c r="I2" s="10">
        <f>'EE Comp Projection'!M17</f>
        <v>421284263576.38123</v>
      </c>
      <c r="J2" s="10">
        <f>'EE Comp Projection'!N17</f>
        <v>435434375620.29999</v>
      </c>
      <c r="K2" s="10">
        <f>'EE Comp Projection'!O17</f>
        <v>449940595437.82104</v>
      </c>
      <c r="L2" s="10">
        <f>'EE Comp Projection'!P17</f>
        <v>464817813068.79596</v>
      </c>
      <c r="M2" s="10">
        <f>'EE Comp Projection'!Q17</f>
        <v>480056017106.35553</v>
      </c>
      <c r="N2" s="10">
        <f>'EE Comp Projection'!R17</f>
        <v>495652589024.914</v>
      </c>
      <c r="O2" s="10">
        <f>'EE Comp Projection'!S17</f>
        <v>511652460228.73145</v>
      </c>
      <c r="P2" s="10">
        <f>'EE Comp Projection'!T17</f>
        <v>528067202221.94495</v>
      </c>
      <c r="Q2" s="10">
        <f>'EE Comp Projection'!U17</f>
        <v>544909220703.19055</v>
      </c>
      <c r="R2" s="10">
        <f>'EE Comp Projection'!V17</f>
        <v>562195778570.74609</v>
      </c>
      <c r="S2" s="10">
        <f>'EE Comp Projection'!W17</f>
        <v>579926228625.61853</v>
      </c>
      <c r="T2" s="10">
        <f>'EE Comp Projection'!X17</f>
        <v>598091466935.40894</v>
      </c>
      <c r="U2" s="10">
        <f>'EE Comp Projection'!Y17</f>
        <v>616719829366.91418</v>
      </c>
      <c r="V2" s="10">
        <f>'EE Comp Projection'!Z17</f>
        <v>635803253411.59155</v>
      </c>
      <c r="W2" s="10">
        <f>'EE Comp Projection'!AA17</f>
        <v>655337417436.3623</v>
      </c>
      <c r="X2" s="10">
        <f>'EE Comp Projection'!AB17</f>
        <v>675322781544.10828</v>
      </c>
      <c r="Y2" s="10">
        <f>'EE Comp Projection'!AC17</f>
        <v>695758067705.00134</v>
      </c>
      <c r="Z2" s="10">
        <f>'EE Comp Projection'!AD17</f>
        <v>716648264973.46313</v>
      </c>
      <c r="AA2" s="10">
        <f>'EE Comp Projection'!AE17</f>
        <v>737984399918.39783</v>
      </c>
      <c r="AB2" s="10">
        <f>'EE Comp Projection'!AF17</f>
        <v>759706126832.47815</v>
      </c>
      <c r="AC2" s="10">
        <f>'EE Comp Projection'!AG17</f>
        <v>781754683675.46057</v>
      </c>
      <c r="AD2" s="10">
        <f>'EE Comp Projection'!AH17</f>
        <v>804110814774.82178</v>
      </c>
      <c r="AE2" s="10">
        <f>'EE Comp Projection'!AI17</f>
        <v>826774707182.41931</v>
      </c>
      <c r="AF2" s="10">
        <f>'EE Comp Projection'!AJ17</f>
        <v>849745882074.90527</v>
      </c>
      <c r="AG2" s="10">
        <f>'EE Comp Projection'!AK17</f>
        <v>873018975920.06177</v>
      </c>
      <c r="AH2">
        <f>_xlfn.FORECAST.LINEAR(AH1,$B$2:$AG$2,$B$1:$AG$1)</f>
        <v>858992310565.63672</v>
      </c>
      <c r="AI2">
        <f t="shared" ref="AI2:BA2" si="0">_xlfn.FORECAST.LINEAR(AI1,$B$2:$AG$2,$B$1:$AG$1)</f>
        <v>876432995504.37109</v>
      </c>
      <c r="AJ2">
        <f t="shared" si="0"/>
        <v>893873680443.10547</v>
      </c>
      <c r="AK2">
        <f t="shared" si="0"/>
        <v>911314365381.83984</v>
      </c>
      <c r="AL2">
        <f t="shared" si="0"/>
        <v>928755050320.57422</v>
      </c>
      <c r="AM2">
        <f t="shared" si="0"/>
        <v>946195735259.30859</v>
      </c>
      <c r="AN2">
        <f t="shared" si="0"/>
        <v>963636420198.03516</v>
      </c>
      <c r="AO2">
        <f t="shared" si="0"/>
        <v>981077105136.76953</v>
      </c>
      <c r="AP2">
        <f t="shared" si="0"/>
        <v>998517790075.50391</v>
      </c>
      <c r="AQ2">
        <f t="shared" si="0"/>
        <v>1015958475014.2383</v>
      </c>
      <c r="AR2">
        <f t="shared" si="0"/>
        <v>1033399159952.9727</v>
      </c>
      <c r="AS2">
        <f t="shared" si="0"/>
        <v>1050839844891.707</v>
      </c>
      <c r="AT2">
        <f t="shared" si="0"/>
        <v>1068280529830.4336</v>
      </c>
      <c r="AU2">
        <f t="shared" si="0"/>
        <v>1085721214769.168</v>
      </c>
      <c r="AV2">
        <f t="shared" si="0"/>
        <v>1103161899707.9023</v>
      </c>
      <c r="AW2">
        <f t="shared" si="0"/>
        <v>1120602584646.6367</v>
      </c>
      <c r="AX2">
        <f t="shared" si="0"/>
        <v>1138043269585.3711</v>
      </c>
      <c r="AY2">
        <f t="shared" si="0"/>
        <v>1155483954524.1055</v>
      </c>
      <c r="AZ2">
        <f t="shared" si="0"/>
        <v>1172924639462.832</v>
      </c>
      <c r="BA2">
        <f t="shared" si="0"/>
        <v>1190365324401.5664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 Projection</vt:lpstr>
      <vt:lpstr>Indonesia Population Data</vt:lpstr>
      <vt:lpstr>Emp Pop Ratio</vt:lpstr>
      <vt:lpstr>Avg Emp-Pop Ratio</vt:lpstr>
      <vt:lpstr>OECD VAL</vt:lpstr>
      <vt:lpstr>BGDP_calc</vt:lpstr>
      <vt:lpstr>EE Comp Projection</vt:lpstr>
      <vt:lpstr>BPEaCP-population</vt:lpstr>
      <vt:lpstr>BPEaCP-employedpop</vt:lpstr>
      <vt:lpstr>BPEaCP-employeecomp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2020-07-11T20:54:19Z</dcterms:created>
  <dcterms:modified xsi:type="dcterms:W3CDTF">2025-04-12T22:29:09Z</dcterms:modified>
</cp:coreProperties>
</file>