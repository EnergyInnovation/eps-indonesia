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out" sheetId="1" r:id="rId4"/>
    <sheet state="visible" name="ISIC Splits" sheetId="2" r:id="rId5"/>
    <sheet state="visible" name="Input-Output" sheetId="3" r:id="rId6"/>
    <sheet state="visible" name="IO-english" sheetId="4" r:id="rId7"/>
    <sheet state="visible" name="ISIC Code-Products" sheetId="5" r:id="rId8"/>
    <sheet state="visible" name="BObIC" sheetId="6" r:id="rId9"/>
  </sheets>
  <externalReferences>
    <externalReference r:id="rId10"/>
    <externalReference r:id="rId11"/>
    <externalReference r:id="rId12"/>
    <externalReference r:id="rId13"/>
    <externalReference r:id="rId14"/>
  </externalReferences>
  <definedNames>
    <definedName name="a">[1]ISICrev3.1!$E:$F</definedName>
    <definedName name="Calculated_Relationship_HS12___HS07">'[2]Correlation HS2012-HS2007'!#REF!</definedName>
    <definedName name="go_level_top1">OFFSET('[3]35-sector'!$E$36,MATCH(#REF!,'[3]35-sector'!$E$37:$E$71,0),2,1,8)</definedName>
    <definedName name="HS">'[4]HS02_CPC1.1_SITC3_ISIC3.1 (2)'!#REF!</definedName>
    <definedName name="M1_stone">'[3]2000'!$E$1382:$BV$1451</definedName>
    <definedName name="M2_stone">'[3]2000'!$E$1524:$BV$1593</definedName>
    <definedName name="M3_stone">'[3]2000'!$E$1737:$BV$1806</definedName>
    <definedName name="rca_trad_2010">'[5]13-sector VAX_G_2010'!$C$141:$P$203</definedName>
    <definedName name="rca_trad_2011">'[5]13-sector VAX_G_2011'!$C$141:$P$203</definedName>
    <definedName name="rca_trad_2012">'[5]13-sector VAX_G_2012'!$C$141:$P$203</definedName>
    <definedName name="rca_trad_2013">'[5]13-sector VAX_G_2013'!$C$141:$P$203</definedName>
    <definedName name="rca_trad_2014">'[5]13-sector VAX_G_2014'!$C$141:$P$203</definedName>
    <definedName name="rca_trad_2015">'[5]13-sector VAX_G_2015'!$C$141:$P$203</definedName>
    <definedName name="rca_trad_2016">'[5]13-sector VAX_G_2016'!$C$141:$P$203</definedName>
    <definedName name="rca_trad_2017">'[5]13-sector VAX_G_2017'!$C$141:$P$203</definedName>
    <definedName name="rca_vax_2010">'[5]13-sector VAX_G_2010'!$C$209:$P$271</definedName>
    <definedName name="rca_vax_2011">'[5]13-sector VAX_G_2011'!$C$209:$P$271</definedName>
    <definedName name="rca_vax_2012">'[5]13-sector VAX_G_2012'!$C$209:$P$271</definedName>
    <definedName name="rca_vax_2013">'[5]13-sector VAX_G_2013'!$C$209:$P$271</definedName>
    <definedName name="rca_vax_2014">'[5]13-sector VAX_G_2014'!$C$209:$P$271</definedName>
    <definedName name="rca_vax_2015">'[5]13-sector VAX_G_2015'!$C$209:$P$271</definedName>
    <definedName name="rca_vax_2016">'[5]13-sector VAX_G_2016'!$C$209:$P$271</definedName>
    <definedName name="rca_vax_2017">'[5]13-sector VAX_G_2017'!$C$209:$P$271</definedName>
    <definedName name="SUNBURST">'[5]35-sector'!#REF!</definedName>
    <definedName name="vax_g_2010">'[5]13-sector VAX_G_2010'!$T$5:$AI$67</definedName>
    <definedName name="vax_g_2011">'[5]13-sector VAX_G_2011'!$T$5:$AI$67</definedName>
    <definedName name="vax_g_2012">'[5]13-sector VAX_G_2012'!$T$5:$AI$67</definedName>
    <definedName name="vax_g_2013">'[5]13-sector VAX_G_2013'!$T$5:$AI$67</definedName>
    <definedName name="vax_g_2014">'[5]13-sector VAX_G_2014'!$T$5:$AI$67</definedName>
    <definedName name="vax_g_2015">'[5]13-sector VAX_G_2015'!$T$5:$AI$67</definedName>
    <definedName name="vax_g_2016">'[5]13-sector VAX_G_2016'!$T$5:$AI$67</definedName>
    <definedName name="vax_g_2017">'[5]13-sector VAX_G_2017'!$T$5:$AI$67</definedName>
    <definedName name="x_2010">'[5]13-sector VAX_G_2010'!$C$5:$R$67</definedName>
    <definedName name="x_2011">'[5]13-sector VAX_G_2011'!$C$5:$R$67</definedName>
    <definedName name="x_2012">'[5]13-sector VAX_G_2012'!$C$5:$R$67</definedName>
    <definedName name="x_2013">'[5]13-sector VAX_G_2013'!$C$5:$R$67</definedName>
    <definedName name="x_2014">'[5]13-sector VAX_G_2014'!$C$5:$R$67</definedName>
    <definedName name="x_2015">'[5]13-sector VAX_G_2015'!$C$5:$R$67</definedName>
    <definedName name="x_2016">'[5]13-sector VAX_G_2016'!$C$5:$R$67</definedName>
    <definedName name="x_2017">'[5]13-sector VAX_G_2017'!$C$5:$R$67</definedName>
    <definedName name="CAPIT">#REF!</definedName>
    <definedName name="Sectors">#REF!</definedName>
    <definedName name="CAP_QI">#REF!</definedName>
    <definedName name="CAPNIT">#REF!</definedName>
    <definedName name="CAP_Soft">#REF!</definedName>
    <definedName name="CAP_CT">#REF!</definedName>
    <definedName name="CAP_OCon">#REF!</definedName>
    <definedName name="CAPNIT_QI">#REF!</definedName>
    <definedName name="CAP_IT">#REF!</definedName>
    <definedName name="CAP_GFCF">#REF!</definedName>
    <definedName name="CAP_Other">#REF!</definedName>
    <definedName name="VAConL">#REF!</definedName>
    <definedName name="FLAPPIE">#REF!</definedName>
    <definedName name="CAPIT_QI">#REF!</definedName>
    <definedName name="CAP_OMach">#REF!</definedName>
    <definedName name="CAP_TraEq">#REF!</definedName>
    <definedName name="Matrix1">#REF!</definedName>
    <definedName name="capnit_qph">#REF!</definedName>
    <definedName name="sector_list">#REF!</definedName>
    <definedName name="CAP_RStruc">#REF!</definedName>
    <definedName name="capit_qph">#REF!</definedName>
  </definedNames>
  <calcPr/>
  <extLst>
    <ext uri="GoogleSheetsCustomDataVersion2">
      <go:sheetsCustomData xmlns:go="http://customooxmlschemas.google.com/" r:id="rId15" roundtripDataChecksum="Lh07PK9fpGmvNblSJLTc5D9wyYnuWL+K3vV9FdZOxaI="/>
    </ext>
  </extLst>
</workbook>
</file>

<file path=xl/sharedStrings.xml><?xml version="1.0" encoding="utf-8"?>
<sst xmlns="http://schemas.openxmlformats.org/spreadsheetml/2006/main" count="1055" uniqueCount="631">
  <si>
    <t>BObIC BAU Output by ISIC Code</t>
  </si>
  <si>
    <t>Source:</t>
  </si>
  <si>
    <t>BPS</t>
  </si>
  <si>
    <t>Economic Accounts</t>
  </si>
  <si>
    <t xml:space="preserve">Input-Output Tables </t>
  </si>
  <si>
    <t>https://www.bps.go.id/en/statistics-table/1/MjI3NCMx/indonesia-input-output-table-total-transactions-based-on-purchaser-prices--185-products---2020--million-rupiah-.html</t>
  </si>
  <si>
    <t>We convert 2015 USD to 2012 USD with the following conversion factor:</t>
  </si>
  <si>
    <t>2012 USD per 2019 USD</t>
  </si>
  <si>
    <t>2019 Rupiah to 2019 USD</t>
  </si>
  <si>
    <t>Milion Rupiah</t>
  </si>
  <si>
    <t>Value add by ISIC split</t>
  </si>
  <si>
    <t>Source: EXIOBASE, except for ISIC 20/21, which is from WIOD</t>
  </si>
  <si>
    <t>ISIC 05</t>
  </si>
  <si>
    <t>ISIC 06</t>
  </si>
  <si>
    <t>ISIC 20</t>
  </si>
  <si>
    <t>ISIC 21</t>
  </si>
  <si>
    <t>ISIC 231</t>
  </si>
  <si>
    <t>ISIC 239</t>
  </si>
  <si>
    <t>ISIC 241</t>
  </si>
  <si>
    <t>ISIC 242</t>
  </si>
  <si>
    <t>ISIC 351</t>
  </si>
  <si>
    <t>ISIC 352T353</t>
  </si>
  <si>
    <t>'IDN'</t>
  </si>
  <si>
    <t>Tabel Input-Output Indonesia Transaksi Total Atas Dasar Harga Pembeli (185 Produk), 2020</t>
  </si>
  <si>
    <t>(Juta Rupiah)</t>
  </si>
  <si>
    <t>Kode</t>
  </si>
  <si>
    <t>Produk</t>
  </si>
  <si>
    <t>1</t>
  </si>
  <si>
    <t>1800</t>
  </si>
  <si>
    <t>3011</t>
  </si>
  <si>
    <t>3012</t>
  </si>
  <si>
    <t>3020</t>
  </si>
  <si>
    <t>3030</t>
  </si>
  <si>
    <t>3040</t>
  </si>
  <si>
    <t>3050</t>
  </si>
  <si>
    <t>3060</t>
  </si>
  <si>
    <t>3090</t>
  </si>
  <si>
    <t>3100</t>
  </si>
  <si>
    <t>4012</t>
  </si>
  <si>
    <t>4013</t>
  </si>
  <si>
    <t>4019</t>
  </si>
  <si>
    <t>5011</t>
  </si>
  <si>
    <t>5012</t>
  </si>
  <si>
    <t>5013</t>
  </si>
  <si>
    <t>5019</t>
  </si>
  <si>
    <t>8000</t>
  </si>
  <si>
    <t>Padi</t>
  </si>
  <si>
    <t>Jagung</t>
  </si>
  <si>
    <t>Ubi jalar</t>
  </si>
  <si>
    <t>Ubi kayu</t>
  </si>
  <si>
    <t>Umbi-umbian lainnya</t>
  </si>
  <si>
    <t>Kacang tanah</t>
  </si>
  <si>
    <t>Kedelai</t>
  </si>
  <si>
    <t>Kacang-kacangan Lainnya</t>
  </si>
  <si>
    <t>Padi-padian dan Bahan Makanan Lainnya</t>
  </si>
  <si>
    <t>Sayur-sayuran</t>
  </si>
  <si>
    <t>Tanaman Hias dan Holtikultura Lainnya</t>
  </si>
  <si>
    <t>Tebu</t>
  </si>
  <si>
    <t>Tembakau</t>
  </si>
  <si>
    <t>Tanaman serat</t>
  </si>
  <si>
    <t>Hasil Perkebunan Lainnya</t>
  </si>
  <si>
    <t>Buah-buahan</t>
  </si>
  <si>
    <t>Tanaman Biofarmaka</t>
  </si>
  <si>
    <t>Karet</t>
  </si>
  <si>
    <t>Kelapa</t>
  </si>
  <si>
    <t>Kelapa Sawit</t>
  </si>
  <si>
    <t>Kopi</t>
  </si>
  <si>
    <t xml:space="preserve">Teh  </t>
  </si>
  <si>
    <t>Kakao</t>
  </si>
  <si>
    <t>Cengkeh</t>
  </si>
  <si>
    <t>Jambu Mete</t>
  </si>
  <si>
    <t>Ternak dan Hasil-hasilnya kecuali Susu Segar</t>
  </si>
  <si>
    <t>Susu segar</t>
  </si>
  <si>
    <t>Unggas dan Hasil-hasilnya</t>
  </si>
  <si>
    <t>Hasil Pemeliharaan Hewan Lainnya</t>
  </si>
  <si>
    <t>Jasa Pertanian, Kehutanan dan Perikanan</t>
  </si>
  <si>
    <t>Kayu</t>
  </si>
  <si>
    <t>Hasil Hutan Lainnya</t>
  </si>
  <si>
    <t>Ikan</t>
  </si>
  <si>
    <t>Udang dan crustacea lainnya</t>
  </si>
  <si>
    <t>Biota air lainnya</t>
  </si>
  <si>
    <t>Rumput laut dan sejenisnya</t>
  </si>
  <si>
    <t>Batubara dan lignit</t>
  </si>
  <si>
    <t>Minyak Bumi</t>
  </si>
  <si>
    <t>Gas Bumi dan Panas Bumi</t>
  </si>
  <si>
    <t>Pasir besi dan bijih besi</t>
  </si>
  <si>
    <t>Bijih Timah</t>
  </si>
  <si>
    <t>Bijih Bauksit</t>
  </si>
  <si>
    <t>Bijih Tembaga</t>
  </si>
  <si>
    <t>Bijih Nikel</t>
  </si>
  <si>
    <t>Barang Tambang Logam Lainnya</t>
  </si>
  <si>
    <t>Bijih Emas</t>
  </si>
  <si>
    <t>Bijih Perak</t>
  </si>
  <si>
    <t>Barang Galian Segala Jenis</t>
  </si>
  <si>
    <t>Barang Tambang Mineral Bukan Logam</t>
  </si>
  <si>
    <t>Garam Kasar</t>
  </si>
  <si>
    <t>Jasa pertambangan minyak bumi dan gas alam</t>
  </si>
  <si>
    <t>Jasa pertambangan dan penggalian lainnya</t>
  </si>
  <si>
    <t>Hasil Pemotongan Hewan</t>
  </si>
  <si>
    <t>Hasil Pengolahan dan Pengawetan Daging</t>
  </si>
  <si>
    <t>Ikan Kering dan Ikan Asin</t>
  </si>
  <si>
    <t>Hasil Pengolahan dan Pengawetan Ikan</t>
  </si>
  <si>
    <t xml:space="preserve">Hasil Pengolahan dan Pengawetan Buah-buahan dan Sayur-sayuran </t>
  </si>
  <si>
    <t>Minyak Hewani dan Minyak Nabati</t>
  </si>
  <si>
    <t>Minyak kelapa dan Kopra</t>
  </si>
  <si>
    <t>Makanan dan Minuman Terbuat dari Susu</t>
  </si>
  <si>
    <t>Tepung Lainnya</t>
  </si>
  <si>
    <t>Tepung Terigu, Pati dan Produk Pati</t>
  </si>
  <si>
    <t>Hasil Penggilingan Padi dan Penyosohan Beras</t>
  </si>
  <si>
    <t>Roti, Biskuit dan Sejenisnya</t>
  </si>
  <si>
    <t>Gula</t>
  </si>
  <si>
    <t>Coklat dan Kembang Gula</t>
  </si>
  <si>
    <t>Mie, Macaroni dan Sejenisnya</t>
  </si>
  <si>
    <t>Kopi Olahan</t>
  </si>
  <si>
    <t>Teh Olahan</t>
  </si>
  <si>
    <t>Kedele Olahan</t>
  </si>
  <si>
    <t>Makanan Lainnya</t>
  </si>
  <si>
    <t>Makanan Hewan Olahan</t>
  </si>
  <si>
    <t>Minuman Beralkohol</t>
  </si>
  <si>
    <t>Minuman Tak Beralkohol</t>
  </si>
  <si>
    <t>Rokok</t>
  </si>
  <si>
    <t>Tembakau Olahan</t>
  </si>
  <si>
    <t>Benang</t>
  </si>
  <si>
    <t>Tekstil</t>
  </si>
  <si>
    <t>Permadani,Tali dan Penutup Lantai Lainnya</t>
  </si>
  <si>
    <t>Produk Tekstil Lainnya</t>
  </si>
  <si>
    <t>Barang-barang Rajutan dan Sulaman/Bordiran</t>
  </si>
  <si>
    <t>Pakaian Jadi</t>
  </si>
  <si>
    <t>Hasil Pengawetan dan Penyamakan Kulit</t>
  </si>
  <si>
    <t>Barang-barang dari Kulit</t>
  </si>
  <si>
    <t>Alas Kaki</t>
  </si>
  <si>
    <t>Kayu Gergajian dan Olahan</t>
  </si>
  <si>
    <t>Kayu Lapis dan Sejenisnya</t>
  </si>
  <si>
    <t>Bahan Bangunan dari Kayu</t>
  </si>
  <si>
    <t>Barang-barang Lainnya dari Kayu, Gabus, Bambu dan Rotan</t>
  </si>
  <si>
    <t>Bubur Kertas</t>
  </si>
  <si>
    <t xml:space="preserve">Kertas </t>
  </si>
  <si>
    <t>Barang-Barang dari Kertas dan Karton</t>
  </si>
  <si>
    <t>Barang Cetakan</t>
  </si>
  <si>
    <t>Barang-barang Lainnya dari Bahan Bukan Logam dan Produk dari Batubara</t>
  </si>
  <si>
    <t>Barang-barang Hasil Kilang Minyak dan Gas serta Produk Batubara</t>
  </si>
  <si>
    <t>Kimia Dasar Kecuali Pupuk</t>
  </si>
  <si>
    <t>Pupuk</t>
  </si>
  <si>
    <t>Plastik, Karet dan Serat Buatan</t>
  </si>
  <si>
    <t>Pestisida</t>
  </si>
  <si>
    <t>Cat dan tinta cetak</t>
  </si>
  <si>
    <t>Vernis dan Lak</t>
  </si>
  <si>
    <t>Sabun dan bahan pembersih</t>
  </si>
  <si>
    <t>Kosmetik</t>
  </si>
  <si>
    <t>Barang-barang kimia lainnya</t>
  </si>
  <si>
    <t>Produk farmasi</t>
  </si>
  <si>
    <t>Obat Tradisional</t>
  </si>
  <si>
    <t>Ban</t>
  </si>
  <si>
    <t>Karet Remah dan Karet Asap</t>
  </si>
  <si>
    <t>Barang-barang Lainnya dari Karet</t>
  </si>
  <si>
    <t>Barang-Barang  dari Plastik</t>
  </si>
  <si>
    <t>Kaca dan Barang-barang dari Kaca</t>
  </si>
  <si>
    <t>Barang-Barang dari tanah liat, keramik dan porselen</t>
  </si>
  <si>
    <t>Semen</t>
  </si>
  <si>
    <t>Besi dan Baja Dasar</t>
  </si>
  <si>
    <t>Logam Dasar Bukan Besi</t>
  </si>
  <si>
    <t>Barang-barang hasil Pengecoran  logam</t>
  </si>
  <si>
    <t>Bahan Bangunan dari Logam</t>
  </si>
  <si>
    <t>Senjata dan amunisi, metalurgi dan jasa pembuatan barang logam</t>
  </si>
  <si>
    <t>Alat-alat dapur, pertukangan, perabot rumahtangga dan kantor dari logam</t>
  </si>
  <si>
    <t>Barang-barang Logam Lainnya</t>
  </si>
  <si>
    <t>Barang-barang Elektronik, Komunikasi dan Perlengkapannya</t>
  </si>
  <si>
    <t>Alat Ukur, Fotografi, Optik dan Jam</t>
  </si>
  <si>
    <t>Mesin Pembangkit dan Motor Listrik</t>
  </si>
  <si>
    <t>Mesin Listrik dan Perlengkapannya</t>
  </si>
  <si>
    <t>Baterai dan Aki</t>
  </si>
  <si>
    <t>Perlengkapan Listrik Lainnya</t>
  </si>
  <si>
    <t>Alat Listrik Untuk Rumah Tangga</t>
  </si>
  <si>
    <t>Mesin Penggerak Mula</t>
  </si>
  <si>
    <t>Mesin untuk keperluan kantor dan akunting, dan bagian serta perlengkapannya</t>
  </si>
  <si>
    <t>Mesin lainnya dan perlengkapannya</t>
  </si>
  <si>
    <t>Kendaraan Bermotor Kecuali Sepeda Motor</t>
  </si>
  <si>
    <t>Kapal dan Jasa Perbaikannya</t>
  </si>
  <si>
    <t>Kereta Api dan Jasa Perbaikannya</t>
  </si>
  <si>
    <t>Pesawat Terbang dan Jasa Perbaikannya</t>
  </si>
  <si>
    <t>Alat Pengangkutan Lainnya</t>
  </si>
  <si>
    <t>Sepeda Motor</t>
  </si>
  <si>
    <t>Perabotan Rumah Tangga dan Kantor Selain dari Logam</t>
  </si>
  <si>
    <t>Perhiasan</t>
  </si>
  <si>
    <t>Alat-Alat Musik</t>
  </si>
  <si>
    <t>Alat-Alat Olahraga</t>
  </si>
  <si>
    <t>Alat Permainan dan mainan anak-anak</t>
  </si>
  <si>
    <t>Alat Kedokteran</t>
  </si>
  <si>
    <t>Barang-barang hasil industri pengolahan lainnya</t>
  </si>
  <si>
    <t>Jasa perawatan dan perbaikan produk-produk logam pabrikan, mesin-mesin dan peralatan</t>
  </si>
  <si>
    <t>Listrik</t>
  </si>
  <si>
    <t>Hasil gas alam dan buatan, pengadaan uap air/air panas, udara dingin dan produk es</t>
  </si>
  <si>
    <t>Pengadaan Air</t>
  </si>
  <si>
    <t>Pengelolaan Sampah, Limbah dan Daur Ulang</t>
  </si>
  <si>
    <t>Bangunan Tempat Tinggal dan Bukan Tempat Tinggal</t>
  </si>
  <si>
    <t>Bangunan dan Instalasi Listrik, Gas, Air Minum dan Komunikasi</t>
  </si>
  <si>
    <t>Prasarana Pertanian</t>
  </si>
  <si>
    <t>Jalan, Jembatan, dan Pelabuhan</t>
  </si>
  <si>
    <t>Bangunan Lainnya</t>
  </si>
  <si>
    <t>Perdagangan Mobil dan Sepeda Motor</t>
  </si>
  <si>
    <t>Reparasi dan Perawatan Mobil dan Sepeda Motor</t>
  </si>
  <si>
    <t>Perdagangan selain Mobil dan Sepeda Motor</t>
  </si>
  <si>
    <t>Jasa Angkutan Rel</t>
  </si>
  <si>
    <t>Jasa Angkutan Darat Selain Angkutan Rel</t>
  </si>
  <si>
    <t>Jasa Angkutan Laut</t>
  </si>
  <si>
    <t>Jasa Angkutan Sungai danau dan Penyeberangan</t>
  </si>
  <si>
    <t>Jasa Angkutan Udara</t>
  </si>
  <si>
    <t>Jasa Penunjang Angkutan</t>
  </si>
  <si>
    <t>Jasa Pos dan Kurir</t>
  </si>
  <si>
    <t>Penyediaan Akomodasi</t>
  </si>
  <si>
    <t>Penyediaan Makan dan Minum</t>
  </si>
  <si>
    <t>Hasil-hasil Penerbitan</t>
  </si>
  <si>
    <t>Jasa Penyiaran dan pemrograman, Film dan Hasil Perekaman Suara</t>
  </si>
  <si>
    <t>Jasa Telekomunikasi</t>
  </si>
  <si>
    <t>Jasa Konsultasi komputer dan teknologi informasi</t>
  </si>
  <si>
    <t>Jasa Keuangan Perbankan</t>
  </si>
  <si>
    <t>Jasa asuransi</t>
  </si>
  <si>
    <t>Jasa dana Pensiun</t>
  </si>
  <si>
    <t>Jasa Lembaga Keuangan Lainnya</t>
  </si>
  <si>
    <t>Jasa Real Estate</t>
  </si>
  <si>
    <t>Jasa Profesional, Ilmiah dan Teknis</t>
  </si>
  <si>
    <t>Jasa Persewaan dan Jasa Penunjang Usaha</t>
  </si>
  <si>
    <t>Jasa Pemerintahan Umum</t>
  </si>
  <si>
    <t>Jasa Pendidikan Pemerintah</t>
  </si>
  <si>
    <t>Jasa Kesehatan Pemerintah</t>
  </si>
  <si>
    <t>Jasa Pemerintahan Lainnya</t>
  </si>
  <si>
    <t>Jasa Pendidikan Swasta</t>
  </si>
  <si>
    <t>Jasa Kesehatan dan Kegiatan Sosial Swasta</t>
  </si>
  <si>
    <t>Jasa Kesenian, Hiburan dan Rekreasi</t>
  </si>
  <si>
    <t>Reparasi Barang Rumahtangga dan Pribadi Lainnya</t>
  </si>
  <si>
    <t>Jasa Lainnya</t>
  </si>
  <si>
    <t>Total Permintaan Antara</t>
  </si>
  <si>
    <t>Konsumsi Rumah Tangga</t>
  </si>
  <si>
    <t>Konsumsi LNPRT</t>
  </si>
  <si>
    <t>Konsumsi Pemerintah</t>
  </si>
  <si>
    <t>Pembentukan Modal Tetap Bruto</t>
  </si>
  <si>
    <t>Perubahan Inventori</t>
  </si>
  <si>
    <t>Ekspor Barang (F.o.b)</t>
  </si>
  <si>
    <t>Ekspor Jasa</t>
  </si>
  <si>
    <t>Total Permintaan Akhir</t>
  </si>
  <si>
    <t>Total Permintaan</t>
  </si>
  <si>
    <t>Impor Barang (c.i.f)</t>
  </si>
  <si>
    <t>Impor Jasa</t>
  </si>
  <si>
    <t>Adjustment (i.f)</t>
  </si>
  <si>
    <t>Total Impor</t>
  </si>
  <si>
    <t>Marjin Perdagangan Besar</t>
  </si>
  <si>
    <t>Marjin Perdagangan Eceran</t>
  </si>
  <si>
    <t>Biaya Pengangkutan</t>
  </si>
  <si>
    <t>Total Marjin Perdagangan dan Biaya Pengangkutan</t>
  </si>
  <si>
    <t>Total Pajak dikurang Subsidi atas Produk</t>
  </si>
  <si>
    <t>Output Domestik Harga Dasar</t>
  </si>
  <si>
    <t>Total Penyediaan</t>
  </si>
  <si>
    <t>i.f.</t>
  </si>
  <si>
    <t>adjustment i.f.</t>
  </si>
  <si>
    <t>1900</t>
  </si>
  <si>
    <t>Total Input Antara</t>
  </si>
  <si>
    <t>Pajak Dikurang Subsidi Atas Produk</t>
  </si>
  <si>
    <t>Total Konsumsi Antara Impor</t>
  </si>
  <si>
    <t>Kompensasi Tenaga Kerja</t>
  </si>
  <si>
    <t>Surplus Usaha Bruto</t>
  </si>
  <si>
    <t>Pajak Dikurang Subsidi Lainnya Atas Produksi</t>
  </si>
  <si>
    <t>2090</t>
  </si>
  <si>
    <t>Total Input Primer</t>
  </si>
  <si>
    <t>2100</t>
  </si>
  <si>
    <t>Total Input</t>
  </si>
  <si>
    <t>Indonesia Input-Output Table: Total Transactions at Purchaser Prices (185 Products), 2020</t>
  </si>
  <si>
    <t>(Million Rupiah)</t>
  </si>
  <si>
    <t>Industry</t>
  </si>
  <si>
    <t>Name</t>
  </si>
  <si>
    <t>Products</t>
  </si>
  <si>
    <t>Total Output</t>
  </si>
  <si>
    <t xml:space="preserve">Rice </t>
  </si>
  <si>
    <t>Corn</t>
  </si>
  <si>
    <t>Sweet Potato</t>
  </si>
  <si>
    <t>Cassava</t>
  </si>
  <si>
    <t>Other Tubers</t>
  </si>
  <si>
    <t>Peanuts</t>
  </si>
  <si>
    <t>Soybeans</t>
  </si>
  <si>
    <t>Other Legumes</t>
  </si>
  <si>
    <t>Cereals and Other Foodstuffs</t>
  </si>
  <si>
    <t>Vegetables</t>
  </si>
  <si>
    <t>Ornamental Plants and Other Horticulture</t>
  </si>
  <si>
    <t>Sugarcane</t>
  </si>
  <si>
    <t>Tobacco</t>
  </si>
  <si>
    <t>Fiber Plants</t>
  </si>
  <si>
    <t>Other Plantation Products</t>
  </si>
  <si>
    <t>Fruits</t>
  </si>
  <si>
    <t>Biopharmaceutical Plants</t>
  </si>
  <si>
    <t>Rubber</t>
  </si>
  <si>
    <t>Coconut</t>
  </si>
  <si>
    <t>Palm Oil</t>
  </si>
  <si>
    <t>Coffee</t>
  </si>
  <si>
    <t>Tea</t>
  </si>
  <si>
    <t>Cocoa</t>
  </si>
  <si>
    <t>Cloves</t>
  </si>
  <si>
    <t>Cashew</t>
  </si>
  <si>
    <t>Livestock and Its Products Except Fresh Milk</t>
  </si>
  <si>
    <t>Fresh Milk</t>
  </si>
  <si>
    <t>Poultry and Its Products</t>
  </si>
  <si>
    <t>Other Animal Husbandry Products</t>
  </si>
  <si>
    <t>Agriculture, Forestry, and Fisheries Services</t>
  </si>
  <si>
    <t>Wood</t>
  </si>
  <si>
    <t>Other Forest Products</t>
  </si>
  <si>
    <t>Fish</t>
  </si>
  <si>
    <t>Shrimp and Other Crustaceans</t>
  </si>
  <si>
    <t>Other Aquatic Biota</t>
  </si>
  <si>
    <t>Seaweed and Similar Products</t>
  </si>
  <si>
    <t>Coal and Lignite</t>
  </si>
  <si>
    <t>Crude Oil</t>
  </si>
  <si>
    <t>Natural Gas and Geothermal</t>
  </si>
  <si>
    <t>Iron Sand and Iron Ore</t>
  </si>
  <si>
    <t>Tin Ore</t>
  </si>
  <si>
    <t>Bauxite Ore</t>
  </si>
  <si>
    <t>Copper Ore</t>
  </si>
  <si>
    <t>Nickel Ore</t>
  </si>
  <si>
    <t>Other Metal Ores</t>
  </si>
  <si>
    <t>Gold Ore</t>
  </si>
  <si>
    <t>Silver Ore</t>
  </si>
  <si>
    <t>Various Mineral Products</t>
  </si>
  <si>
    <t>Non-Metallic Mineral Products</t>
  </si>
  <si>
    <t>Raw Salt</t>
  </si>
  <si>
    <t>Oil and Natural Gas Mining Services</t>
  </si>
  <si>
    <t>Other Mining and Quarrying Services</t>
  </si>
  <si>
    <t>Slaughtered Animal Products</t>
  </si>
  <si>
    <t>Processed and Preserved Meat Products</t>
  </si>
  <si>
    <t>Dried and Salted Fish</t>
  </si>
  <si>
    <t>Processed and Preserved Fish Products</t>
  </si>
  <si>
    <t>Processed and Preserved Fruit and Vegetable Products</t>
  </si>
  <si>
    <t>Animal and Vegetable Oils</t>
  </si>
  <si>
    <t>Coconut Oil and Copra</t>
  </si>
  <si>
    <t>Dairy-Based Food and Beverages</t>
  </si>
  <si>
    <t>Other Flours</t>
  </si>
  <si>
    <t>Wheat Flour, Starch, and Starch Products</t>
  </si>
  <si>
    <t>Rice Milling and Polishing Products</t>
  </si>
  <si>
    <t>Bread, Biscuits, and Similar Products</t>
  </si>
  <si>
    <t>Sugar</t>
  </si>
  <si>
    <t>Chocolate and Confectionery</t>
  </si>
  <si>
    <t>Noodles, Macaroni, and Similar Products</t>
  </si>
  <si>
    <t>Processed Coffee</t>
  </si>
  <si>
    <t>Processed Tea</t>
  </si>
  <si>
    <t>Processed Soybeans</t>
  </si>
  <si>
    <t>Other Food Products</t>
  </si>
  <si>
    <t>Processed Animal Feed</t>
  </si>
  <si>
    <t>Alcoholic Beverages</t>
  </si>
  <si>
    <t>Non-Alcoholic Beverages</t>
  </si>
  <si>
    <t>Cigarettes</t>
  </si>
  <si>
    <t>Processed Tobacco</t>
  </si>
  <si>
    <t>Yarn</t>
  </si>
  <si>
    <t>Textiles</t>
  </si>
  <si>
    <t>Carpets, Ropes, and Other Floor Coverings</t>
  </si>
  <si>
    <t>Other Textile Products</t>
  </si>
  <si>
    <t>Knitted and Embroidered Products</t>
  </si>
  <si>
    <t>Ready-to-Wear Clothing</t>
  </si>
  <si>
    <t>Leather Tanning and Preservation</t>
  </si>
  <si>
    <t>Leather Goods</t>
  </si>
  <si>
    <t>Footwear</t>
  </si>
  <si>
    <t>Sawn and Processed Wood</t>
  </si>
  <si>
    <t>Plywood and Similar Products</t>
  </si>
  <si>
    <t>Wooden Building Materials</t>
  </si>
  <si>
    <t>Other Products from Wood, Cork, Bamboo, and Rattan</t>
  </si>
  <si>
    <t>Pulp</t>
  </si>
  <si>
    <t>Paper</t>
  </si>
  <si>
    <t>Paper and Cardboard Products</t>
  </si>
  <si>
    <t>Printed Materials</t>
  </si>
  <si>
    <t>Other Non-Metallic Mineral and Coal Products</t>
  </si>
  <si>
    <t>Petroleum Refinery, Gas, and Coal Products</t>
  </si>
  <si>
    <t>Basic Chemicals Except Fertilizers</t>
  </si>
  <si>
    <t>Fertilizers</t>
  </si>
  <si>
    <t>Plastics, Rubber, and Synthetic Fibers</t>
  </si>
  <si>
    <t>Pesticides</t>
  </si>
  <si>
    <t>Paint and Printing Ink</t>
  </si>
  <si>
    <t>Varnish and Lacquer</t>
  </si>
  <si>
    <t>Soap and Cleaning Products</t>
  </si>
  <si>
    <t>Cosmetics</t>
  </si>
  <si>
    <t>Other Chemical Products</t>
  </si>
  <si>
    <t>Pharmaceutical Products</t>
  </si>
  <si>
    <t>Traditional Medicine</t>
  </si>
  <si>
    <t>Tires</t>
  </si>
  <si>
    <t>Crumb Rubber and Smoked Rubber</t>
  </si>
  <si>
    <t>Other Rubber Products</t>
  </si>
  <si>
    <t>Plastic Products</t>
  </si>
  <si>
    <t>Glass and Glass Products</t>
  </si>
  <si>
    <t>Clay, Ceramic, and Porcelain Products</t>
  </si>
  <si>
    <t>Cement</t>
  </si>
  <si>
    <t>Basic Iron and Steel</t>
  </si>
  <si>
    <t>Non-Ferrous Basic Metals</t>
  </si>
  <si>
    <t>Cast Metal Products</t>
  </si>
  <si>
    <t>Metal Building Materials</t>
  </si>
  <si>
    <t>Weapons and Ammunition, Metallurgy, and Metal Goods Manufacturing Services</t>
  </si>
  <si>
    <t>Kitchenware, Tools, Household and Office Metal Furniture</t>
  </si>
  <si>
    <t>Other Metal Products</t>
  </si>
  <si>
    <t>Electronic, Communication Equipment, and Accessories</t>
  </si>
  <si>
    <t>Measuring Instruments, Photography, Optics, and Clocks</t>
  </si>
  <si>
    <t>Power Generators and Electric Motors</t>
  </si>
  <si>
    <t>Electrical Machinery and Equipment</t>
  </si>
  <si>
    <t>Batteries and Accumulators</t>
  </si>
  <si>
    <t>Other Electrical Equipment</t>
  </si>
  <si>
    <t>Household Electrical Appliances</t>
  </si>
  <si>
    <t>Prime Movers</t>
  </si>
  <si>
    <t>Office and Accounting Machines, Parts, and Accessories</t>
  </si>
  <si>
    <t>Other Machinery and Equipment</t>
  </si>
  <si>
    <t>Motor Vehicles Except Motorcycles</t>
  </si>
  <si>
    <t>Ships and Repair Services</t>
  </si>
  <si>
    <t>Railway and Repair Services</t>
  </si>
  <si>
    <t>Aircraft and Repair Services</t>
  </si>
  <si>
    <t>Other Transportation Equipment</t>
  </si>
  <si>
    <t>Motorcycles</t>
  </si>
  <si>
    <t>Household and Office Furniture Except Metal</t>
  </si>
  <si>
    <t>Jewelry</t>
  </si>
  <si>
    <t>Musical Instruments</t>
  </si>
  <si>
    <t>Sports Equipment</t>
  </si>
  <si>
    <t>Toys and Children's Play Equipment</t>
  </si>
  <si>
    <t>Medical Equipment</t>
  </si>
  <si>
    <t>Other Processed Industrial Goods</t>
  </si>
  <si>
    <t>Maintenance and Repair Services of Manufactured Metal Products, Machinery, and Equipment</t>
  </si>
  <si>
    <t>Electricity</t>
  </si>
  <si>
    <t>Natural and Manufactured Gas, Steam/Hot Water, Cold Air, and Ice Products</t>
  </si>
  <si>
    <t>Water Supply</t>
  </si>
  <si>
    <t>Waste Management, Waste Disposal, and Recycling</t>
  </si>
  <si>
    <t>Residential and Non-Residential Buildings</t>
  </si>
  <si>
    <t>Electricity, Gas, Drinking Water, and Communication Infrastructure</t>
  </si>
  <si>
    <t>Agricultural Infrastructure</t>
  </si>
  <si>
    <t>Roads, Bridges, and Ports</t>
  </si>
  <si>
    <t>Other Buildings</t>
  </si>
  <si>
    <t>Motor Vehicle and Motorcycle Trade</t>
  </si>
  <si>
    <t>Motor Vehicle and Motorcycle Repair and Maintenance</t>
  </si>
  <si>
    <t>Trade Except Motor Vehicles and Motorcycles</t>
  </si>
  <si>
    <t>Rail Transport Services</t>
  </si>
  <si>
    <t>Land Transport Services Except Rail</t>
  </si>
  <si>
    <t>Sea Transport Services</t>
  </si>
  <si>
    <t>River, Lake, and Ferry Transport Services</t>
  </si>
  <si>
    <t>Air Transport Services</t>
  </si>
  <si>
    <t>Transport Support Services</t>
  </si>
  <si>
    <t>Postal and Courier Services</t>
  </si>
  <si>
    <t>Accommodation Services</t>
  </si>
  <si>
    <t>Food and Beverage Services</t>
  </si>
  <si>
    <t>Publishing Products</t>
  </si>
  <si>
    <t>Broadcasting, Programming, Film, and Sound Recording Services</t>
  </si>
  <si>
    <t>Telecommunications Services</t>
  </si>
  <si>
    <t>Computer and IT Consulting Services</t>
  </si>
  <si>
    <t>Banking Financial Services</t>
  </si>
  <si>
    <t>Insurance Services</t>
  </si>
  <si>
    <t>Pension Fund Services</t>
  </si>
  <si>
    <t>Other Financial Institution Services</t>
  </si>
  <si>
    <t>Real Estate Services</t>
  </si>
  <si>
    <t>Professional, Scientific, and Technical Services</t>
  </si>
  <si>
    <t>Rental and Business Support Services</t>
  </si>
  <si>
    <t>General Government Services</t>
  </si>
  <si>
    <t>Public Education Services</t>
  </si>
  <si>
    <t>Public Health Services</t>
  </si>
  <si>
    <t>Other Government Services</t>
  </si>
  <si>
    <t>Private Education Services</t>
  </si>
  <si>
    <t>Private Health and Social Services</t>
  </si>
  <si>
    <t>Arts, Entertainment, and Recreation Services</t>
  </si>
  <si>
    <t>Repair Services for Household and Personal Goods</t>
  </si>
  <si>
    <t>Other Services</t>
  </si>
  <si>
    <t>Total Intermediate Demand</t>
  </si>
  <si>
    <t>Household Consumption</t>
  </si>
  <si>
    <t>NPISH Consumption</t>
  </si>
  <si>
    <t>Government Consumption</t>
  </si>
  <si>
    <t>Gross Fixed Capital Formation</t>
  </si>
  <si>
    <t>Inventory Changes</t>
  </si>
  <si>
    <t>Export of Goods (F.o.b)</t>
  </si>
  <si>
    <t>Export of Services</t>
  </si>
  <si>
    <t>Total Final Demand</t>
  </si>
  <si>
    <t>Total Demand</t>
  </si>
  <si>
    <t>Import of Goods (c.i.f)</t>
  </si>
  <si>
    <t>Import of Services</t>
  </si>
  <si>
    <t>Total Imports</t>
  </si>
  <si>
    <t>Wholesale Trade Margin</t>
  </si>
  <si>
    <t>Retail Trade Margin</t>
  </si>
  <si>
    <t>Transportation Costs</t>
  </si>
  <si>
    <t>Total Trade Margin and Transportation Costs</t>
  </si>
  <si>
    <t>Total Tax Minus Product Subsidies</t>
  </si>
  <si>
    <t>Domestic Output at Basic Prices</t>
  </si>
  <si>
    <t>Total Supply</t>
  </si>
  <si>
    <t>ISIC 01T03</t>
  </si>
  <si>
    <t>agriculture and forestry</t>
  </si>
  <si>
    <t>Rice, Corn, Sweet Potato, Cassava, Other Tubers, Peanuts, Soybeans, Other Legumes, Grains and Other Food Ingredients, Vegetables, Ornamental Plants and Other Horticulture, Sugarcane, Tobacco, Fiber Plants, Other Plantation Products, Fruits, Biopharmaceutical Plants, Coffee, Tea, Palm Oil, Cocoa, Cloves, Cashew, Livestock and its Products, Fresh milk, Poultry and its Products, other Animal Husbandry Products, Agriculture and Forestry Services, Wood, Other Forests Products, Fish, Shrimp and Other Crustaceans, Other Aquatic Biota, and Seaweed and Similar Products, Raw Salt</t>
  </si>
  <si>
    <t>coal mining</t>
  </si>
  <si>
    <t>oil and gas extraction</t>
  </si>
  <si>
    <t>Natural Gas and Geothermal Energ,y, Crude Oil</t>
  </si>
  <si>
    <t>ISIC 07T08</t>
  </si>
  <si>
    <t>other mining and quarrying</t>
  </si>
  <si>
    <t>ISIC 09</t>
  </si>
  <si>
    <t>Mining support service activities</t>
  </si>
  <si>
    <t>ISIC 10T12</t>
  </si>
  <si>
    <t>food beverage and tobacco</t>
  </si>
  <si>
    <t>Tobacco, Dairy-Based Food and Beverages, Alcoholic Beverages, Non-Alcoholic Beverages, Cigarettes, and Processed Tobacco</t>
  </si>
  <si>
    <t>ISIC 13T15</t>
  </si>
  <si>
    <t>textiles apparel and leather</t>
  </si>
  <si>
    <t>Textiles, Carpets, Ropes, and Other Floor Coverings, Other Textile Products, Knitted and Embroidered Goods, Ready-to-Wear Clothing, Leather Goods, and Footwear</t>
  </si>
  <si>
    <t>ISIC 16</t>
  </si>
  <si>
    <t>wood products</t>
  </si>
  <si>
    <t>Sawn and Processed Wood, Plywood and Similar Products, Wooden Building Materials, Other Wood, Cork, Bamboo, and Rattan Products</t>
  </si>
  <si>
    <t>ISIC 17T18</t>
  </si>
  <si>
    <t>pulp paper and printing</t>
  </si>
  <si>
    <t>Pulp, Paper, Paper and Cardboard Products, Printed Goods</t>
  </si>
  <si>
    <t>Grains and Other Food Ingredients</t>
  </si>
  <si>
    <t>ISIC 19</t>
  </si>
  <si>
    <t>refined petroleum and coke</t>
  </si>
  <si>
    <t>Refinery and Gas Products and Coal-Based Products</t>
  </si>
  <si>
    <t>chemicals</t>
  </si>
  <si>
    <t>Refinery and Gas Products and Coal-Based Products, Basic Chemicals Except Fertilizers, Pesticides, Paints and Printing Ink, Varnish and Lacquer, Soap and Cleaning Agents, Cosmetics, Other Chemical Products</t>
  </si>
  <si>
    <t>Manufacture of basic pharmaceutical products and pharmaceutical preparations</t>
  </si>
  <si>
    <t>Pharmaceutical Products, Traditional Medicine</t>
  </si>
  <si>
    <t>ISIC 22</t>
  </si>
  <si>
    <t>rubber and plastic products</t>
  </si>
  <si>
    <t>Rubber, Plastics, Rubber, and Synthetic Fibers, Crumb Rubber and Smoked Rubber, Other Rubber Products, Plastic Products, Tires</t>
  </si>
  <si>
    <t>ISIC 23</t>
  </si>
  <si>
    <t>Manufacture of other non-metallic mineral products</t>
  </si>
  <si>
    <t>Other Non-Metallic Materials and Coal Products, Non-Metallic Mineral Mining Products, Glass and Glass Products, Clay, Ceramic, and Porcelain Products, Cement</t>
  </si>
  <si>
    <t>ISIC 24</t>
  </si>
  <si>
    <t>Manufacture of basic metals</t>
  </si>
  <si>
    <t>Iron Sand and Iron Ore, Tin Ore, Bauxite Ore, Copper Ore, Nickel Ore, Gold Ore, Silver Ore, Basic Iron and Steel</t>
  </si>
  <si>
    <t>ISIC 25</t>
  </si>
  <si>
    <t>metal products except machinery and vehicles</t>
  </si>
  <si>
    <t>Other Metal Mining Products, Non-Ferrous Basic Metals, Metal Casting Products, Metal Building Materials,  Weapons, Ammunition, Metallurgy, and Metal Fabrication Services, Metal Kitchenware, Tools, Household and Office Equipment, Other Metal Products</t>
  </si>
  <si>
    <t>ISIC 26</t>
  </si>
  <si>
    <t>computers and electronics</t>
  </si>
  <si>
    <t>Electronic, Communication, and Accessories Products, Measuring Instruments, Photography, Optics, and Clocks</t>
  </si>
  <si>
    <t>ISIC 27</t>
  </si>
  <si>
    <t>appliances and electrical equipment</t>
  </si>
  <si>
    <t>Household Electrical Appliances, Household and Office Furniture Other Than Metal</t>
  </si>
  <si>
    <t>ISIC 28</t>
  </si>
  <si>
    <t>other machinery</t>
  </si>
  <si>
    <t>Electrical Machinery and Equipment, Batteries and Accumulators, Other Electrical Equipment, Other Electrical Equipment, Office and Accounting Machines, and Their Parts and Accessories, Other Machines and Their Equipment, Prime Movers</t>
  </si>
  <si>
    <t>ISIC 29</t>
  </si>
  <si>
    <t>road vehicles</t>
  </si>
  <si>
    <t>Motor Vehicles Except Motorcycles, Roads, Bridges, and Ports, Motorcycles</t>
  </si>
  <si>
    <t>ISIC 30</t>
  </si>
  <si>
    <t>nonroad vehicles</t>
  </si>
  <si>
    <t>ISIC 31T33</t>
  </si>
  <si>
    <t>other manufacturing</t>
  </si>
  <si>
    <t>Slaughtered Animal Products, Processed and Preserved Meat Products, Dried and Salted Fish, Processed and Preserved Fish Products, Processed and Preserved Fruits and Vegetables, Animal and Vegetable Oils, Coconut Oil and Copra, Other Flours, Wheat Flour, Starch, and Starch Products, Rice Milling and Polishing Products, Bread, Biscuits, and Similar Products, Sugar, Chocolate and Confectionery, Noodles, Macaroni, and Similar Products, Bread, Biscuits, and Similar Products, Processed Coffee, Processed Tea, Processed Soybeans, Other Foods, Processed Animal Feed, Other Manufactured Products, Jewelry, Musical Instruments, Sports Equipment, Toys and Children's Games, Medical Equipment</t>
  </si>
  <si>
    <t>Electric power generation, transmission, and distribution</t>
  </si>
  <si>
    <t>Electricity, Power Generation and Electric Motors</t>
  </si>
  <si>
    <t>energy pipelines and gas processing</t>
  </si>
  <si>
    <t>ISIC 36T39</t>
  </si>
  <si>
    <t>water and waste</t>
  </si>
  <si>
    <t>Water Supply, Waste Management, Waste Treatment, and Recycling</t>
  </si>
  <si>
    <t>ISIC 41T43</t>
  </si>
  <si>
    <t>construction</t>
  </si>
  <si>
    <t>Residential and Non-Residential Buildings, Buildings and Installations for Electricity, Gas, Water Supply, and Communication, Other Buildings</t>
  </si>
  <si>
    <t>ISIC 45T47</t>
  </si>
  <si>
    <t>Wholesale and retail trade; Repair of motor vehicles and motorcycles</t>
  </si>
  <si>
    <t>Maintenance and Repair Services of Manufactured Metal Products, Machinery, and Equipment, Ships and Repair Services, Railways and Repair Services, Aircraft and Repair Services, Car and Motorcycle Repair and Maintenance, Other Transportation Equipment</t>
  </si>
  <si>
    <t>ISIC 49T53</t>
  </si>
  <si>
    <t>Transportation and storage</t>
  </si>
  <si>
    <t>Rail Transport Services, Land Transport Services Except Rail, Sea Transport Services,  River, Lake, and Ferry Transport Services, Air Transport Services</t>
  </si>
  <si>
    <t>ISIC 55T56</t>
  </si>
  <si>
    <t>Accommodation and food service activities</t>
  </si>
  <si>
    <t>Accommodation Services, Food and Beverage Services</t>
  </si>
  <si>
    <t>ISIC 58T60</t>
  </si>
  <si>
    <t>Publishing, audiovisual, and broadcasting activities</t>
  </si>
  <si>
    <t>Publishing Products, Broadcasting, Programming, Film, and Sound Recording Services</t>
  </si>
  <si>
    <t>Agricultural, Forestry, and Fisheries Services</t>
  </si>
  <si>
    <t>ISIC 61</t>
  </si>
  <si>
    <t>Telecommunications</t>
  </si>
  <si>
    <t>ISIC 62T63</t>
  </si>
  <si>
    <t>Computer programming, consultancy and related activities; Information service activities</t>
  </si>
  <si>
    <t>Computer and Information Technology Consulting Services</t>
  </si>
  <si>
    <t>ISIC 64T66</t>
  </si>
  <si>
    <t>Financial and insurance activities</t>
  </si>
  <si>
    <t xml:space="preserve">Banking Financial Services, Insurance Services, Pension Fund Services, Other Financial Institution Services </t>
  </si>
  <si>
    <t>ISIC 68</t>
  </si>
  <si>
    <t>Real estate activities</t>
  </si>
  <si>
    <t>Real Estate Services, Rental and Business Support Services</t>
  </si>
  <si>
    <t>ISIC 69T82</t>
  </si>
  <si>
    <t>Professional, scientific, and technical activities; Administrative and support service activities</t>
  </si>
  <si>
    <t>ISIC 84</t>
  </si>
  <si>
    <t>Public administration and defense; Compulsory social security</t>
  </si>
  <si>
    <t>General Government Services, Other Government Services</t>
  </si>
  <si>
    <t>ISIC 85</t>
  </si>
  <si>
    <t>Education</t>
  </si>
  <si>
    <t>Public Education Services, Private Education Services</t>
  </si>
  <si>
    <t>ISIC 86T88</t>
  </si>
  <si>
    <t>Human health and social work activities</t>
  </si>
  <si>
    <t>Public Health Services, Private Health and Social Activities Services</t>
  </si>
  <si>
    <t>ISIC 90T96</t>
  </si>
  <si>
    <t>Arts, entertainment, and recreation; Other service activities</t>
  </si>
  <si>
    <t>Arts, Entertainment, and Recreation Services, Other Services</t>
  </si>
  <si>
    <t>Natural Gas and Geothermal Energy</t>
  </si>
  <si>
    <t>ISIC 97T98</t>
  </si>
  <si>
    <t>Activities of households as employers; Undifferentiated goods- and services-producing activities of households for own use</t>
  </si>
  <si>
    <t>Repair of Household and Personal Goods</t>
  </si>
  <si>
    <t>Total</t>
  </si>
  <si>
    <t>Other Metal Mining Products</t>
  </si>
  <si>
    <t>Various Excavated Materials</t>
  </si>
  <si>
    <t>Non-Metallic Mineral Mining Products</t>
  </si>
  <si>
    <t>Processed and Preserved Fruits and Vegetables</t>
  </si>
  <si>
    <t>Other Foods</t>
  </si>
  <si>
    <t>Thread</t>
  </si>
  <si>
    <t>Knitted and Embroidered Goods</t>
  </si>
  <si>
    <t>Leather Tanning and Preservation Products</t>
  </si>
  <si>
    <t>Other Wood, Cork, Bamboo, and Rattan Products</t>
  </si>
  <si>
    <t>Printed Goods</t>
  </si>
  <si>
    <t>Other Non-Metallic Materials and Coal Products</t>
  </si>
  <si>
    <t>Paints and Printing Ink</t>
  </si>
  <si>
    <t>Soap and Cleaning Agents</t>
  </si>
  <si>
    <t>Metal Casting Products</t>
  </si>
  <si>
    <t>Weapons, Ammunition, Metallurgy, and Metal Fabrication Services</t>
  </si>
  <si>
    <t>Metal Kitchenware, Tools, Household and Office Equipment</t>
  </si>
  <si>
    <t>Electronic, Communication, and Accessories Products</t>
  </si>
  <si>
    <t>Power Generation and Electric Motors</t>
  </si>
  <si>
    <t>Office and Accounting Machines, and Their Parts and Accessories</t>
  </si>
  <si>
    <t>Other Machines and Their Equipment</t>
  </si>
  <si>
    <t>Railways and Repair Services</t>
  </si>
  <si>
    <t>Household and Office Furniture Other Than Metal</t>
  </si>
  <si>
    <t>Toys and Children's Games</t>
  </si>
  <si>
    <t>Other Manufactured Products</t>
  </si>
  <si>
    <t>Waste Management, Waste Treatment, and Recycling</t>
  </si>
  <si>
    <t>Buildings and Installations for Electricity, Gas, Water Supply, and Communication</t>
  </si>
  <si>
    <t>Trade of Cars and Motorcycles</t>
  </si>
  <si>
    <t>Car and Motorcycle Repair and Maintenance</t>
  </si>
  <si>
    <t>Trade Other Than Cars and Motorcycles</t>
  </si>
  <si>
    <t>Private Health and Social Activities Services</t>
  </si>
  <si>
    <t>Adjustment I.F.</t>
  </si>
  <si>
    <t>Total Intermediate Input</t>
  </si>
  <si>
    <t>Taxes Minus Subsidies on Products</t>
  </si>
  <si>
    <t>Total Intermediate Consumption from Imports</t>
  </si>
  <si>
    <t>Compensation of Employees</t>
  </si>
  <si>
    <t>Gross Operating Surplus</t>
  </si>
  <si>
    <t>Other Taxes Minus Subsidies on Production</t>
  </si>
  <si>
    <t>Total Primary Input</t>
  </si>
  <si>
    <t>ISIC Code</t>
  </si>
  <si>
    <t>Total Output (Million Rupiah)</t>
  </si>
  <si>
    <t>Total Output ($2019)</t>
  </si>
  <si>
    <t>Total Output ($2012)</t>
  </si>
  <si>
    <t>Unit: USD</t>
  </si>
  <si>
    <t>Output</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</si>
</sst>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_-* #,##0_-;\-* #,##0_-;_-* &quot;-&quot;_-;_-@"/>
    <numFmt numFmtId="166" formatCode="_(* #,##0_);_(* \(#,##0\);_(* &quot;-&quot;_);_(@_)"/>
    <numFmt numFmtId="167" formatCode="_(* #,##0_);_(* \(#,##0\);_(* &quot;-&quot;??_);_(@_)"/>
  </numFmts>
  <fonts count="18">
    <font>
      <sz val="11.0"/>
      <color theme="1"/>
      <name val="Calibri"/>
      <scheme val="minor"/>
    </font>
    <font>
      <b/>
      <sz val="11.0"/>
      <color theme="1"/>
      <name val="Calibri"/>
    </font>
    <font>
      <color theme="1"/>
      <name val="Calibri"/>
      <scheme val="minor"/>
    </font>
    <font>
      <sz val="11.0"/>
      <color theme="1"/>
      <name val="Calibri"/>
    </font>
    <font>
      <u/>
      <sz val="11.0"/>
      <color theme="10"/>
      <name val="Calibri"/>
    </font>
    <font>
      <b/>
      <sz val="14.0"/>
      <color theme="1"/>
      <name val="Calibri"/>
    </font>
    <font>
      <sz val="11.0"/>
      <color theme="1"/>
      <name val="Arial"/>
    </font>
    <font>
      <sz val="11.0"/>
      <color theme="0"/>
      <name val="Arial"/>
    </font>
    <font>
      <sz val="11.0"/>
      <color rgb="FFC00000"/>
      <name val="Arial"/>
    </font>
    <font>
      <b/>
      <sz val="11.0"/>
      <color theme="1"/>
      <name val="Arial"/>
    </font>
    <font>
      <b/>
      <sz val="11.0"/>
      <color theme="0"/>
      <name val="Arial"/>
    </font>
    <font>
      <b/>
      <sz val="10.0"/>
      <color theme="0"/>
      <name val="Calibri"/>
    </font>
    <font>
      <sz val="10.0"/>
      <color theme="0"/>
      <name val="Calibri"/>
    </font>
    <font/>
    <font>
      <sz val="10.0"/>
      <color theme="1"/>
      <name val="Calibri"/>
    </font>
    <font>
      <b/>
      <sz val="10.0"/>
      <color theme="1"/>
      <name val="Calibri"/>
    </font>
    <font>
      <b/>
      <sz val="18.0"/>
      <color theme="1"/>
      <name val="Calibri"/>
    </font>
    <font>
      <sz val="12.0"/>
      <color theme="1"/>
      <name val="Calibri"/>
    </font>
  </fonts>
  <fills count="10">
    <fill>
      <patternFill patternType="none"/>
    </fill>
    <fill>
      <patternFill patternType="lightGray"/>
    </fill>
    <fill>
      <patternFill patternType="solid">
        <fgColor rgb="FFBFBFBF"/>
        <bgColor rgb="FFBFBFBF"/>
      </patternFill>
    </fill>
    <fill>
      <patternFill patternType="solid">
        <fgColor theme="0"/>
        <bgColor theme="0"/>
      </patternFill>
    </fill>
    <fill>
      <patternFill patternType="solid">
        <fgColor rgb="FF2E75B5"/>
        <bgColor rgb="FF2E75B5"/>
      </patternFill>
    </fill>
    <fill>
      <patternFill patternType="solid">
        <fgColor rgb="FFEAEDF1"/>
        <bgColor rgb="FFEAEDF1"/>
      </patternFill>
    </fill>
    <fill>
      <patternFill patternType="solid">
        <fgColor rgb="FFCBD3DE"/>
        <bgColor rgb="FFCBD3DE"/>
      </patternFill>
    </fill>
    <fill>
      <patternFill patternType="solid">
        <fgColor rgb="FFF2F2F2"/>
        <bgColor rgb="FFF2F2F2"/>
      </patternFill>
    </fill>
    <fill>
      <patternFill patternType="solid">
        <fgColor rgb="FF98A8BD"/>
        <bgColor rgb="FF98A8BD"/>
      </patternFill>
    </fill>
    <fill>
      <patternFill patternType="solid">
        <fgColor rgb="FFFFFF00"/>
        <bgColor rgb="FFFFFF00"/>
      </patternFill>
    </fill>
  </fills>
  <borders count="30">
    <border/>
    <border>
      <left/>
      <right/>
      <top/>
      <bottom/>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right/>
      <top style="thin">
        <color rgb="FF000000"/>
      </top>
    </border>
    <border>
      <left/>
      <right style="thin">
        <color rgb="FF000000"/>
      </right>
      <top style="thin">
        <color rgb="FF000000"/>
      </top>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bottom style="thin">
        <color rgb="FF000000"/>
      </bottom>
    </border>
    <border>
      <left/>
      <right style="thin">
        <color rgb="FF000000"/>
      </right>
      <bottom style="thin">
        <color rgb="FF000000"/>
      </bottom>
    </border>
    <border>
      <left style="thin">
        <color rgb="FF000000"/>
      </left>
      <right style="thin">
        <color rgb="FF000000"/>
      </right>
      <top/>
      <bottom/>
    </border>
    <border>
      <left style="thin">
        <color rgb="FF000000"/>
      </left>
      <right style="thin">
        <color rgb="FF000000"/>
      </right>
      <top/>
      <bottom style="thin">
        <color rgb="FF000000"/>
      </bottom>
    </border>
    <border>
      <left/>
      <right/>
      <top/>
      <bottom style="thin">
        <color rgb="FF000000"/>
      </bottom>
    </border>
    <border>
      <left style="thin">
        <color rgb="FF000000"/>
      </left>
      <right style="thin">
        <color rgb="FF000000"/>
      </right>
      <top style="thin">
        <color rgb="FF000000"/>
      </top>
      <bottom/>
    </border>
    <border>
      <left/>
      <right style="thin">
        <color rgb="FF000000"/>
      </right>
      <top style="thin">
        <color rgb="FF000000"/>
      </top>
      <bottom/>
    </border>
    <border>
      <left/>
      <right/>
      <top style="thin">
        <color rgb="FF000000"/>
      </top>
      <bottom/>
    </border>
    <border>
      <left/>
      <right style="thin">
        <color rgb="FF000000"/>
      </right>
      <top/>
      <bottom/>
    </border>
    <border>
      <left/>
      <right style="thin">
        <color rgb="FF000000"/>
      </right>
      <top/>
      <bottom style="thin">
        <color rgb="FF000000"/>
      </bottom>
    </border>
    <border>
      <left/>
      <right style="thin">
        <color rgb="FF000000"/>
      </right>
      <top style="thin">
        <color rgb="FF000000"/>
      </top>
      <bottom style="thin">
        <color rgb="FF000000"/>
      </bottom>
    </border>
    <border>
      <top style="thin">
        <color rgb="FF000000"/>
      </top>
      <bottom style="thin">
        <color rgb="FF000000"/>
      </bottom>
    </border>
    <border>
      <left style="thin">
        <color rgb="FF000000"/>
      </left>
      <right/>
      <top style="thin">
        <color rgb="FF000000"/>
      </top>
      <bottom/>
    </border>
    <border>
      <left style="thin">
        <color rgb="FF000000"/>
      </left>
      <right/>
      <top/>
      <bottom style="thin">
        <color rgb="FF000000"/>
      </bottom>
    </border>
    <border>
      <left style="thin">
        <color rgb="FFD0CECE"/>
      </left>
      <right style="thin">
        <color rgb="FFD0CECE"/>
      </right>
      <top style="thin">
        <color rgb="FFD0CECE"/>
      </top>
      <bottom style="thin">
        <color rgb="FFD0CECE"/>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2" numFmtId="0" xfId="0" applyFont="1"/>
    <xf borderId="0" fillId="0" fontId="3" numFmtId="0" xfId="0" applyAlignment="1" applyFont="1">
      <alignment horizontal="left"/>
    </xf>
    <xf borderId="0" fillId="0" fontId="4" numFmtId="0" xfId="0" applyFont="1"/>
    <xf borderId="0" fillId="0" fontId="3" numFmtId="164" xfId="0" applyFont="1" applyNumberFormat="1"/>
    <xf borderId="0" fillId="0" fontId="3" numFmtId="0" xfId="0" applyAlignment="1" applyFont="1">
      <alignment horizontal="right"/>
    </xf>
    <xf borderId="0" fillId="0" fontId="3" numFmtId="11" xfId="0" applyFont="1" applyNumberFormat="1"/>
    <xf borderId="2" fillId="0" fontId="3" numFmtId="0" xfId="0" applyBorder="1" applyFont="1"/>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quotePrefix="1" borderId="0" fillId="0" fontId="3" numFmtId="0" xfId="0" applyFont="1"/>
    <xf borderId="7" fillId="0" fontId="3" numFmtId="9" xfId="0" applyBorder="1" applyFont="1" applyNumberFormat="1"/>
    <xf borderId="8" fillId="0" fontId="3" numFmtId="9" xfId="0" applyBorder="1" applyFont="1" applyNumberFormat="1"/>
    <xf borderId="0" fillId="0" fontId="3" numFmtId="9" xfId="0" applyFont="1" applyNumberFormat="1"/>
    <xf borderId="9" fillId="0" fontId="3" numFmtId="9" xfId="0" applyBorder="1" applyFont="1" applyNumberFormat="1"/>
    <xf borderId="0" fillId="0" fontId="5" numFmtId="0" xfId="0" applyAlignment="1" applyFont="1">
      <alignment vertical="center"/>
    </xf>
    <xf borderId="0" fillId="0" fontId="6" numFmtId="0" xfId="0" applyAlignment="1" applyFont="1">
      <alignment horizontal="left"/>
    </xf>
    <xf borderId="0" fillId="0" fontId="7" numFmtId="0" xfId="0" applyAlignment="1" applyFont="1">
      <alignment horizontal="right"/>
    </xf>
    <xf borderId="0" fillId="0" fontId="8" numFmtId="0" xfId="0" applyFont="1"/>
    <xf borderId="0" fillId="0" fontId="6" numFmtId="0" xfId="0" applyFont="1"/>
    <xf borderId="0" fillId="0" fontId="9" numFmtId="0" xfId="0" applyFont="1"/>
    <xf borderId="0" fillId="0" fontId="7" numFmtId="165" xfId="0" applyAlignment="1" applyFont="1" applyNumberFormat="1">
      <alignment horizontal="left" vertical="center"/>
    </xf>
    <xf borderId="1" fillId="3" fontId="7" numFmtId="0" xfId="0" applyAlignment="1" applyBorder="1" applyFill="1" applyFont="1">
      <alignment horizontal="right"/>
    </xf>
    <xf borderId="0" fillId="0" fontId="10" numFmtId="0" xfId="0" applyFont="1"/>
    <xf borderId="0" fillId="0" fontId="7" numFmtId="0" xfId="0" applyFont="1"/>
    <xf borderId="0" fillId="0" fontId="7" numFmtId="166" xfId="0" applyFont="1" applyNumberFormat="1"/>
    <xf borderId="0" fillId="0" fontId="7" numFmtId="0" xfId="0" applyAlignment="1" applyFont="1">
      <alignment horizontal="center"/>
    </xf>
    <xf borderId="0" fillId="0" fontId="7" numFmtId="0" xfId="0" applyAlignment="1" applyFont="1">
      <alignment horizontal="center" vertical="center"/>
    </xf>
    <xf borderId="0" fillId="0" fontId="9" numFmtId="0" xfId="0" applyAlignment="1" applyFont="1">
      <alignment horizontal="center"/>
    </xf>
    <xf borderId="0" fillId="0" fontId="6" numFmtId="0" xfId="0" applyAlignment="1" applyFont="1">
      <alignment horizontal="center"/>
    </xf>
    <xf borderId="0" fillId="0" fontId="6" numFmtId="165" xfId="0" applyAlignment="1" applyFont="1" applyNumberFormat="1">
      <alignment horizontal="center"/>
    </xf>
    <xf borderId="10" fillId="4" fontId="11" numFmtId="0" xfId="0" applyAlignment="1" applyBorder="1" applyFill="1" applyFont="1">
      <alignment horizontal="center" vertical="center"/>
    </xf>
    <xf borderId="11" fillId="4" fontId="11" numFmtId="0" xfId="0" applyAlignment="1" applyBorder="1" applyFont="1">
      <alignment horizontal="center" vertical="center"/>
    </xf>
    <xf borderId="12" fillId="4" fontId="12" numFmtId="49" xfId="0" applyAlignment="1" applyBorder="1" applyFont="1" applyNumberFormat="1">
      <alignment horizontal="center" vertical="center"/>
    </xf>
    <xf borderId="13" fillId="4" fontId="12" numFmtId="49" xfId="0" applyAlignment="1" applyBorder="1" applyFont="1" applyNumberFormat="1">
      <alignment horizontal="center" vertical="center"/>
    </xf>
    <xf borderId="14" fillId="4" fontId="11" numFmtId="49" xfId="0" applyAlignment="1" applyBorder="1" applyFont="1" applyNumberFormat="1">
      <alignment horizontal="center" vertical="center"/>
    </xf>
    <xf borderId="14" fillId="4" fontId="12" numFmtId="49" xfId="0" applyAlignment="1" applyBorder="1" applyFont="1" applyNumberFormat="1">
      <alignment horizontal="center" vertical="center"/>
    </xf>
    <xf borderId="14" fillId="4" fontId="12" numFmtId="0" xfId="0" applyAlignment="1" applyBorder="1" applyFont="1">
      <alignment horizontal="center" vertical="center"/>
    </xf>
    <xf borderId="13" fillId="4" fontId="12" numFmtId="0" xfId="0" applyAlignment="1" applyBorder="1" applyFont="1">
      <alignment horizontal="center" vertical="center"/>
    </xf>
    <xf borderId="14" fillId="4" fontId="11" numFmtId="0" xfId="0" applyAlignment="1" applyBorder="1" applyFont="1">
      <alignment horizontal="center" vertical="center"/>
    </xf>
    <xf borderId="15" fillId="0" fontId="13" numFmtId="0" xfId="0" applyBorder="1" applyFont="1"/>
    <xf borderId="16" fillId="0" fontId="13" numFmtId="0" xfId="0" applyBorder="1" applyFont="1"/>
    <xf borderId="1" fillId="4" fontId="12" numFmtId="0" xfId="0" applyAlignment="1" applyBorder="1" applyFont="1">
      <alignment horizontal="center" shrinkToFit="0" vertical="center" wrapText="1"/>
    </xf>
    <xf borderId="17" fillId="4" fontId="11" numFmtId="0" xfId="0" applyAlignment="1" applyBorder="1" applyFont="1">
      <alignment horizontal="center" shrinkToFit="0" vertical="center" wrapText="1"/>
    </xf>
    <xf borderId="17" fillId="4" fontId="12" numFmtId="0" xfId="0" applyAlignment="1" applyBorder="1" applyFont="1">
      <alignment horizontal="center" shrinkToFit="0" vertical="center" wrapText="1"/>
    </xf>
    <xf borderId="18" fillId="4" fontId="12" numFmtId="0" xfId="0" applyAlignment="1" applyBorder="1" applyFont="1">
      <alignment horizontal="center" shrinkToFit="0" vertical="center" wrapText="1"/>
    </xf>
    <xf borderId="19" fillId="4" fontId="12" numFmtId="0" xfId="0" applyAlignment="1" applyBorder="1" applyFont="1">
      <alignment horizontal="center" shrinkToFit="0" vertical="center" wrapText="1"/>
    </xf>
    <xf borderId="18" fillId="4" fontId="11" numFmtId="0" xfId="0" applyAlignment="1" applyBorder="1" applyFont="1">
      <alignment horizontal="center" shrinkToFit="0" vertical="center" wrapText="1"/>
    </xf>
    <xf borderId="20" fillId="4" fontId="12" numFmtId="49" xfId="0" applyAlignment="1" applyBorder="1" applyFont="1" applyNumberFormat="1">
      <alignment horizontal="center"/>
    </xf>
    <xf borderId="21" fillId="4" fontId="12" numFmtId="0" xfId="0" applyBorder="1" applyFont="1"/>
    <xf borderId="22" fillId="5" fontId="14" numFmtId="166" xfId="0" applyAlignment="1" applyBorder="1" applyFill="1" applyFont="1" applyNumberFormat="1">
      <alignment horizontal="right"/>
    </xf>
    <xf borderId="20" fillId="6" fontId="15" numFmtId="166" xfId="0" applyAlignment="1" applyBorder="1" applyFill="1" applyFont="1" applyNumberFormat="1">
      <alignment horizontal="right"/>
    </xf>
    <xf borderId="20" fillId="7" fontId="14" numFmtId="166" xfId="0" applyAlignment="1" applyBorder="1" applyFill="1" applyFont="1" applyNumberFormat="1">
      <alignment horizontal="right"/>
    </xf>
    <xf borderId="22" fillId="7" fontId="14" numFmtId="166" xfId="0" applyAlignment="1" applyBorder="1" applyFont="1" applyNumberFormat="1">
      <alignment horizontal="right"/>
    </xf>
    <xf borderId="20" fillId="8" fontId="15" numFmtId="166" xfId="0" applyAlignment="1" applyBorder="1" applyFill="1" applyFont="1" applyNumberFormat="1">
      <alignment horizontal="right"/>
    </xf>
    <xf borderId="4" fillId="0" fontId="14" numFmtId="166" xfId="0" applyAlignment="1" applyBorder="1" applyFont="1" applyNumberFormat="1">
      <alignment horizontal="right"/>
    </xf>
    <xf borderId="17" fillId="4" fontId="12" numFmtId="49" xfId="0" applyAlignment="1" applyBorder="1" applyFont="1" applyNumberFormat="1">
      <alignment horizontal="center"/>
    </xf>
    <xf borderId="23" fillId="4" fontId="12" numFmtId="0" xfId="0" applyBorder="1" applyFont="1"/>
    <xf borderId="1" fillId="5" fontId="14" numFmtId="166" xfId="0" applyAlignment="1" applyBorder="1" applyFont="1" applyNumberFormat="1">
      <alignment horizontal="right"/>
    </xf>
    <xf borderId="17" fillId="6" fontId="15" numFmtId="166" xfId="0" applyAlignment="1" applyBorder="1" applyFont="1" applyNumberFormat="1">
      <alignment horizontal="right"/>
    </xf>
    <xf borderId="17" fillId="7" fontId="14" numFmtId="166" xfId="0" applyAlignment="1" applyBorder="1" applyFont="1" applyNumberFormat="1">
      <alignment horizontal="right"/>
    </xf>
    <xf borderId="1" fillId="7" fontId="14" numFmtId="166" xfId="0" applyAlignment="1" applyBorder="1" applyFont="1" applyNumberFormat="1">
      <alignment horizontal="right"/>
    </xf>
    <xf borderId="17" fillId="8" fontId="15" numFmtId="166" xfId="0" applyAlignment="1" applyBorder="1" applyFont="1" applyNumberFormat="1">
      <alignment horizontal="right"/>
    </xf>
    <xf borderId="0" fillId="0" fontId="14" numFmtId="166" xfId="0" applyAlignment="1" applyFont="1" applyNumberFormat="1">
      <alignment horizontal="right"/>
    </xf>
    <xf borderId="18" fillId="4" fontId="12" numFmtId="49" xfId="0" applyAlignment="1" applyBorder="1" applyFont="1" applyNumberFormat="1">
      <alignment horizontal="center"/>
    </xf>
    <xf borderId="24" fillId="4" fontId="12" numFmtId="0" xfId="0" applyBorder="1" applyFont="1"/>
    <xf borderId="19" fillId="5" fontId="14" numFmtId="166" xfId="0" applyAlignment="1" applyBorder="1" applyFont="1" applyNumberFormat="1">
      <alignment horizontal="right"/>
    </xf>
    <xf borderId="18" fillId="6" fontId="15" numFmtId="166" xfId="0" applyAlignment="1" applyBorder="1" applyFont="1" applyNumberFormat="1">
      <alignment horizontal="right"/>
    </xf>
    <xf borderId="18" fillId="7" fontId="14" numFmtId="166" xfId="0" applyAlignment="1" applyBorder="1" applyFont="1" applyNumberFormat="1">
      <alignment horizontal="right"/>
    </xf>
    <xf borderId="19" fillId="7" fontId="14" numFmtId="166" xfId="0" applyAlignment="1" applyBorder="1" applyFont="1" applyNumberFormat="1">
      <alignment horizontal="right"/>
    </xf>
    <xf borderId="18" fillId="8" fontId="15" numFmtId="166" xfId="0" applyAlignment="1" applyBorder="1" applyFont="1" applyNumberFormat="1">
      <alignment horizontal="right"/>
    </xf>
    <xf borderId="9" fillId="0" fontId="14" numFmtId="166" xfId="0" applyAlignment="1" applyBorder="1" applyFont="1" applyNumberFormat="1">
      <alignment horizontal="right"/>
    </xf>
    <xf borderId="14" fillId="4" fontId="12" numFmtId="49" xfId="0" applyAlignment="1" applyBorder="1" applyFont="1" applyNumberFormat="1">
      <alignment horizontal="center"/>
    </xf>
    <xf borderId="25" fillId="4" fontId="12" numFmtId="0" xfId="0" applyBorder="1" applyFont="1"/>
    <xf borderId="26" fillId="0" fontId="14" numFmtId="166" xfId="0" applyAlignment="1" applyBorder="1" applyFont="1" applyNumberFormat="1">
      <alignment horizontal="right"/>
    </xf>
    <xf borderId="14" fillId="7" fontId="15" numFmtId="166" xfId="0" applyAlignment="1" applyBorder="1" applyFont="1" applyNumberFormat="1">
      <alignment horizontal="right"/>
    </xf>
    <xf borderId="14" fillId="7" fontId="14" numFmtId="166" xfId="0" applyAlignment="1" applyBorder="1" applyFont="1" applyNumberFormat="1">
      <alignment horizontal="right"/>
    </xf>
    <xf borderId="13" fillId="7" fontId="14" numFmtId="166" xfId="0" applyAlignment="1" applyBorder="1" applyFont="1" applyNumberFormat="1">
      <alignment horizontal="right"/>
    </xf>
    <xf borderId="14" fillId="0" fontId="15" numFmtId="166" xfId="0" applyAlignment="1" applyBorder="1" applyFont="1" applyNumberFormat="1">
      <alignment horizontal="right"/>
    </xf>
    <xf borderId="18" fillId="4" fontId="11" numFmtId="49" xfId="0" applyAlignment="1" applyBorder="1" applyFont="1" applyNumberFormat="1">
      <alignment horizontal="center"/>
    </xf>
    <xf borderId="24" fillId="4" fontId="11" numFmtId="0" xfId="0" applyBorder="1" applyFont="1"/>
    <xf borderId="19" fillId="6" fontId="15" numFmtId="166" xfId="0" applyAlignment="1" applyBorder="1" applyFont="1" applyNumberFormat="1">
      <alignment horizontal="right"/>
    </xf>
    <xf borderId="1" fillId="6" fontId="15" numFmtId="166" xfId="0" applyAlignment="1" applyBorder="1" applyFont="1" applyNumberFormat="1">
      <alignment horizontal="right"/>
    </xf>
    <xf borderId="17" fillId="6" fontId="15" numFmtId="165" xfId="0" applyAlignment="1" applyBorder="1" applyFont="1" applyNumberFormat="1">
      <alignment horizontal="right"/>
    </xf>
    <xf borderId="22" fillId="6" fontId="14" numFmtId="166" xfId="0" applyAlignment="1" applyBorder="1" applyFont="1" applyNumberFormat="1">
      <alignment horizontal="right"/>
    </xf>
    <xf borderId="27" fillId="6" fontId="15" numFmtId="166" xfId="0" applyAlignment="1" applyBorder="1" applyFont="1" applyNumberFormat="1">
      <alignment horizontal="right"/>
    </xf>
    <xf borderId="22" fillId="6" fontId="15" numFmtId="166" xfId="0" applyAlignment="1" applyBorder="1" applyFont="1" applyNumberFormat="1">
      <alignment horizontal="right"/>
    </xf>
    <xf borderId="21" fillId="6" fontId="15" numFmtId="166" xfId="0" applyAlignment="1" applyBorder="1" applyFont="1" applyNumberFormat="1">
      <alignment horizontal="right"/>
    </xf>
    <xf borderId="19" fillId="6" fontId="14" numFmtId="166" xfId="0" applyAlignment="1" applyBorder="1" applyFont="1" applyNumberFormat="1">
      <alignment horizontal="right"/>
    </xf>
    <xf borderId="28" fillId="6" fontId="15" numFmtId="166" xfId="0" applyAlignment="1" applyBorder="1" applyFont="1" applyNumberFormat="1">
      <alignment horizontal="right"/>
    </xf>
    <xf borderId="24" fillId="6" fontId="15" numFmtId="166" xfId="0" applyAlignment="1" applyBorder="1" applyFont="1" applyNumberFormat="1">
      <alignment horizontal="right"/>
    </xf>
    <xf borderId="0" fillId="0" fontId="15" numFmtId="0" xfId="0" applyAlignment="1" applyFont="1">
      <alignment horizontal="right"/>
    </xf>
    <xf borderId="0" fillId="0" fontId="14" numFmtId="0" xfId="0" applyAlignment="1" applyFont="1">
      <alignment horizontal="right"/>
    </xf>
    <xf borderId="0" fillId="0" fontId="14" numFmtId="165" xfId="0" applyAlignment="1" applyFont="1" applyNumberFormat="1">
      <alignment horizontal="right"/>
    </xf>
    <xf borderId="14" fillId="4" fontId="11" numFmtId="49" xfId="0" applyAlignment="1" applyBorder="1" applyFont="1" applyNumberFormat="1">
      <alignment horizontal="center"/>
    </xf>
    <xf borderId="25" fillId="4" fontId="11" numFmtId="0" xfId="0" applyBorder="1" applyFont="1"/>
    <xf borderId="13" fillId="6" fontId="15" numFmtId="166" xfId="0" applyAlignment="1" applyBorder="1" applyFont="1" applyNumberFormat="1">
      <alignment horizontal="right"/>
    </xf>
    <xf borderId="14" fillId="6" fontId="15" numFmtId="166" xfId="0" applyAlignment="1" applyBorder="1" applyFont="1" applyNumberFormat="1">
      <alignment horizontal="right"/>
    </xf>
    <xf borderId="0" fillId="0" fontId="16" numFmtId="0" xfId="0" applyFont="1"/>
    <xf borderId="0" fillId="0" fontId="3" numFmtId="166" xfId="0" applyFont="1" applyNumberFormat="1"/>
    <xf borderId="0" fillId="0" fontId="1" numFmtId="0" xfId="0" applyAlignment="1" applyFont="1">
      <alignment vertical="top"/>
    </xf>
    <xf borderId="0" fillId="0" fontId="1" numFmtId="0" xfId="0" applyAlignment="1" applyFont="1">
      <alignment shrinkToFit="0" vertical="top" wrapText="1"/>
    </xf>
    <xf borderId="0" fillId="0" fontId="15" numFmtId="166" xfId="0" applyAlignment="1" applyFont="1" applyNumberFormat="1">
      <alignment horizontal="right"/>
    </xf>
    <xf borderId="0" fillId="0" fontId="3" numFmtId="0" xfId="0" applyAlignment="1" applyFont="1">
      <alignment vertical="top"/>
    </xf>
    <xf borderId="29" fillId="3" fontId="3" numFmtId="0" xfId="0" applyAlignment="1" applyBorder="1" applyFont="1">
      <alignment horizontal="left" shrinkToFit="0" vertical="top" wrapText="1"/>
    </xf>
    <xf borderId="0" fillId="0" fontId="3" numFmtId="0" xfId="0" applyAlignment="1" applyFont="1">
      <alignment shrinkToFit="0" vertical="top" wrapText="1"/>
    </xf>
    <xf borderId="0" fillId="0" fontId="3" numFmtId="166" xfId="0" applyAlignment="1" applyFont="1" applyNumberFormat="1">
      <alignment vertical="top"/>
    </xf>
    <xf borderId="1" fillId="9" fontId="3" numFmtId="0" xfId="0" applyBorder="1" applyFill="1" applyFont="1"/>
    <xf borderId="29" fillId="3" fontId="3" numFmtId="0" xfId="0" applyAlignment="1" applyBorder="1" applyFont="1">
      <alignment horizontal="left" vertical="top"/>
    </xf>
    <xf borderId="0" fillId="0" fontId="3" numFmtId="11" xfId="0" applyAlignment="1" applyFont="1" applyNumberFormat="1">
      <alignment vertical="top"/>
    </xf>
    <xf borderId="29" fillId="3" fontId="17" numFmtId="0" xfId="0" applyAlignment="1" applyBorder="1" applyFont="1">
      <alignment vertical="top"/>
    </xf>
    <xf borderId="29" fillId="3" fontId="17" numFmtId="0" xfId="0" applyAlignment="1" applyBorder="1" applyFont="1">
      <alignment horizontal="left" vertical="top"/>
    </xf>
    <xf borderId="0" fillId="0" fontId="3" numFmtId="2" xfId="0" applyFont="1" applyNumberFormat="1"/>
    <xf borderId="17" fillId="8" fontId="15" numFmtId="0" xfId="0" applyAlignment="1" applyBorder="1" applyFont="1">
      <alignment horizontal="right"/>
    </xf>
    <xf borderId="18" fillId="6" fontId="15" numFmtId="0" xfId="0" applyAlignment="1" applyBorder="1" applyFont="1">
      <alignment horizontal="right"/>
    </xf>
    <xf borderId="0" fillId="0" fontId="6" numFmtId="165" xfId="0" applyFont="1" applyNumberFormat="1"/>
    <xf borderId="0" fillId="0" fontId="1" numFmtId="11" xfId="0" applyFont="1" applyNumberFormat="1"/>
    <xf borderId="0" fillId="0" fontId="3" numFmtId="11" xfId="0" applyAlignment="1" applyFont="1" applyNumberFormat="1">
      <alignment horizontal="right"/>
    </xf>
    <xf borderId="0" fillId="0" fontId="3" numFmtId="167" xfId="0" applyFont="1" applyNumberFormat="1"/>
  </cellXfs>
  <cellStyles count="1">
    <cellStyle xfId="0" name="Normal" builtinId="0"/>
  </cellStyles>
  <dxfs count="1">
    <dxf>
      <font/>
      <numFmt numFmtId="0" formatCode="#,##0"/>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3" Type="http://schemas.openxmlformats.org/officeDocument/2006/relationships/externalLink" Target="externalLinks/externalLink4.xml"/><Relationship Id="rId12" Type="http://schemas.openxmlformats.org/officeDocument/2006/relationships/externalLink" Target="externalLinks/externalLink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externalLink" Target="externalLinks/externalLink5.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microsoft.com/office/2006/relationships/xlExternalLinkPath/xlPathMissing" Target="8.%20ALL_structur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9JB/Downloads/.ptmp414824/HS%202012%20to%20HS%202007%20Correlation%20and%20conversion%20tabl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Z:/WIOT/IO%20Indicators/By%20Economy/HKG/HKG_Internal%20Linkage.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Classification_correspondence%20tabl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G:/ERDI-TA/WIOT/IO%20Indicators/By%20Region/South%20Asia/BAN/BAN%20Section%202.3%20to%203%20-%20values.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PCv1.0"/>
      <sheetName val="CPCv1.1"/>
      <sheetName val="COICOP"/>
      <sheetName val="COFOG"/>
      <sheetName val="COPNI"/>
      <sheetName val="CPA"/>
      <sheetName val="ISICrev3"/>
      <sheetName val="ISICrev3.1"/>
      <sheetName val="ICP"/>
      <sheetName val="ICP_CORRESPONDENCE"/>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orrelation HS2012-HS2007"/>
      <sheetName val="HS12-HS07"/>
      <sheetName val="HS07-BEC"/>
    </sheetNames>
    <sheetDataSet>
      <sheetData sheetId="0"/>
      <sheetData sheetId="1" refreshError="1"/>
      <sheetData sheetId="2"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hecklist"/>
      <sheetName val="append"/>
      <sheetName val="Internal Linkage"/>
      <sheetName val="Table1.1"/>
      <sheetName val="Table1.2"/>
      <sheetName val="Table1.3"/>
      <sheetName val="Table2.1"/>
      <sheetName val="Table2.2"/>
      <sheetName val="Fig2.1"/>
      <sheetName val="Fig2.2a"/>
      <sheetName val="Fig2.2b"/>
      <sheetName val="35-sector"/>
      <sheetName val="2000"/>
      <sheetName val="2010"/>
      <sheetName val="2011"/>
      <sheetName val="2012"/>
      <sheetName val="2013"/>
      <sheetName val="2014"/>
      <sheetName val="2015"/>
      <sheetName val="2016"/>
      <sheetName val="2017"/>
      <sheetName val="m1-3legend"/>
      <sheetName val="InterData"/>
      <sheetName val="5-sector"/>
      <sheetName val="Summary"/>
      <sheetName val="country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OFOG_ISIC3.1"/>
      <sheetName val="ISIC3.1_CPC1.1"/>
      <sheetName val="COFOG_ISIC3.1_CPC1.1"/>
      <sheetName val="Sheet7"/>
      <sheetName val="COICOP_CPC1.0_CPC1.1"/>
      <sheetName val="Sheet6"/>
      <sheetName val="Sheet5"/>
      <sheetName val="Sheet4"/>
      <sheetName val="HS02_CPC1.1_SITC3_ISIC3.1 (2)"/>
      <sheetName val="HS02_CPC1.1_SITC3_ISIC3.1"/>
      <sheetName val="CPC1.1_CPC1.0"/>
      <sheetName val="CPC1.0_CPC1.1"/>
      <sheetName val="sheet"/>
      <sheetName val="ISIC3.0_ISIC3.1"/>
      <sheetName val="ICP_COICOP"/>
      <sheetName val="COICOP_CPC"/>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2000"/>
      <sheetName val="2010"/>
      <sheetName val="2011"/>
      <sheetName val="2012"/>
      <sheetName val="2013"/>
      <sheetName val="2014"/>
      <sheetName val="2015"/>
      <sheetName val="2016"/>
      <sheetName val="2017"/>
      <sheetName val="sectors"/>
      <sheetName val="35-sector"/>
      <sheetName val="13-sector VAX_G_2010"/>
      <sheetName val="13-sector VAX_G_2011"/>
      <sheetName val="13-sector VAX_G_2012"/>
      <sheetName val="13-sector VAX_G_2013"/>
      <sheetName val="13-sector VAX_G_2014"/>
      <sheetName val="13-sector VAX_G_2015"/>
      <sheetName val="13-sector VAX_G_2016"/>
      <sheetName val="13-sector VAX_G_2017"/>
      <sheetName val="Countries_RCA_VAX_G"/>
      <sheetName val="RCA_VAX_G_All countries"/>
      <sheetName val="By country_RCA_VAX_G"/>
      <sheetName val="Colors"/>
      <sheetName val="HE select"/>
      <sheetName val="Fig. 1.2.3"/>
      <sheetName val="Fig. 1.2.3.a"/>
      <sheetName val="Fig. 1.2.3.b."/>
      <sheetName val="Fig. 1.2.4."/>
      <sheetName val="Fig. 1.2.4.a"/>
      <sheetName val="Fig. 1.2.4.b"/>
      <sheetName val="Fig. 1.3.1"/>
      <sheetName val="Fig 1.3.2"/>
      <sheetName val="Fig. 1.3.3"/>
      <sheetName val="Fig. 1.3.4"/>
      <sheetName val="Fig. 1.3.5"/>
      <sheetName val="Fig. 1.3.6"/>
      <sheetName val="Fig. 1.3.7"/>
      <sheetName val="Fig. 1.3.8"/>
      <sheetName val="Fig. 1.3.9"/>
      <sheetName val="Fig. 1.3.10"/>
      <sheetName val="Fig. 1.3.11"/>
      <sheetName val="Fig. 1.3.12"/>
      <sheetName val="Fig. 1.3.13"/>
      <sheetName val="Table 1.3.1"/>
      <sheetName val="Table 1.3.2"/>
      <sheetName val="Table 1.3.3"/>
      <sheetName val="Table 1.3.4"/>
      <sheetName val="Table 1.3.5"/>
      <sheetName val="Fig. 1.3.14"/>
      <sheetName val="Table 1.3.6"/>
      <sheetName val="Fig. 1.3.15"/>
      <sheetName val="Table 1.3.7"/>
      <sheetName val="countrycode"/>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bps.go.id/en/statistics-table/1/MjI3NCMx/indonesia-input-output-table-total-transactions-based-on-purchaser-prices--185-products---2020--million-rupiah-.html"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14"/>
    <col customWidth="1" min="2" max="2" width="77.43"/>
    <col customWidth="1" min="3" max="26" width="8.86"/>
  </cols>
  <sheetData>
    <row r="1">
      <c r="A1" s="1" t="s">
        <v>0</v>
      </c>
    </row>
    <row r="3">
      <c r="A3" s="1" t="s">
        <v>1</v>
      </c>
      <c r="B3" s="2" t="s">
        <v>2</v>
      </c>
    </row>
    <row r="4">
      <c r="B4" s="3" t="s">
        <v>3</v>
      </c>
    </row>
    <row r="5">
      <c r="B5" s="4">
        <v>2020.0</v>
      </c>
    </row>
    <row r="6">
      <c r="B6" s="3" t="s">
        <v>4</v>
      </c>
    </row>
    <row r="7">
      <c r="B7" s="5" t="s">
        <v>5</v>
      </c>
    </row>
    <row r="16">
      <c r="A16" s="5"/>
    </row>
    <row r="18">
      <c r="A18" s="3" t="s">
        <v>6</v>
      </c>
    </row>
    <row r="19">
      <c r="A19" s="6">
        <v>0.96</v>
      </c>
      <c r="B19" s="3" t="s">
        <v>7</v>
      </c>
    </row>
    <row r="20">
      <c r="A20" s="7">
        <v>7.074E-5</v>
      </c>
      <c r="B20" s="3" t="s">
        <v>8</v>
      </c>
    </row>
    <row r="21" ht="15.75" customHeight="1">
      <c r="A21" s="8">
        <v>1000000.0</v>
      </c>
      <c r="B21" s="3" t="s">
        <v>9</v>
      </c>
    </row>
    <row r="22" ht="15.75" customHeight="1">
      <c r="A22" s="8"/>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B7"/>
  </hyperlinks>
  <printOptions/>
  <pageMargins bottom="0.75" footer="0.0" header="0.0" left="0.7" right="0.7" top="0.75"/>
  <pageSetup orientation="portrait"/>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2.14"/>
    <col customWidth="1" min="3" max="26" width="10.71"/>
  </cols>
  <sheetData>
    <row r="1">
      <c r="A1" s="3" t="s">
        <v>10</v>
      </c>
    </row>
    <row r="2">
      <c r="A2" s="3" t="s">
        <v>11</v>
      </c>
    </row>
    <row r="4">
      <c r="B4" s="9" t="s">
        <v>12</v>
      </c>
      <c r="C4" s="10" t="s">
        <v>13</v>
      </c>
      <c r="D4" s="9" t="s">
        <v>14</v>
      </c>
      <c r="E4" s="10" t="s">
        <v>15</v>
      </c>
      <c r="F4" s="9" t="s">
        <v>16</v>
      </c>
      <c r="G4" s="10" t="s">
        <v>17</v>
      </c>
      <c r="H4" s="9" t="s">
        <v>18</v>
      </c>
      <c r="I4" s="11" t="s">
        <v>19</v>
      </c>
      <c r="J4" s="9" t="s">
        <v>20</v>
      </c>
      <c r="K4" s="11" t="s">
        <v>21</v>
      </c>
      <c r="L4" s="10"/>
    </row>
    <row r="5">
      <c r="B5" s="12">
        <v>11203.611610220885</v>
      </c>
      <c r="C5" s="13">
        <v>17243.670354804537</v>
      </c>
      <c r="F5" s="12">
        <v>1514.0944694404857</v>
      </c>
      <c r="G5" s="13">
        <v>2652.148885568695</v>
      </c>
      <c r="H5" s="12">
        <v>819.3470562229305</v>
      </c>
      <c r="I5" s="3">
        <v>1118.0587809035956</v>
      </c>
      <c r="J5" s="12">
        <v>10165.967247923987</v>
      </c>
      <c r="K5" s="3">
        <v>219.22806415188646</v>
      </c>
      <c r="L5" s="13"/>
    </row>
    <row r="6">
      <c r="A6" s="14" t="s">
        <v>22</v>
      </c>
      <c r="B6" s="15">
        <v>0.3938376827703677</v>
      </c>
      <c r="C6" s="16">
        <v>0.6061623172296322</v>
      </c>
      <c r="D6" s="17">
        <v>0.73</v>
      </c>
      <c r="E6" s="17">
        <v>0.27</v>
      </c>
      <c r="F6" s="15">
        <v>0.36341959420590525</v>
      </c>
      <c r="G6" s="16">
        <v>0.6365804057940947</v>
      </c>
      <c r="H6" s="15">
        <v>0.4229093566880905</v>
      </c>
      <c r="I6" s="18">
        <v>0.5770906433119096</v>
      </c>
      <c r="J6" s="15" t="str">
        <f t="shared" ref="J6:K6" si="1">J5/SUM($K$6:$L$6)</f>
        <v>#REF!</v>
      </c>
      <c r="K6" s="15" t="str">
        <f t="shared" si="1"/>
        <v>#REF!</v>
      </c>
      <c r="L6"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10.71"/>
    <col customWidth="1" min="3" max="3" width="10.43"/>
    <col customWidth="1" min="4" max="208" width="10.71"/>
  </cols>
  <sheetData>
    <row r="1">
      <c r="A1" s="19" t="s">
        <v>23</v>
      </c>
      <c r="B1" s="20"/>
      <c r="C1" s="21"/>
      <c r="D1" s="22"/>
      <c r="E1" s="22"/>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4"/>
      <c r="GG1" s="23"/>
      <c r="GH1" s="23"/>
      <c r="GI1" s="23"/>
      <c r="GJ1" s="23"/>
      <c r="GK1" s="23"/>
      <c r="GL1" s="23"/>
      <c r="GM1" s="23"/>
      <c r="GN1" s="24"/>
      <c r="GO1" s="24"/>
      <c r="GP1" s="23"/>
      <c r="GQ1" s="23"/>
      <c r="GR1" s="23"/>
      <c r="GS1" s="23"/>
      <c r="GT1" s="23"/>
      <c r="GU1" s="23"/>
      <c r="GV1" s="23"/>
      <c r="GW1" s="23"/>
      <c r="GX1" s="23"/>
      <c r="GY1" s="23"/>
      <c r="GZ1" s="23"/>
    </row>
    <row r="2">
      <c r="A2" s="19" t="s">
        <v>24</v>
      </c>
      <c r="B2" s="25"/>
      <c r="C2" s="26"/>
      <c r="D2" s="26"/>
      <c r="E2" s="26"/>
      <c r="F2" s="26"/>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c r="DO2" s="21"/>
      <c r="DP2" s="21"/>
      <c r="DQ2" s="21"/>
      <c r="DR2" s="21"/>
      <c r="DS2" s="21"/>
      <c r="DT2" s="21"/>
      <c r="DU2" s="21"/>
      <c r="DV2" s="21"/>
      <c r="DW2" s="21"/>
      <c r="DX2" s="21"/>
      <c r="DY2" s="21"/>
      <c r="DZ2" s="21"/>
      <c r="EA2" s="21"/>
      <c r="EB2" s="21"/>
      <c r="EC2" s="21"/>
      <c r="ED2" s="21"/>
      <c r="EE2" s="21"/>
      <c r="EF2" s="21"/>
      <c r="EG2" s="21"/>
      <c r="EH2" s="21"/>
      <c r="EI2" s="21"/>
      <c r="EJ2" s="21"/>
      <c r="EK2" s="21"/>
      <c r="EL2" s="21"/>
      <c r="EM2" s="21"/>
      <c r="EN2" s="21"/>
      <c r="EO2" s="21"/>
      <c r="EP2" s="21"/>
      <c r="EQ2" s="21"/>
      <c r="ER2" s="21"/>
      <c r="ES2" s="21"/>
      <c r="ET2" s="21"/>
      <c r="EU2" s="21"/>
      <c r="EV2" s="21"/>
      <c r="EW2" s="21"/>
      <c r="EX2" s="21"/>
      <c r="EY2" s="21"/>
      <c r="EZ2" s="21"/>
      <c r="FA2" s="21"/>
      <c r="FB2" s="21"/>
      <c r="FC2" s="21"/>
      <c r="FD2" s="21"/>
      <c r="FE2" s="21"/>
      <c r="FF2" s="21"/>
      <c r="FG2" s="21"/>
      <c r="FH2" s="21"/>
      <c r="FI2" s="21"/>
      <c r="FJ2" s="21"/>
      <c r="FK2" s="21"/>
      <c r="FL2" s="21"/>
      <c r="FM2" s="21"/>
      <c r="FN2" s="21"/>
      <c r="FO2" s="21"/>
      <c r="FP2" s="21"/>
      <c r="FQ2" s="21"/>
      <c r="FR2" s="21"/>
      <c r="FS2" s="21"/>
      <c r="FT2" s="21"/>
      <c r="FU2" s="21"/>
      <c r="FV2" s="21"/>
      <c r="FW2" s="21"/>
      <c r="FX2" s="21"/>
      <c r="FY2" s="21"/>
      <c r="FZ2" s="21"/>
      <c r="GA2" s="21"/>
      <c r="GB2" s="21"/>
      <c r="GC2" s="21"/>
      <c r="GD2" s="21"/>
      <c r="GE2" s="21"/>
      <c r="GF2" s="27"/>
      <c r="GG2" s="28"/>
      <c r="GH2" s="28"/>
      <c r="GI2" s="28"/>
      <c r="GJ2" s="28"/>
      <c r="GK2" s="28"/>
      <c r="GL2" s="28"/>
      <c r="GM2" s="28"/>
      <c r="GN2" s="27"/>
      <c r="GO2" s="27"/>
      <c r="GP2" s="28"/>
      <c r="GQ2" s="28"/>
      <c r="GR2" s="28"/>
      <c r="GS2" s="29"/>
      <c r="GT2" s="28"/>
      <c r="GU2" s="28"/>
      <c r="GV2" s="28"/>
      <c r="GW2" s="28"/>
      <c r="GX2" s="29"/>
      <c r="GY2" s="28"/>
      <c r="GZ2" s="28"/>
    </row>
    <row r="3">
      <c r="A3" s="30"/>
      <c r="B3" s="31"/>
      <c r="GF3" s="32"/>
      <c r="GG3" s="33"/>
      <c r="GH3" s="33"/>
      <c r="GI3" s="33"/>
      <c r="GJ3" s="33"/>
      <c r="GK3" s="33"/>
      <c r="GL3" s="33"/>
      <c r="GM3" s="33"/>
      <c r="GN3" s="32"/>
      <c r="GO3" s="32"/>
      <c r="GP3" s="33"/>
      <c r="GQ3" s="33"/>
      <c r="GR3" s="33"/>
      <c r="GS3" s="33"/>
      <c r="GT3" s="33"/>
      <c r="GU3" s="33"/>
      <c r="GV3" s="33"/>
      <c r="GW3" s="33"/>
      <c r="GX3" s="33"/>
      <c r="GY3" s="34"/>
      <c r="GZ3" s="33"/>
    </row>
    <row r="4">
      <c r="A4" s="35" t="s">
        <v>25</v>
      </c>
      <c r="B4" s="36" t="s">
        <v>26</v>
      </c>
      <c r="C4" s="37" t="s">
        <v>27</v>
      </c>
      <c r="D4" s="38">
        <v>2.0</v>
      </c>
      <c r="E4" s="38">
        <v>3.0</v>
      </c>
      <c r="F4" s="38">
        <v>4.0</v>
      </c>
      <c r="G4" s="38">
        <v>5.0</v>
      </c>
      <c r="H4" s="38">
        <v>6.0</v>
      </c>
      <c r="I4" s="38">
        <v>7.0</v>
      </c>
      <c r="J4" s="38">
        <v>8.0</v>
      </c>
      <c r="K4" s="38">
        <v>9.0</v>
      </c>
      <c r="L4" s="38">
        <v>10.0</v>
      </c>
      <c r="M4" s="38">
        <v>11.0</v>
      </c>
      <c r="N4" s="38">
        <v>12.0</v>
      </c>
      <c r="O4" s="38">
        <v>13.0</v>
      </c>
      <c r="P4" s="38">
        <v>14.0</v>
      </c>
      <c r="Q4" s="38">
        <v>15.0</v>
      </c>
      <c r="R4" s="38">
        <v>16.0</v>
      </c>
      <c r="S4" s="38">
        <v>17.0</v>
      </c>
      <c r="T4" s="38">
        <v>18.0</v>
      </c>
      <c r="U4" s="38">
        <v>19.0</v>
      </c>
      <c r="V4" s="38">
        <v>20.0</v>
      </c>
      <c r="W4" s="38">
        <v>21.0</v>
      </c>
      <c r="X4" s="38">
        <v>22.0</v>
      </c>
      <c r="Y4" s="38">
        <v>23.0</v>
      </c>
      <c r="Z4" s="38">
        <v>24.0</v>
      </c>
      <c r="AA4" s="38">
        <v>25.0</v>
      </c>
      <c r="AB4" s="38">
        <v>26.0</v>
      </c>
      <c r="AC4" s="38">
        <v>27.0</v>
      </c>
      <c r="AD4" s="38">
        <v>28.0</v>
      </c>
      <c r="AE4" s="38">
        <v>29.0</v>
      </c>
      <c r="AF4" s="38">
        <v>30.0</v>
      </c>
      <c r="AG4" s="38">
        <v>31.0</v>
      </c>
      <c r="AH4" s="38">
        <v>32.0</v>
      </c>
      <c r="AI4" s="38">
        <v>33.0</v>
      </c>
      <c r="AJ4" s="38">
        <v>34.0</v>
      </c>
      <c r="AK4" s="38">
        <v>35.0</v>
      </c>
      <c r="AL4" s="38">
        <v>36.0</v>
      </c>
      <c r="AM4" s="38">
        <v>37.0</v>
      </c>
      <c r="AN4" s="38">
        <v>38.0</v>
      </c>
      <c r="AO4" s="38">
        <v>39.0</v>
      </c>
      <c r="AP4" s="38">
        <v>40.0</v>
      </c>
      <c r="AQ4" s="38">
        <v>41.0</v>
      </c>
      <c r="AR4" s="38">
        <v>42.0</v>
      </c>
      <c r="AS4" s="38">
        <v>43.0</v>
      </c>
      <c r="AT4" s="38">
        <v>44.0</v>
      </c>
      <c r="AU4" s="38">
        <v>45.0</v>
      </c>
      <c r="AV4" s="38">
        <v>46.0</v>
      </c>
      <c r="AW4" s="38">
        <v>47.0</v>
      </c>
      <c r="AX4" s="38">
        <v>48.0</v>
      </c>
      <c r="AY4" s="38">
        <v>49.0</v>
      </c>
      <c r="AZ4" s="38">
        <v>50.0</v>
      </c>
      <c r="BA4" s="38">
        <v>51.0</v>
      </c>
      <c r="BB4" s="38">
        <v>52.0</v>
      </c>
      <c r="BC4" s="38">
        <v>53.0</v>
      </c>
      <c r="BD4" s="38">
        <v>54.0</v>
      </c>
      <c r="BE4" s="38">
        <v>55.0</v>
      </c>
      <c r="BF4" s="38">
        <v>56.0</v>
      </c>
      <c r="BG4" s="38">
        <v>57.0</v>
      </c>
      <c r="BH4" s="38">
        <v>58.0</v>
      </c>
      <c r="BI4" s="38">
        <v>59.0</v>
      </c>
      <c r="BJ4" s="38">
        <v>60.0</v>
      </c>
      <c r="BK4" s="38">
        <v>61.0</v>
      </c>
      <c r="BL4" s="38">
        <v>62.0</v>
      </c>
      <c r="BM4" s="38">
        <v>63.0</v>
      </c>
      <c r="BN4" s="38">
        <v>64.0</v>
      </c>
      <c r="BO4" s="38">
        <v>65.0</v>
      </c>
      <c r="BP4" s="38">
        <v>66.0</v>
      </c>
      <c r="BQ4" s="38">
        <v>67.0</v>
      </c>
      <c r="BR4" s="38">
        <v>68.0</v>
      </c>
      <c r="BS4" s="38">
        <v>69.0</v>
      </c>
      <c r="BT4" s="38">
        <v>70.0</v>
      </c>
      <c r="BU4" s="38">
        <v>71.0</v>
      </c>
      <c r="BV4" s="38">
        <v>72.0</v>
      </c>
      <c r="BW4" s="38">
        <v>73.0</v>
      </c>
      <c r="BX4" s="38">
        <v>74.0</v>
      </c>
      <c r="BY4" s="38">
        <v>75.0</v>
      </c>
      <c r="BZ4" s="38">
        <v>76.0</v>
      </c>
      <c r="CA4" s="38">
        <v>77.0</v>
      </c>
      <c r="CB4" s="38">
        <v>78.0</v>
      </c>
      <c r="CC4" s="38">
        <v>79.0</v>
      </c>
      <c r="CD4" s="38">
        <v>80.0</v>
      </c>
      <c r="CE4" s="38">
        <v>81.0</v>
      </c>
      <c r="CF4" s="38">
        <v>82.0</v>
      </c>
      <c r="CG4" s="38">
        <v>83.0</v>
      </c>
      <c r="CH4" s="38">
        <v>84.0</v>
      </c>
      <c r="CI4" s="38">
        <v>85.0</v>
      </c>
      <c r="CJ4" s="38">
        <v>86.0</v>
      </c>
      <c r="CK4" s="38">
        <v>87.0</v>
      </c>
      <c r="CL4" s="38">
        <v>88.0</v>
      </c>
      <c r="CM4" s="38">
        <v>89.0</v>
      </c>
      <c r="CN4" s="38">
        <v>90.0</v>
      </c>
      <c r="CO4" s="38">
        <v>91.0</v>
      </c>
      <c r="CP4" s="38">
        <v>92.0</v>
      </c>
      <c r="CQ4" s="38">
        <v>93.0</v>
      </c>
      <c r="CR4" s="38">
        <v>94.0</v>
      </c>
      <c r="CS4" s="38">
        <v>95.0</v>
      </c>
      <c r="CT4" s="38">
        <v>96.0</v>
      </c>
      <c r="CU4" s="38">
        <v>97.0</v>
      </c>
      <c r="CV4" s="38">
        <v>98.0</v>
      </c>
      <c r="CW4" s="38">
        <v>99.0</v>
      </c>
      <c r="CX4" s="38">
        <v>100.0</v>
      </c>
      <c r="CY4" s="38">
        <v>101.0</v>
      </c>
      <c r="CZ4" s="38">
        <v>102.0</v>
      </c>
      <c r="DA4" s="38">
        <v>103.0</v>
      </c>
      <c r="DB4" s="38">
        <v>104.0</v>
      </c>
      <c r="DC4" s="38">
        <v>105.0</v>
      </c>
      <c r="DD4" s="38">
        <v>106.0</v>
      </c>
      <c r="DE4" s="38">
        <v>107.0</v>
      </c>
      <c r="DF4" s="38">
        <v>108.0</v>
      </c>
      <c r="DG4" s="38">
        <v>109.0</v>
      </c>
      <c r="DH4" s="38">
        <v>110.0</v>
      </c>
      <c r="DI4" s="38">
        <v>111.0</v>
      </c>
      <c r="DJ4" s="38">
        <v>112.0</v>
      </c>
      <c r="DK4" s="38">
        <v>113.0</v>
      </c>
      <c r="DL4" s="38">
        <v>114.0</v>
      </c>
      <c r="DM4" s="38">
        <v>115.0</v>
      </c>
      <c r="DN4" s="38">
        <v>116.0</v>
      </c>
      <c r="DO4" s="38">
        <v>117.0</v>
      </c>
      <c r="DP4" s="38">
        <v>118.0</v>
      </c>
      <c r="DQ4" s="38">
        <v>119.0</v>
      </c>
      <c r="DR4" s="38">
        <v>120.0</v>
      </c>
      <c r="DS4" s="38">
        <v>121.0</v>
      </c>
      <c r="DT4" s="38">
        <v>122.0</v>
      </c>
      <c r="DU4" s="38">
        <v>123.0</v>
      </c>
      <c r="DV4" s="38">
        <v>124.0</v>
      </c>
      <c r="DW4" s="38">
        <v>125.0</v>
      </c>
      <c r="DX4" s="38">
        <v>126.0</v>
      </c>
      <c r="DY4" s="38">
        <v>127.0</v>
      </c>
      <c r="DZ4" s="38">
        <v>128.0</v>
      </c>
      <c r="EA4" s="38">
        <v>129.0</v>
      </c>
      <c r="EB4" s="38">
        <v>130.0</v>
      </c>
      <c r="EC4" s="38">
        <v>131.0</v>
      </c>
      <c r="ED4" s="38">
        <v>132.0</v>
      </c>
      <c r="EE4" s="38">
        <v>133.0</v>
      </c>
      <c r="EF4" s="38">
        <v>134.0</v>
      </c>
      <c r="EG4" s="38">
        <v>135.0</v>
      </c>
      <c r="EH4" s="38">
        <v>136.0</v>
      </c>
      <c r="EI4" s="38">
        <v>137.0</v>
      </c>
      <c r="EJ4" s="38">
        <v>138.0</v>
      </c>
      <c r="EK4" s="38">
        <v>139.0</v>
      </c>
      <c r="EL4" s="38">
        <v>140.0</v>
      </c>
      <c r="EM4" s="38">
        <v>141.0</v>
      </c>
      <c r="EN4" s="38">
        <v>142.0</v>
      </c>
      <c r="EO4" s="38">
        <v>143.0</v>
      </c>
      <c r="EP4" s="38">
        <v>144.0</v>
      </c>
      <c r="EQ4" s="38">
        <v>145.0</v>
      </c>
      <c r="ER4" s="38">
        <v>146.0</v>
      </c>
      <c r="ES4" s="38">
        <v>147.0</v>
      </c>
      <c r="ET4" s="38">
        <v>148.0</v>
      </c>
      <c r="EU4" s="38">
        <v>149.0</v>
      </c>
      <c r="EV4" s="38">
        <v>150.0</v>
      </c>
      <c r="EW4" s="38">
        <v>151.0</v>
      </c>
      <c r="EX4" s="38">
        <v>152.0</v>
      </c>
      <c r="EY4" s="38">
        <v>153.0</v>
      </c>
      <c r="EZ4" s="38">
        <v>154.0</v>
      </c>
      <c r="FA4" s="38">
        <v>155.0</v>
      </c>
      <c r="FB4" s="38">
        <v>156.0</v>
      </c>
      <c r="FC4" s="38">
        <v>157.0</v>
      </c>
      <c r="FD4" s="38">
        <v>158.0</v>
      </c>
      <c r="FE4" s="38">
        <v>159.0</v>
      </c>
      <c r="FF4" s="38">
        <v>160.0</v>
      </c>
      <c r="FG4" s="38">
        <v>161.0</v>
      </c>
      <c r="FH4" s="38">
        <v>162.0</v>
      </c>
      <c r="FI4" s="38">
        <v>163.0</v>
      </c>
      <c r="FJ4" s="38">
        <v>164.0</v>
      </c>
      <c r="FK4" s="38">
        <v>165.0</v>
      </c>
      <c r="FL4" s="38">
        <v>166.0</v>
      </c>
      <c r="FM4" s="38">
        <v>167.0</v>
      </c>
      <c r="FN4" s="38">
        <v>168.0</v>
      </c>
      <c r="FO4" s="38">
        <v>169.0</v>
      </c>
      <c r="FP4" s="38">
        <v>170.0</v>
      </c>
      <c r="FQ4" s="38">
        <v>171.0</v>
      </c>
      <c r="FR4" s="38">
        <v>172.0</v>
      </c>
      <c r="FS4" s="38">
        <v>173.0</v>
      </c>
      <c r="FT4" s="38">
        <v>174.0</v>
      </c>
      <c r="FU4" s="38">
        <v>175.0</v>
      </c>
      <c r="FV4" s="38">
        <v>176.0</v>
      </c>
      <c r="FW4" s="38">
        <v>177.0</v>
      </c>
      <c r="FX4" s="38">
        <v>178.0</v>
      </c>
      <c r="FY4" s="38">
        <v>179.0</v>
      </c>
      <c r="FZ4" s="38">
        <v>180.0</v>
      </c>
      <c r="GA4" s="38">
        <v>181.0</v>
      </c>
      <c r="GB4" s="38">
        <v>182.0</v>
      </c>
      <c r="GC4" s="38">
        <v>183.0</v>
      </c>
      <c r="GD4" s="38">
        <v>184.0</v>
      </c>
      <c r="GE4" s="38">
        <v>185.0</v>
      </c>
      <c r="GF4" s="39" t="s">
        <v>28</v>
      </c>
      <c r="GG4" s="40" t="s">
        <v>29</v>
      </c>
      <c r="GH4" s="40" t="s">
        <v>30</v>
      </c>
      <c r="GI4" s="40" t="s">
        <v>31</v>
      </c>
      <c r="GJ4" s="40" t="s">
        <v>32</v>
      </c>
      <c r="GK4" s="40" t="s">
        <v>33</v>
      </c>
      <c r="GL4" s="40" t="s">
        <v>34</v>
      </c>
      <c r="GM4" s="40" t="s">
        <v>35</v>
      </c>
      <c r="GN4" s="39" t="s">
        <v>36</v>
      </c>
      <c r="GO4" s="39" t="s">
        <v>37</v>
      </c>
      <c r="GP4" s="41">
        <v>4011.0</v>
      </c>
      <c r="GQ4" s="41" t="s">
        <v>38</v>
      </c>
      <c r="GR4" s="42" t="s">
        <v>39</v>
      </c>
      <c r="GS4" s="43" t="s">
        <v>40</v>
      </c>
      <c r="GT4" s="42" t="s">
        <v>41</v>
      </c>
      <c r="GU4" s="42" t="s">
        <v>42</v>
      </c>
      <c r="GV4" s="42" t="s">
        <v>43</v>
      </c>
      <c r="GW4" s="43" t="s">
        <v>44</v>
      </c>
      <c r="GX4" s="43">
        <v>6090.0</v>
      </c>
      <c r="GY4" s="43">
        <v>7000.0</v>
      </c>
      <c r="GZ4" s="43" t="s">
        <v>45</v>
      </c>
    </row>
    <row r="5">
      <c r="A5" s="44"/>
      <c r="B5" s="45"/>
      <c r="C5" s="46" t="s">
        <v>46</v>
      </c>
      <c r="D5" s="46" t="s">
        <v>47</v>
      </c>
      <c r="E5" s="46" t="s">
        <v>48</v>
      </c>
      <c r="F5" s="46" t="s">
        <v>49</v>
      </c>
      <c r="G5" s="46" t="s">
        <v>50</v>
      </c>
      <c r="H5" s="46" t="s">
        <v>51</v>
      </c>
      <c r="I5" s="46" t="s">
        <v>52</v>
      </c>
      <c r="J5" s="46" t="s">
        <v>53</v>
      </c>
      <c r="K5" s="46" t="s">
        <v>54</v>
      </c>
      <c r="L5" s="46" t="s">
        <v>55</v>
      </c>
      <c r="M5" s="46" t="s">
        <v>56</v>
      </c>
      <c r="N5" s="46" t="s">
        <v>57</v>
      </c>
      <c r="O5" s="46" t="s">
        <v>58</v>
      </c>
      <c r="P5" s="46" t="s">
        <v>59</v>
      </c>
      <c r="Q5" s="46" t="s">
        <v>60</v>
      </c>
      <c r="R5" s="46" t="s">
        <v>61</v>
      </c>
      <c r="S5" s="46" t="s">
        <v>62</v>
      </c>
      <c r="T5" s="46" t="s">
        <v>63</v>
      </c>
      <c r="U5" s="46" t="s">
        <v>64</v>
      </c>
      <c r="V5" s="46" t="s">
        <v>65</v>
      </c>
      <c r="W5" s="46" t="s">
        <v>66</v>
      </c>
      <c r="X5" s="46" t="s">
        <v>67</v>
      </c>
      <c r="Y5" s="46" t="s">
        <v>68</v>
      </c>
      <c r="Z5" s="46" t="s">
        <v>69</v>
      </c>
      <c r="AA5" s="46" t="s">
        <v>70</v>
      </c>
      <c r="AB5" s="46" t="s">
        <v>71</v>
      </c>
      <c r="AC5" s="46" t="s">
        <v>72</v>
      </c>
      <c r="AD5" s="46" t="s">
        <v>73</v>
      </c>
      <c r="AE5" s="46" t="s">
        <v>74</v>
      </c>
      <c r="AF5" s="46" t="s">
        <v>75</v>
      </c>
      <c r="AG5" s="46" t="s">
        <v>76</v>
      </c>
      <c r="AH5" s="46" t="s">
        <v>77</v>
      </c>
      <c r="AI5" s="46" t="s">
        <v>78</v>
      </c>
      <c r="AJ5" s="46" t="s">
        <v>79</v>
      </c>
      <c r="AK5" s="46" t="s">
        <v>80</v>
      </c>
      <c r="AL5" s="46" t="s">
        <v>81</v>
      </c>
      <c r="AM5" s="46" t="s">
        <v>82</v>
      </c>
      <c r="AN5" s="46" t="s">
        <v>83</v>
      </c>
      <c r="AO5" s="46" t="s">
        <v>84</v>
      </c>
      <c r="AP5" s="46" t="s">
        <v>85</v>
      </c>
      <c r="AQ5" s="46" t="s">
        <v>86</v>
      </c>
      <c r="AR5" s="46" t="s">
        <v>87</v>
      </c>
      <c r="AS5" s="46" t="s">
        <v>88</v>
      </c>
      <c r="AT5" s="46" t="s">
        <v>89</v>
      </c>
      <c r="AU5" s="46" t="s">
        <v>90</v>
      </c>
      <c r="AV5" s="46" t="s">
        <v>91</v>
      </c>
      <c r="AW5" s="46" t="s">
        <v>92</v>
      </c>
      <c r="AX5" s="46" t="s">
        <v>93</v>
      </c>
      <c r="AY5" s="46" t="s">
        <v>94</v>
      </c>
      <c r="AZ5" s="46" t="s">
        <v>95</v>
      </c>
      <c r="BA5" s="46" t="s">
        <v>96</v>
      </c>
      <c r="BB5" s="46" t="s">
        <v>97</v>
      </c>
      <c r="BC5" s="46" t="s">
        <v>98</v>
      </c>
      <c r="BD5" s="46" t="s">
        <v>99</v>
      </c>
      <c r="BE5" s="46" t="s">
        <v>100</v>
      </c>
      <c r="BF5" s="46" t="s">
        <v>101</v>
      </c>
      <c r="BG5" s="46" t="s">
        <v>102</v>
      </c>
      <c r="BH5" s="46" t="s">
        <v>103</v>
      </c>
      <c r="BI5" s="46" t="s">
        <v>104</v>
      </c>
      <c r="BJ5" s="46" t="s">
        <v>105</v>
      </c>
      <c r="BK5" s="46" t="s">
        <v>106</v>
      </c>
      <c r="BL5" s="46" t="s">
        <v>107</v>
      </c>
      <c r="BM5" s="46" t="s">
        <v>108</v>
      </c>
      <c r="BN5" s="46" t="s">
        <v>109</v>
      </c>
      <c r="BO5" s="46" t="s">
        <v>110</v>
      </c>
      <c r="BP5" s="46" t="s">
        <v>111</v>
      </c>
      <c r="BQ5" s="46" t="s">
        <v>112</v>
      </c>
      <c r="BR5" s="46" t="s">
        <v>113</v>
      </c>
      <c r="BS5" s="46" t="s">
        <v>114</v>
      </c>
      <c r="BT5" s="46" t="s">
        <v>115</v>
      </c>
      <c r="BU5" s="46" t="s">
        <v>116</v>
      </c>
      <c r="BV5" s="46" t="s">
        <v>117</v>
      </c>
      <c r="BW5" s="46" t="s">
        <v>118</v>
      </c>
      <c r="BX5" s="46" t="s">
        <v>119</v>
      </c>
      <c r="BY5" s="46" t="s">
        <v>120</v>
      </c>
      <c r="BZ5" s="46" t="s">
        <v>121</v>
      </c>
      <c r="CA5" s="46" t="s">
        <v>122</v>
      </c>
      <c r="CB5" s="46" t="s">
        <v>123</v>
      </c>
      <c r="CC5" s="46" t="s">
        <v>124</v>
      </c>
      <c r="CD5" s="46" t="s">
        <v>125</v>
      </c>
      <c r="CE5" s="46" t="s">
        <v>126</v>
      </c>
      <c r="CF5" s="46" t="s">
        <v>127</v>
      </c>
      <c r="CG5" s="46" t="s">
        <v>128</v>
      </c>
      <c r="CH5" s="46" t="s">
        <v>129</v>
      </c>
      <c r="CI5" s="46" t="s">
        <v>130</v>
      </c>
      <c r="CJ5" s="46" t="s">
        <v>131</v>
      </c>
      <c r="CK5" s="46" t="s">
        <v>132</v>
      </c>
      <c r="CL5" s="46" t="s">
        <v>133</v>
      </c>
      <c r="CM5" s="46" t="s">
        <v>134</v>
      </c>
      <c r="CN5" s="46" t="s">
        <v>135</v>
      </c>
      <c r="CO5" s="46" t="s">
        <v>136</v>
      </c>
      <c r="CP5" s="46" t="s">
        <v>137</v>
      </c>
      <c r="CQ5" s="46" t="s">
        <v>138</v>
      </c>
      <c r="CR5" s="46" t="s">
        <v>139</v>
      </c>
      <c r="CS5" s="46" t="s">
        <v>140</v>
      </c>
      <c r="CT5" s="46" t="s">
        <v>141</v>
      </c>
      <c r="CU5" s="46" t="s">
        <v>142</v>
      </c>
      <c r="CV5" s="46" t="s">
        <v>143</v>
      </c>
      <c r="CW5" s="46" t="s">
        <v>144</v>
      </c>
      <c r="CX5" s="46" t="s">
        <v>145</v>
      </c>
      <c r="CY5" s="46" t="s">
        <v>146</v>
      </c>
      <c r="CZ5" s="46" t="s">
        <v>147</v>
      </c>
      <c r="DA5" s="46" t="s">
        <v>148</v>
      </c>
      <c r="DB5" s="46" t="s">
        <v>149</v>
      </c>
      <c r="DC5" s="46" t="s">
        <v>150</v>
      </c>
      <c r="DD5" s="46" t="s">
        <v>151</v>
      </c>
      <c r="DE5" s="46" t="s">
        <v>152</v>
      </c>
      <c r="DF5" s="46" t="s">
        <v>153</v>
      </c>
      <c r="DG5" s="46" t="s">
        <v>154</v>
      </c>
      <c r="DH5" s="46" t="s">
        <v>155</v>
      </c>
      <c r="DI5" s="46" t="s">
        <v>156</v>
      </c>
      <c r="DJ5" s="46" t="s">
        <v>157</v>
      </c>
      <c r="DK5" s="46" t="s">
        <v>158</v>
      </c>
      <c r="DL5" s="46" t="s">
        <v>159</v>
      </c>
      <c r="DM5" s="46" t="s">
        <v>160</v>
      </c>
      <c r="DN5" s="46" t="s">
        <v>161</v>
      </c>
      <c r="DO5" s="46" t="s">
        <v>162</v>
      </c>
      <c r="DP5" s="46" t="s">
        <v>163</v>
      </c>
      <c r="DQ5" s="46" t="s">
        <v>164</v>
      </c>
      <c r="DR5" s="46" t="s">
        <v>165</v>
      </c>
      <c r="DS5" s="46" t="s">
        <v>166</v>
      </c>
      <c r="DT5" s="46" t="s">
        <v>167</v>
      </c>
      <c r="DU5" s="46" t="s">
        <v>168</v>
      </c>
      <c r="DV5" s="46" t="s">
        <v>169</v>
      </c>
      <c r="DW5" s="46" t="s">
        <v>170</v>
      </c>
      <c r="DX5" s="46" t="s">
        <v>171</v>
      </c>
      <c r="DY5" s="46" t="s">
        <v>172</v>
      </c>
      <c r="DZ5" s="46" t="s">
        <v>173</v>
      </c>
      <c r="EA5" s="46" t="s">
        <v>174</v>
      </c>
      <c r="EB5" s="46" t="s">
        <v>175</v>
      </c>
      <c r="EC5" s="46" t="s">
        <v>176</v>
      </c>
      <c r="ED5" s="46" t="s">
        <v>177</v>
      </c>
      <c r="EE5" s="46" t="s">
        <v>178</v>
      </c>
      <c r="EF5" s="46" t="s">
        <v>179</v>
      </c>
      <c r="EG5" s="46" t="s">
        <v>180</v>
      </c>
      <c r="EH5" s="46" t="s">
        <v>181</v>
      </c>
      <c r="EI5" s="46" t="s">
        <v>182</v>
      </c>
      <c r="EJ5" s="46" t="s">
        <v>183</v>
      </c>
      <c r="EK5" s="46" t="s">
        <v>184</v>
      </c>
      <c r="EL5" s="46" t="s">
        <v>185</v>
      </c>
      <c r="EM5" s="46" t="s">
        <v>186</v>
      </c>
      <c r="EN5" s="46" t="s">
        <v>187</v>
      </c>
      <c r="EO5" s="46" t="s">
        <v>188</v>
      </c>
      <c r="EP5" s="46" t="s">
        <v>189</v>
      </c>
      <c r="EQ5" s="46" t="s">
        <v>190</v>
      </c>
      <c r="ER5" s="46" t="s">
        <v>191</v>
      </c>
      <c r="ES5" s="46" t="s">
        <v>192</v>
      </c>
      <c r="ET5" s="46" t="s">
        <v>193</v>
      </c>
      <c r="EU5" s="46" t="s">
        <v>194</v>
      </c>
      <c r="EV5" s="46" t="s">
        <v>195</v>
      </c>
      <c r="EW5" s="46" t="s">
        <v>196</v>
      </c>
      <c r="EX5" s="46" t="s">
        <v>197</v>
      </c>
      <c r="EY5" s="46" t="s">
        <v>198</v>
      </c>
      <c r="EZ5" s="46" t="s">
        <v>199</v>
      </c>
      <c r="FA5" s="46" t="s">
        <v>200</v>
      </c>
      <c r="FB5" s="46" t="s">
        <v>201</v>
      </c>
      <c r="FC5" s="46" t="s">
        <v>202</v>
      </c>
      <c r="FD5" s="46" t="s">
        <v>203</v>
      </c>
      <c r="FE5" s="46" t="s">
        <v>204</v>
      </c>
      <c r="FF5" s="46" t="s">
        <v>205</v>
      </c>
      <c r="FG5" s="46" t="s">
        <v>206</v>
      </c>
      <c r="FH5" s="46" t="s">
        <v>207</v>
      </c>
      <c r="FI5" s="46" t="s">
        <v>208</v>
      </c>
      <c r="FJ5" s="46" t="s">
        <v>209</v>
      </c>
      <c r="FK5" s="46" t="s">
        <v>210</v>
      </c>
      <c r="FL5" s="46" t="s">
        <v>211</v>
      </c>
      <c r="FM5" s="46" t="s">
        <v>212</v>
      </c>
      <c r="FN5" s="46" t="s">
        <v>213</v>
      </c>
      <c r="FO5" s="46" t="s">
        <v>214</v>
      </c>
      <c r="FP5" s="46" t="s">
        <v>215</v>
      </c>
      <c r="FQ5" s="46" t="s">
        <v>216</v>
      </c>
      <c r="FR5" s="46" t="s">
        <v>217</v>
      </c>
      <c r="FS5" s="46" t="s">
        <v>218</v>
      </c>
      <c r="FT5" s="46" t="s">
        <v>219</v>
      </c>
      <c r="FU5" s="46" t="s">
        <v>220</v>
      </c>
      <c r="FV5" s="46" t="s">
        <v>221</v>
      </c>
      <c r="FW5" s="46" t="s">
        <v>222</v>
      </c>
      <c r="FX5" s="46" t="s">
        <v>223</v>
      </c>
      <c r="FY5" s="46" t="s">
        <v>224</v>
      </c>
      <c r="FZ5" s="46" t="s">
        <v>225</v>
      </c>
      <c r="GA5" s="46" t="s">
        <v>226</v>
      </c>
      <c r="GB5" s="46" t="s">
        <v>227</v>
      </c>
      <c r="GC5" s="46" t="s">
        <v>228</v>
      </c>
      <c r="GD5" s="46" t="s">
        <v>229</v>
      </c>
      <c r="GE5" s="46" t="s">
        <v>230</v>
      </c>
      <c r="GF5" s="47" t="s">
        <v>231</v>
      </c>
      <c r="GG5" s="48" t="s">
        <v>232</v>
      </c>
      <c r="GH5" s="48" t="s">
        <v>233</v>
      </c>
      <c r="GI5" s="48" t="s">
        <v>234</v>
      </c>
      <c r="GJ5" s="48" t="s">
        <v>235</v>
      </c>
      <c r="GK5" s="48" t="s">
        <v>236</v>
      </c>
      <c r="GL5" s="48" t="s">
        <v>237</v>
      </c>
      <c r="GM5" s="48" t="s">
        <v>238</v>
      </c>
      <c r="GN5" s="47" t="s">
        <v>239</v>
      </c>
      <c r="GO5" s="47" t="s">
        <v>240</v>
      </c>
      <c r="GP5" s="49" t="s">
        <v>241</v>
      </c>
      <c r="GQ5" s="49" t="s">
        <v>242</v>
      </c>
      <c r="GR5" s="50" t="s">
        <v>243</v>
      </c>
      <c r="GS5" s="51" t="s">
        <v>244</v>
      </c>
      <c r="GT5" s="50" t="s">
        <v>245</v>
      </c>
      <c r="GU5" s="50" t="s">
        <v>246</v>
      </c>
      <c r="GV5" s="50" t="s">
        <v>247</v>
      </c>
      <c r="GW5" s="51" t="s">
        <v>248</v>
      </c>
      <c r="GX5" s="51" t="s">
        <v>249</v>
      </c>
      <c r="GY5" s="51" t="s">
        <v>250</v>
      </c>
      <c r="GZ5" s="51" t="s">
        <v>251</v>
      </c>
    </row>
    <row r="6">
      <c r="A6" s="52" t="s">
        <v>27</v>
      </c>
      <c r="B6" s="53" t="s">
        <v>46</v>
      </c>
      <c r="C6" s="54">
        <v>2.1949512E7</v>
      </c>
      <c r="D6" s="54">
        <v>0.0</v>
      </c>
      <c r="E6" s="54">
        <v>0.0</v>
      </c>
      <c r="F6" s="54">
        <v>0.0</v>
      </c>
      <c r="G6" s="54">
        <v>0.0</v>
      </c>
      <c r="H6" s="54">
        <v>0.0</v>
      </c>
      <c r="I6" s="54">
        <v>0.0</v>
      </c>
      <c r="J6" s="54">
        <v>0.0</v>
      </c>
      <c r="K6" s="54">
        <v>0.0</v>
      </c>
      <c r="L6" s="54">
        <v>0.0</v>
      </c>
      <c r="M6" s="54">
        <v>0.0</v>
      </c>
      <c r="N6" s="54">
        <v>0.0</v>
      </c>
      <c r="O6" s="54">
        <v>0.0</v>
      </c>
      <c r="P6" s="54">
        <v>0.0</v>
      </c>
      <c r="Q6" s="54">
        <v>0.0</v>
      </c>
      <c r="R6" s="54">
        <v>0.0</v>
      </c>
      <c r="S6" s="54">
        <v>0.0</v>
      </c>
      <c r="T6" s="54">
        <v>0.0</v>
      </c>
      <c r="U6" s="54">
        <v>0.0</v>
      </c>
      <c r="V6" s="54">
        <v>0.0</v>
      </c>
      <c r="W6" s="54">
        <v>0.0</v>
      </c>
      <c r="X6" s="54">
        <v>0.0</v>
      </c>
      <c r="Y6" s="54">
        <v>0.0</v>
      </c>
      <c r="Z6" s="54">
        <v>0.0</v>
      </c>
      <c r="AA6" s="54">
        <v>0.0</v>
      </c>
      <c r="AB6" s="54">
        <v>1397690.0</v>
      </c>
      <c r="AC6" s="54">
        <v>155061.0</v>
      </c>
      <c r="AD6" s="54">
        <v>431807.0</v>
      </c>
      <c r="AE6" s="54">
        <v>302567.0</v>
      </c>
      <c r="AF6" s="54">
        <v>0.0</v>
      </c>
      <c r="AG6" s="54">
        <v>0.0</v>
      </c>
      <c r="AH6" s="54">
        <v>0.0</v>
      </c>
      <c r="AI6" s="54">
        <v>139072.0</v>
      </c>
      <c r="AJ6" s="54">
        <v>247413.0</v>
      </c>
      <c r="AK6" s="54">
        <v>0.0</v>
      </c>
      <c r="AL6" s="54">
        <v>0.0</v>
      </c>
      <c r="AM6" s="54">
        <v>0.0</v>
      </c>
      <c r="AN6" s="54">
        <v>0.0</v>
      </c>
      <c r="AO6" s="54">
        <v>0.0</v>
      </c>
      <c r="AP6" s="54">
        <v>0.0</v>
      </c>
      <c r="AQ6" s="54">
        <v>0.0</v>
      </c>
      <c r="AR6" s="54">
        <v>0.0</v>
      </c>
      <c r="AS6" s="54">
        <v>0.0</v>
      </c>
      <c r="AT6" s="54">
        <v>0.0</v>
      </c>
      <c r="AU6" s="54">
        <v>0.0</v>
      </c>
      <c r="AV6" s="54">
        <v>0.0</v>
      </c>
      <c r="AW6" s="54">
        <v>0.0</v>
      </c>
      <c r="AX6" s="54">
        <v>0.0</v>
      </c>
      <c r="AY6" s="54">
        <v>0.0</v>
      </c>
      <c r="AZ6" s="54">
        <v>0.0</v>
      </c>
      <c r="BA6" s="54">
        <v>0.0</v>
      </c>
      <c r="BB6" s="54">
        <v>0.0</v>
      </c>
      <c r="BC6" s="54">
        <v>0.0</v>
      </c>
      <c r="BD6" s="54">
        <v>0.0</v>
      </c>
      <c r="BE6" s="54">
        <v>0.0</v>
      </c>
      <c r="BF6" s="54">
        <v>0.0</v>
      </c>
      <c r="BG6" s="54">
        <v>0.0</v>
      </c>
      <c r="BH6" s="54">
        <v>0.0</v>
      </c>
      <c r="BI6" s="54">
        <v>0.0</v>
      </c>
      <c r="BJ6" s="54">
        <v>0.0</v>
      </c>
      <c r="BK6" s="54">
        <v>0.0</v>
      </c>
      <c r="BL6" s="54">
        <v>0.0</v>
      </c>
      <c r="BM6" s="54">
        <v>2.55560411E8</v>
      </c>
      <c r="BN6" s="54">
        <v>0.0</v>
      </c>
      <c r="BO6" s="54">
        <v>0.0</v>
      </c>
      <c r="BP6" s="54">
        <v>0.0</v>
      </c>
      <c r="BQ6" s="54">
        <v>0.0</v>
      </c>
      <c r="BR6" s="54">
        <v>0.0</v>
      </c>
      <c r="BS6" s="54">
        <v>0.0</v>
      </c>
      <c r="BT6" s="54">
        <v>0.0</v>
      </c>
      <c r="BU6" s="54">
        <v>278.0</v>
      </c>
      <c r="BV6" s="54">
        <v>1.262914E7</v>
      </c>
      <c r="BW6" s="54">
        <v>7328.0</v>
      </c>
      <c r="BX6" s="54">
        <v>0.0</v>
      </c>
      <c r="BY6" s="54">
        <v>0.0</v>
      </c>
      <c r="BZ6" s="54">
        <v>0.0</v>
      </c>
      <c r="CA6" s="54">
        <v>0.0</v>
      </c>
      <c r="CB6" s="54">
        <v>0.0</v>
      </c>
      <c r="CC6" s="54">
        <v>0.0</v>
      </c>
      <c r="CD6" s="54">
        <v>0.0</v>
      </c>
      <c r="CE6" s="54">
        <v>0.0</v>
      </c>
      <c r="CF6" s="54">
        <v>0.0</v>
      </c>
      <c r="CG6" s="54">
        <v>0.0</v>
      </c>
      <c r="CH6" s="54">
        <v>0.0</v>
      </c>
      <c r="CI6" s="54">
        <v>0.0</v>
      </c>
      <c r="CJ6" s="54">
        <v>0.0</v>
      </c>
      <c r="CK6" s="54">
        <v>0.0</v>
      </c>
      <c r="CL6" s="54">
        <v>0.0</v>
      </c>
      <c r="CM6" s="54">
        <v>0.0</v>
      </c>
      <c r="CN6" s="54">
        <v>0.0</v>
      </c>
      <c r="CO6" s="54">
        <v>0.0</v>
      </c>
      <c r="CP6" s="54">
        <v>0.0</v>
      </c>
      <c r="CQ6" s="54">
        <v>0.0</v>
      </c>
      <c r="CR6" s="54">
        <v>0.0</v>
      </c>
      <c r="CS6" s="54">
        <v>0.0</v>
      </c>
      <c r="CT6" s="54">
        <v>0.0</v>
      </c>
      <c r="CU6" s="54">
        <v>0.0</v>
      </c>
      <c r="CV6" s="54">
        <v>0.0</v>
      </c>
      <c r="CW6" s="54">
        <v>0.0</v>
      </c>
      <c r="CX6" s="54">
        <v>0.0</v>
      </c>
      <c r="CY6" s="54">
        <v>0.0</v>
      </c>
      <c r="CZ6" s="54">
        <v>0.0</v>
      </c>
      <c r="DA6" s="54">
        <v>0.0</v>
      </c>
      <c r="DB6" s="54">
        <v>0.0</v>
      </c>
      <c r="DC6" s="54">
        <v>0.0</v>
      </c>
      <c r="DD6" s="54">
        <v>0.0</v>
      </c>
      <c r="DE6" s="54">
        <v>0.0</v>
      </c>
      <c r="DF6" s="54">
        <v>0.0</v>
      </c>
      <c r="DG6" s="54">
        <v>0.0</v>
      </c>
      <c r="DH6" s="54">
        <v>0.0</v>
      </c>
      <c r="DI6" s="54">
        <v>0.0</v>
      </c>
      <c r="DJ6" s="54">
        <v>0.0</v>
      </c>
      <c r="DK6" s="54">
        <v>0.0</v>
      </c>
      <c r="DL6" s="54">
        <v>0.0</v>
      </c>
      <c r="DM6" s="54">
        <v>0.0</v>
      </c>
      <c r="DN6" s="54">
        <v>0.0</v>
      </c>
      <c r="DO6" s="54">
        <v>0.0</v>
      </c>
      <c r="DP6" s="54">
        <v>0.0</v>
      </c>
      <c r="DQ6" s="54">
        <v>0.0</v>
      </c>
      <c r="DR6" s="54">
        <v>0.0</v>
      </c>
      <c r="DS6" s="54">
        <v>0.0</v>
      </c>
      <c r="DT6" s="54">
        <v>0.0</v>
      </c>
      <c r="DU6" s="54">
        <v>0.0</v>
      </c>
      <c r="DV6" s="54">
        <v>0.0</v>
      </c>
      <c r="DW6" s="54">
        <v>0.0</v>
      </c>
      <c r="DX6" s="54">
        <v>0.0</v>
      </c>
      <c r="DY6" s="54">
        <v>0.0</v>
      </c>
      <c r="DZ6" s="54">
        <v>0.0</v>
      </c>
      <c r="EA6" s="54">
        <v>0.0</v>
      </c>
      <c r="EB6" s="54">
        <v>0.0</v>
      </c>
      <c r="EC6" s="54">
        <v>0.0</v>
      </c>
      <c r="ED6" s="54">
        <v>0.0</v>
      </c>
      <c r="EE6" s="54">
        <v>0.0</v>
      </c>
      <c r="EF6" s="54">
        <v>0.0</v>
      </c>
      <c r="EG6" s="54">
        <v>0.0</v>
      </c>
      <c r="EH6" s="54">
        <v>0.0</v>
      </c>
      <c r="EI6" s="54">
        <v>0.0</v>
      </c>
      <c r="EJ6" s="54">
        <v>0.0</v>
      </c>
      <c r="EK6" s="54">
        <v>0.0</v>
      </c>
      <c r="EL6" s="54">
        <v>0.0</v>
      </c>
      <c r="EM6" s="54">
        <v>0.0</v>
      </c>
      <c r="EN6" s="54">
        <v>0.0</v>
      </c>
      <c r="EO6" s="54">
        <v>0.0</v>
      </c>
      <c r="EP6" s="54">
        <v>0.0</v>
      </c>
      <c r="EQ6" s="54">
        <v>0.0</v>
      </c>
      <c r="ER6" s="54">
        <v>0.0</v>
      </c>
      <c r="ES6" s="54">
        <v>0.0</v>
      </c>
      <c r="ET6" s="54">
        <v>0.0</v>
      </c>
      <c r="EU6" s="54">
        <v>0.0</v>
      </c>
      <c r="EV6" s="54">
        <v>0.0</v>
      </c>
      <c r="EW6" s="54">
        <v>0.0</v>
      </c>
      <c r="EX6" s="54">
        <v>0.0</v>
      </c>
      <c r="EY6" s="54">
        <v>0.0</v>
      </c>
      <c r="EZ6" s="54">
        <v>0.0</v>
      </c>
      <c r="FA6" s="54">
        <v>0.0</v>
      </c>
      <c r="FB6" s="54">
        <v>2141065.0</v>
      </c>
      <c r="FC6" s="54">
        <v>0.0</v>
      </c>
      <c r="FD6" s="54">
        <v>207217.0</v>
      </c>
      <c r="FE6" s="54">
        <v>0.0</v>
      </c>
      <c r="FF6" s="54">
        <v>0.0</v>
      </c>
      <c r="FG6" s="54">
        <v>0.0</v>
      </c>
      <c r="FH6" s="54">
        <v>0.0</v>
      </c>
      <c r="FI6" s="54">
        <v>0.0</v>
      </c>
      <c r="FJ6" s="54">
        <v>0.0</v>
      </c>
      <c r="FK6" s="54">
        <v>0.0</v>
      </c>
      <c r="FL6" s="54">
        <v>0.0</v>
      </c>
      <c r="FM6" s="54">
        <v>0.0</v>
      </c>
      <c r="FN6" s="54">
        <v>0.0</v>
      </c>
      <c r="FO6" s="54">
        <v>0.0</v>
      </c>
      <c r="FP6" s="54">
        <v>0.0</v>
      </c>
      <c r="FQ6" s="54">
        <v>0.0</v>
      </c>
      <c r="FR6" s="54">
        <v>0.0</v>
      </c>
      <c r="FS6" s="54">
        <v>0.0</v>
      </c>
      <c r="FT6" s="54">
        <v>0.0</v>
      </c>
      <c r="FU6" s="54">
        <v>0.0</v>
      </c>
      <c r="FV6" s="54">
        <v>0.0</v>
      </c>
      <c r="FW6" s="54">
        <v>177822.0</v>
      </c>
      <c r="FX6" s="54">
        <v>0.0</v>
      </c>
      <c r="FY6" s="54">
        <v>0.0</v>
      </c>
      <c r="FZ6" s="54">
        <v>0.0</v>
      </c>
      <c r="GA6" s="54">
        <v>87952.0</v>
      </c>
      <c r="GB6" s="54">
        <v>0.0</v>
      </c>
      <c r="GC6" s="54">
        <v>0.0</v>
      </c>
      <c r="GD6" s="54">
        <v>0.0</v>
      </c>
      <c r="GE6" s="54">
        <v>0.0</v>
      </c>
      <c r="GF6" s="55">
        <v>2.95434335E8</v>
      </c>
      <c r="GG6" s="56">
        <v>0.0</v>
      </c>
      <c r="GH6" s="57">
        <v>0.0</v>
      </c>
      <c r="GI6" s="56">
        <v>0.0</v>
      </c>
      <c r="GJ6" s="56">
        <v>0.0</v>
      </c>
      <c r="GK6" s="56">
        <v>7821.0</v>
      </c>
      <c r="GL6" s="56">
        <v>6283.0</v>
      </c>
      <c r="GM6" s="56">
        <v>0.0</v>
      </c>
      <c r="GN6" s="55">
        <v>14104.0</v>
      </c>
      <c r="GO6" s="58">
        <v>2.95448439E8</v>
      </c>
      <c r="GP6" s="56">
        <v>7749.0</v>
      </c>
      <c r="GQ6" s="56">
        <v>0.0</v>
      </c>
      <c r="GR6" s="57">
        <v>0.0</v>
      </c>
      <c r="GS6" s="55">
        <v>7749.0</v>
      </c>
      <c r="GT6" s="59">
        <v>7265624.0</v>
      </c>
      <c r="GU6" s="59">
        <v>0.0</v>
      </c>
      <c r="GV6" s="59">
        <v>3324485.0</v>
      </c>
      <c r="GW6" s="55">
        <v>1.0590109E7</v>
      </c>
      <c r="GX6" s="55">
        <v>1085.0</v>
      </c>
      <c r="GY6" s="55">
        <v>2.84849496E8</v>
      </c>
      <c r="GZ6" s="58">
        <v>2.95448439E8</v>
      </c>
    </row>
    <row r="7">
      <c r="A7" s="60">
        <v>2.0</v>
      </c>
      <c r="B7" s="61" t="s">
        <v>47</v>
      </c>
      <c r="C7" s="62">
        <v>0.0</v>
      </c>
      <c r="D7" s="62">
        <v>4099707.0</v>
      </c>
      <c r="E7" s="62">
        <v>0.0</v>
      </c>
      <c r="F7" s="62">
        <v>0.0</v>
      </c>
      <c r="G7" s="62">
        <v>0.0</v>
      </c>
      <c r="H7" s="62">
        <v>0.0</v>
      </c>
      <c r="I7" s="62">
        <v>0.0</v>
      </c>
      <c r="J7" s="62">
        <v>0.0</v>
      </c>
      <c r="K7" s="62">
        <v>0.0</v>
      </c>
      <c r="L7" s="62">
        <v>0.0</v>
      </c>
      <c r="M7" s="62">
        <v>0.0</v>
      </c>
      <c r="N7" s="62">
        <v>0.0</v>
      </c>
      <c r="O7" s="62">
        <v>0.0</v>
      </c>
      <c r="P7" s="62">
        <v>0.0</v>
      </c>
      <c r="Q7" s="62">
        <v>0.0</v>
      </c>
      <c r="R7" s="62">
        <v>0.0</v>
      </c>
      <c r="S7" s="62">
        <v>0.0</v>
      </c>
      <c r="T7" s="62">
        <v>0.0</v>
      </c>
      <c r="U7" s="62">
        <v>0.0</v>
      </c>
      <c r="V7" s="62">
        <v>0.0</v>
      </c>
      <c r="W7" s="62">
        <v>0.0</v>
      </c>
      <c r="X7" s="62">
        <v>0.0</v>
      </c>
      <c r="Y7" s="62">
        <v>0.0</v>
      </c>
      <c r="Z7" s="62">
        <v>0.0</v>
      </c>
      <c r="AA7" s="62">
        <v>0.0</v>
      </c>
      <c r="AB7" s="62">
        <v>580164.0</v>
      </c>
      <c r="AC7" s="62">
        <v>423747.0</v>
      </c>
      <c r="AD7" s="62">
        <v>2364299.0</v>
      </c>
      <c r="AE7" s="62">
        <v>65324.0</v>
      </c>
      <c r="AF7" s="62">
        <v>0.0</v>
      </c>
      <c r="AG7" s="62">
        <v>0.0</v>
      </c>
      <c r="AH7" s="62">
        <v>0.0</v>
      </c>
      <c r="AI7" s="62">
        <v>485694.0</v>
      </c>
      <c r="AJ7" s="62">
        <v>32568.0</v>
      </c>
      <c r="AK7" s="62">
        <v>11029.0</v>
      </c>
      <c r="AL7" s="62">
        <v>0.0</v>
      </c>
      <c r="AM7" s="62">
        <v>0.0</v>
      </c>
      <c r="AN7" s="62">
        <v>0.0</v>
      </c>
      <c r="AO7" s="62">
        <v>0.0</v>
      </c>
      <c r="AP7" s="62">
        <v>0.0</v>
      </c>
      <c r="AQ7" s="62">
        <v>0.0</v>
      </c>
      <c r="AR7" s="62">
        <v>0.0</v>
      </c>
      <c r="AS7" s="62">
        <v>0.0</v>
      </c>
      <c r="AT7" s="62">
        <v>0.0</v>
      </c>
      <c r="AU7" s="62">
        <v>0.0</v>
      </c>
      <c r="AV7" s="62">
        <v>0.0</v>
      </c>
      <c r="AW7" s="62">
        <v>0.0</v>
      </c>
      <c r="AX7" s="62">
        <v>0.0</v>
      </c>
      <c r="AY7" s="62">
        <v>0.0</v>
      </c>
      <c r="AZ7" s="62">
        <v>0.0</v>
      </c>
      <c r="BA7" s="62">
        <v>0.0</v>
      </c>
      <c r="BB7" s="62">
        <v>0.0</v>
      </c>
      <c r="BC7" s="62">
        <v>0.0</v>
      </c>
      <c r="BD7" s="62">
        <v>0.0</v>
      </c>
      <c r="BE7" s="62">
        <v>0.0</v>
      </c>
      <c r="BF7" s="62">
        <v>0.0</v>
      </c>
      <c r="BG7" s="62">
        <v>0.0</v>
      </c>
      <c r="BH7" s="62">
        <v>2014583.0</v>
      </c>
      <c r="BI7" s="62">
        <v>0.0</v>
      </c>
      <c r="BJ7" s="62">
        <v>0.0</v>
      </c>
      <c r="BK7" s="62">
        <v>5025316.0</v>
      </c>
      <c r="BL7" s="62">
        <v>132251.0</v>
      </c>
      <c r="BM7" s="62">
        <v>0.0</v>
      </c>
      <c r="BN7" s="62">
        <v>0.0</v>
      </c>
      <c r="BO7" s="62">
        <v>5136.0</v>
      </c>
      <c r="BP7" s="62">
        <v>0.0</v>
      </c>
      <c r="BQ7" s="62">
        <v>0.0</v>
      </c>
      <c r="BR7" s="62">
        <v>1882260.0</v>
      </c>
      <c r="BS7" s="62">
        <v>0.0</v>
      </c>
      <c r="BT7" s="62">
        <v>998789.0</v>
      </c>
      <c r="BU7" s="62">
        <v>1.0047184E7</v>
      </c>
      <c r="BV7" s="62">
        <v>3.2470234E7</v>
      </c>
      <c r="BW7" s="62">
        <v>99279.0</v>
      </c>
      <c r="BX7" s="62">
        <v>261545.0</v>
      </c>
      <c r="BY7" s="62">
        <v>1342973.0</v>
      </c>
      <c r="BZ7" s="62">
        <v>89176.0</v>
      </c>
      <c r="CA7" s="62">
        <v>0.0</v>
      </c>
      <c r="CB7" s="62">
        <v>0.0</v>
      </c>
      <c r="CC7" s="62">
        <v>0.0</v>
      </c>
      <c r="CD7" s="62">
        <v>0.0</v>
      </c>
      <c r="CE7" s="62">
        <v>0.0</v>
      </c>
      <c r="CF7" s="62">
        <v>0.0</v>
      </c>
      <c r="CG7" s="62">
        <v>0.0</v>
      </c>
      <c r="CH7" s="62">
        <v>0.0</v>
      </c>
      <c r="CI7" s="62">
        <v>0.0</v>
      </c>
      <c r="CJ7" s="62">
        <v>0.0</v>
      </c>
      <c r="CK7" s="62">
        <v>0.0</v>
      </c>
      <c r="CL7" s="62">
        <v>0.0</v>
      </c>
      <c r="CM7" s="62">
        <v>0.0</v>
      </c>
      <c r="CN7" s="62">
        <v>0.0</v>
      </c>
      <c r="CO7" s="62">
        <v>0.0</v>
      </c>
      <c r="CP7" s="62">
        <v>0.0</v>
      </c>
      <c r="CQ7" s="62">
        <v>0.0</v>
      </c>
      <c r="CR7" s="62">
        <v>0.0</v>
      </c>
      <c r="CS7" s="62">
        <v>0.0</v>
      </c>
      <c r="CT7" s="62">
        <v>0.0</v>
      </c>
      <c r="CU7" s="62">
        <v>0.0</v>
      </c>
      <c r="CV7" s="62">
        <v>0.0</v>
      </c>
      <c r="CW7" s="62">
        <v>0.0</v>
      </c>
      <c r="CX7" s="62">
        <v>0.0</v>
      </c>
      <c r="CY7" s="62">
        <v>0.0</v>
      </c>
      <c r="CZ7" s="62">
        <v>0.0</v>
      </c>
      <c r="DA7" s="62">
        <v>0.0</v>
      </c>
      <c r="DB7" s="62">
        <v>0.0</v>
      </c>
      <c r="DC7" s="62">
        <v>0.0</v>
      </c>
      <c r="DD7" s="62">
        <v>587.0</v>
      </c>
      <c r="DE7" s="62">
        <v>0.0</v>
      </c>
      <c r="DF7" s="62">
        <v>0.0</v>
      </c>
      <c r="DG7" s="62">
        <v>0.0</v>
      </c>
      <c r="DH7" s="62">
        <v>0.0</v>
      </c>
      <c r="DI7" s="62">
        <v>0.0</v>
      </c>
      <c r="DJ7" s="62">
        <v>0.0</v>
      </c>
      <c r="DK7" s="62">
        <v>0.0</v>
      </c>
      <c r="DL7" s="62">
        <v>0.0</v>
      </c>
      <c r="DM7" s="62">
        <v>0.0</v>
      </c>
      <c r="DN7" s="62">
        <v>0.0</v>
      </c>
      <c r="DO7" s="62">
        <v>0.0</v>
      </c>
      <c r="DP7" s="62">
        <v>0.0</v>
      </c>
      <c r="DQ7" s="62">
        <v>0.0</v>
      </c>
      <c r="DR7" s="62">
        <v>0.0</v>
      </c>
      <c r="DS7" s="62">
        <v>0.0</v>
      </c>
      <c r="DT7" s="62">
        <v>0.0</v>
      </c>
      <c r="DU7" s="62">
        <v>0.0</v>
      </c>
      <c r="DV7" s="62">
        <v>0.0</v>
      </c>
      <c r="DW7" s="62">
        <v>0.0</v>
      </c>
      <c r="DX7" s="62">
        <v>0.0</v>
      </c>
      <c r="DY7" s="62">
        <v>0.0</v>
      </c>
      <c r="DZ7" s="62">
        <v>0.0</v>
      </c>
      <c r="EA7" s="62">
        <v>0.0</v>
      </c>
      <c r="EB7" s="62">
        <v>0.0</v>
      </c>
      <c r="EC7" s="62">
        <v>0.0</v>
      </c>
      <c r="ED7" s="62">
        <v>0.0</v>
      </c>
      <c r="EE7" s="62">
        <v>0.0</v>
      </c>
      <c r="EF7" s="62">
        <v>0.0</v>
      </c>
      <c r="EG7" s="62">
        <v>0.0</v>
      </c>
      <c r="EH7" s="62">
        <v>0.0</v>
      </c>
      <c r="EI7" s="62">
        <v>0.0</v>
      </c>
      <c r="EJ7" s="62">
        <v>0.0</v>
      </c>
      <c r="EK7" s="62">
        <v>0.0</v>
      </c>
      <c r="EL7" s="62">
        <v>0.0</v>
      </c>
      <c r="EM7" s="62">
        <v>0.0</v>
      </c>
      <c r="EN7" s="62">
        <v>0.0</v>
      </c>
      <c r="EO7" s="62">
        <v>0.0</v>
      </c>
      <c r="EP7" s="62">
        <v>0.0</v>
      </c>
      <c r="EQ7" s="62">
        <v>0.0</v>
      </c>
      <c r="ER7" s="62">
        <v>0.0</v>
      </c>
      <c r="ES7" s="62">
        <v>0.0</v>
      </c>
      <c r="ET7" s="62">
        <v>0.0</v>
      </c>
      <c r="EU7" s="62">
        <v>0.0</v>
      </c>
      <c r="EV7" s="62">
        <v>0.0</v>
      </c>
      <c r="EW7" s="62">
        <v>0.0</v>
      </c>
      <c r="EX7" s="62">
        <v>0.0</v>
      </c>
      <c r="EY7" s="62">
        <v>0.0</v>
      </c>
      <c r="EZ7" s="62">
        <v>0.0</v>
      </c>
      <c r="FA7" s="62">
        <v>0.0</v>
      </c>
      <c r="FB7" s="62">
        <v>0.0</v>
      </c>
      <c r="FC7" s="62">
        <v>0.0</v>
      </c>
      <c r="FD7" s="62">
        <v>0.0</v>
      </c>
      <c r="FE7" s="62">
        <v>0.0</v>
      </c>
      <c r="FF7" s="62">
        <v>0.0</v>
      </c>
      <c r="FG7" s="62">
        <v>0.0</v>
      </c>
      <c r="FH7" s="62">
        <v>0.0</v>
      </c>
      <c r="FI7" s="62">
        <v>0.0</v>
      </c>
      <c r="FJ7" s="62">
        <v>269995.0</v>
      </c>
      <c r="FK7" s="62">
        <v>1.3167725E7</v>
      </c>
      <c r="FL7" s="62">
        <v>0.0</v>
      </c>
      <c r="FM7" s="62">
        <v>0.0</v>
      </c>
      <c r="FN7" s="62">
        <v>0.0</v>
      </c>
      <c r="FO7" s="62">
        <v>0.0</v>
      </c>
      <c r="FP7" s="62">
        <v>0.0</v>
      </c>
      <c r="FQ7" s="62">
        <v>0.0</v>
      </c>
      <c r="FR7" s="62">
        <v>0.0</v>
      </c>
      <c r="FS7" s="62">
        <v>0.0</v>
      </c>
      <c r="FT7" s="62">
        <v>0.0</v>
      </c>
      <c r="FU7" s="62">
        <v>0.0</v>
      </c>
      <c r="FV7" s="62">
        <v>0.0</v>
      </c>
      <c r="FW7" s="62">
        <v>155497.0</v>
      </c>
      <c r="FX7" s="62">
        <v>412.0</v>
      </c>
      <c r="FY7" s="62">
        <v>6069.0</v>
      </c>
      <c r="FZ7" s="62">
        <v>73.0</v>
      </c>
      <c r="GA7" s="62">
        <v>32873.0</v>
      </c>
      <c r="GB7" s="62">
        <v>335574.0</v>
      </c>
      <c r="GC7" s="62">
        <v>75956.0</v>
      </c>
      <c r="GD7" s="62">
        <v>0.0</v>
      </c>
      <c r="GE7" s="62">
        <v>102354.0</v>
      </c>
      <c r="GF7" s="63">
        <v>7.6578373E7</v>
      </c>
      <c r="GG7" s="64">
        <v>1.9971132E7</v>
      </c>
      <c r="GH7" s="65">
        <v>0.0</v>
      </c>
      <c r="GI7" s="64">
        <v>0.0</v>
      </c>
      <c r="GJ7" s="64">
        <v>0.0</v>
      </c>
      <c r="GK7" s="64">
        <v>2451558.0</v>
      </c>
      <c r="GL7" s="64">
        <v>242414.0</v>
      </c>
      <c r="GM7" s="64">
        <v>0.0</v>
      </c>
      <c r="GN7" s="63">
        <v>2.2665104E7</v>
      </c>
      <c r="GO7" s="66">
        <v>9.9243477E7</v>
      </c>
      <c r="GP7" s="64">
        <v>2691076.0</v>
      </c>
      <c r="GQ7" s="64">
        <v>0.0</v>
      </c>
      <c r="GR7" s="65">
        <v>0.0</v>
      </c>
      <c r="GS7" s="63">
        <v>2691076.0</v>
      </c>
      <c r="GT7" s="67">
        <v>8619323.0</v>
      </c>
      <c r="GU7" s="67">
        <v>6261088.0</v>
      </c>
      <c r="GV7" s="67">
        <v>2367648.0</v>
      </c>
      <c r="GW7" s="63">
        <v>1.7248059E7</v>
      </c>
      <c r="GX7" s="63">
        <v>127769.0</v>
      </c>
      <c r="GY7" s="63">
        <v>7.9176573E7</v>
      </c>
      <c r="GZ7" s="66">
        <v>9.9243477E7</v>
      </c>
    </row>
    <row r="8">
      <c r="A8" s="60">
        <v>3.0</v>
      </c>
      <c r="B8" s="61" t="s">
        <v>48</v>
      </c>
      <c r="C8" s="62">
        <v>0.0</v>
      </c>
      <c r="D8" s="62">
        <v>0.0</v>
      </c>
      <c r="E8" s="62">
        <v>487697.0</v>
      </c>
      <c r="F8" s="62">
        <v>0.0</v>
      </c>
      <c r="G8" s="62">
        <v>0.0</v>
      </c>
      <c r="H8" s="62">
        <v>0.0</v>
      </c>
      <c r="I8" s="62">
        <v>0.0</v>
      </c>
      <c r="J8" s="62">
        <v>0.0</v>
      </c>
      <c r="K8" s="62">
        <v>0.0</v>
      </c>
      <c r="L8" s="62">
        <v>0.0</v>
      </c>
      <c r="M8" s="62">
        <v>0.0</v>
      </c>
      <c r="N8" s="62">
        <v>0.0</v>
      </c>
      <c r="O8" s="62">
        <v>0.0</v>
      </c>
      <c r="P8" s="62">
        <v>0.0</v>
      </c>
      <c r="Q8" s="62">
        <v>0.0</v>
      </c>
      <c r="R8" s="62">
        <v>0.0</v>
      </c>
      <c r="S8" s="62">
        <v>0.0</v>
      </c>
      <c r="T8" s="62">
        <v>0.0</v>
      </c>
      <c r="U8" s="62">
        <v>0.0</v>
      </c>
      <c r="V8" s="62">
        <v>0.0</v>
      </c>
      <c r="W8" s="62">
        <v>0.0</v>
      </c>
      <c r="X8" s="62">
        <v>0.0</v>
      </c>
      <c r="Y8" s="62">
        <v>0.0</v>
      </c>
      <c r="Z8" s="62">
        <v>0.0</v>
      </c>
      <c r="AA8" s="62">
        <v>0.0</v>
      </c>
      <c r="AB8" s="62">
        <v>90848.0</v>
      </c>
      <c r="AC8" s="62">
        <v>49420.0</v>
      </c>
      <c r="AD8" s="62">
        <v>56461.0</v>
      </c>
      <c r="AE8" s="62">
        <v>7334.0</v>
      </c>
      <c r="AF8" s="62">
        <v>0.0</v>
      </c>
      <c r="AG8" s="62">
        <v>0.0</v>
      </c>
      <c r="AH8" s="62">
        <v>0.0</v>
      </c>
      <c r="AI8" s="62">
        <v>0.0</v>
      </c>
      <c r="AJ8" s="62">
        <v>0.0</v>
      </c>
      <c r="AK8" s="62">
        <v>0.0</v>
      </c>
      <c r="AL8" s="62">
        <v>0.0</v>
      </c>
      <c r="AM8" s="62">
        <v>0.0</v>
      </c>
      <c r="AN8" s="62">
        <v>0.0</v>
      </c>
      <c r="AO8" s="62">
        <v>0.0</v>
      </c>
      <c r="AP8" s="62">
        <v>0.0</v>
      </c>
      <c r="AQ8" s="62">
        <v>0.0</v>
      </c>
      <c r="AR8" s="62">
        <v>0.0</v>
      </c>
      <c r="AS8" s="62">
        <v>0.0</v>
      </c>
      <c r="AT8" s="62">
        <v>0.0</v>
      </c>
      <c r="AU8" s="62">
        <v>0.0</v>
      </c>
      <c r="AV8" s="62">
        <v>0.0</v>
      </c>
      <c r="AW8" s="62">
        <v>0.0</v>
      </c>
      <c r="AX8" s="62">
        <v>0.0</v>
      </c>
      <c r="AY8" s="62">
        <v>0.0</v>
      </c>
      <c r="AZ8" s="62">
        <v>0.0</v>
      </c>
      <c r="BA8" s="62">
        <v>0.0</v>
      </c>
      <c r="BB8" s="62">
        <v>0.0</v>
      </c>
      <c r="BC8" s="62">
        <v>0.0</v>
      </c>
      <c r="BD8" s="62">
        <v>0.0</v>
      </c>
      <c r="BE8" s="62">
        <v>0.0</v>
      </c>
      <c r="BF8" s="62">
        <v>0.0</v>
      </c>
      <c r="BG8" s="62">
        <v>7400.0</v>
      </c>
      <c r="BH8" s="62">
        <v>0.0</v>
      </c>
      <c r="BI8" s="62">
        <v>0.0</v>
      </c>
      <c r="BJ8" s="62">
        <v>0.0</v>
      </c>
      <c r="BK8" s="62">
        <v>422045.0</v>
      </c>
      <c r="BL8" s="62">
        <v>0.0</v>
      </c>
      <c r="BM8" s="62">
        <v>0.0</v>
      </c>
      <c r="BN8" s="62">
        <v>0.0</v>
      </c>
      <c r="BO8" s="62">
        <v>564.0</v>
      </c>
      <c r="BP8" s="62">
        <v>0.0</v>
      </c>
      <c r="BQ8" s="62">
        <v>0.0</v>
      </c>
      <c r="BR8" s="62">
        <v>0.0</v>
      </c>
      <c r="BS8" s="62">
        <v>0.0</v>
      </c>
      <c r="BT8" s="62">
        <v>0.0</v>
      </c>
      <c r="BU8" s="62">
        <v>1331003.0</v>
      </c>
      <c r="BV8" s="62">
        <v>40793.0</v>
      </c>
      <c r="BW8" s="62">
        <v>26.0</v>
      </c>
      <c r="BX8" s="62">
        <v>0.0</v>
      </c>
      <c r="BY8" s="62">
        <v>0.0</v>
      </c>
      <c r="BZ8" s="62">
        <v>0.0</v>
      </c>
      <c r="CA8" s="62">
        <v>0.0</v>
      </c>
      <c r="CB8" s="62">
        <v>0.0</v>
      </c>
      <c r="CC8" s="62">
        <v>0.0</v>
      </c>
      <c r="CD8" s="62">
        <v>0.0</v>
      </c>
      <c r="CE8" s="62">
        <v>0.0</v>
      </c>
      <c r="CF8" s="62">
        <v>0.0</v>
      </c>
      <c r="CG8" s="62">
        <v>0.0</v>
      </c>
      <c r="CH8" s="62">
        <v>0.0</v>
      </c>
      <c r="CI8" s="62">
        <v>0.0</v>
      </c>
      <c r="CJ8" s="62">
        <v>0.0</v>
      </c>
      <c r="CK8" s="62">
        <v>0.0</v>
      </c>
      <c r="CL8" s="62">
        <v>0.0</v>
      </c>
      <c r="CM8" s="62">
        <v>0.0</v>
      </c>
      <c r="CN8" s="62">
        <v>0.0</v>
      </c>
      <c r="CO8" s="62">
        <v>0.0</v>
      </c>
      <c r="CP8" s="62">
        <v>0.0</v>
      </c>
      <c r="CQ8" s="62">
        <v>0.0</v>
      </c>
      <c r="CR8" s="62">
        <v>0.0</v>
      </c>
      <c r="CS8" s="62">
        <v>0.0</v>
      </c>
      <c r="CT8" s="62">
        <v>0.0</v>
      </c>
      <c r="CU8" s="62">
        <v>0.0</v>
      </c>
      <c r="CV8" s="62">
        <v>0.0</v>
      </c>
      <c r="CW8" s="62">
        <v>0.0</v>
      </c>
      <c r="CX8" s="62">
        <v>0.0</v>
      </c>
      <c r="CY8" s="62">
        <v>0.0</v>
      </c>
      <c r="CZ8" s="62">
        <v>0.0</v>
      </c>
      <c r="DA8" s="62">
        <v>0.0</v>
      </c>
      <c r="DB8" s="62">
        <v>0.0</v>
      </c>
      <c r="DC8" s="62">
        <v>0.0</v>
      </c>
      <c r="DD8" s="62">
        <v>169.0</v>
      </c>
      <c r="DE8" s="62">
        <v>0.0</v>
      </c>
      <c r="DF8" s="62">
        <v>0.0</v>
      </c>
      <c r="DG8" s="62">
        <v>0.0</v>
      </c>
      <c r="DH8" s="62">
        <v>0.0</v>
      </c>
      <c r="DI8" s="62">
        <v>0.0</v>
      </c>
      <c r="DJ8" s="62">
        <v>0.0</v>
      </c>
      <c r="DK8" s="62">
        <v>0.0</v>
      </c>
      <c r="DL8" s="62">
        <v>0.0</v>
      </c>
      <c r="DM8" s="62">
        <v>0.0</v>
      </c>
      <c r="DN8" s="62">
        <v>0.0</v>
      </c>
      <c r="DO8" s="62">
        <v>0.0</v>
      </c>
      <c r="DP8" s="62">
        <v>0.0</v>
      </c>
      <c r="DQ8" s="62">
        <v>0.0</v>
      </c>
      <c r="DR8" s="62">
        <v>0.0</v>
      </c>
      <c r="DS8" s="62">
        <v>0.0</v>
      </c>
      <c r="DT8" s="62">
        <v>0.0</v>
      </c>
      <c r="DU8" s="62">
        <v>0.0</v>
      </c>
      <c r="DV8" s="62">
        <v>0.0</v>
      </c>
      <c r="DW8" s="62">
        <v>0.0</v>
      </c>
      <c r="DX8" s="62">
        <v>0.0</v>
      </c>
      <c r="DY8" s="62">
        <v>0.0</v>
      </c>
      <c r="DZ8" s="62">
        <v>0.0</v>
      </c>
      <c r="EA8" s="62">
        <v>0.0</v>
      </c>
      <c r="EB8" s="62">
        <v>0.0</v>
      </c>
      <c r="EC8" s="62">
        <v>0.0</v>
      </c>
      <c r="ED8" s="62">
        <v>0.0</v>
      </c>
      <c r="EE8" s="62">
        <v>0.0</v>
      </c>
      <c r="EF8" s="62">
        <v>0.0</v>
      </c>
      <c r="EG8" s="62">
        <v>0.0</v>
      </c>
      <c r="EH8" s="62">
        <v>0.0</v>
      </c>
      <c r="EI8" s="62">
        <v>0.0</v>
      </c>
      <c r="EJ8" s="62">
        <v>0.0</v>
      </c>
      <c r="EK8" s="62">
        <v>0.0</v>
      </c>
      <c r="EL8" s="62">
        <v>0.0</v>
      </c>
      <c r="EM8" s="62">
        <v>0.0</v>
      </c>
      <c r="EN8" s="62">
        <v>0.0</v>
      </c>
      <c r="EO8" s="62">
        <v>0.0</v>
      </c>
      <c r="EP8" s="62">
        <v>0.0</v>
      </c>
      <c r="EQ8" s="62">
        <v>0.0</v>
      </c>
      <c r="ER8" s="62">
        <v>0.0</v>
      </c>
      <c r="ES8" s="62">
        <v>0.0</v>
      </c>
      <c r="ET8" s="62">
        <v>0.0</v>
      </c>
      <c r="EU8" s="62">
        <v>0.0</v>
      </c>
      <c r="EV8" s="62">
        <v>0.0</v>
      </c>
      <c r="EW8" s="62">
        <v>0.0</v>
      </c>
      <c r="EX8" s="62">
        <v>0.0</v>
      </c>
      <c r="EY8" s="62">
        <v>0.0</v>
      </c>
      <c r="EZ8" s="62">
        <v>0.0</v>
      </c>
      <c r="FA8" s="62">
        <v>0.0</v>
      </c>
      <c r="FB8" s="62">
        <v>0.0</v>
      </c>
      <c r="FC8" s="62">
        <v>0.0</v>
      </c>
      <c r="FD8" s="62">
        <v>0.0</v>
      </c>
      <c r="FE8" s="62">
        <v>0.0</v>
      </c>
      <c r="FF8" s="62">
        <v>0.0</v>
      </c>
      <c r="FG8" s="62">
        <v>0.0</v>
      </c>
      <c r="FH8" s="62">
        <v>0.0</v>
      </c>
      <c r="FI8" s="62">
        <v>0.0</v>
      </c>
      <c r="FJ8" s="62">
        <v>50496.0</v>
      </c>
      <c r="FK8" s="62">
        <v>612148.0</v>
      </c>
      <c r="FL8" s="62">
        <v>0.0</v>
      </c>
      <c r="FM8" s="62">
        <v>0.0</v>
      </c>
      <c r="FN8" s="62">
        <v>0.0</v>
      </c>
      <c r="FO8" s="62">
        <v>0.0</v>
      </c>
      <c r="FP8" s="62">
        <v>0.0</v>
      </c>
      <c r="FQ8" s="62">
        <v>0.0</v>
      </c>
      <c r="FR8" s="62">
        <v>0.0</v>
      </c>
      <c r="FS8" s="62">
        <v>0.0</v>
      </c>
      <c r="FT8" s="62">
        <v>0.0</v>
      </c>
      <c r="FU8" s="62">
        <v>0.0</v>
      </c>
      <c r="FV8" s="62">
        <v>0.0</v>
      </c>
      <c r="FW8" s="62">
        <v>3918.0</v>
      </c>
      <c r="FX8" s="62">
        <v>231.0</v>
      </c>
      <c r="FY8" s="62">
        <v>112995.0</v>
      </c>
      <c r="FZ8" s="62">
        <v>30.0</v>
      </c>
      <c r="GA8" s="62">
        <v>3836.0</v>
      </c>
      <c r="GB8" s="62">
        <v>48061.0</v>
      </c>
      <c r="GC8" s="62">
        <v>199281.0</v>
      </c>
      <c r="GD8" s="62">
        <v>0.0</v>
      </c>
      <c r="GE8" s="62">
        <v>1299.0</v>
      </c>
      <c r="GF8" s="63">
        <v>3526055.0</v>
      </c>
      <c r="GG8" s="64">
        <v>7081451.0</v>
      </c>
      <c r="GH8" s="65">
        <v>0.0</v>
      </c>
      <c r="GI8" s="64">
        <v>0.0</v>
      </c>
      <c r="GJ8" s="64">
        <v>0.0</v>
      </c>
      <c r="GK8" s="64">
        <v>-285419.0</v>
      </c>
      <c r="GL8" s="64">
        <v>140964.0</v>
      </c>
      <c r="GM8" s="64">
        <v>0.0</v>
      </c>
      <c r="GN8" s="63">
        <v>6936996.0</v>
      </c>
      <c r="GO8" s="66">
        <v>1.0463051E7</v>
      </c>
      <c r="GP8" s="64">
        <v>1.0</v>
      </c>
      <c r="GQ8" s="64">
        <v>0.0</v>
      </c>
      <c r="GR8" s="65">
        <v>0.0</v>
      </c>
      <c r="GS8" s="63">
        <v>1.0</v>
      </c>
      <c r="GT8" s="67">
        <v>346659.0</v>
      </c>
      <c r="GU8" s="67">
        <v>796326.0</v>
      </c>
      <c r="GV8" s="67">
        <v>185157.0</v>
      </c>
      <c r="GW8" s="63">
        <v>1328142.0</v>
      </c>
      <c r="GX8" s="63">
        <v>0.0</v>
      </c>
      <c r="GY8" s="63">
        <v>9134908.0</v>
      </c>
      <c r="GZ8" s="66">
        <v>1.0463051E7</v>
      </c>
    </row>
    <row r="9">
      <c r="A9" s="60">
        <v>4.0</v>
      </c>
      <c r="B9" s="61" t="s">
        <v>49</v>
      </c>
      <c r="C9" s="62">
        <v>0.0</v>
      </c>
      <c r="D9" s="62">
        <v>0.0</v>
      </c>
      <c r="E9" s="62">
        <v>0.0</v>
      </c>
      <c r="F9" s="62">
        <v>3571482.0</v>
      </c>
      <c r="G9" s="62">
        <v>0.0</v>
      </c>
      <c r="H9" s="62">
        <v>0.0</v>
      </c>
      <c r="I9" s="62">
        <v>0.0</v>
      </c>
      <c r="J9" s="62">
        <v>0.0</v>
      </c>
      <c r="K9" s="62">
        <v>0.0</v>
      </c>
      <c r="L9" s="62">
        <v>0.0</v>
      </c>
      <c r="M9" s="62">
        <v>0.0</v>
      </c>
      <c r="N9" s="62">
        <v>0.0</v>
      </c>
      <c r="O9" s="62">
        <v>0.0</v>
      </c>
      <c r="P9" s="62">
        <v>0.0</v>
      </c>
      <c r="Q9" s="62">
        <v>0.0</v>
      </c>
      <c r="R9" s="62">
        <v>0.0</v>
      </c>
      <c r="S9" s="62">
        <v>0.0</v>
      </c>
      <c r="T9" s="62">
        <v>0.0</v>
      </c>
      <c r="U9" s="62">
        <v>0.0</v>
      </c>
      <c r="V9" s="62">
        <v>0.0</v>
      </c>
      <c r="W9" s="62">
        <v>0.0</v>
      </c>
      <c r="X9" s="62">
        <v>0.0</v>
      </c>
      <c r="Y9" s="62">
        <v>0.0</v>
      </c>
      <c r="Z9" s="62">
        <v>0.0</v>
      </c>
      <c r="AA9" s="62">
        <v>0.0</v>
      </c>
      <c r="AB9" s="62">
        <v>445948.0</v>
      </c>
      <c r="AC9" s="62">
        <v>62114.0</v>
      </c>
      <c r="AD9" s="62">
        <v>334820.0</v>
      </c>
      <c r="AE9" s="62">
        <v>21728.0</v>
      </c>
      <c r="AF9" s="62">
        <v>277.0</v>
      </c>
      <c r="AG9" s="62">
        <v>0.0</v>
      </c>
      <c r="AH9" s="62">
        <v>0.0</v>
      </c>
      <c r="AI9" s="62">
        <v>74523.0</v>
      </c>
      <c r="AJ9" s="62">
        <v>391.0</v>
      </c>
      <c r="AK9" s="62">
        <v>161.0</v>
      </c>
      <c r="AL9" s="62">
        <v>0.0</v>
      </c>
      <c r="AM9" s="62">
        <v>0.0</v>
      </c>
      <c r="AN9" s="62">
        <v>0.0</v>
      </c>
      <c r="AO9" s="62">
        <v>0.0</v>
      </c>
      <c r="AP9" s="62">
        <v>0.0</v>
      </c>
      <c r="AQ9" s="62">
        <v>0.0</v>
      </c>
      <c r="AR9" s="62">
        <v>0.0</v>
      </c>
      <c r="AS9" s="62">
        <v>0.0</v>
      </c>
      <c r="AT9" s="62">
        <v>0.0</v>
      </c>
      <c r="AU9" s="62">
        <v>0.0</v>
      </c>
      <c r="AV9" s="62">
        <v>0.0</v>
      </c>
      <c r="AW9" s="62">
        <v>0.0</v>
      </c>
      <c r="AX9" s="62">
        <v>0.0</v>
      </c>
      <c r="AY9" s="62">
        <v>0.0</v>
      </c>
      <c r="AZ9" s="62">
        <v>0.0</v>
      </c>
      <c r="BA9" s="62">
        <v>0.0</v>
      </c>
      <c r="BB9" s="62">
        <v>0.0</v>
      </c>
      <c r="BC9" s="62">
        <v>0.0</v>
      </c>
      <c r="BD9" s="62">
        <v>0.0</v>
      </c>
      <c r="BE9" s="62">
        <v>0.0</v>
      </c>
      <c r="BF9" s="62">
        <v>0.0</v>
      </c>
      <c r="BG9" s="62">
        <v>0.0</v>
      </c>
      <c r="BH9" s="62">
        <v>0.0</v>
      </c>
      <c r="BI9" s="62">
        <v>0.0</v>
      </c>
      <c r="BJ9" s="62">
        <v>0.0</v>
      </c>
      <c r="BK9" s="62">
        <v>9984346.0</v>
      </c>
      <c r="BL9" s="62">
        <v>275056.0</v>
      </c>
      <c r="BM9" s="62">
        <v>0.0</v>
      </c>
      <c r="BN9" s="62">
        <v>0.0</v>
      </c>
      <c r="BO9" s="62">
        <v>110105.0</v>
      </c>
      <c r="BP9" s="62">
        <v>0.0</v>
      </c>
      <c r="BQ9" s="62">
        <v>0.0</v>
      </c>
      <c r="BR9" s="62">
        <v>0.0</v>
      </c>
      <c r="BS9" s="62">
        <v>0.0</v>
      </c>
      <c r="BT9" s="62">
        <v>0.0</v>
      </c>
      <c r="BU9" s="62">
        <v>1.8669044E7</v>
      </c>
      <c r="BV9" s="62">
        <v>2184102.0</v>
      </c>
      <c r="BW9" s="62">
        <v>2768.0</v>
      </c>
      <c r="BX9" s="62">
        <v>0.0</v>
      </c>
      <c r="BY9" s="62">
        <v>0.0</v>
      </c>
      <c r="BZ9" s="62">
        <v>0.0</v>
      </c>
      <c r="CA9" s="62">
        <v>0.0</v>
      </c>
      <c r="CB9" s="62">
        <v>0.0</v>
      </c>
      <c r="CC9" s="62">
        <v>0.0</v>
      </c>
      <c r="CD9" s="62">
        <v>0.0</v>
      </c>
      <c r="CE9" s="62">
        <v>0.0</v>
      </c>
      <c r="CF9" s="62">
        <v>0.0</v>
      </c>
      <c r="CG9" s="62">
        <v>0.0</v>
      </c>
      <c r="CH9" s="62">
        <v>0.0</v>
      </c>
      <c r="CI9" s="62">
        <v>0.0</v>
      </c>
      <c r="CJ9" s="62">
        <v>0.0</v>
      </c>
      <c r="CK9" s="62">
        <v>0.0</v>
      </c>
      <c r="CL9" s="62">
        <v>0.0</v>
      </c>
      <c r="CM9" s="62">
        <v>0.0</v>
      </c>
      <c r="CN9" s="62">
        <v>0.0</v>
      </c>
      <c r="CO9" s="62">
        <v>0.0</v>
      </c>
      <c r="CP9" s="62">
        <v>0.0</v>
      </c>
      <c r="CQ9" s="62">
        <v>0.0</v>
      </c>
      <c r="CR9" s="62">
        <v>0.0</v>
      </c>
      <c r="CS9" s="62">
        <v>0.0</v>
      </c>
      <c r="CT9" s="62">
        <v>0.0</v>
      </c>
      <c r="CU9" s="62">
        <v>0.0</v>
      </c>
      <c r="CV9" s="62">
        <v>0.0</v>
      </c>
      <c r="CW9" s="62">
        <v>0.0</v>
      </c>
      <c r="CX9" s="62">
        <v>0.0</v>
      </c>
      <c r="CY9" s="62">
        <v>0.0</v>
      </c>
      <c r="CZ9" s="62">
        <v>0.0</v>
      </c>
      <c r="DA9" s="62">
        <v>0.0</v>
      </c>
      <c r="DB9" s="62">
        <v>0.0</v>
      </c>
      <c r="DC9" s="62">
        <v>0.0</v>
      </c>
      <c r="DD9" s="62">
        <v>388.0</v>
      </c>
      <c r="DE9" s="62">
        <v>0.0</v>
      </c>
      <c r="DF9" s="62">
        <v>0.0</v>
      </c>
      <c r="DG9" s="62">
        <v>0.0</v>
      </c>
      <c r="DH9" s="62">
        <v>0.0</v>
      </c>
      <c r="DI9" s="62">
        <v>0.0</v>
      </c>
      <c r="DJ9" s="62">
        <v>0.0</v>
      </c>
      <c r="DK9" s="62">
        <v>0.0</v>
      </c>
      <c r="DL9" s="62">
        <v>0.0</v>
      </c>
      <c r="DM9" s="62">
        <v>0.0</v>
      </c>
      <c r="DN9" s="62">
        <v>0.0</v>
      </c>
      <c r="DO9" s="62">
        <v>0.0</v>
      </c>
      <c r="DP9" s="62">
        <v>0.0</v>
      </c>
      <c r="DQ9" s="62">
        <v>0.0</v>
      </c>
      <c r="DR9" s="62">
        <v>0.0</v>
      </c>
      <c r="DS9" s="62">
        <v>0.0</v>
      </c>
      <c r="DT9" s="62">
        <v>0.0</v>
      </c>
      <c r="DU9" s="62">
        <v>0.0</v>
      </c>
      <c r="DV9" s="62">
        <v>0.0</v>
      </c>
      <c r="DW9" s="62">
        <v>0.0</v>
      </c>
      <c r="DX9" s="62">
        <v>0.0</v>
      </c>
      <c r="DY9" s="62">
        <v>0.0</v>
      </c>
      <c r="DZ9" s="62">
        <v>0.0</v>
      </c>
      <c r="EA9" s="62">
        <v>0.0</v>
      </c>
      <c r="EB9" s="62">
        <v>0.0</v>
      </c>
      <c r="EC9" s="62">
        <v>0.0</v>
      </c>
      <c r="ED9" s="62">
        <v>0.0</v>
      </c>
      <c r="EE9" s="62">
        <v>0.0</v>
      </c>
      <c r="EF9" s="62">
        <v>0.0</v>
      </c>
      <c r="EG9" s="62">
        <v>0.0</v>
      </c>
      <c r="EH9" s="62">
        <v>0.0</v>
      </c>
      <c r="EI9" s="62">
        <v>0.0</v>
      </c>
      <c r="EJ9" s="62">
        <v>0.0</v>
      </c>
      <c r="EK9" s="62">
        <v>0.0</v>
      </c>
      <c r="EL9" s="62">
        <v>0.0</v>
      </c>
      <c r="EM9" s="62">
        <v>0.0</v>
      </c>
      <c r="EN9" s="62">
        <v>0.0</v>
      </c>
      <c r="EO9" s="62">
        <v>0.0</v>
      </c>
      <c r="EP9" s="62">
        <v>0.0</v>
      </c>
      <c r="EQ9" s="62">
        <v>0.0</v>
      </c>
      <c r="ER9" s="62">
        <v>0.0</v>
      </c>
      <c r="ES9" s="62">
        <v>0.0</v>
      </c>
      <c r="ET9" s="62">
        <v>0.0</v>
      </c>
      <c r="EU9" s="62">
        <v>0.0</v>
      </c>
      <c r="EV9" s="62">
        <v>0.0</v>
      </c>
      <c r="EW9" s="62">
        <v>0.0</v>
      </c>
      <c r="EX9" s="62">
        <v>0.0</v>
      </c>
      <c r="EY9" s="62">
        <v>0.0</v>
      </c>
      <c r="EZ9" s="62">
        <v>0.0</v>
      </c>
      <c r="FA9" s="62">
        <v>0.0</v>
      </c>
      <c r="FB9" s="62">
        <v>0.0</v>
      </c>
      <c r="FC9" s="62">
        <v>0.0</v>
      </c>
      <c r="FD9" s="62">
        <v>0.0</v>
      </c>
      <c r="FE9" s="62">
        <v>0.0</v>
      </c>
      <c r="FF9" s="62">
        <v>0.0</v>
      </c>
      <c r="FG9" s="62">
        <v>0.0</v>
      </c>
      <c r="FH9" s="62">
        <v>0.0</v>
      </c>
      <c r="FI9" s="62">
        <v>0.0</v>
      </c>
      <c r="FJ9" s="62">
        <v>199677.0</v>
      </c>
      <c r="FK9" s="62">
        <v>1.5950881E7</v>
      </c>
      <c r="FL9" s="62">
        <v>0.0</v>
      </c>
      <c r="FM9" s="62">
        <v>0.0</v>
      </c>
      <c r="FN9" s="62">
        <v>0.0</v>
      </c>
      <c r="FO9" s="62">
        <v>0.0</v>
      </c>
      <c r="FP9" s="62">
        <v>0.0</v>
      </c>
      <c r="FQ9" s="62">
        <v>0.0</v>
      </c>
      <c r="FR9" s="62">
        <v>0.0</v>
      </c>
      <c r="FS9" s="62">
        <v>0.0</v>
      </c>
      <c r="FT9" s="62">
        <v>0.0</v>
      </c>
      <c r="FU9" s="62">
        <v>0.0</v>
      </c>
      <c r="FV9" s="62">
        <v>0.0</v>
      </c>
      <c r="FW9" s="62">
        <v>1294.0</v>
      </c>
      <c r="FX9" s="62">
        <v>159.0</v>
      </c>
      <c r="FY9" s="62">
        <v>55834.0</v>
      </c>
      <c r="FZ9" s="62">
        <v>62.0</v>
      </c>
      <c r="GA9" s="62">
        <v>17594.0</v>
      </c>
      <c r="GB9" s="62">
        <v>42334.0</v>
      </c>
      <c r="GC9" s="62">
        <v>120881.0</v>
      </c>
      <c r="GD9" s="62">
        <v>0.0</v>
      </c>
      <c r="GE9" s="62">
        <v>964.0</v>
      </c>
      <c r="GF9" s="63">
        <v>5.2126933E7</v>
      </c>
      <c r="GG9" s="64">
        <v>2.0498649E7</v>
      </c>
      <c r="GH9" s="65">
        <v>0.0</v>
      </c>
      <c r="GI9" s="64">
        <v>0.0</v>
      </c>
      <c r="GJ9" s="64">
        <v>0.0</v>
      </c>
      <c r="GK9" s="64">
        <v>-32598.0</v>
      </c>
      <c r="GL9" s="64">
        <v>142689.0</v>
      </c>
      <c r="GM9" s="64">
        <v>0.0</v>
      </c>
      <c r="GN9" s="63">
        <v>2.060874E7</v>
      </c>
      <c r="GO9" s="66">
        <v>7.2735673E7</v>
      </c>
      <c r="GP9" s="64">
        <v>8617.0</v>
      </c>
      <c r="GQ9" s="64">
        <v>0.0</v>
      </c>
      <c r="GR9" s="65">
        <v>0.0</v>
      </c>
      <c r="GS9" s="63">
        <v>8617.0</v>
      </c>
      <c r="GT9" s="67">
        <v>7176918.0</v>
      </c>
      <c r="GU9" s="67">
        <v>8731938.0</v>
      </c>
      <c r="GV9" s="67">
        <v>2686537.0</v>
      </c>
      <c r="GW9" s="63">
        <v>1.8595393E7</v>
      </c>
      <c r="GX9" s="63">
        <v>730.0</v>
      </c>
      <c r="GY9" s="63">
        <v>5.4130933E7</v>
      </c>
      <c r="GZ9" s="66">
        <v>7.2735673E7</v>
      </c>
    </row>
    <row r="10">
      <c r="A10" s="68">
        <v>5.0</v>
      </c>
      <c r="B10" s="69" t="s">
        <v>50</v>
      </c>
      <c r="C10" s="70">
        <v>0.0</v>
      </c>
      <c r="D10" s="70">
        <v>0.0</v>
      </c>
      <c r="E10" s="70">
        <v>0.0</v>
      </c>
      <c r="F10" s="70">
        <v>0.0</v>
      </c>
      <c r="G10" s="70">
        <v>134478.0</v>
      </c>
      <c r="H10" s="70">
        <v>0.0</v>
      </c>
      <c r="I10" s="70">
        <v>0.0</v>
      </c>
      <c r="J10" s="70">
        <v>0.0</v>
      </c>
      <c r="K10" s="70">
        <v>0.0</v>
      </c>
      <c r="L10" s="70">
        <v>0.0</v>
      </c>
      <c r="M10" s="70">
        <v>0.0</v>
      </c>
      <c r="N10" s="70">
        <v>0.0</v>
      </c>
      <c r="O10" s="70">
        <v>0.0</v>
      </c>
      <c r="P10" s="70">
        <v>0.0</v>
      </c>
      <c r="Q10" s="70">
        <v>0.0</v>
      </c>
      <c r="R10" s="70">
        <v>0.0</v>
      </c>
      <c r="S10" s="70">
        <v>0.0</v>
      </c>
      <c r="T10" s="70">
        <v>0.0</v>
      </c>
      <c r="U10" s="70">
        <v>0.0</v>
      </c>
      <c r="V10" s="70">
        <v>0.0</v>
      </c>
      <c r="W10" s="70">
        <v>0.0</v>
      </c>
      <c r="X10" s="70">
        <v>0.0</v>
      </c>
      <c r="Y10" s="70">
        <v>0.0</v>
      </c>
      <c r="Z10" s="70">
        <v>0.0</v>
      </c>
      <c r="AA10" s="70">
        <v>0.0</v>
      </c>
      <c r="AB10" s="70">
        <v>157005.0</v>
      </c>
      <c r="AC10" s="70">
        <v>22771.0</v>
      </c>
      <c r="AD10" s="70">
        <v>81.0</v>
      </c>
      <c r="AE10" s="70">
        <v>226.0</v>
      </c>
      <c r="AF10" s="70">
        <v>0.0</v>
      </c>
      <c r="AG10" s="70">
        <v>0.0</v>
      </c>
      <c r="AH10" s="70">
        <v>0.0</v>
      </c>
      <c r="AI10" s="70">
        <v>0.0</v>
      </c>
      <c r="AJ10" s="70">
        <v>0.0</v>
      </c>
      <c r="AK10" s="70">
        <v>0.0</v>
      </c>
      <c r="AL10" s="70">
        <v>0.0</v>
      </c>
      <c r="AM10" s="70">
        <v>0.0</v>
      </c>
      <c r="AN10" s="70">
        <v>0.0</v>
      </c>
      <c r="AO10" s="70">
        <v>0.0</v>
      </c>
      <c r="AP10" s="70">
        <v>0.0</v>
      </c>
      <c r="AQ10" s="70">
        <v>0.0</v>
      </c>
      <c r="AR10" s="70">
        <v>0.0</v>
      </c>
      <c r="AS10" s="70">
        <v>0.0</v>
      </c>
      <c r="AT10" s="70">
        <v>0.0</v>
      </c>
      <c r="AU10" s="70">
        <v>0.0</v>
      </c>
      <c r="AV10" s="70">
        <v>0.0</v>
      </c>
      <c r="AW10" s="70">
        <v>0.0</v>
      </c>
      <c r="AX10" s="70">
        <v>0.0</v>
      </c>
      <c r="AY10" s="70">
        <v>0.0</v>
      </c>
      <c r="AZ10" s="70">
        <v>0.0</v>
      </c>
      <c r="BA10" s="70">
        <v>0.0</v>
      </c>
      <c r="BB10" s="70">
        <v>0.0</v>
      </c>
      <c r="BC10" s="70">
        <v>0.0</v>
      </c>
      <c r="BD10" s="70">
        <v>0.0</v>
      </c>
      <c r="BE10" s="70">
        <v>0.0</v>
      </c>
      <c r="BF10" s="70">
        <v>0.0</v>
      </c>
      <c r="BG10" s="70">
        <v>0.0</v>
      </c>
      <c r="BH10" s="70">
        <v>0.0</v>
      </c>
      <c r="BI10" s="70">
        <v>0.0</v>
      </c>
      <c r="BJ10" s="70">
        <v>0.0</v>
      </c>
      <c r="BK10" s="70">
        <v>31134.0</v>
      </c>
      <c r="BL10" s="70">
        <v>0.0</v>
      </c>
      <c r="BM10" s="70">
        <v>0.0</v>
      </c>
      <c r="BN10" s="70">
        <v>0.0</v>
      </c>
      <c r="BO10" s="70">
        <v>0.0</v>
      </c>
      <c r="BP10" s="70">
        <v>0.0</v>
      </c>
      <c r="BQ10" s="70">
        <v>130.0</v>
      </c>
      <c r="BR10" s="70">
        <v>0.0</v>
      </c>
      <c r="BS10" s="70">
        <v>0.0</v>
      </c>
      <c r="BT10" s="70">
        <v>0.0</v>
      </c>
      <c r="BU10" s="70">
        <v>906582.0</v>
      </c>
      <c r="BV10" s="70">
        <v>72222.0</v>
      </c>
      <c r="BW10" s="70">
        <v>34.0</v>
      </c>
      <c r="BX10" s="70">
        <v>409.0</v>
      </c>
      <c r="BY10" s="70">
        <v>0.0</v>
      </c>
      <c r="BZ10" s="70">
        <v>0.0</v>
      </c>
      <c r="CA10" s="70">
        <v>0.0</v>
      </c>
      <c r="CB10" s="70">
        <v>0.0</v>
      </c>
      <c r="CC10" s="70">
        <v>0.0</v>
      </c>
      <c r="CD10" s="70">
        <v>0.0</v>
      </c>
      <c r="CE10" s="70">
        <v>0.0</v>
      </c>
      <c r="CF10" s="70">
        <v>0.0</v>
      </c>
      <c r="CG10" s="70">
        <v>0.0</v>
      </c>
      <c r="CH10" s="70">
        <v>0.0</v>
      </c>
      <c r="CI10" s="70">
        <v>0.0</v>
      </c>
      <c r="CJ10" s="70">
        <v>0.0</v>
      </c>
      <c r="CK10" s="70">
        <v>0.0</v>
      </c>
      <c r="CL10" s="70">
        <v>0.0</v>
      </c>
      <c r="CM10" s="70">
        <v>0.0</v>
      </c>
      <c r="CN10" s="70">
        <v>0.0</v>
      </c>
      <c r="CO10" s="70">
        <v>0.0</v>
      </c>
      <c r="CP10" s="70">
        <v>0.0</v>
      </c>
      <c r="CQ10" s="70">
        <v>0.0</v>
      </c>
      <c r="CR10" s="70">
        <v>0.0</v>
      </c>
      <c r="CS10" s="70">
        <v>0.0</v>
      </c>
      <c r="CT10" s="70">
        <v>0.0</v>
      </c>
      <c r="CU10" s="70">
        <v>0.0</v>
      </c>
      <c r="CV10" s="70">
        <v>0.0</v>
      </c>
      <c r="CW10" s="70">
        <v>0.0</v>
      </c>
      <c r="CX10" s="70">
        <v>0.0</v>
      </c>
      <c r="CY10" s="70">
        <v>0.0</v>
      </c>
      <c r="CZ10" s="70">
        <v>0.0</v>
      </c>
      <c r="DA10" s="70">
        <v>0.0</v>
      </c>
      <c r="DB10" s="70">
        <v>0.0</v>
      </c>
      <c r="DC10" s="70">
        <v>0.0</v>
      </c>
      <c r="DD10" s="70">
        <v>88.0</v>
      </c>
      <c r="DE10" s="70">
        <v>0.0</v>
      </c>
      <c r="DF10" s="70">
        <v>0.0</v>
      </c>
      <c r="DG10" s="70">
        <v>0.0</v>
      </c>
      <c r="DH10" s="70">
        <v>0.0</v>
      </c>
      <c r="DI10" s="70">
        <v>0.0</v>
      </c>
      <c r="DJ10" s="70">
        <v>0.0</v>
      </c>
      <c r="DK10" s="70">
        <v>0.0</v>
      </c>
      <c r="DL10" s="70">
        <v>0.0</v>
      </c>
      <c r="DM10" s="70">
        <v>0.0</v>
      </c>
      <c r="DN10" s="70">
        <v>0.0</v>
      </c>
      <c r="DO10" s="70">
        <v>0.0</v>
      </c>
      <c r="DP10" s="70">
        <v>0.0</v>
      </c>
      <c r="DQ10" s="70">
        <v>0.0</v>
      </c>
      <c r="DR10" s="70">
        <v>0.0</v>
      </c>
      <c r="DS10" s="70">
        <v>0.0</v>
      </c>
      <c r="DT10" s="70">
        <v>0.0</v>
      </c>
      <c r="DU10" s="70">
        <v>0.0</v>
      </c>
      <c r="DV10" s="70">
        <v>0.0</v>
      </c>
      <c r="DW10" s="70">
        <v>0.0</v>
      </c>
      <c r="DX10" s="70">
        <v>0.0</v>
      </c>
      <c r="DY10" s="70">
        <v>0.0</v>
      </c>
      <c r="DZ10" s="70">
        <v>0.0</v>
      </c>
      <c r="EA10" s="70">
        <v>0.0</v>
      </c>
      <c r="EB10" s="70">
        <v>0.0</v>
      </c>
      <c r="EC10" s="70">
        <v>0.0</v>
      </c>
      <c r="ED10" s="70">
        <v>0.0</v>
      </c>
      <c r="EE10" s="70">
        <v>0.0</v>
      </c>
      <c r="EF10" s="70">
        <v>0.0</v>
      </c>
      <c r="EG10" s="70">
        <v>0.0</v>
      </c>
      <c r="EH10" s="70">
        <v>0.0</v>
      </c>
      <c r="EI10" s="70">
        <v>0.0</v>
      </c>
      <c r="EJ10" s="70">
        <v>0.0</v>
      </c>
      <c r="EK10" s="70">
        <v>0.0</v>
      </c>
      <c r="EL10" s="70">
        <v>0.0</v>
      </c>
      <c r="EM10" s="70">
        <v>0.0</v>
      </c>
      <c r="EN10" s="70">
        <v>0.0</v>
      </c>
      <c r="EO10" s="70">
        <v>0.0</v>
      </c>
      <c r="EP10" s="70">
        <v>0.0</v>
      </c>
      <c r="EQ10" s="70">
        <v>0.0</v>
      </c>
      <c r="ER10" s="70">
        <v>0.0</v>
      </c>
      <c r="ES10" s="70">
        <v>0.0</v>
      </c>
      <c r="ET10" s="70">
        <v>0.0</v>
      </c>
      <c r="EU10" s="70">
        <v>0.0</v>
      </c>
      <c r="EV10" s="70">
        <v>0.0</v>
      </c>
      <c r="EW10" s="70">
        <v>0.0</v>
      </c>
      <c r="EX10" s="70">
        <v>0.0</v>
      </c>
      <c r="EY10" s="70">
        <v>0.0</v>
      </c>
      <c r="EZ10" s="70">
        <v>0.0</v>
      </c>
      <c r="FA10" s="70">
        <v>0.0</v>
      </c>
      <c r="FB10" s="70">
        <v>0.0</v>
      </c>
      <c r="FC10" s="70">
        <v>0.0</v>
      </c>
      <c r="FD10" s="70">
        <v>0.0</v>
      </c>
      <c r="FE10" s="70">
        <v>0.0</v>
      </c>
      <c r="FF10" s="70">
        <v>0.0</v>
      </c>
      <c r="FG10" s="70">
        <v>0.0</v>
      </c>
      <c r="FH10" s="70">
        <v>0.0</v>
      </c>
      <c r="FI10" s="70">
        <v>0.0</v>
      </c>
      <c r="FJ10" s="70">
        <v>71840.0</v>
      </c>
      <c r="FK10" s="70">
        <v>220877.0</v>
      </c>
      <c r="FL10" s="70">
        <v>0.0</v>
      </c>
      <c r="FM10" s="70">
        <v>0.0</v>
      </c>
      <c r="FN10" s="70">
        <v>0.0</v>
      </c>
      <c r="FO10" s="70">
        <v>0.0</v>
      </c>
      <c r="FP10" s="70">
        <v>0.0</v>
      </c>
      <c r="FQ10" s="70">
        <v>0.0</v>
      </c>
      <c r="FR10" s="70">
        <v>0.0</v>
      </c>
      <c r="FS10" s="70">
        <v>0.0</v>
      </c>
      <c r="FT10" s="70">
        <v>0.0</v>
      </c>
      <c r="FU10" s="70">
        <v>0.0</v>
      </c>
      <c r="FV10" s="70">
        <v>0.0</v>
      </c>
      <c r="FW10" s="70">
        <v>78385.0</v>
      </c>
      <c r="FX10" s="70">
        <v>4208.0</v>
      </c>
      <c r="FY10" s="70">
        <v>258575.0</v>
      </c>
      <c r="FZ10" s="70">
        <v>5921.0</v>
      </c>
      <c r="GA10" s="70">
        <v>3234.0</v>
      </c>
      <c r="GB10" s="70">
        <v>18207.0</v>
      </c>
      <c r="GC10" s="70">
        <v>51481.0</v>
      </c>
      <c r="GD10" s="70">
        <v>0.0</v>
      </c>
      <c r="GE10" s="70">
        <v>11343.0</v>
      </c>
      <c r="GF10" s="71">
        <v>2049231.0</v>
      </c>
      <c r="GG10" s="72">
        <v>1444796.0</v>
      </c>
      <c r="GH10" s="73">
        <v>0.0</v>
      </c>
      <c r="GI10" s="72">
        <v>0.0</v>
      </c>
      <c r="GJ10" s="72">
        <v>0.0</v>
      </c>
      <c r="GK10" s="72">
        <v>18.0</v>
      </c>
      <c r="GL10" s="72">
        <v>342547.0</v>
      </c>
      <c r="GM10" s="72">
        <v>0.0</v>
      </c>
      <c r="GN10" s="71">
        <v>1787361.0</v>
      </c>
      <c r="GO10" s="74">
        <v>3836592.0</v>
      </c>
      <c r="GP10" s="72">
        <v>20483.0</v>
      </c>
      <c r="GQ10" s="72">
        <v>0.0</v>
      </c>
      <c r="GR10" s="73">
        <v>0.0</v>
      </c>
      <c r="GS10" s="71">
        <v>20483.0</v>
      </c>
      <c r="GT10" s="75">
        <v>191856.0</v>
      </c>
      <c r="GU10" s="75">
        <v>243368.0</v>
      </c>
      <c r="GV10" s="75">
        <v>34794.0</v>
      </c>
      <c r="GW10" s="71">
        <v>470018.0</v>
      </c>
      <c r="GX10" s="71">
        <v>1385.0</v>
      </c>
      <c r="GY10" s="71">
        <v>3344706.0</v>
      </c>
      <c r="GZ10" s="74">
        <v>3836592.0</v>
      </c>
    </row>
    <row r="11">
      <c r="A11" s="52">
        <v>6.0</v>
      </c>
      <c r="B11" s="53" t="s">
        <v>51</v>
      </c>
      <c r="C11" s="54">
        <v>0.0</v>
      </c>
      <c r="D11" s="54">
        <v>0.0</v>
      </c>
      <c r="E11" s="54">
        <v>0.0</v>
      </c>
      <c r="F11" s="54">
        <v>0.0</v>
      </c>
      <c r="G11" s="54">
        <v>0.0</v>
      </c>
      <c r="H11" s="54">
        <v>293018.0</v>
      </c>
      <c r="I11" s="54">
        <v>0.0</v>
      </c>
      <c r="J11" s="54">
        <v>0.0</v>
      </c>
      <c r="K11" s="54">
        <v>0.0</v>
      </c>
      <c r="L11" s="54">
        <v>0.0</v>
      </c>
      <c r="M11" s="54">
        <v>0.0</v>
      </c>
      <c r="N11" s="54">
        <v>0.0</v>
      </c>
      <c r="O11" s="54">
        <v>0.0</v>
      </c>
      <c r="P11" s="54">
        <v>0.0</v>
      </c>
      <c r="Q11" s="54">
        <v>0.0</v>
      </c>
      <c r="R11" s="54">
        <v>0.0</v>
      </c>
      <c r="S11" s="54">
        <v>0.0</v>
      </c>
      <c r="T11" s="54">
        <v>0.0</v>
      </c>
      <c r="U11" s="54">
        <v>0.0</v>
      </c>
      <c r="V11" s="54">
        <v>0.0</v>
      </c>
      <c r="W11" s="54">
        <v>0.0</v>
      </c>
      <c r="X11" s="54">
        <v>0.0</v>
      </c>
      <c r="Y11" s="54">
        <v>0.0</v>
      </c>
      <c r="Z11" s="54">
        <v>0.0</v>
      </c>
      <c r="AA11" s="54">
        <v>0.0</v>
      </c>
      <c r="AB11" s="54">
        <v>35015.0</v>
      </c>
      <c r="AC11" s="54">
        <v>1004.0</v>
      </c>
      <c r="AD11" s="54">
        <v>15766.0</v>
      </c>
      <c r="AE11" s="54">
        <v>2494.0</v>
      </c>
      <c r="AF11" s="54">
        <v>0.0</v>
      </c>
      <c r="AG11" s="54">
        <v>0.0</v>
      </c>
      <c r="AH11" s="54">
        <v>0.0</v>
      </c>
      <c r="AI11" s="54">
        <v>0.0</v>
      </c>
      <c r="AJ11" s="54">
        <v>0.0</v>
      </c>
      <c r="AK11" s="54">
        <v>0.0</v>
      </c>
      <c r="AL11" s="54">
        <v>0.0</v>
      </c>
      <c r="AM11" s="54">
        <v>0.0</v>
      </c>
      <c r="AN11" s="54">
        <v>0.0</v>
      </c>
      <c r="AO11" s="54">
        <v>0.0</v>
      </c>
      <c r="AP11" s="54">
        <v>0.0</v>
      </c>
      <c r="AQ11" s="54">
        <v>0.0</v>
      </c>
      <c r="AR11" s="54">
        <v>0.0</v>
      </c>
      <c r="AS11" s="54">
        <v>0.0</v>
      </c>
      <c r="AT11" s="54">
        <v>0.0</v>
      </c>
      <c r="AU11" s="54">
        <v>0.0</v>
      </c>
      <c r="AV11" s="54">
        <v>0.0</v>
      </c>
      <c r="AW11" s="54">
        <v>0.0</v>
      </c>
      <c r="AX11" s="54">
        <v>0.0</v>
      </c>
      <c r="AY11" s="54">
        <v>0.0</v>
      </c>
      <c r="AZ11" s="54">
        <v>0.0</v>
      </c>
      <c r="BA11" s="54">
        <v>0.0</v>
      </c>
      <c r="BB11" s="54">
        <v>0.0</v>
      </c>
      <c r="BC11" s="54">
        <v>0.0</v>
      </c>
      <c r="BD11" s="54">
        <v>0.0</v>
      </c>
      <c r="BE11" s="54">
        <v>0.0</v>
      </c>
      <c r="BF11" s="54">
        <v>0.0</v>
      </c>
      <c r="BG11" s="54">
        <v>482006.0</v>
      </c>
      <c r="BH11" s="54">
        <v>18096.0</v>
      </c>
      <c r="BI11" s="54">
        <v>0.0</v>
      </c>
      <c r="BJ11" s="54">
        <v>0.0</v>
      </c>
      <c r="BK11" s="54">
        <v>527896.0</v>
      </c>
      <c r="BL11" s="54">
        <v>0.0</v>
      </c>
      <c r="BM11" s="54">
        <v>0.0</v>
      </c>
      <c r="BN11" s="54">
        <v>0.0</v>
      </c>
      <c r="BO11" s="54">
        <v>0.0</v>
      </c>
      <c r="BP11" s="54">
        <v>0.0</v>
      </c>
      <c r="BQ11" s="54">
        <v>0.0</v>
      </c>
      <c r="BR11" s="54">
        <v>372.0</v>
      </c>
      <c r="BS11" s="54">
        <v>0.0</v>
      </c>
      <c r="BT11" s="54">
        <v>0.0</v>
      </c>
      <c r="BU11" s="54">
        <v>2648002.0</v>
      </c>
      <c r="BV11" s="54">
        <v>437354.0</v>
      </c>
      <c r="BW11" s="54">
        <v>0.0</v>
      </c>
      <c r="BX11" s="54">
        <v>28481.0</v>
      </c>
      <c r="BY11" s="54">
        <v>0.0</v>
      </c>
      <c r="BZ11" s="54">
        <v>0.0</v>
      </c>
      <c r="CA11" s="54">
        <v>0.0</v>
      </c>
      <c r="CB11" s="54">
        <v>0.0</v>
      </c>
      <c r="CC11" s="54">
        <v>0.0</v>
      </c>
      <c r="CD11" s="54">
        <v>0.0</v>
      </c>
      <c r="CE11" s="54">
        <v>0.0</v>
      </c>
      <c r="CF11" s="54">
        <v>0.0</v>
      </c>
      <c r="CG11" s="54">
        <v>0.0</v>
      </c>
      <c r="CH11" s="54">
        <v>0.0</v>
      </c>
      <c r="CI11" s="54">
        <v>0.0</v>
      </c>
      <c r="CJ11" s="54">
        <v>0.0</v>
      </c>
      <c r="CK11" s="54">
        <v>0.0</v>
      </c>
      <c r="CL11" s="54">
        <v>0.0</v>
      </c>
      <c r="CM11" s="54">
        <v>0.0</v>
      </c>
      <c r="CN11" s="54">
        <v>0.0</v>
      </c>
      <c r="CO11" s="54">
        <v>0.0</v>
      </c>
      <c r="CP11" s="54">
        <v>0.0</v>
      </c>
      <c r="CQ11" s="54">
        <v>0.0</v>
      </c>
      <c r="CR11" s="54">
        <v>0.0</v>
      </c>
      <c r="CS11" s="54">
        <v>0.0</v>
      </c>
      <c r="CT11" s="54">
        <v>0.0</v>
      </c>
      <c r="CU11" s="54">
        <v>0.0</v>
      </c>
      <c r="CV11" s="54">
        <v>0.0</v>
      </c>
      <c r="CW11" s="54">
        <v>0.0</v>
      </c>
      <c r="CX11" s="54">
        <v>0.0</v>
      </c>
      <c r="CY11" s="54">
        <v>0.0</v>
      </c>
      <c r="CZ11" s="54">
        <v>0.0</v>
      </c>
      <c r="DA11" s="54">
        <v>0.0</v>
      </c>
      <c r="DB11" s="54">
        <v>0.0</v>
      </c>
      <c r="DC11" s="54">
        <v>844.0</v>
      </c>
      <c r="DD11" s="54">
        <v>52.0</v>
      </c>
      <c r="DE11" s="54">
        <v>0.0</v>
      </c>
      <c r="DF11" s="54">
        <v>0.0</v>
      </c>
      <c r="DG11" s="54">
        <v>0.0</v>
      </c>
      <c r="DH11" s="54">
        <v>0.0</v>
      </c>
      <c r="DI11" s="54">
        <v>0.0</v>
      </c>
      <c r="DJ11" s="54">
        <v>0.0</v>
      </c>
      <c r="DK11" s="54">
        <v>0.0</v>
      </c>
      <c r="DL11" s="54">
        <v>0.0</v>
      </c>
      <c r="DM11" s="54">
        <v>0.0</v>
      </c>
      <c r="DN11" s="54">
        <v>0.0</v>
      </c>
      <c r="DO11" s="54">
        <v>0.0</v>
      </c>
      <c r="DP11" s="54">
        <v>0.0</v>
      </c>
      <c r="DQ11" s="54">
        <v>0.0</v>
      </c>
      <c r="DR11" s="54">
        <v>0.0</v>
      </c>
      <c r="DS11" s="54">
        <v>0.0</v>
      </c>
      <c r="DT11" s="54">
        <v>0.0</v>
      </c>
      <c r="DU11" s="54">
        <v>0.0</v>
      </c>
      <c r="DV11" s="54">
        <v>0.0</v>
      </c>
      <c r="DW11" s="54">
        <v>0.0</v>
      </c>
      <c r="DX11" s="54">
        <v>0.0</v>
      </c>
      <c r="DY11" s="54">
        <v>0.0</v>
      </c>
      <c r="DZ11" s="54">
        <v>0.0</v>
      </c>
      <c r="EA11" s="54">
        <v>0.0</v>
      </c>
      <c r="EB11" s="54">
        <v>0.0</v>
      </c>
      <c r="EC11" s="54">
        <v>0.0</v>
      </c>
      <c r="ED11" s="54">
        <v>0.0</v>
      </c>
      <c r="EE11" s="54">
        <v>0.0</v>
      </c>
      <c r="EF11" s="54">
        <v>0.0</v>
      </c>
      <c r="EG11" s="54">
        <v>0.0</v>
      </c>
      <c r="EH11" s="54">
        <v>0.0</v>
      </c>
      <c r="EI11" s="54">
        <v>0.0</v>
      </c>
      <c r="EJ11" s="54">
        <v>0.0</v>
      </c>
      <c r="EK11" s="54">
        <v>0.0</v>
      </c>
      <c r="EL11" s="54">
        <v>0.0</v>
      </c>
      <c r="EM11" s="54">
        <v>0.0</v>
      </c>
      <c r="EN11" s="54">
        <v>0.0</v>
      </c>
      <c r="EO11" s="54">
        <v>0.0</v>
      </c>
      <c r="EP11" s="54">
        <v>0.0</v>
      </c>
      <c r="EQ11" s="54">
        <v>0.0</v>
      </c>
      <c r="ER11" s="54">
        <v>0.0</v>
      </c>
      <c r="ES11" s="54">
        <v>0.0</v>
      </c>
      <c r="ET11" s="54">
        <v>0.0</v>
      </c>
      <c r="EU11" s="54">
        <v>0.0</v>
      </c>
      <c r="EV11" s="54">
        <v>0.0</v>
      </c>
      <c r="EW11" s="54">
        <v>0.0</v>
      </c>
      <c r="EX11" s="54">
        <v>0.0</v>
      </c>
      <c r="EY11" s="54">
        <v>0.0</v>
      </c>
      <c r="EZ11" s="54">
        <v>0.0</v>
      </c>
      <c r="FA11" s="54">
        <v>0.0</v>
      </c>
      <c r="FB11" s="54">
        <v>0.0</v>
      </c>
      <c r="FC11" s="54">
        <v>0.0</v>
      </c>
      <c r="FD11" s="54">
        <v>0.0</v>
      </c>
      <c r="FE11" s="54">
        <v>0.0</v>
      </c>
      <c r="FF11" s="54">
        <v>0.0</v>
      </c>
      <c r="FG11" s="54">
        <v>0.0</v>
      </c>
      <c r="FH11" s="54">
        <v>0.0</v>
      </c>
      <c r="FI11" s="54">
        <v>0.0</v>
      </c>
      <c r="FJ11" s="54">
        <v>18700.0</v>
      </c>
      <c r="FK11" s="54">
        <v>440372.0</v>
      </c>
      <c r="FL11" s="54">
        <v>0.0</v>
      </c>
      <c r="FM11" s="54">
        <v>0.0</v>
      </c>
      <c r="FN11" s="54">
        <v>0.0</v>
      </c>
      <c r="FO11" s="54">
        <v>0.0</v>
      </c>
      <c r="FP11" s="54">
        <v>0.0</v>
      </c>
      <c r="FQ11" s="54">
        <v>0.0</v>
      </c>
      <c r="FR11" s="54">
        <v>0.0</v>
      </c>
      <c r="FS11" s="54">
        <v>0.0</v>
      </c>
      <c r="FT11" s="54">
        <v>0.0</v>
      </c>
      <c r="FU11" s="54">
        <v>0.0</v>
      </c>
      <c r="FV11" s="54">
        <v>0.0</v>
      </c>
      <c r="FW11" s="54">
        <v>40033.0</v>
      </c>
      <c r="FX11" s="54">
        <v>2344.0</v>
      </c>
      <c r="FY11" s="54">
        <v>4829.0</v>
      </c>
      <c r="FZ11" s="54">
        <v>3667.0</v>
      </c>
      <c r="GA11" s="54">
        <v>8987.0</v>
      </c>
      <c r="GB11" s="54">
        <v>19394.0</v>
      </c>
      <c r="GC11" s="54">
        <v>24671.0</v>
      </c>
      <c r="GD11" s="54">
        <v>0.0</v>
      </c>
      <c r="GE11" s="54">
        <v>31685.0</v>
      </c>
      <c r="GF11" s="55">
        <v>5085082.0</v>
      </c>
      <c r="GG11" s="56">
        <v>3306154.0</v>
      </c>
      <c r="GH11" s="57">
        <v>0.0</v>
      </c>
      <c r="GI11" s="56">
        <v>0.0</v>
      </c>
      <c r="GJ11" s="56">
        <v>0.0</v>
      </c>
      <c r="GK11" s="56">
        <v>66135.0</v>
      </c>
      <c r="GL11" s="56">
        <v>69872.0</v>
      </c>
      <c r="GM11" s="56">
        <v>0.0</v>
      </c>
      <c r="GN11" s="55">
        <v>3442161.0</v>
      </c>
      <c r="GO11" s="58">
        <v>8527243.0</v>
      </c>
      <c r="GP11" s="56">
        <v>114879.0</v>
      </c>
      <c r="GQ11" s="56">
        <v>0.0</v>
      </c>
      <c r="GR11" s="57">
        <v>0.0</v>
      </c>
      <c r="GS11" s="55">
        <v>114879.0</v>
      </c>
      <c r="GT11" s="59">
        <v>470697.0</v>
      </c>
      <c r="GU11" s="59">
        <v>397644.0</v>
      </c>
      <c r="GV11" s="59">
        <v>196153.0</v>
      </c>
      <c r="GW11" s="55">
        <v>1064494.0</v>
      </c>
      <c r="GX11" s="55">
        <v>147239.0</v>
      </c>
      <c r="GY11" s="55">
        <v>7200631.0</v>
      </c>
      <c r="GZ11" s="58">
        <v>8527243.0</v>
      </c>
    </row>
    <row r="12">
      <c r="A12" s="60">
        <v>7.0</v>
      </c>
      <c r="B12" s="61" t="s">
        <v>52</v>
      </c>
      <c r="C12" s="62">
        <v>0.0</v>
      </c>
      <c r="D12" s="62">
        <v>0.0</v>
      </c>
      <c r="E12" s="62">
        <v>0.0</v>
      </c>
      <c r="F12" s="62">
        <v>0.0</v>
      </c>
      <c r="G12" s="62">
        <v>0.0</v>
      </c>
      <c r="H12" s="62">
        <v>0.0</v>
      </c>
      <c r="I12" s="62">
        <v>208118.0</v>
      </c>
      <c r="J12" s="62">
        <v>0.0</v>
      </c>
      <c r="K12" s="62">
        <v>0.0</v>
      </c>
      <c r="L12" s="62">
        <v>0.0</v>
      </c>
      <c r="M12" s="62">
        <v>0.0</v>
      </c>
      <c r="N12" s="62">
        <v>0.0</v>
      </c>
      <c r="O12" s="62">
        <v>0.0</v>
      </c>
      <c r="P12" s="62">
        <v>0.0</v>
      </c>
      <c r="Q12" s="62">
        <v>0.0</v>
      </c>
      <c r="R12" s="62">
        <v>0.0</v>
      </c>
      <c r="S12" s="62">
        <v>0.0</v>
      </c>
      <c r="T12" s="62">
        <v>0.0</v>
      </c>
      <c r="U12" s="62">
        <v>0.0</v>
      </c>
      <c r="V12" s="62">
        <v>0.0</v>
      </c>
      <c r="W12" s="62">
        <v>0.0</v>
      </c>
      <c r="X12" s="62">
        <v>0.0</v>
      </c>
      <c r="Y12" s="62">
        <v>0.0</v>
      </c>
      <c r="Z12" s="62">
        <v>0.0</v>
      </c>
      <c r="AA12" s="62">
        <v>0.0</v>
      </c>
      <c r="AB12" s="62">
        <v>17117.0</v>
      </c>
      <c r="AC12" s="62">
        <v>111.0</v>
      </c>
      <c r="AD12" s="62">
        <v>1169.0</v>
      </c>
      <c r="AE12" s="62">
        <v>1111.0</v>
      </c>
      <c r="AF12" s="62">
        <v>0.0</v>
      </c>
      <c r="AG12" s="62">
        <v>0.0</v>
      </c>
      <c r="AH12" s="62">
        <v>0.0</v>
      </c>
      <c r="AI12" s="62">
        <v>0.0</v>
      </c>
      <c r="AJ12" s="62">
        <v>0.0</v>
      </c>
      <c r="AK12" s="62">
        <v>0.0</v>
      </c>
      <c r="AL12" s="62">
        <v>0.0</v>
      </c>
      <c r="AM12" s="62">
        <v>0.0</v>
      </c>
      <c r="AN12" s="62">
        <v>0.0</v>
      </c>
      <c r="AO12" s="62">
        <v>0.0</v>
      </c>
      <c r="AP12" s="62">
        <v>0.0</v>
      </c>
      <c r="AQ12" s="62">
        <v>0.0</v>
      </c>
      <c r="AR12" s="62">
        <v>0.0</v>
      </c>
      <c r="AS12" s="62">
        <v>0.0</v>
      </c>
      <c r="AT12" s="62">
        <v>0.0</v>
      </c>
      <c r="AU12" s="62">
        <v>0.0</v>
      </c>
      <c r="AV12" s="62">
        <v>0.0</v>
      </c>
      <c r="AW12" s="62">
        <v>0.0</v>
      </c>
      <c r="AX12" s="62">
        <v>0.0</v>
      </c>
      <c r="AY12" s="62">
        <v>0.0</v>
      </c>
      <c r="AZ12" s="62">
        <v>0.0</v>
      </c>
      <c r="BA12" s="62">
        <v>0.0</v>
      </c>
      <c r="BB12" s="62">
        <v>0.0</v>
      </c>
      <c r="BC12" s="62">
        <v>0.0</v>
      </c>
      <c r="BD12" s="62">
        <v>0.0</v>
      </c>
      <c r="BE12" s="62">
        <v>0.0</v>
      </c>
      <c r="BF12" s="62">
        <v>0.0</v>
      </c>
      <c r="BG12" s="62">
        <v>1619995.0</v>
      </c>
      <c r="BH12" s="62">
        <v>6157.0</v>
      </c>
      <c r="BI12" s="62">
        <v>0.0</v>
      </c>
      <c r="BJ12" s="62">
        <v>0.0</v>
      </c>
      <c r="BK12" s="62">
        <v>365124.0</v>
      </c>
      <c r="BL12" s="62">
        <v>0.0</v>
      </c>
      <c r="BM12" s="62">
        <v>0.0</v>
      </c>
      <c r="BN12" s="62">
        <v>0.0</v>
      </c>
      <c r="BO12" s="62">
        <v>0.0</v>
      </c>
      <c r="BP12" s="62">
        <v>0.0</v>
      </c>
      <c r="BQ12" s="62">
        <v>0.0</v>
      </c>
      <c r="BR12" s="62">
        <v>56.0</v>
      </c>
      <c r="BS12" s="62">
        <v>0.0</v>
      </c>
      <c r="BT12" s="62">
        <v>1.7956863E7</v>
      </c>
      <c r="BU12" s="62">
        <v>16439.0</v>
      </c>
      <c r="BV12" s="62">
        <v>4125.0</v>
      </c>
      <c r="BW12" s="62">
        <v>1661.0</v>
      </c>
      <c r="BX12" s="62">
        <v>58982.0</v>
      </c>
      <c r="BY12" s="62">
        <v>0.0</v>
      </c>
      <c r="BZ12" s="62">
        <v>0.0</v>
      </c>
      <c r="CA12" s="62">
        <v>0.0</v>
      </c>
      <c r="CB12" s="62">
        <v>0.0</v>
      </c>
      <c r="CC12" s="62">
        <v>0.0</v>
      </c>
      <c r="CD12" s="62">
        <v>0.0</v>
      </c>
      <c r="CE12" s="62">
        <v>0.0</v>
      </c>
      <c r="CF12" s="62">
        <v>0.0</v>
      </c>
      <c r="CG12" s="62">
        <v>0.0</v>
      </c>
      <c r="CH12" s="62">
        <v>0.0</v>
      </c>
      <c r="CI12" s="62">
        <v>0.0</v>
      </c>
      <c r="CJ12" s="62">
        <v>0.0</v>
      </c>
      <c r="CK12" s="62">
        <v>0.0</v>
      </c>
      <c r="CL12" s="62">
        <v>0.0</v>
      </c>
      <c r="CM12" s="62">
        <v>0.0</v>
      </c>
      <c r="CN12" s="62">
        <v>0.0</v>
      </c>
      <c r="CO12" s="62">
        <v>0.0</v>
      </c>
      <c r="CP12" s="62">
        <v>0.0</v>
      </c>
      <c r="CQ12" s="62">
        <v>0.0</v>
      </c>
      <c r="CR12" s="62">
        <v>0.0</v>
      </c>
      <c r="CS12" s="62">
        <v>0.0</v>
      </c>
      <c r="CT12" s="62">
        <v>0.0</v>
      </c>
      <c r="CU12" s="62">
        <v>0.0</v>
      </c>
      <c r="CV12" s="62">
        <v>0.0</v>
      </c>
      <c r="CW12" s="62">
        <v>0.0</v>
      </c>
      <c r="CX12" s="62">
        <v>0.0</v>
      </c>
      <c r="CY12" s="62">
        <v>0.0</v>
      </c>
      <c r="CZ12" s="62">
        <v>0.0</v>
      </c>
      <c r="DA12" s="62">
        <v>0.0</v>
      </c>
      <c r="DB12" s="62">
        <v>0.0</v>
      </c>
      <c r="DC12" s="62">
        <v>111.0</v>
      </c>
      <c r="DD12" s="62">
        <v>27.0</v>
      </c>
      <c r="DE12" s="62">
        <v>0.0</v>
      </c>
      <c r="DF12" s="62">
        <v>0.0</v>
      </c>
      <c r="DG12" s="62">
        <v>0.0</v>
      </c>
      <c r="DH12" s="62">
        <v>0.0</v>
      </c>
      <c r="DI12" s="62">
        <v>0.0</v>
      </c>
      <c r="DJ12" s="62">
        <v>0.0</v>
      </c>
      <c r="DK12" s="62">
        <v>0.0</v>
      </c>
      <c r="DL12" s="62">
        <v>0.0</v>
      </c>
      <c r="DM12" s="62">
        <v>0.0</v>
      </c>
      <c r="DN12" s="62">
        <v>0.0</v>
      </c>
      <c r="DO12" s="62">
        <v>0.0</v>
      </c>
      <c r="DP12" s="62">
        <v>0.0</v>
      </c>
      <c r="DQ12" s="62">
        <v>0.0</v>
      </c>
      <c r="DR12" s="62">
        <v>0.0</v>
      </c>
      <c r="DS12" s="62">
        <v>0.0</v>
      </c>
      <c r="DT12" s="62">
        <v>0.0</v>
      </c>
      <c r="DU12" s="62">
        <v>0.0</v>
      </c>
      <c r="DV12" s="62">
        <v>0.0</v>
      </c>
      <c r="DW12" s="62">
        <v>0.0</v>
      </c>
      <c r="DX12" s="62">
        <v>0.0</v>
      </c>
      <c r="DY12" s="62">
        <v>0.0</v>
      </c>
      <c r="DZ12" s="62">
        <v>0.0</v>
      </c>
      <c r="EA12" s="62">
        <v>0.0</v>
      </c>
      <c r="EB12" s="62">
        <v>0.0</v>
      </c>
      <c r="EC12" s="62">
        <v>0.0</v>
      </c>
      <c r="ED12" s="62">
        <v>0.0</v>
      </c>
      <c r="EE12" s="62">
        <v>0.0</v>
      </c>
      <c r="EF12" s="62">
        <v>0.0</v>
      </c>
      <c r="EG12" s="62">
        <v>0.0</v>
      </c>
      <c r="EH12" s="62">
        <v>0.0</v>
      </c>
      <c r="EI12" s="62">
        <v>0.0</v>
      </c>
      <c r="EJ12" s="62">
        <v>0.0</v>
      </c>
      <c r="EK12" s="62">
        <v>0.0</v>
      </c>
      <c r="EL12" s="62">
        <v>0.0</v>
      </c>
      <c r="EM12" s="62">
        <v>0.0</v>
      </c>
      <c r="EN12" s="62">
        <v>0.0</v>
      </c>
      <c r="EO12" s="62">
        <v>0.0</v>
      </c>
      <c r="EP12" s="62">
        <v>0.0</v>
      </c>
      <c r="EQ12" s="62">
        <v>0.0</v>
      </c>
      <c r="ER12" s="62">
        <v>0.0</v>
      </c>
      <c r="ES12" s="62">
        <v>0.0</v>
      </c>
      <c r="ET12" s="62">
        <v>0.0</v>
      </c>
      <c r="EU12" s="62">
        <v>0.0</v>
      </c>
      <c r="EV12" s="62">
        <v>0.0</v>
      </c>
      <c r="EW12" s="62">
        <v>0.0</v>
      </c>
      <c r="EX12" s="62">
        <v>0.0</v>
      </c>
      <c r="EY12" s="62">
        <v>0.0</v>
      </c>
      <c r="EZ12" s="62">
        <v>0.0</v>
      </c>
      <c r="FA12" s="62">
        <v>0.0</v>
      </c>
      <c r="FB12" s="62">
        <v>0.0</v>
      </c>
      <c r="FC12" s="62">
        <v>0.0</v>
      </c>
      <c r="FD12" s="62">
        <v>0.0</v>
      </c>
      <c r="FE12" s="62">
        <v>0.0</v>
      </c>
      <c r="FF12" s="62">
        <v>0.0</v>
      </c>
      <c r="FG12" s="62">
        <v>0.0</v>
      </c>
      <c r="FH12" s="62">
        <v>0.0</v>
      </c>
      <c r="FI12" s="62">
        <v>0.0</v>
      </c>
      <c r="FJ12" s="62">
        <v>53.0</v>
      </c>
      <c r="FK12" s="62">
        <v>7963.0</v>
      </c>
      <c r="FL12" s="62">
        <v>0.0</v>
      </c>
      <c r="FM12" s="62">
        <v>0.0</v>
      </c>
      <c r="FN12" s="62">
        <v>0.0</v>
      </c>
      <c r="FO12" s="62">
        <v>0.0</v>
      </c>
      <c r="FP12" s="62">
        <v>0.0</v>
      </c>
      <c r="FQ12" s="62">
        <v>0.0</v>
      </c>
      <c r="FR12" s="62">
        <v>0.0</v>
      </c>
      <c r="FS12" s="62">
        <v>0.0</v>
      </c>
      <c r="FT12" s="62">
        <v>0.0</v>
      </c>
      <c r="FU12" s="62">
        <v>0.0</v>
      </c>
      <c r="FV12" s="62">
        <v>0.0</v>
      </c>
      <c r="FW12" s="62">
        <v>38040.0</v>
      </c>
      <c r="FX12" s="62">
        <v>109.0</v>
      </c>
      <c r="FY12" s="62">
        <v>2149.0</v>
      </c>
      <c r="FZ12" s="62">
        <v>97.0</v>
      </c>
      <c r="GA12" s="62">
        <v>4094.0</v>
      </c>
      <c r="GB12" s="62">
        <v>4551.0</v>
      </c>
      <c r="GC12" s="62">
        <v>4139.0</v>
      </c>
      <c r="GD12" s="62">
        <v>0.0</v>
      </c>
      <c r="GE12" s="62">
        <v>19271.0</v>
      </c>
      <c r="GF12" s="63">
        <v>2.0337632E7</v>
      </c>
      <c r="GG12" s="64">
        <v>972737.0</v>
      </c>
      <c r="GH12" s="65">
        <v>0.0</v>
      </c>
      <c r="GI12" s="64">
        <v>0.0</v>
      </c>
      <c r="GJ12" s="64">
        <v>0.0</v>
      </c>
      <c r="GK12" s="64">
        <v>408051.0</v>
      </c>
      <c r="GL12" s="64">
        <v>7815.0</v>
      </c>
      <c r="GM12" s="64">
        <v>0.0</v>
      </c>
      <c r="GN12" s="63">
        <v>1388603.0</v>
      </c>
      <c r="GO12" s="66">
        <v>2.1726235E7</v>
      </c>
      <c r="GP12" s="64">
        <v>1.5291539E7</v>
      </c>
      <c r="GQ12" s="64">
        <v>0.0</v>
      </c>
      <c r="GR12" s="65">
        <v>0.0</v>
      </c>
      <c r="GS12" s="63">
        <v>1.5291539E7</v>
      </c>
      <c r="GT12" s="67">
        <v>1121550.0</v>
      </c>
      <c r="GU12" s="67">
        <v>732892.0</v>
      </c>
      <c r="GV12" s="67">
        <v>204199.0</v>
      </c>
      <c r="GW12" s="63">
        <v>2058641.0</v>
      </c>
      <c r="GX12" s="63">
        <v>92279.0</v>
      </c>
      <c r="GY12" s="63">
        <v>4283776.0</v>
      </c>
      <c r="GZ12" s="66">
        <v>2.1726235E7</v>
      </c>
    </row>
    <row r="13">
      <c r="A13" s="60">
        <v>8.0</v>
      </c>
      <c r="B13" s="61" t="s">
        <v>53</v>
      </c>
      <c r="C13" s="62">
        <v>0.0</v>
      </c>
      <c r="D13" s="62">
        <v>0.0</v>
      </c>
      <c r="E13" s="62">
        <v>0.0</v>
      </c>
      <c r="F13" s="62">
        <v>0.0</v>
      </c>
      <c r="G13" s="62">
        <v>0.0</v>
      </c>
      <c r="H13" s="62">
        <v>0.0</v>
      </c>
      <c r="I13" s="62">
        <v>0.0</v>
      </c>
      <c r="J13" s="62">
        <v>569770.0</v>
      </c>
      <c r="K13" s="62">
        <v>0.0</v>
      </c>
      <c r="L13" s="62">
        <v>0.0</v>
      </c>
      <c r="M13" s="62">
        <v>0.0</v>
      </c>
      <c r="N13" s="62">
        <v>0.0</v>
      </c>
      <c r="O13" s="62">
        <v>0.0</v>
      </c>
      <c r="P13" s="62">
        <v>0.0</v>
      </c>
      <c r="Q13" s="62">
        <v>0.0</v>
      </c>
      <c r="R13" s="62">
        <v>0.0</v>
      </c>
      <c r="S13" s="62">
        <v>0.0</v>
      </c>
      <c r="T13" s="62">
        <v>0.0</v>
      </c>
      <c r="U13" s="62">
        <v>0.0</v>
      </c>
      <c r="V13" s="62">
        <v>0.0</v>
      </c>
      <c r="W13" s="62">
        <v>0.0</v>
      </c>
      <c r="X13" s="62">
        <v>0.0</v>
      </c>
      <c r="Y13" s="62">
        <v>0.0</v>
      </c>
      <c r="Z13" s="62">
        <v>0.0</v>
      </c>
      <c r="AA13" s="62">
        <v>0.0</v>
      </c>
      <c r="AB13" s="62">
        <v>10452.0</v>
      </c>
      <c r="AC13" s="62">
        <v>314.0</v>
      </c>
      <c r="AD13" s="62">
        <v>6276.0</v>
      </c>
      <c r="AE13" s="62">
        <v>1630.0</v>
      </c>
      <c r="AF13" s="62">
        <v>0.0</v>
      </c>
      <c r="AG13" s="62">
        <v>0.0</v>
      </c>
      <c r="AH13" s="62">
        <v>0.0</v>
      </c>
      <c r="AI13" s="62">
        <v>0.0</v>
      </c>
      <c r="AJ13" s="62">
        <v>0.0</v>
      </c>
      <c r="AK13" s="62">
        <v>0.0</v>
      </c>
      <c r="AL13" s="62">
        <v>0.0</v>
      </c>
      <c r="AM13" s="62">
        <v>0.0</v>
      </c>
      <c r="AN13" s="62">
        <v>0.0</v>
      </c>
      <c r="AO13" s="62">
        <v>0.0</v>
      </c>
      <c r="AP13" s="62">
        <v>0.0</v>
      </c>
      <c r="AQ13" s="62">
        <v>0.0</v>
      </c>
      <c r="AR13" s="62">
        <v>0.0</v>
      </c>
      <c r="AS13" s="62">
        <v>0.0</v>
      </c>
      <c r="AT13" s="62">
        <v>0.0</v>
      </c>
      <c r="AU13" s="62">
        <v>0.0</v>
      </c>
      <c r="AV13" s="62">
        <v>0.0</v>
      </c>
      <c r="AW13" s="62">
        <v>0.0</v>
      </c>
      <c r="AX13" s="62">
        <v>0.0</v>
      </c>
      <c r="AY13" s="62">
        <v>0.0</v>
      </c>
      <c r="AZ13" s="62">
        <v>0.0</v>
      </c>
      <c r="BA13" s="62">
        <v>0.0</v>
      </c>
      <c r="BB13" s="62">
        <v>0.0</v>
      </c>
      <c r="BC13" s="62">
        <v>0.0</v>
      </c>
      <c r="BD13" s="62">
        <v>0.0</v>
      </c>
      <c r="BE13" s="62">
        <v>0.0</v>
      </c>
      <c r="BF13" s="62">
        <v>0.0</v>
      </c>
      <c r="BG13" s="62">
        <v>0.0</v>
      </c>
      <c r="BH13" s="62">
        <v>62.0</v>
      </c>
      <c r="BI13" s="62">
        <v>0.0</v>
      </c>
      <c r="BJ13" s="62">
        <v>0.0</v>
      </c>
      <c r="BK13" s="62">
        <v>10181.0</v>
      </c>
      <c r="BL13" s="62">
        <v>0.0</v>
      </c>
      <c r="BM13" s="62">
        <v>0.0</v>
      </c>
      <c r="BN13" s="62">
        <v>52777.0</v>
      </c>
      <c r="BO13" s="62">
        <v>0.0</v>
      </c>
      <c r="BP13" s="62">
        <v>0.0</v>
      </c>
      <c r="BQ13" s="62">
        <v>0.0</v>
      </c>
      <c r="BR13" s="62">
        <v>83.0</v>
      </c>
      <c r="BS13" s="62">
        <v>0.0</v>
      </c>
      <c r="BT13" s="62">
        <v>63150.0</v>
      </c>
      <c r="BU13" s="62">
        <v>225831.0</v>
      </c>
      <c r="BV13" s="62">
        <v>42513.0</v>
      </c>
      <c r="BW13" s="62">
        <v>26.0</v>
      </c>
      <c r="BX13" s="62">
        <v>203263.0</v>
      </c>
      <c r="BY13" s="62">
        <v>0.0</v>
      </c>
      <c r="BZ13" s="62">
        <v>0.0</v>
      </c>
      <c r="CA13" s="62">
        <v>0.0</v>
      </c>
      <c r="CB13" s="62">
        <v>0.0</v>
      </c>
      <c r="CC13" s="62">
        <v>0.0</v>
      </c>
      <c r="CD13" s="62">
        <v>0.0</v>
      </c>
      <c r="CE13" s="62">
        <v>0.0</v>
      </c>
      <c r="CF13" s="62">
        <v>0.0</v>
      </c>
      <c r="CG13" s="62">
        <v>0.0</v>
      </c>
      <c r="CH13" s="62">
        <v>0.0</v>
      </c>
      <c r="CI13" s="62">
        <v>0.0</v>
      </c>
      <c r="CJ13" s="62">
        <v>0.0</v>
      </c>
      <c r="CK13" s="62">
        <v>0.0</v>
      </c>
      <c r="CL13" s="62">
        <v>0.0</v>
      </c>
      <c r="CM13" s="62">
        <v>0.0</v>
      </c>
      <c r="CN13" s="62">
        <v>0.0</v>
      </c>
      <c r="CO13" s="62">
        <v>0.0</v>
      </c>
      <c r="CP13" s="62">
        <v>0.0</v>
      </c>
      <c r="CQ13" s="62">
        <v>0.0</v>
      </c>
      <c r="CR13" s="62">
        <v>0.0</v>
      </c>
      <c r="CS13" s="62">
        <v>0.0</v>
      </c>
      <c r="CT13" s="62">
        <v>0.0</v>
      </c>
      <c r="CU13" s="62">
        <v>0.0</v>
      </c>
      <c r="CV13" s="62">
        <v>0.0</v>
      </c>
      <c r="CW13" s="62">
        <v>0.0</v>
      </c>
      <c r="CX13" s="62">
        <v>0.0</v>
      </c>
      <c r="CY13" s="62">
        <v>0.0</v>
      </c>
      <c r="CZ13" s="62">
        <v>0.0</v>
      </c>
      <c r="DA13" s="62">
        <v>0.0</v>
      </c>
      <c r="DB13" s="62">
        <v>0.0</v>
      </c>
      <c r="DC13" s="62">
        <v>629.0</v>
      </c>
      <c r="DD13" s="62">
        <v>9.0</v>
      </c>
      <c r="DE13" s="62">
        <v>0.0</v>
      </c>
      <c r="DF13" s="62">
        <v>0.0</v>
      </c>
      <c r="DG13" s="62">
        <v>0.0</v>
      </c>
      <c r="DH13" s="62">
        <v>0.0</v>
      </c>
      <c r="DI13" s="62">
        <v>0.0</v>
      </c>
      <c r="DJ13" s="62">
        <v>0.0</v>
      </c>
      <c r="DK13" s="62">
        <v>0.0</v>
      </c>
      <c r="DL13" s="62">
        <v>0.0</v>
      </c>
      <c r="DM13" s="62">
        <v>0.0</v>
      </c>
      <c r="DN13" s="62">
        <v>0.0</v>
      </c>
      <c r="DO13" s="62">
        <v>0.0</v>
      </c>
      <c r="DP13" s="62">
        <v>0.0</v>
      </c>
      <c r="DQ13" s="62">
        <v>0.0</v>
      </c>
      <c r="DR13" s="62">
        <v>0.0</v>
      </c>
      <c r="DS13" s="62">
        <v>0.0</v>
      </c>
      <c r="DT13" s="62">
        <v>0.0</v>
      </c>
      <c r="DU13" s="62">
        <v>0.0</v>
      </c>
      <c r="DV13" s="62">
        <v>0.0</v>
      </c>
      <c r="DW13" s="62">
        <v>0.0</v>
      </c>
      <c r="DX13" s="62">
        <v>0.0</v>
      </c>
      <c r="DY13" s="62">
        <v>0.0</v>
      </c>
      <c r="DZ13" s="62">
        <v>0.0</v>
      </c>
      <c r="EA13" s="62">
        <v>0.0</v>
      </c>
      <c r="EB13" s="62">
        <v>0.0</v>
      </c>
      <c r="EC13" s="62">
        <v>0.0</v>
      </c>
      <c r="ED13" s="62">
        <v>0.0</v>
      </c>
      <c r="EE13" s="62">
        <v>0.0</v>
      </c>
      <c r="EF13" s="62">
        <v>0.0</v>
      </c>
      <c r="EG13" s="62">
        <v>0.0</v>
      </c>
      <c r="EH13" s="62">
        <v>0.0</v>
      </c>
      <c r="EI13" s="62">
        <v>0.0</v>
      </c>
      <c r="EJ13" s="62">
        <v>0.0</v>
      </c>
      <c r="EK13" s="62">
        <v>0.0</v>
      </c>
      <c r="EL13" s="62">
        <v>0.0</v>
      </c>
      <c r="EM13" s="62">
        <v>0.0</v>
      </c>
      <c r="EN13" s="62">
        <v>0.0</v>
      </c>
      <c r="EO13" s="62">
        <v>0.0</v>
      </c>
      <c r="EP13" s="62">
        <v>0.0</v>
      </c>
      <c r="EQ13" s="62">
        <v>0.0</v>
      </c>
      <c r="ER13" s="62">
        <v>0.0</v>
      </c>
      <c r="ES13" s="62">
        <v>0.0</v>
      </c>
      <c r="ET13" s="62">
        <v>0.0</v>
      </c>
      <c r="EU13" s="62">
        <v>0.0</v>
      </c>
      <c r="EV13" s="62">
        <v>0.0</v>
      </c>
      <c r="EW13" s="62">
        <v>0.0</v>
      </c>
      <c r="EX13" s="62">
        <v>0.0</v>
      </c>
      <c r="EY13" s="62">
        <v>0.0</v>
      </c>
      <c r="EZ13" s="62">
        <v>0.0</v>
      </c>
      <c r="FA13" s="62">
        <v>0.0</v>
      </c>
      <c r="FB13" s="62">
        <v>0.0</v>
      </c>
      <c r="FC13" s="62">
        <v>0.0</v>
      </c>
      <c r="FD13" s="62">
        <v>0.0</v>
      </c>
      <c r="FE13" s="62">
        <v>0.0</v>
      </c>
      <c r="FF13" s="62">
        <v>0.0</v>
      </c>
      <c r="FG13" s="62">
        <v>0.0</v>
      </c>
      <c r="FH13" s="62">
        <v>0.0</v>
      </c>
      <c r="FI13" s="62">
        <v>0.0</v>
      </c>
      <c r="FJ13" s="62">
        <v>3531.0</v>
      </c>
      <c r="FK13" s="62">
        <v>77431.0</v>
      </c>
      <c r="FL13" s="62">
        <v>0.0</v>
      </c>
      <c r="FM13" s="62">
        <v>0.0</v>
      </c>
      <c r="FN13" s="62">
        <v>0.0</v>
      </c>
      <c r="FO13" s="62">
        <v>0.0</v>
      </c>
      <c r="FP13" s="62">
        <v>0.0</v>
      </c>
      <c r="FQ13" s="62">
        <v>0.0</v>
      </c>
      <c r="FR13" s="62">
        <v>0.0</v>
      </c>
      <c r="FS13" s="62">
        <v>0.0</v>
      </c>
      <c r="FT13" s="62">
        <v>0.0</v>
      </c>
      <c r="FU13" s="62">
        <v>0.0</v>
      </c>
      <c r="FV13" s="62">
        <v>0.0</v>
      </c>
      <c r="FW13" s="62">
        <v>0.0</v>
      </c>
      <c r="FX13" s="62">
        <v>1309.0</v>
      </c>
      <c r="FY13" s="62">
        <v>1518.0</v>
      </c>
      <c r="FZ13" s="62">
        <v>405.0</v>
      </c>
      <c r="GA13" s="62">
        <v>15441.0</v>
      </c>
      <c r="GB13" s="62">
        <v>29831.0</v>
      </c>
      <c r="GC13" s="62">
        <v>14486.0</v>
      </c>
      <c r="GD13" s="62">
        <v>0.0</v>
      </c>
      <c r="GE13" s="62">
        <v>68339.0</v>
      </c>
      <c r="GF13" s="63">
        <v>1399257.0</v>
      </c>
      <c r="GG13" s="64">
        <v>1.3484401E7</v>
      </c>
      <c r="GH13" s="65">
        <v>0.0</v>
      </c>
      <c r="GI13" s="64">
        <v>0.0</v>
      </c>
      <c r="GJ13" s="64">
        <v>0.0</v>
      </c>
      <c r="GK13" s="64">
        <v>10.0</v>
      </c>
      <c r="GL13" s="64">
        <v>33956.0</v>
      </c>
      <c r="GM13" s="64">
        <v>0.0</v>
      </c>
      <c r="GN13" s="63">
        <v>1.3518367E7</v>
      </c>
      <c r="GO13" s="66">
        <v>1.4917624E7</v>
      </c>
      <c r="GP13" s="64">
        <v>0.0</v>
      </c>
      <c r="GQ13" s="64">
        <v>0.0</v>
      </c>
      <c r="GR13" s="65">
        <v>0.0</v>
      </c>
      <c r="GS13" s="63">
        <v>0.0</v>
      </c>
      <c r="GT13" s="67">
        <v>539810.0</v>
      </c>
      <c r="GU13" s="67">
        <v>1301151.0</v>
      </c>
      <c r="GV13" s="67">
        <v>54984.0</v>
      </c>
      <c r="GW13" s="63">
        <v>1895945.0</v>
      </c>
      <c r="GX13" s="63">
        <v>548371.0</v>
      </c>
      <c r="GY13" s="63">
        <v>1.2473308E7</v>
      </c>
      <c r="GZ13" s="66">
        <v>1.4917624E7</v>
      </c>
    </row>
    <row r="14">
      <c r="A14" s="60">
        <v>9.0</v>
      </c>
      <c r="B14" s="61" t="s">
        <v>54</v>
      </c>
      <c r="C14" s="62">
        <v>0.0</v>
      </c>
      <c r="D14" s="62">
        <v>0.0</v>
      </c>
      <c r="E14" s="62">
        <v>0.0</v>
      </c>
      <c r="F14" s="62">
        <v>0.0</v>
      </c>
      <c r="G14" s="62">
        <v>0.0</v>
      </c>
      <c r="H14" s="62">
        <v>0.0</v>
      </c>
      <c r="I14" s="62">
        <v>0.0</v>
      </c>
      <c r="J14" s="62">
        <v>0.0</v>
      </c>
      <c r="K14" s="62">
        <v>32977.0</v>
      </c>
      <c r="L14" s="62">
        <v>0.0</v>
      </c>
      <c r="M14" s="62">
        <v>0.0</v>
      </c>
      <c r="N14" s="62">
        <v>0.0</v>
      </c>
      <c r="O14" s="62">
        <v>0.0</v>
      </c>
      <c r="P14" s="62">
        <v>0.0</v>
      </c>
      <c r="Q14" s="62">
        <v>0.0</v>
      </c>
      <c r="R14" s="62">
        <v>0.0</v>
      </c>
      <c r="S14" s="62">
        <v>0.0</v>
      </c>
      <c r="T14" s="62">
        <v>0.0</v>
      </c>
      <c r="U14" s="62">
        <v>0.0</v>
      </c>
      <c r="V14" s="62">
        <v>0.0</v>
      </c>
      <c r="W14" s="62">
        <v>0.0</v>
      </c>
      <c r="X14" s="62">
        <v>0.0</v>
      </c>
      <c r="Y14" s="62">
        <v>0.0</v>
      </c>
      <c r="Z14" s="62">
        <v>0.0</v>
      </c>
      <c r="AA14" s="62">
        <v>0.0</v>
      </c>
      <c r="AB14" s="62">
        <v>0.0</v>
      </c>
      <c r="AC14" s="62">
        <v>0.0</v>
      </c>
      <c r="AD14" s="62">
        <v>5198.0</v>
      </c>
      <c r="AE14" s="62">
        <v>170190.0</v>
      </c>
      <c r="AF14" s="62">
        <v>0.0</v>
      </c>
      <c r="AG14" s="62">
        <v>0.0</v>
      </c>
      <c r="AH14" s="62">
        <v>0.0</v>
      </c>
      <c r="AI14" s="62">
        <v>0.0</v>
      </c>
      <c r="AJ14" s="62">
        <v>0.0</v>
      </c>
      <c r="AK14" s="62">
        <v>0.0</v>
      </c>
      <c r="AL14" s="62">
        <v>0.0</v>
      </c>
      <c r="AM14" s="62">
        <v>0.0</v>
      </c>
      <c r="AN14" s="62">
        <v>0.0</v>
      </c>
      <c r="AO14" s="62">
        <v>0.0</v>
      </c>
      <c r="AP14" s="62">
        <v>0.0</v>
      </c>
      <c r="AQ14" s="62">
        <v>0.0</v>
      </c>
      <c r="AR14" s="62">
        <v>0.0</v>
      </c>
      <c r="AS14" s="62">
        <v>0.0</v>
      </c>
      <c r="AT14" s="62">
        <v>0.0</v>
      </c>
      <c r="AU14" s="62">
        <v>0.0</v>
      </c>
      <c r="AV14" s="62">
        <v>0.0</v>
      </c>
      <c r="AW14" s="62">
        <v>0.0</v>
      </c>
      <c r="AX14" s="62">
        <v>0.0</v>
      </c>
      <c r="AY14" s="62">
        <v>0.0</v>
      </c>
      <c r="AZ14" s="62">
        <v>0.0</v>
      </c>
      <c r="BA14" s="62">
        <v>0.0</v>
      </c>
      <c r="BB14" s="62">
        <v>0.0</v>
      </c>
      <c r="BC14" s="62">
        <v>0.0</v>
      </c>
      <c r="BD14" s="62">
        <v>0.0</v>
      </c>
      <c r="BE14" s="62">
        <v>0.0</v>
      </c>
      <c r="BF14" s="62">
        <v>0.0</v>
      </c>
      <c r="BG14" s="62">
        <v>0.0</v>
      </c>
      <c r="BH14" s="62">
        <v>8009260.0</v>
      </c>
      <c r="BI14" s="62">
        <v>0.0</v>
      </c>
      <c r="BJ14" s="62">
        <v>0.0</v>
      </c>
      <c r="BK14" s="62">
        <v>3475861.0</v>
      </c>
      <c r="BL14" s="62">
        <v>2.7854304E7</v>
      </c>
      <c r="BM14" s="62">
        <v>0.0</v>
      </c>
      <c r="BN14" s="62">
        <v>0.0</v>
      </c>
      <c r="BO14" s="62">
        <v>91731.0</v>
      </c>
      <c r="BP14" s="62">
        <v>21180.0</v>
      </c>
      <c r="BQ14" s="62">
        <v>0.0</v>
      </c>
      <c r="BR14" s="62">
        <v>0.0</v>
      </c>
      <c r="BS14" s="62">
        <v>0.0</v>
      </c>
      <c r="BT14" s="62">
        <v>0.0</v>
      </c>
      <c r="BU14" s="62">
        <v>170490.0</v>
      </c>
      <c r="BV14" s="62">
        <v>16358.0</v>
      </c>
      <c r="BW14" s="62">
        <v>3023885.0</v>
      </c>
      <c r="BX14" s="62">
        <v>3408.0</v>
      </c>
      <c r="BY14" s="62">
        <v>0.0</v>
      </c>
      <c r="BZ14" s="62">
        <v>0.0</v>
      </c>
      <c r="CA14" s="62">
        <v>0.0</v>
      </c>
      <c r="CB14" s="62">
        <v>0.0</v>
      </c>
      <c r="CC14" s="62">
        <v>0.0</v>
      </c>
      <c r="CD14" s="62">
        <v>0.0</v>
      </c>
      <c r="CE14" s="62">
        <v>0.0</v>
      </c>
      <c r="CF14" s="62">
        <v>0.0</v>
      </c>
      <c r="CG14" s="62">
        <v>0.0</v>
      </c>
      <c r="CH14" s="62">
        <v>0.0</v>
      </c>
      <c r="CI14" s="62">
        <v>0.0</v>
      </c>
      <c r="CJ14" s="62">
        <v>0.0</v>
      </c>
      <c r="CK14" s="62">
        <v>0.0</v>
      </c>
      <c r="CL14" s="62">
        <v>0.0</v>
      </c>
      <c r="CM14" s="62">
        <v>0.0</v>
      </c>
      <c r="CN14" s="62">
        <v>0.0</v>
      </c>
      <c r="CO14" s="62">
        <v>0.0</v>
      </c>
      <c r="CP14" s="62">
        <v>0.0</v>
      </c>
      <c r="CQ14" s="62">
        <v>0.0</v>
      </c>
      <c r="CR14" s="62">
        <v>0.0</v>
      </c>
      <c r="CS14" s="62">
        <v>0.0</v>
      </c>
      <c r="CT14" s="62">
        <v>0.0</v>
      </c>
      <c r="CU14" s="62">
        <v>0.0</v>
      </c>
      <c r="CV14" s="62">
        <v>0.0</v>
      </c>
      <c r="CW14" s="62">
        <v>0.0</v>
      </c>
      <c r="CX14" s="62">
        <v>0.0</v>
      </c>
      <c r="CY14" s="62">
        <v>0.0</v>
      </c>
      <c r="CZ14" s="62">
        <v>0.0</v>
      </c>
      <c r="DA14" s="62">
        <v>0.0</v>
      </c>
      <c r="DB14" s="62">
        <v>16999.0</v>
      </c>
      <c r="DC14" s="62">
        <v>27052.0</v>
      </c>
      <c r="DD14" s="62">
        <v>0.0</v>
      </c>
      <c r="DE14" s="62">
        <v>0.0</v>
      </c>
      <c r="DF14" s="62">
        <v>0.0</v>
      </c>
      <c r="DG14" s="62">
        <v>0.0</v>
      </c>
      <c r="DH14" s="62">
        <v>0.0</v>
      </c>
      <c r="DI14" s="62">
        <v>0.0</v>
      </c>
      <c r="DJ14" s="62">
        <v>0.0</v>
      </c>
      <c r="DK14" s="62">
        <v>0.0</v>
      </c>
      <c r="DL14" s="62">
        <v>0.0</v>
      </c>
      <c r="DM14" s="62">
        <v>0.0</v>
      </c>
      <c r="DN14" s="62">
        <v>0.0</v>
      </c>
      <c r="DO14" s="62">
        <v>0.0</v>
      </c>
      <c r="DP14" s="62">
        <v>0.0</v>
      </c>
      <c r="DQ14" s="62">
        <v>0.0</v>
      </c>
      <c r="DR14" s="62">
        <v>0.0</v>
      </c>
      <c r="DS14" s="62">
        <v>0.0</v>
      </c>
      <c r="DT14" s="62">
        <v>0.0</v>
      </c>
      <c r="DU14" s="62">
        <v>0.0</v>
      </c>
      <c r="DV14" s="62">
        <v>0.0</v>
      </c>
      <c r="DW14" s="62">
        <v>0.0</v>
      </c>
      <c r="DX14" s="62">
        <v>0.0</v>
      </c>
      <c r="DY14" s="62">
        <v>0.0</v>
      </c>
      <c r="DZ14" s="62">
        <v>0.0</v>
      </c>
      <c r="EA14" s="62">
        <v>0.0</v>
      </c>
      <c r="EB14" s="62">
        <v>0.0</v>
      </c>
      <c r="EC14" s="62">
        <v>0.0</v>
      </c>
      <c r="ED14" s="62">
        <v>0.0</v>
      </c>
      <c r="EE14" s="62">
        <v>0.0</v>
      </c>
      <c r="EF14" s="62">
        <v>0.0</v>
      </c>
      <c r="EG14" s="62">
        <v>0.0</v>
      </c>
      <c r="EH14" s="62">
        <v>0.0</v>
      </c>
      <c r="EI14" s="62">
        <v>0.0</v>
      </c>
      <c r="EJ14" s="62">
        <v>0.0</v>
      </c>
      <c r="EK14" s="62">
        <v>0.0</v>
      </c>
      <c r="EL14" s="62">
        <v>0.0</v>
      </c>
      <c r="EM14" s="62">
        <v>0.0</v>
      </c>
      <c r="EN14" s="62">
        <v>0.0</v>
      </c>
      <c r="EO14" s="62">
        <v>0.0</v>
      </c>
      <c r="EP14" s="62">
        <v>0.0</v>
      </c>
      <c r="EQ14" s="62">
        <v>0.0</v>
      </c>
      <c r="ER14" s="62">
        <v>0.0</v>
      </c>
      <c r="ES14" s="62">
        <v>0.0</v>
      </c>
      <c r="ET14" s="62">
        <v>0.0</v>
      </c>
      <c r="EU14" s="62">
        <v>0.0</v>
      </c>
      <c r="EV14" s="62">
        <v>0.0</v>
      </c>
      <c r="EW14" s="62">
        <v>0.0</v>
      </c>
      <c r="EX14" s="62">
        <v>0.0</v>
      </c>
      <c r="EY14" s="62">
        <v>0.0</v>
      </c>
      <c r="EZ14" s="62">
        <v>0.0</v>
      </c>
      <c r="FA14" s="62">
        <v>0.0</v>
      </c>
      <c r="FB14" s="62">
        <v>0.0</v>
      </c>
      <c r="FC14" s="62">
        <v>0.0</v>
      </c>
      <c r="FD14" s="62">
        <v>0.0</v>
      </c>
      <c r="FE14" s="62">
        <v>0.0</v>
      </c>
      <c r="FF14" s="62">
        <v>0.0</v>
      </c>
      <c r="FG14" s="62">
        <v>0.0</v>
      </c>
      <c r="FH14" s="62">
        <v>0.0</v>
      </c>
      <c r="FI14" s="62">
        <v>0.0</v>
      </c>
      <c r="FJ14" s="62">
        <v>452496.0</v>
      </c>
      <c r="FK14" s="62">
        <v>2039503.0</v>
      </c>
      <c r="FL14" s="62">
        <v>0.0</v>
      </c>
      <c r="FM14" s="62">
        <v>0.0</v>
      </c>
      <c r="FN14" s="62">
        <v>0.0</v>
      </c>
      <c r="FO14" s="62">
        <v>0.0</v>
      </c>
      <c r="FP14" s="62">
        <v>0.0</v>
      </c>
      <c r="FQ14" s="62">
        <v>0.0</v>
      </c>
      <c r="FR14" s="62">
        <v>0.0</v>
      </c>
      <c r="FS14" s="62">
        <v>0.0</v>
      </c>
      <c r="FT14" s="62">
        <v>0.0</v>
      </c>
      <c r="FU14" s="62">
        <v>0.0</v>
      </c>
      <c r="FV14" s="62">
        <v>0.0</v>
      </c>
      <c r="FW14" s="62">
        <v>0.0</v>
      </c>
      <c r="FX14" s="62">
        <v>24826.0</v>
      </c>
      <c r="FY14" s="62">
        <v>28234.0</v>
      </c>
      <c r="FZ14" s="62">
        <v>46715.0</v>
      </c>
      <c r="GA14" s="62">
        <v>121707.0</v>
      </c>
      <c r="GB14" s="62">
        <v>459386.0</v>
      </c>
      <c r="GC14" s="62">
        <v>26440.0</v>
      </c>
      <c r="GD14" s="62">
        <v>0.0</v>
      </c>
      <c r="GE14" s="62">
        <v>561593.0</v>
      </c>
      <c r="GF14" s="63">
        <v>4.6679793E7</v>
      </c>
      <c r="GG14" s="64">
        <v>233121.0</v>
      </c>
      <c r="GH14" s="65">
        <v>0.0</v>
      </c>
      <c r="GI14" s="64">
        <v>0.0</v>
      </c>
      <c r="GJ14" s="64">
        <v>0.0</v>
      </c>
      <c r="GK14" s="64">
        <v>-4077.0</v>
      </c>
      <c r="GL14" s="64">
        <v>48152.0</v>
      </c>
      <c r="GM14" s="64">
        <v>0.0</v>
      </c>
      <c r="GN14" s="63">
        <v>277196.0</v>
      </c>
      <c r="GO14" s="66">
        <v>4.6956989E7</v>
      </c>
      <c r="GP14" s="64">
        <v>4.1057663E7</v>
      </c>
      <c r="GQ14" s="64">
        <v>0.0</v>
      </c>
      <c r="GR14" s="65">
        <v>0.0</v>
      </c>
      <c r="GS14" s="63">
        <v>4.1057663E7</v>
      </c>
      <c r="GT14" s="67">
        <v>1073837.0</v>
      </c>
      <c r="GU14" s="67">
        <v>346056.0</v>
      </c>
      <c r="GV14" s="67">
        <v>624088.0</v>
      </c>
      <c r="GW14" s="63">
        <v>2043981.0</v>
      </c>
      <c r="GX14" s="63">
        <v>3452132.0</v>
      </c>
      <c r="GY14" s="63">
        <v>403213.0</v>
      </c>
      <c r="GZ14" s="66">
        <v>4.6956989E7</v>
      </c>
    </row>
    <row r="15">
      <c r="A15" s="68">
        <v>10.0</v>
      </c>
      <c r="B15" s="69" t="s">
        <v>55</v>
      </c>
      <c r="C15" s="70">
        <v>0.0</v>
      </c>
      <c r="D15" s="70">
        <v>0.0</v>
      </c>
      <c r="E15" s="70">
        <v>0.0</v>
      </c>
      <c r="F15" s="70">
        <v>0.0</v>
      </c>
      <c r="G15" s="70">
        <v>0.0</v>
      </c>
      <c r="H15" s="70">
        <v>0.0</v>
      </c>
      <c r="I15" s="70">
        <v>0.0</v>
      </c>
      <c r="J15" s="70">
        <v>0.0</v>
      </c>
      <c r="K15" s="70">
        <v>0.0</v>
      </c>
      <c r="L15" s="70">
        <v>8422952.0</v>
      </c>
      <c r="M15" s="70">
        <v>0.0</v>
      </c>
      <c r="N15" s="70">
        <v>0.0</v>
      </c>
      <c r="O15" s="70">
        <v>0.0</v>
      </c>
      <c r="P15" s="70">
        <v>0.0</v>
      </c>
      <c r="Q15" s="70">
        <v>0.0</v>
      </c>
      <c r="R15" s="70">
        <v>0.0</v>
      </c>
      <c r="S15" s="70">
        <v>0.0</v>
      </c>
      <c r="T15" s="70">
        <v>0.0</v>
      </c>
      <c r="U15" s="70">
        <v>0.0</v>
      </c>
      <c r="V15" s="70">
        <v>0.0</v>
      </c>
      <c r="W15" s="70">
        <v>0.0</v>
      </c>
      <c r="X15" s="70">
        <v>0.0</v>
      </c>
      <c r="Y15" s="70">
        <v>0.0</v>
      </c>
      <c r="Z15" s="70">
        <v>0.0</v>
      </c>
      <c r="AA15" s="70">
        <v>0.0</v>
      </c>
      <c r="AB15" s="70">
        <v>282500.0</v>
      </c>
      <c r="AC15" s="70">
        <v>6.0</v>
      </c>
      <c r="AD15" s="70">
        <v>581.0</v>
      </c>
      <c r="AE15" s="70">
        <v>170519.0</v>
      </c>
      <c r="AF15" s="70">
        <v>0.0</v>
      </c>
      <c r="AG15" s="70">
        <v>0.0</v>
      </c>
      <c r="AH15" s="70">
        <v>0.0</v>
      </c>
      <c r="AI15" s="70">
        <v>0.0</v>
      </c>
      <c r="AJ15" s="70">
        <v>0.0</v>
      </c>
      <c r="AK15" s="70">
        <v>0.0</v>
      </c>
      <c r="AL15" s="70">
        <v>0.0</v>
      </c>
      <c r="AM15" s="70">
        <v>0.0</v>
      </c>
      <c r="AN15" s="70">
        <v>0.0</v>
      </c>
      <c r="AO15" s="70">
        <v>0.0</v>
      </c>
      <c r="AP15" s="70">
        <v>0.0</v>
      </c>
      <c r="AQ15" s="70">
        <v>0.0</v>
      </c>
      <c r="AR15" s="70">
        <v>0.0</v>
      </c>
      <c r="AS15" s="70">
        <v>0.0</v>
      </c>
      <c r="AT15" s="70">
        <v>0.0</v>
      </c>
      <c r="AU15" s="70">
        <v>0.0</v>
      </c>
      <c r="AV15" s="70">
        <v>0.0</v>
      </c>
      <c r="AW15" s="70">
        <v>0.0</v>
      </c>
      <c r="AX15" s="70">
        <v>0.0</v>
      </c>
      <c r="AY15" s="70">
        <v>0.0</v>
      </c>
      <c r="AZ15" s="70">
        <v>0.0</v>
      </c>
      <c r="BA15" s="70">
        <v>0.0</v>
      </c>
      <c r="BB15" s="70">
        <v>0.0</v>
      </c>
      <c r="BC15" s="70">
        <v>0.0</v>
      </c>
      <c r="BD15" s="70">
        <v>0.0</v>
      </c>
      <c r="BE15" s="70">
        <v>8629.0</v>
      </c>
      <c r="BF15" s="70">
        <v>12382.0</v>
      </c>
      <c r="BG15" s="70">
        <v>2172232.0</v>
      </c>
      <c r="BH15" s="70">
        <v>0.0</v>
      </c>
      <c r="BI15" s="70">
        <v>0.0</v>
      </c>
      <c r="BJ15" s="70">
        <v>0.0</v>
      </c>
      <c r="BK15" s="70">
        <v>12784.0</v>
      </c>
      <c r="BL15" s="70">
        <v>0.0</v>
      </c>
      <c r="BM15" s="70">
        <v>0.0</v>
      </c>
      <c r="BN15" s="70">
        <v>0.0</v>
      </c>
      <c r="BO15" s="70">
        <v>0.0</v>
      </c>
      <c r="BP15" s="70">
        <v>10973.0</v>
      </c>
      <c r="BQ15" s="70">
        <v>5948802.0</v>
      </c>
      <c r="BR15" s="70">
        <v>0.0</v>
      </c>
      <c r="BS15" s="70">
        <v>0.0</v>
      </c>
      <c r="BT15" s="70">
        <v>100440.0</v>
      </c>
      <c r="BU15" s="70">
        <v>1.749763E7</v>
      </c>
      <c r="BV15" s="70">
        <v>107665.0</v>
      </c>
      <c r="BW15" s="70">
        <v>13903.0</v>
      </c>
      <c r="BX15" s="70">
        <v>16895.0</v>
      </c>
      <c r="BY15" s="70">
        <v>0.0</v>
      </c>
      <c r="BZ15" s="70">
        <v>0.0</v>
      </c>
      <c r="CA15" s="70">
        <v>0.0</v>
      </c>
      <c r="CB15" s="70">
        <v>0.0</v>
      </c>
      <c r="CC15" s="70">
        <v>0.0</v>
      </c>
      <c r="CD15" s="70">
        <v>0.0</v>
      </c>
      <c r="CE15" s="70">
        <v>0.0</v>
      </c>
      <c r="CF15" s="70">
        <v>0.0</v>
      </c>
      <c r="CG15" s="70">
        <v>0.0</v>
      </c>
      <c r="CH15" s="70">
        <v>0.0</v>
      </c>
      <c r="CI15" s="70">
        <v>0.0</v>
      </c>
      <c r="CJ15" s="70">
        <v>0.0</v>
      </c>
      <c r="CK15" s="70">
        <v>0.0</v>
      </c>
      <c r="CL15" s="70">
        <v>0.0</v>
      </c>
      <c r="CM15" s="70">
        <v>0.0</v>
      </c>
      <c r="CN15" s="70">
        <v>0.0</v>
      </c>
      <c r="CO15" s="70">
        <v>0.0</v>
      </c>
      <c r="CP15" s="70">
        <v>0.0</v>
      </c>
      <c r="CQ15" s="70">
        <v>0.0</v>
      </c>
      <c r="CR15" s="70">
        <v>0.0</v>
      </c>
      <c r="CS15" s="70">
        <v>0.0</v>
      </c>
      <c r="CT15" s="70">
        <v>0.0</v>
      </c>
      <c r="CU15" s="70">
        <v>0.0</v>
      </c>
      <c r="CV15" s="70">
        <v>0.0</v>
      </c>
      <c r="CW15" s="70">
        <v>0.0</v>
      </c>
      <c r="CX15" s="70">
        <v>0.0</v>
      </c>
      <c r="CY15" s="70">
        <v>0.0</v>
      </c>
      <c r="CZ15" s="70">
        <v>0.0</v>
      </c>
      <c r="DA15" s="70">
        <v>0.0</v>
      </c>
      <c r="DB15" s="70">
        <v>0.0</v>
      </c>
      <c r="DC15" s="70">
        <v>276676.0</v>
      </c>
      <c r="DD15" s="70">
        <v>90255.0</v>
      </c>
      <c r="DE15" s="70">
        <v>0.0</v>
      </c>
      <c r="DF15" s="70">
        <v>0.0</v>
      </c>
      <c r="DG15" s="70">
        <v>0.0</v>
      </c>
      <c r="DH15" s="70">
        <v>0.0</v>
      </c>
      <c r="DI15" s="70">
        <v>0.0</v>
      </c>
      <c r="DJ15" s="70">
        <v>0.0</v>
      </c>
      <c r="DK15" s="70">
        <v>0.0</v>
      </c>
      <c r="DL15" s="70">
        <v>0.0</v>
      </c>
      <c r="DM15" s="70">
        <v>0.0</v>
      </c>
      <c r="DN15" s="70">
        <v>0.0</v>
      </c>
      <c r="DO15" s="70">
        <v>0.0</v>
      </c>
      <c r="DP15" s="70">
        <v>0.0</v>
      </c>
      <c r="DQ15" s="70">
        <v>0.0</v>
      </c>
      <c r="DR15" s="70">
        <v>0.0</v>
      </c>
      <c r="DS15" s="70">
        <v>0.0</v>
      </c>
      <c r="DT15" s="70">
        <v>0.0</v>
      </c>
      <c r="DU15" s="70">
        <v>0.0</v>
      </c>
      <c r="DV15" s="70">
        <v>0.0</v>
      </c>
      <c r="DW15" s="70">
        <v>0.0</v>
      </c>
      <c r="DX15" s="70">
        <v>0.0</v>
      </c>
      <c r="DY15" s="70">
        <v>0.0</v>
      </c>
      <c r="DZ15" s="70">
        <v>0.0</v>
      </c>
      <c r="EA15" s="70">
        <v>0.0</v>
      </c>
      <c r="EB15" s="70">
        <v>0.0</v>
      </c>
      <c r="EC15" s="70">
        <v>0.0</v>
      </c>
      <c r="ED15" s="70">
        <v>0.0</v>
      </c>
      <c r="EE15" s="70">
        <v>0.0</v>
      </c>
      <c r="EF15" s="70">
        <v>0.0</v>
      </c>
      <c r="EG15" s="70">
        <v>0.0</v>
      </c>
      <c r="EH15" s="70">
        <v>0.0</v>
      </c>
      <c r="EI15" s="70">
        <v>0.0</v>
      </c>
      <c r="EJ15" s="70">
        <v>0.0</v>
      </c>
      <c r="EK15" s="70">
        <v>0.0</v>
      </c>
      <c r="EL15" s="70">
        <v>0.0</v>
      </c>
      <c r="EM15" s="70">
        <v>0.0</v>
      </c>
      <c r="EN15" s="70">
        <v>0.0</v>
      </c>
      <c r="EO15" s="70">
        <v>0.0</v>
      </c>
      <c r="EP15" s="70">
        <v>0.0</v>
      </c>
      <c r="EQ15" s="70">
        <v>0.0</v>
      </c>
      <c r="ER15" s="70">
        <v>0.0</v>
      </c>
      <c r="ES15" s="70">
        <v>0.0</v>
      </c>
      <c r="ET15" s="70">
        <v>0.0</v>
      </c>
      <c r="EU15" s="70">
        <v>0.0</v>
      </c>
      <c r="EV15" s="70">
        <v>0.0</v>
      </c>
      <c r="EW15" s="70">
        <v>0.0</v>
      </c>
      <c r="EX15" s="70">
        <v>0.0</v>
      </c>
      <c r="EY15" s="70">
        <v>0.0</v>
      </c>
      <c r="EZ15" s="70">
        <v>0.0</v>
      </c>
      <c r="FA15" s="70">
        <v>0.0</v>
      </c>
      <c r="FB15" s="70">
        <v>0.0</v>
      </c>
      <c r="FC15" s="70">
        <v>0.0</v>
      </c>
      <c r="FD15" s="70">
        <v>0.0</v>
      </c>
      <c r="FE15" s="70">
        <v>0.0</v>
      </c>
      <c r="FF15" s="70">
        <v>0.0</v>
      </c>
      <c r="FG15" s="70">
        <v>0.0</v>
      </c>
      <c r="FH15" s="70">
        <v>0.0</v>
      </c>
      <c r="FI15" s="70">
        <v>0.0</v>
      </c>
      <c r="FJ15" s="70">
        <v>3551174.0</v>
      </c>
      <c r="FK15" s="70">
        <v>3.022522E7</v>
      </c>
      <c r="FL15" s="70">
        <v>0.0</v>
      </c>
      <c r="FM15" s="70">
        <v>0.0</v>
      </c>
      <c r="FN15" s="70">
        <v>0.0</v>
      </c>
      <c r="FO15" s="70">
        <v>0.0</v>
      </c>
      <c r="FP15" s="70">
        <v>0.0</v>
      </c>
      <c r="FQ15" s="70">
        <v>0.0</v>
      </c>
      <c r="FR15" s="70">
        <v>0.0</v>
      </c>
      <c r="FS15" s="70">
        <v>0.0</v>
      </c>
      <c r="FT15" s="70">
        <v>0.0</v>
      </c>
      <c r="FU15" s="70">
        <v>0.0</v>
      </c>
      <c r="FV15" s="70">
        <v>0.0</v>
      </c>
      <c r="FW15" s="70">
        <v>914626.0</v>
      </c>
      <c r="FX15" s="70">
        <v>29422.0</v>
      </c>
      <c r="FY15" s="70">
        <v>211342.0</v>
      </c>
      <c r="FZ15" s="70">
        <v>43901.0</v>
      </c>
      <c r="GA15" s="70">
        <v>92874.0</v>
      </c>
      <c r="GB15" s="70">
        <v>1141282.0</v>
      </c>
      <c r="GC15" s="70">
        <v>1077638.0</v>
      </c>
      <c r="GD15" s="70">
        <v>0.0</v>
      </c>
      <c r="GE15" s="70">
        <v>127767.0</v>
      </c>
      <c r="GF15" s="71">
        <v>7.256107E7</v>
      </c>
      <c r="GG15" s="72">
        <v>1.96107082E8</v>
      </c>
      <c r="GH15" s="73">
        <v>0.0</v>
      </c>
      <c r="GI15" s="72">
        <v>0.0</v>
      </c>
      <c r="GJ15" s="72">
        <v>1277184.0</v>
      </c>
      <c r="GK15" s="72">
        <v>-50108.0</v>
      </c>
      <c r="GL15" s="72">
        <v>1481850.0</v>
      </c>
      <c r="GM15" s="72">
        <v>0.0</v>
      </c>
      <c r="GN15" s="71">
        <v>1.98816008E8</v>
      </c>
      <c r="GO15" s="74">
        <v>2.71377078E8</v>
      </c>
      <c r="GP15" s="72">
        <v>1.3291834E7</v>
      </c>
      <c r="GQ15" s="72">
        <v>0.0</v>
      </c>
      <c r="GR15" s="73">
        <v>0.0</v>
      </c>
      <c r="GS15" s="71">
        <v>1.3291834E7</v>
      </c>
      <c r="GT15" s="75">
        <v>3.3769848E7</v>
      </c>
      <c r="GU15" s="75">
        <v>3.2826847E7</v>
      </c>
      <c r="GV15" s="75">
        <v>5632905.0</v>
      </c>
      <c r="GW15" s="71">
        <v>7.22296E7</v>
      </c>
      <c r="GX15" s="71">
        <v>239797.0</v>
      </c>
      <c r="GY15" s="71">
        <v>1.85615847E8</v>
      </c>
      <c r="GZ15" s="74">
        <v>2.71377078E8</v>
      </c>
    </row>
    <row r="16">
      <c r="A16" s="52">
        <v>11.0</v>
      </c>
      <c r="B16" s="53" t="s">
        <v>56</v>
      </c>
      <c r="C16" s="54">
        <v>0.0</v>
      </c>
      <c r="D16" s="54">
        <v>0.0</v>
      </c>
      <c r="E16" s="54">
        <v>0.0</v>
      </c>
      <c r="F16" s="54">
        <v>0.0</v>
      </c>
      <c r="G16" s="54">
        <v>0.0</v>
      </c>
      <c r="H16" s="54">
        <v>0.0</v>
      </c>
      <c r="I16" s="54">
        <v>0.0</v>
      </c>
      <c r="J16" s="54">
        <v>0.0</v>
      </c>
      <c r="K16" s="54">
        <v>0.0</v>
      </c>
      <c r="L16" s="54">
        <v>0.0</v>
      </c>
      <c r="M16" s="54">
        <v>304233.0</v>
      </c>
      <c r="N16" s="54">
        <v>0.0</v>
      </c>
      <c r="O16" s="54">
        <v>0.0</v>
      </c>
      <c r="P16" s="54">
        <v>0.0</v>
      </c>
      <c r="Q16" s="54">
        <v>0.0</v>
      </c>
      <c r="R16" s="54">
        <v>0.0</v>
      </c>
      <c r="S16" s="54">
        <v>0.0</v>
      </c>
      <c r="T16" s="54">
        <v>0.0</v>
      </c>
      <c r="U16" s="54">
        <v>0.0</v>
      </c>
      <c r="V16" s="54">
        <v>0.0</v>
      </c>
      <c r="W16" s="54">
        <v>0.0</v>
      </c>
      <c r="X16" s="54">
        <v>0.0</v>
      </c>
      <c r="Y16" s="54">
        <v>0.0</v>
      </c>
      <c r="Z16" s="54">
        <v>0.0</v>
      </c>
      <c r="AA16" s="54">
        <v>0.0</v>
      </c>
      <c r="AB16" s="54">
        <v>1438583.0</v>
      </c>
      <c r="AC16" s="54">
        <v>65988.0</v>
      </c>
      <c r="AD16" s="54">
        <v>400933.0</v>
      </c>
      <c r="AE16" s="54">
        <v>79154.0</v>
      </c>
      <c r="AF16" s="54">
        <v>0.0</v>
      </c>
      <c r="AG16" s="54">
        <v>0.0</v>
      </c>
      <c r="AH16" s="54">
        <v>0.0</v>
      </c>
      <c r="AI16" s="54">
        <v>273496.0</v>
      </c>
      <c r="AJ16" s="54">
        <v>0.0</v>
      </c>
      <c r="AK16" s="54">
        <v>0.0</v>
      </c>
      <c r="AL16" s="54">
        <v>0.0</v>
      </c>
      <c r="AM16" s="54">
        <v>0.0</v>
      </c>
      <c r="AN16" s="54">
        <v>0.0</v>
      </c>
      <c r="AO16" s="54">
        <v>0.0</v>
      </c>
      <c r="AP16" s="54">
        <v>0.0</v>
      </c>
      <c r="AQ16" s="54">
        <v>0.0</v>
      </c>
      <c r="AR16" s="54">
        <v>0.0</v>
      </c>
      <c r="AS16" s="54">
        <v>0.0</v>
      </c>
      <c r="AT16" s="54">
        <v>0.0</v>
      </c>
      <c r="AU16" s="54">
        <v>0.0</v>
      </c>
      <c r="AV16" s="54">
        <v>0.0</v>
      </c>
      <c r="AW16" s="54">
        <v>0.0</v>
      </c>
      <c r="AX16" s="54">
        <v>0.0</v>
      </c>
      <c r="AY16" s="54">
        <v>0.0</v>
      </c>
      <c r="AZ16" s="54">
        <v>0.0</v>
      </c>
      <c r="BA16" s="54">
        <v>0.0</v>
      </c>
      <c r="BB16" s="54">
        <v>0.0</v>
      </c>
      <c r="BC16" s="54">
        <v>0.0</v>
      </c>
      <c r="BD16" s="54">
        <v>0.0</v>
      </c>
      <c r="BE16" s="54">
        <v>0.0</v>
      </c>
      <c r="BF16" s="54">
        <v>0.0</v>
      </c>
      <c r="BG16" s="54">
        <v>0.0</v>
      </c>
      <c r="BH16" s="54">
        <v>0.0</v>
      </c>
      <c r="BI16" s="54">
        <v>0.0</v>
      </c>
      <c r="BJ16" s="54">
        <v>0.0</v>
      </c>
      <c r="BK16" s="54">
        <v>0.0</v>
      </c>
      <c r="BL16" s="54">
        <v>0.0</v>
      </c>
      <c r="BM16" s="54">
        <v>0.0</v>
      </c>
      <c r="BN16" s="54">
        <v>0.0</v>
      </c>
      <c r="BO16" s="54">
        <v>0.0</v>
      </c>
      <c r="BP16" s="54">
        <v>0.0</v>
      </c>
      <c r="BQ16" s="54">
        <v>0.0</v>
      </c>
      <c r="BR16" s="54">
        <v>0.0</v>
      </c>
      <c r="BS16" s="54">
        <v>1541964.0</v>
      </c>
      <c r="BT16" s="54">
        <v>0.0</v>
      </c>
      <c r="BU16" s="54">
        <v>0.0</v>
      </c>
      <c r="BV16" s="54">
        <v>187855.0</v>
      </c>
      <c r="BW16" s="54">
        <v>0.0</v>
      </c>
      <c r="BX16" s="54">
        <v>1991.0</v>
      </c>
      <c r="BY16" s="54">
        <v>156.0</v>
      </c>
      <c r="BZ16" s="54">
        <v>0.0</v>
      </c>
      <c r="CA16" s="54">
        <v>0.0</v>
      </c>
      <c r="CB16" s="54">
        <v>0.0</v>
      </c>
      <c r="CC16" s="54">
        <v>0.0</v>
      </c>
      <c r="CD16" s="54">
        <v>0.0</v>
      </c>
      <c r="CE16" s="54">
        <v>0.0</v>
      </c>
      <c r="CF16" s="54">
        <v>0.0</v>
      </c>
      <c r="CG16" s="54">
        <v>0.0</v>
      </c>
      <c r="CH16" s="54">
        <v>0.0</v>
      </c>
      <c r="CI16" s="54">
        <v>0.0</v>
      </c>
      <c r="CJ16" s="54">
        <v>0.0</v>
      </c>
      <c r="CK16" s="54">
        <v>0.0</v>
      </c>
      <c r="CL16" s="54">
        <v>0.0</v>
      </c>
      <c r="CM16" s="54">
        <v>0.0</v>
      </c>
      <c r="CN16" s="54">
        <v>0.0</v>
      </c>
      <c r="CO16" s="54">
        <v>0.0</v>
      </c>
      <c r="CP16" s="54">
        <v>0.0</v>
      </c>
      <c r="CQ16" s="54">
        <v>0.0</v>
      </c>
      <c r="CR16" s="54">
        <v>0.0</v>
      </c>
      <c r="CS16" s="54">
        <v>0.0</v>
      </c>
      <c r="CT16" s="54">
        <v>0.0</v>
      </c>
      <c r="CU16" s="54">
        <v>0.0</v>
      </c>
      <c r="CV16" s="54">
        <v>0.0</v>
      </c>
      <c r="CW16" s="54">
        <v>0.0</v>
      </c>
      <c r="CX16" s="54">
        <v>0.0</v>
      </c>
      <c r="CY16" s="54">
        <v>0.0</v>
      </c>
      <c r="CZ16" s="54">
        <v>0.0</v>
      </c>
      <c r="DA16" s="54">
        <v>0.0</v>
      </c>
      <c r="DB16" s="54">
        <v>3981.0</v>
      </c>
      <c r="DC16" s="54">
        <v>440534.0</v>
      </c>
      <c r="DD16" s="54">
        <v>62178.0</v>
      </c>
      <c r="DE16" s="54">
        <v>0.0</v>
      </c>
      <c r="DF16" s="54">
        <v>0.0</v>
      </c>
      <c r="DG16" s="54">
        <v>0.0</v>
      </c>
      <c r="DH16" s="54">
        <v>0.0</v>
      </c>
      <c r="DI16" s="54">
        <v>0.0</v>
      </c>
      <c r="DJ16" s="54">
        <v>0.0</v>
      </c>
      <c r="DK16" s="54">
        <v>0.0</v>
      </c>
      <c r="DL16" s="54">
        <v>0.0</v>
      </c>
      <c r="DM16" s="54">
        <v>0.0</v>
      </c>
      <c r="DN16" s="54">
        <v>0.0</v>
      </c>
      <c r="DO16" s="54">
        <v>0.0</v>
      </c>
      <c r="DP16" s="54">
        <v>0.0</v>
      </c>
      <c r="DQ16" s="54">
        <v>0.0</v>
      </c>
      <c r="DR16" s="54">
        <v>0.0</v>
      </c>
      <c r="DS16" s="54">
        <v>0.0</v>
      </c>
      <c r="DT16" s="54">
        <v>0.0</v>
      </c>
      <c r="DU16" s="54">
        <v>0.0</v>
      </c>
      <c r="DV16" s="54">
        <v>0.0</v>
      </c>
      <c r="DW16" s="54">
        <v>0.0</v>
      </c>
      <c r="DX16" s="54">
        <v>0.0</v>
      </c>
      <c r="DY16" s="54">
        <v>0.0</v>
      </c>
      <c r="DZ16" s="54">
        <v>0.0</v>
      </c>
      <c r="EA16" s="54">
        <v>0.0</v>
      </c>
      <c r="EB16" s="54">
        <v>0.0</v>
      </c>
      <c r="EC16" s="54">
        <v>0.0</v>
      </c>
      <c r="ED16" s="54">
        <v>0.0</v>
      </c>
      <c r="EE16" s="54">
        <v>0.0</v>
      </c>
      <c r="EF16" s="54">
        <v>0.0</v>
      </c>
      <c r="EG16" s="54">
        <v>0.0</v>
      </c>
      <c r="EH16" s="54">
        <v>0.0</v>
      </c>
      <c r="EI16" s="54">
        <v>0.0</v>
      </c>
      <c r="EJ16" s="54">
        <v>0.0</v>
      </c>
      <c r="EK16" s="54">
        <v>0.0</v>
      </c>
      <c r="EL16" s="54">
        <v>0.0</v>
      </c>
      <c r="EM16" s="54">
        <v>0.0</v>
      </c>
      <c r="EN16" s="54">
        <v>0.0</v>
      </c>
      <c r="EO16" s="54">
        <v>451.0</v>
      </c>
      <c r="EP16" s="54">
        <v>0.0</v>
      </c>
      <c r="EQ16" s="54">
        <v>0.0</v>
      </c>
      <c r="ER16" s="54">
        <v>0.0</v>
      </c>
      <c r="ES16" s="54">
        <v>0.0</v>
      </c>
      <c r="ET16" s="54">
        <v>4825.0</v>
      </c>
      <c r="EU16" s="54">
        <v>765387.0</v>
      </c>
      <c r="EV16" s="54">
        <v>213082.0</v>
      </c>
      <c r="EW16" s="54">
        <v>0.0</v>
      </c>
      <c r="EX16" s="54">
        <v>45552.0</v>
      </c>
      <c r="EY16" s="54">
        <v>129258.0</v>
      </c>
      <c r="EZ16" s="54">
        <v>0.0</v>
      </c>
      <c r="FA16" s="54">
        <v>0.0</v>
      </c>
      <c r="FB16" s="54">
        <v>0.0</v>
      </c>
      <c r="FC16" s="54">
        <v>0.0</v>
      </c>
      <c r="FD16" s="54">
        <v>0.0</v>
      </c>
      <c r="FE16" s="54">
        <v>0.0</v>
      </c>
      <c r="FF16" s="54">
        <v>0.0</v>
      </c>
      <c r="FG16" s="54">
        <v>0.0</v>
      </c>
      <c r="FH16" s="54">
        <v>0.0</v>
      </c>
      <c r="FI16" s="54">
        <v>0.0</v>
      </c>
      <c r="FJ16" s="54">
        <v>0.0</v>
      </c>
      <c r="FK16" s="54">
        <v>0.0</v>
      </c>
      <c r="FL16" s="54">
        <v>0.0</v>
      </c>
      <c r="FM16" s="54">
        <v>0.0</v>
      </c>
      <c r="FN16" s="54">
        <v>0.0</v>
      </c>
      <c r="FO16" s="54">
        <v>0.0</v>
      </c>
      <c r="FP16" s="54">
        <v>0.0</v>
      </c>
      <c r="FQ16" s="54">
        <v>0.0</v>
      </c>
      <c r="FR16" s="54">
        <v>0.0</v>
      </c>
      <c r="FS16" s="54">
        <v>0.0</v>
      </c>
      <c r="FT16" s="54">
        <v>0.0</v>
      </c>
      <c r="FU16" s="54">
        <v>0.0</v>
      </c>
      <c r="FV16" s="54">
        <v>0.0</v>
      </c>
      <c r="FW16" s="54">
        <v>136759.0</v>
      </c>
      <c r="FX16" s="54">
        <v>1585.0</v>
      </c>
      <c r="FY16" s="54">
        <v>953.0</v>
      </c>
      <c r="FZ16" s="54">
        <v>268.0</v>
      </c>
      <c r="GA16" s="54">
        <v>19814.0</v>
      </c>
      <c r="GB16" s="54">
        <v>7094.0</v>
      </c>
      <c r="GC16" s="54">
        <v>680963.0</v>
      </c>
      <c r="GD16" s="54">
        <v>0.0</v>
      </c>
      <c r="GE16" s="54">
        <v>23548.0</v>
      </c>
      <c r="GF16" s="55">
        <v>6830585.0</v>
      </c>
      <c r="GG16" s="56">
        <v>2985108.0</v>
      </c>
      <c r="GH16" s="57">
        <v>0.0</v>
      </c>
      <c r="GI16" s="56">
        <v>0.0</v>
      </c>
      <c r="GJ16" s="56">
        <v>324869.0</v>
      </c>
      <c r="GK16" s="56">
        <v>67978.0</v>
      </c>
      <c r="GL16" s="56">
        <v>561562.0</v>
      </c>
      <c r="GM16" s="56">
        <v>0.0</v>
      </c>
      <c r="GN16" s="55">
        <v>3939517.0</v>
      </c>
      <c r="GO16" s="58">
        <v>1.0770102E7</v>
      </c>
      <c r="GP16" s="56">
        <v>267985.0</v>
      </c>
      <c r="GQ16" s="56">
        <v>0.0</v>
      </c>
      <c r="GR16" s="57">
        <v>0.0</v>
      </c>
      <c r="GS16" s="55">
        <v>267985.0</v>
      </c>
      <c r="GT16" s="59">
        <v>2073445.0</v>
      </c>
      <c r="GU16" s="59">
        <v>1899144.0</v>
      </c>
      <c r="GV16" s="59">
        <v>407391.0</v>
      </c>
      <c r="GW16" s="55">
        <v>4379980.0</v>
      </c>
      <c r="GX16" s="55">
        <v>126555.0</v>
      </c>
      <c r="GY16" s="55">
        <v>5995582.0</v>
      </c>
      <c r="GZ16" s="58">
        <v>1.0770102E7</v>
      </c>
    </row>
    <row r="17">
      <c r="A17" s="60">
        <v>12.0</v>
      </c>
      <c r="B17" s="61" t="s">
        <v>57</v>
      </c>
      <c r="C17" s="62">
        <v>0.0</v>
      </c>
      <c r="D17" s="62">
        <v>0.0</v>
      </c>
      <c r="E17" s="62">
        <v>0.0</v>
      </c>
      <c r="F17" s="62">
        <v>0.0</v>
      </c>
      <c r="G17" s="62">
        <v>0.0</v>
      </c>
      <c r="H17" s="62">
        <v>0.0</v>
      </c>
      <c r="I17" s="62">
        <v>0.0</v>
      </c>
      <c r="J17" s="62">
        <v>0.0</v>
      </c>
      <c r="K17" s="62">
        <v>0.0</v>
      </c>
      <c r="L17" s="62">
        <v>0.0</v>
      </c>
      <c r="M17" s="62">
        <v>0.0</v>
      </c>
      <c r="N17" s="62">
        <v>2202430.0</v>
      </c>
      <c r="O17" s="62">
        <v>0.0</v>
      </c>
      <c r="P17" s="62">
        <v>0.0</v>
      </c>
      <c r="Q17" s="62">
        <v>0.0</v>
      </c>
      <c r="R17" s="62">
        <v>0.0</v>
      </c>
      <c r="S17" s="62">
        <v>0.0</v>
      </c>
      <c r="T17" s="62">
        <v>0.0</v>
      </c>
      <c r="U17" s="62">
        <v>0.0</v>
      </c>
      <c r="V17" s="62">
        <v>0.0</v>
      </c>
      <c r="W17" s="62">
        <v>0.0</v>
      </c>
      <c r="X17" s="62">
        <v>0.0</v>
      </c>
      <c r="Y17" s="62">
        <v>0.0</v>
      </c>
      <c r="Z17" s="62">
        <v>0.0</v>
      </c>
      <c r="AA17" s="62">
        <v>0.0</v>
      </c>
      <c r="AB17" s="62">
        <v>991086.0</v>
      </c>
      <c r="AC17" s="62">
        <v>64802.0</v>
      </c>
      <c r="AD17" s="62">
        <v>55.0</v>
      </c>
      <c r="AE17" s="62">
        <v>0.0</v>
      </c>
      <c r="AF17" s="62">
        <v>0.0</v>
      </c>
      <c r="AG17" s="62">
        <v>0.0</v>
      </c>
      <c r="AH17" s="62">
        <v>0.0</v>
      </c>
      <c r="AI17" s="62">
        <v>0.0</v>
      </c>
      <c r="AJ17" s="62">
        <v>0.0</v>
      </c>
      <c r="AK17" s="62">
        <v>0.0</v>
      </c>
      <c r="AL17" s="62">
        <v>0.0</v>
      </c>
      <c r="AM17" s="62">
        <v>0.0</v>
      </c>
      <c r="AN17" s="62">
        <v>0.0</v>
      </c>
      <c r="AO17" s="62">
        <v>0.0</v>
      </c>
      <c r="AP17" s="62">
        <v>0.0</v>
      </c>
      <c r="AQ17" s="62">
        <v>0.0</v>
      </c>
      <c r="AR17" s="62">
        <v>0.0</v>
      </c>
      <c r="AS17" s="62">
        <v>0.0</v>
      </c>
      <c r="AT17" s="62">
        <v>0.0</v>
      </c>
      <c r="AU17" s="62">
        <v>0.0</v>
      </c>
      <c r="AV17" s="62">
        <v>0.0</v>
      </c>
      <c r="AW17" s="62">
        <v>0.0</v>
      </c>
      <c r="AX17" s="62">
        <v>0.0</v>
      </c>
      <c r="AY17" s="62">
        <v>0.0</v>
      </c>
      <c r="AZ17" s="62">
        <v>0.0</v>
      </c>
      <c r="BA17" s="62">
        <v>0.0</v>
      </c>
      <c r="BB17" s="62">
        <v>0.0</v>
      </c>
      <c r="BC17" s="62">
        <v>0.0</v>
      </c>
      <c r="BD17" s="62">
        <v>0.0</v>
      </c>
      <c r="BE17" s="62">
        <v>0.0</v>
      </c>
      <c r="BF17" s="62">
        <v>0.0</v>
      </c>
      <c r="BG17" s="62">
        <v>0.0</v>
      </c>
      <c r="BH17" s="62">
        <v>0.0</v>
      </c>
      <c r="BI17" s="62">
        <v>0.0</v>
      </c>
      <c r="BJ17" s="62">
        <v>3792.0</v>
      </c>
      <c r="BK17" s="62">
        <v>0.0</v>
      </c>
      <c r="BL17" s="62">
        <v>0.0</v>
      </c>
      <c r="BM17" s="62">
        <v>0.0</v>
      </c>
      <c r="BN17" s="62">
        <v>0.0</v>
      </c>
      <c r="BO17" s="62">
        <v>2.3791272E7</v>
      </c>
      <c r="BP17" s="62">
        <v>0.0</v>
      </c>
      <c r="BQ17" s="62">
        <v>0.0</v>
      </c>
      <c r="BR17" s="62">
        <v>0.0</v>
      </c>
      <c r="BS17" s="62">
        <v>13009.0</v>
      </c>
      <c r="BT17" s="62">
        <v>0.0</v>
      </c>
      <c r="BU17" s="62">
        <v>423.0</v>
      </c>
      <c r="BV17" s="62">
        <v>0.0</v>
      </c>
      <c r="BW17" s="62">
        <v>51.0</v>
      </c>
      <c r="BX17" s="62">
        <v>33947.0</v>
      </c>
      <c r="BY17" s="62">
        <v>0.0</v>
      </c>
      <c r="BZ17" s="62">
        <v>0.0</v>
      </c>
      <c r="CA17" s="62">
        <v>0.0</v>
      </c>
      <c r="CB17" s="62">
        <v>0.0</v>
      </c>
      <c r="CC17" s="62">
        <v>0.0</v>
      </c>
      <c r="CD17" s="62">
        <v>0.0</v>
      </c>
      <c r="CE17" s="62">
        <v>0.0</v>
      </c>
      <c r="CF17" s="62">
        <v>0.0</v>
      </c>
      <c r="CG17" s="62">
        <v>0.0</v>
      </c>
      <c r="CH17" s="62">
        <v>0.0</v>
      </c>
      <c r="CI17" s="62">
        <v>0.0</v>
      </c>
      <c r="CJ17" s="62">
        <v>0.0</v>
      </c>
      <c r="CK17" s="62">
        <v>0.0</v>
      </c>
      <c r="CL17" s="62">
        <v>0.0</v>
      </c>
      <c r="CM17" s="62">
        <v>0.0</v>
      </c>
      <c r="CN17" s="62">
        <v>0.0</v>
      </c>
      <c r="CO17" s="62">
        <v>0.0</v>
      </c>
      <c r="CP17" s="62">
        <v>0.0</v>
      </c>
      <c r="CQ17" s="62">
        <v>0.0</v>
      </c>
      <c r="CR17" s="62">
        <v>0.0</v>
      </c>
      <c r="CS17" s="62">
        <v>0.0</v>
      </c>
      <c r="CT17" s="62">
        <v>0.0</v>
      </c>
      <c r="CU17" s="62">
        <v>0.0</v>
      </c>
      <c r="CV17" s="62">
        <v>0.0</v>
      </c>
      <c r="CW17" s="62">
        <v>0.0</v>
      </c>
      <c r="CX17" s="62">
        <v>0.0</v>
      </c>
      <c r="CY17" s="62">
        <v>0.0</v>
      </c>
      <c r="CZ17" s="62">
        <v>0.0</v>
      </c>
      <c r="DA17" s="62">
        <v>0.0</v>
      </c>
      <c r="DB17" s="62">
        <v>0.0</v>
      </c>
      <c r="DC17" s="62">
        <v>151.0</v>
      </c>
      <c r="DD17" s="62">
        <v>11381.0</v>
      </c>
      <c r="DE17" s="62">
        <v>0.0</v>
      </c>
      <c r="DF17" s="62">
        <v>0.0</v>
      </c>
      <c r="DG17" s="62">
        <v>0.0</v>
      </c>
      <c r="DH17" s="62">
        <v>0.0</v>
      </c>
      <c r="DI17" s="62">
        <v>0.0</v>
      </c>
      <c r="DJ17" s="62">
        <v>0.0</v>
      </c>
      <c r="DK17" s="62">
        <v>0.0</v>
      </c>
      <c r="DL17" s="62">
        <v>0.0</v>
      </c>
      <c r="DM17" s="62">
        <v>0.0</v>
      </c>
      <c r="DN17" s="62">
        <v>0.0</v>
      </c>
      <c r="DO17" s="62">
        <v>0.0</v>
      </c>
      <c r="DP17" s="62">
        <v>0.0</v>
      </c>
      <c r="DQ17" s="62">
        <v>0.0</v>
      </c>
      <c r="DR17" s="62">
        <v>0.0</v>
      </c>
      <c r="DS17" s="62">
        <v>0.0</v>
      </c>
      <c r="DT17" s="62">
        <v>0.0</v>
      </c>
      <c r="DU17" s="62">
        <v>0.0</v>
      </c>
      <c r="DV17" s="62">
        <v>0.0</v>
      </c>
      <c r="DW17" s="62">
        <v>0.0</v>
      </c>
      <c r="DX17" s="62">
        <v>0.0</v>
      </c>
      <c r="DY17" s="62">
        <v>0.0</v>
      </c>
      <c r="DZ17" s="62">
        <v>0.0</v>
      </c>
      <c r="EA17" s="62">
        <v>0.0</v>
      </c>
      <c r="EB17" s="62">
        <v>0.0</v>
      </c>
      <c r="EC17" s="62">
        <v>0.0</v>
      </c>
      <c r="ED17" s="62">
        <v>0.0</v>
      </c>
      <c r="EE17" s="62">
        <v>0.0</v>
      </c>
      <c r="EF17" s="62">
        <v>0.0</v>
      </c>
      <c r="EG17" s="62">
        <v>0.0</v>
      </c>
      <c r="EH17" s="62">
        <v>0.0</v>
      </c>
      <c r="EI17" s="62">
        <v>0.0</v>
      </c>
      <c r="EJ17" s="62">
        <v>0.0</v>
      </c>
      <c r="EK17" s="62">
        <v>0.0</v>
      </c>
      <c r="EL17" s="62">
        <v>0.0</v>
      </c>
      <c r="EM17" s="62">
        <v>0.0</v>
      </c>
      <c r="EN17" s="62">
        <v>0.0</v>
      </c>
      <c r="EO17" s="62">
        <v>0.0</v>
      </c>
      <c r="EP17" s="62">
        <v>0.0</v>
      </c>
      <c r="EQ17" s="62">
        <v>0.0</v>
      </c>
      <c r="ER17" s="62">
        <v>0.0</v>
      </c>
      <c r="ES17" s="62">
        <v>0.0</v>
      </c>
      <c r="ET17" s="62">
        <v>0.0</v>
      </c>
      <c r="EU17" s="62">
        <v>0.0</v>
      </c>
      <c r="EV17" s="62">
        <v>0.0</v>
      </c>
      <c r="EW17" s="62">
        <v>0.0</v>
      </c>
      <c r="EX17" s="62">
        <v>0.0</v>
      </c>
      <c r="EY17" s="62">
        <v>0.0</v>
      </c>
      <c r="EZ17" s="62">
        <v>0.0</v>
      </c>
      <c r="FA17" s="62">
        <v>0.0</v>
      </c>
      <c r="FB17" s="62">
        <v>0.0</v>
      </c>
      <c r="FC17" s="62">
        <v>0.0</v>
      </c>
      <c r="FD17" s="62">
        <v>0.0</v>
      </c>
      <c r="FE17" s="62">
        <v>0.0</v>
      </c>
      <c r="FF17" s="62">
        <v>0.0</v>
      </c>
      <c r="FG17" s="62">
        <v>0.0</v>
      </c>
      <c r="FH17" s="62">
        <v>0.0</v>
      </c>
      <c r="FI17" s="62">
        <v>0.0</v>
      </c>
      <c r="FJ17" s="62">
        <v>0.0</v>
      </c>
      <c r="FK17" s="62">
        <v>129718.0</v>
      </c>
      <c r="FL17" s="62">
        <v>0.0</v>
      </c>
      <c r="FM17" s="62">
        <v>0.0</v>
      </c>
      <c r="FN17" s="62">
        <v>0.0</v>
      </c>
      <c r="FO17" s="62">
        <v>0.0</v>
      </c>
      <c r="FP17" s="62">
        <v>0.0</v>
      </c>
      <c r="FQ17" s="62">
        <v>0.0</v>
      </c>
      <c r="FR17" s="62">
        <v>0.0</v>
      </c>
      <c r="FS17" s="62">
        <v>0.0</v>
      </c>
      <c r="FT17" s="62">
        <v>0.0</v>
      </c>
      <c r="FU17" s="62">
        <v>0.0</v>
      </c>
      <c r="FV17" s="62">
        <v>0.0</v>
      </c>
      <c r="FW17" s="62">
        <v>99354.0</v>
      </c>
      <c r="FX17" s="62">
        <v>0.0</v>
      </c>
      <c r="FY17" s="62">
        <v>0.0</v>
      </c>
      <c r="FZ17" s="62">
        <v>0.0</v>
      </c>
      <c r="GA17" s="62">
        <v>40.0</v>
      </c>
      <c r="GB17" s="62">
        <v>0.0</v>
      </c>
      <c r="GC17" s="62">
        <v>0.0</v>
      </c>
      <c r="GD17" s="62">
        <v>0.0</v>
      </c>
      <c r="GE17" s="62">
        <v>0.0</v>
      </c>
      <c r="GF17" s="63">
        <v>2.7341511E7</v>
      </c>
      <c r="GG17" s="64">
        <v>0.0</v>
      </c>
      <c r="GH17" s="65">
        <v>0.0</v>
      </c>
      <c r="GI17" s="64">
        <v>0.0</v>
      </c>
      <c r="GJ17" s="64">
        <v>0.0</v>
      </c>
      <c r="GK17" s="64">
        <v>559027.0</v>
      </c>
      <c r="GL17" s="64">
        <v>559.0</v>
      </c>
      <c r="GM17" s="64">
        <v>0.0</v>
      </c>
      <c r="GN17" s="63">
        <v>559586.0</v>
      </c>
      <c r="GO17" s="66">
        <v>2.7901097E7</v>
      </c>
      <c r="GP17" s="64">
        <v>0.0</v>
      </c>
      <c r="GQ17" s="64">
        <v>0.0</v>
      </c>
      <c r="GR17" s="65">
        <v>0.0</v>
      </c>
      <c r="GS17" s="63">
        <v>0.0</v>
      </c>
      <c r="GT17" s="67">
        <v>5106571.0</v>
      </c>
      <c r="GU17" s="67">
        <v>1840076.0</v>
      </c>
      <c r="GV17" s="67">
        <v>462646.0</v>
      </c>
      <c r="GW17" s="63">
        <v>7409293.0</v>
      </c>
      <c r="GX17" s="63">
        <v>0.0</v>
      </c>
      <c r="GY17" s="63">
        <v>2.0491804E7</v>
      </c>
      <c r="GZ17" s="66">
        <v>2.7901097E7</v>
      </c>
    </row>
    <row r="18">
      <c r="A18" s="60">
        <v>13.0</v>
      </c>
      <c r="B18" s="61" t="s">
        <v>58</v>
      </c>
      <c r="C18" s="62">
        <v>0.0</v>
      </c>
      <c r="D18" s="62">
        <v>0.0</v>
      </c>
      <c r="E18" s="62">
        <v>0.0</v>
      </c>
      <c r="F18" s="62">
        <v>0.0</v>
      </c>
      <c r="G18" s="62">
        <v>0.0</v>
      </c>
      <c r="H18" s="62">
        <v>0.0</v>
      </c>
      <c r="I18" s="62">
        <v>0.0</v>
      </c>
      <c r="J18" s="62">
        <v>0.0</v>
      </c>
      <c r="K18" s="62">
        <v>0.0</v>
      </c>
      <c r="L18" s="62">
        <v>0.0</v>
      </c>
      <c r="M18" s="62">
        <v>0.0</v>
      </c>
      <c r="N18" s="62">
        <v>0.0</v>
      </c>
      <c r="O18" s="62">
        <v>518216.0</v>
      </c>
      <c r="P18" s="62">
        <v>0.0</v>
      </c>
      <c r="Q18" s="62">
        <v>0.0</v>
      </c>
      <c r="R18" s="62">
        <v>0.0</v>
      </c>
      <c r="S18" s="62">
        <v>0.0</v>
      </c>
      <c r="T18" s="62">
        <v>0.0</v>
      </c>
      <c r="U18" s="62">
        <v>0.0</v>
      </c>
      <c r="V18" s="62">
        <v>0.0</v>
      </c>
      <c r="W18" s="62">
        <v>0.0</v>
      </c>
      <c r="X18" s="62">
        <v>0.0</v>
      </c>
      <c r="Y18" s="62">
        <v>0.0</v>
      </c>
      <c r="Z18" s="62">
        <v>0.0</v>
      </c>
      <c r="AA18" s="62">
        <v>0.0</v>
      </c>
      <c r="AB18" s="62">
        <v>0.0</v>
      </c>
      <c r="AC18" s="62">
        <v>0.0</v>
      </c>
      <c r="AD18" s="62">
        <v>0.0</v>
      </c>
      <c r="AE18" s="62">
        <v>0.0</v>
      </c>
      <c r="AF18" s="62">
        <v>0.0</v>
      </c>
      <c r="AG18" s="62">
        <v>0.0</v>
      </c>
      <c r="AH18" s="62">
        <v>0.0</v>
      </c>
      <c r="AI18" s="62">
        <v>0.0</v>
      </c>
      <c r="AJ18" s="62">
        <v>0.0</v>
      </c>
      <c r="AK18" s="62">
        <v>0.0</v>
      </c>
      <c r="AL18" s="62">
        <v>0.0</v>
      </c>
      <c r="AM18" s="62">
        <v>0.0</v>
      </c>
      <c r="AN18" s="62">
        <v>0.0</v>
      </c>
      <c r="AO18" s="62">
        <v>0.0</v>
      </c>
      <c r="AP18" s="62">
        <v>0.0</v>
      </c>
      <c r="AQ18" s="62">
        <v>0.0</v>
      </c>
      <c r="AR18" s="62">
        <v>0.0</v>
      </c>
      <c r="AS18" s="62">
        <v>0.0</v>
      </c>
      <c r="AT18" s="62">
        <v>0.0</v>
      </c>
      <c r="AU18" s="62">
        <v>0.0</v>
      </c>
      <c r="AV18" s="62">
        <v>0.0</v>
      </c>
      <c r="AW18" s="62">
        <v>0.0</v>
      </c>
      <c r="AX18" s="62">
        <v>0.0</v>
      </c>
      <c r="AY18" s="62">
        <v>0.0</v>
      </c>
      <c r="AZ18" s="62">
        <v>0.0</v>
      </c>
      <c r="BA18" s="62">
        <v>0.0</v>
      </c>
      <c r="BB18" s="62">
        <v>0.0</v>
      </c>
      <c r="BC18" s="62">
        <v>0.0</v>
      </c>
      <c r="BD18" s="62">
        <v>0.0</v>
      </c>
      <c r="BE18" s="62">
        <v>0.0</v>
      </c>
      <c r="BF18" s="62">
        <v>0.0</v>
      </c>
      <c r="BG18" s="62">
        <v>0.0</v>
      </c>
      <c r="BH18" s="62">
        <v>0.0</v>
      </c>
      <c r="BI18" s="62">
        <v>0.0</v>
      </c>
      <c r="BJ18" s="62">
        <v>0.0</v>
      </c>
      <c r="BK18" s="62">
        <v>0.0</v>
      </c>
      <c r="BL18" s="62">
        <v>0.0</v>
      </c>
      <c r="BM18" s="62">
        <v>0.0</v>
      </c>
      <c r="BN18" s="62">
        <v>0.0</v>
      </c>
      <c r="BO18" s="62">
        <v>0.0</v>
      </c>
      <c r="BP18" s="62">
        <v>0.0</v>
      </c>
      <c r="BQ18" s="62">
        <v>0.0</v>
      </c>
      <c r="BR18" s="62">
        <v>0.0</v>
      </c>
      <c r="BS18" s="62">
        <v>0.0</v>
      </c>
      <c r="BT18" s="62">
        <v>0.0</v>
      </c>
      <c r="BU18" s="62">
        <v>0.0</v>
      </c>
      <c r="BV18" s="62">
        <v>0.0</v>
      </c>
      <c r="BW18" s="62">
        <v>0.0</v>
      </c>
      <c r="BX18" s="62">
        <v>0.0</v>
      </c>
      <c r="BY18" s="62">
        <v>2.2147579E7</v>
      </c>
      <c r="BZ18" s="62">
        <v>2015563.0</v>
      </c>
      <c r="CA18" s="62">
        <v>0.0</v>
      </c>
      <c r="CB18" s="62">
        <v>0.0</v>
      </c>
      <c r="CC18" s="62">
        <v>0.0</v>
      </c>
      <c r="CD18" s="62">
        <v>0.0</v>
      </c>
      <c r="CE18" s="62">
        <v>0.0</v>
      </c>
      <c r="CF18" s="62">
        <v>0.0</v>
      </c>
      <c r="CG18" s="62">
        <v>0.0</v>
      </c>
      <c r="CH18" s="62">
        <v>0.0</v>
      </c>
      <c r="CI18" s="62">
        <v>0.0</v>
      </c>
      <c r="CJ18" s="62">
        <v>0.0</v>
      </c>
      <c r="CK18" s="62">
        <v>0.0</v>
      </c>
      <c r="CL18" s="62">
        <v>0.0</v>
      </c>
      <c r="CM18" s="62">
        <v>0.0</v>
      </c>
      <c r="CN18" s="62">
        <v>0.0</v>
      </c>
      <c r="CO18" s="62">
        <v>0.0</v>
      </c>
      <c r="CP18" s="62">
        <v>0.0</v>
      </c>
      <c r="CQ18" s="62">
        <v>0.0</v>
      </c>
      <c r="CR18" s="62">
        <v>0.0</v>
      </c>
      <c r="CS18" s="62">
        <v>0.0</v>
      </c>
      <c r="CT18" s="62">
        <v>0.0</v>
      </c>
      <c r="CU18" s="62">
        <v>0.0</v>
      </c>
      <c r="CV18" s="62">
        <v>0.0</v>
      </c>
      <c r="CW18" s="62">
        <v>0.0</v>
      </c>
      <c r="CX18" s="62">
        <v>0.0</v>
      </c>
      <c r="CY18" s="62">
        <v>0.0</v>
      </c>
      <c r="CZ18" s="62">
        <v>0.0</v>
      </c>
      <c r="DA18" s="62">
        <v>0.0</v>
      </c>
      <c r="DB18" s="62">
        <v>0.0</v>
      </c>
      <c r="DC18" s="62">
        <v>29.0</v>
      </c>
      <c r="DD18" s="62">
        <v>1915.0</v>
      </c>
      <c r="DE18" s="62">
        <v>0.0</v>
      </c>
      <c r="DF18" s="62">
        <v>0.0</v>
      </c>
      <c r="DG18" s="62">
        <v>0.0</v>
      </c>
      <c r="DH18" s="62">
        <v>0.0</v>
      </c>
      <c r="DI18" s="62">
        <v>0.0</v>
      </c>
      <c r="DJ18" s="62">
        <v>0.0</v>
      </c>
      <c r="DK18" s="62">
        <v>0.0</v>
      </c>
      <c r="DL18" s="62">
        <v>0.0</v>
      </c>
      <c r="DM18" s="62">
        <v>0.0</v>
      </c>
      <c r="DN18" s="62">
        <v>0.0</v>
      </c>
      <c r="DO18" s="62">
        <v>0.0</v>
      </c>
      <c r="DP18" s="62">
        <v>0.0</v>
      </c>
      <c r="DQ18" s="62">
        <v>0.0</v>
      </c>
      <c r="DR18" s="62">
        <v>0.0</v>
      </c>
      <c r="DS18" s="62">
        <v>0.0</v>
      </c>
      <c r="DT18" s="62">
        <v>0.0</v>
      </c>
      <c r="DU18" s="62">
        <v>0.0</v>
      </c>
      <c r="DV18" s="62">
        <v>0.0</v>
      </c>
      <c r="DW18" s="62">
        <v>0.0</v>
      </c>
      <c r="DX18" s="62">
        <v>0.0</v>
      </c>
      <c r="DY18" s="62">
        <v>0.0</v>
      </c>
      <c r="DZ18" s="62">
        <v>0.0</v>
      </c>
      <c r="EA18" s="62">
        <v>0.0</v>
      </c>
      <c r="EB18" s="62">
        <v>0.0</v>
      </c>
      <c r="EC18" s="62">
        <v>0.0</v>
      </c>
      <c r="ED18" s="62">
        <v>0.0</v>
      </c>
      <c r="EE18" s="62">
        <v>0.0</v>
      </c>
      <c r="EF18" s="62">
        <v>0.0</v>
      </c>
      <c r="EG18" s="62">
        <v>0.0</v>
      </c>
      <c r="EH18" s="62">
        <v>0.0</v>
      </c>
      <c r="EI18" s="62">
        <v>0.0</v>
      </c>
      <c r="EJ18" s="62">
        <v>0.0</v>
      </c>
      <c r="EK18" s="62">
        <v>0.0</v>
      </c>
      <c r="EL18" s="62">
        <v>0.0</v>
      </c>
      <c r="EM18" s="62">
        <v>0.0</v>
      </c>
      <c r="EN18" s="62">
        <v>0.0</v>
      </c>
      <c r="EO18" s="62">
        <v>0.0</v>
      </c>
      <c r="EP18" s="62">
        <v>0.0</v>
      </c>
      <c r="EQ18" s="62">
        <v>0.0</v>
      </c>
      <c r="ER18" s="62">
        <v>0.0</v>
      </c>
      <c r="ES18" s="62">
        <v>0.0</v>
      </c>
      <c r="ET18" s="62">
        <v>0.0</v>
      </c>
      <c r="EU18" s="62">
        <v>0.0</v>
      </c>
      <c r="EV18" s="62">
        <v>0.0</v>
      </c>
      <c r="EW18" s="62">
        <v>0.0</v>
      </c>
      <c r="EX18" s="62">
        <v>0.0</v>
      </c>
      <c r="EY18" s="62">
        <v>0.0</v>
      </c>
      <c r="EZ18" s="62">
        <v>0.0</v>
      </c>
      <c r="FA18" s="62">
        <v>0.0</v>
      </c>
      <c r="FB18" s="62">
        <v>0.0</v>
      </c>
      <c r="FC18" s="62">
        <v>0.0</v>
      </c>
      <c r="FD18" s="62">
        <v>0.0</v>
      </c>
      <c r="FE18" s="62">
        <v>0.0</v>
      </c>
      <c r="FF18" s="62">
        <v>0.0</v>
      </c>
      <c r="FG18" s="62">
        <v>0.0</v>
      </c>
      <c r="FH18" s="62">
        <v>0.0</v>
      </c>
      <c r="FI18" s="62">
        <v>0.0</v>
      </c>
      <c r="FJ18" s="62">
        <v>0.0</v>
      </c>
      <c r="FK18" s="62">
        <v>0.0</v>
      </c>
      <c r="FL18" s="62">
        <v>0.0</v>
      </c>
      <c r="FM18" s="62">
        <v>0.0</v>
      </c>
      <c r="FN18" s="62">
        <v>0.0</v>
      </c>
      <c r="FO18" s="62">
        <v>0.0</v>
      </c>
      <c r="FP18" s="62">
        <v>0.0</v>
      </c>
      <c r="FQ18" s="62">
        <v>0.0</v>
      </c>
      <c r="FR18" s="62">
        <v>0.0</v>
      </c>
      <c r="FS18" s="62">
        <v>0.0</v>
      </c>
      <c r="FT18" s="62">
        <v>0.0</v>
      </c>
      <c r="FU18" s="62">
        <v>0.0</v>
      </c>
      <c r="FV18" s="62">
        <v>0.0</v>
      </c>
      <c r="FW18" s="62">
        <v>255.0</v>
      </c>
      <c r="FX18" s="62">
        <v>0.0</v>
      </c>
      <c r="FY18" s="62">
        <v>0.0</v>
      </c>
      <c r="FZ18" s="62">
        <v>0.0</v>
      </c>
      <c r="GA18" s="62">
        <v>0.0</v>
      </c>
      <c r="GB18" s="62">
        <v>0.0</v>
      </c>
      <c r="GC18" s="62">
        <v>0.0</v>
      </c>
      <c r="GD18" s="62">
        <v>0.0</v>
      </c>
      <c r="GE18" s="62">
        <v>0.0</v>
      </c>
      <c r="GF18" s="63">
        <v>2.4683557E7</v>
      </c>
      <c r="GG18" s="64">
        <v>0.0</v>
      </c>
      <c r="GH18" s="65">
        <v>0.0</v>
      </c>
      <c r="GI18" s="64">
        <v>0.0</v>
      </c>
      <c r="GJ18" s="64">
        <v>0.0</v>
      </c>
      <c r="GK18" s="64">
        <v>-182881.0</v>
      </c>
      <c r="GL18" s="64">
        <v>1177975.0</v>
      </c>
      <c r="GM18" s="64">
        <v>0.0</v>
      </c>
      <c r="GN18" s="63">
        <v>995094.0</v>
      </c>
      <c r="GO18" s="66">
        <v>2.5678651E7</v>
      </c>
      <c r="GP18" s="64">
        <v>1146398.0</v>
      </c>
      <c r="GQ18" s="64">
        <v>0.0</v>
      </c>
      <c r="GR18" s="65">
        <v>0.0</v>
      </c>
      <c r="GS18" s="63">
        <v>1146398.0</v>
      </c>
      <c r="GT18" s="67">
        <v>1188839.0</v>
      </c>
      <c r="GU18" s="67">
        <v>816995.0</v>
      </c>
      <c r="GV18" s="67">
        <v>102794.0</v>
      </c>
      <c r="GW18" s="63">
        <v>2108628.0</v>
      </c>
      <c r="GX18" s="63">
        <v>94790.0</v>
      </c>
      <c r="GY18" s="63">
        <v>2.2328835E7</v>
      </c>
      <c r="GZ18" s="66">
        <v>2.5678651E7</v>
      </c>
    </row>
    <row r="19">
      <c r="A19" s="60">
        <v>14.0</v>
      </c>
      <c r="B19" s="61" t="s">
        <v>59</v>
      </c>
      <c r="C19" s="62">
        <v>0.0</v>
      </c>
      <c r="D19" s="62">
        <v>0.0</v>
      </c>
      <c r="E19" s="62">
        <v>0.0</v>
      </c>
      <c r="F19" s="62">
        <v>0.0</v>
      </c>
      <c r="G19" s="62">
        <v>0.0</v>
      </c>
      <c r="H19" s="62">
        <v>0.0</v>
      </c>
      <c r="I19" s="62">
        <v>0.0</v>
      </c>
      <c r="J19" s="62">
        <v>0.0</v>
      </c>
      <c r="K19" s="62">
        <v>0.0</v>
      </c>
      <c r="L19" s="62">
        <v>0.0</v>
      </c>
      <c r="M19" s="62">
        <v>0.0</v>
      </c>
      <c r="N19" s="62">
        <v>0.0</v>
      </c>
      <c r="O19" s="62">
        <v>0.0</v>
      </c>
      <c r="P19" s="62">
        <v>11281.0</v>
      </c>
      <c r="Q19" s="62">
        <v>0.0</v>
      </c>
      <c r="R19" s="62">
        <v>0.0</v>
      </c>
      <c r="S19" s="62">
        <v>0.0</v>
      </c>
      <c r="T19" s="62">
        <v>0.0</v>
      </c>
      <c r="U19" s="62">
        <v>0.0</v>
      </c>
      <c r="V19" s="62">
        <v>0.0</v>
      </c>
      <c r="W19" s="62">
        <v>0.0</v>
      </c>
      <c r="X19" s="62">
        <v>0.0</v>
      </c>
      <c r="Y19" s="62">
        <v>0.0</v>
      </c>
      <c r="Z19" s="62">
        <v>0.0</v>
      </c>
      <c r="AA19" s="62">
        <v>0.0</v>
      </c>
      <c r="AB19" s="62">
        <v>0.0</v>
      </c>
      <c r="AC19" s="62">
        <v>0.0</v>
      </c>
      <c r="AD19" s="62">
        <v>0.0</v>
      </c>
      <c r="AE19" s="62">
        <v>0.0</v>
      </c>
      <c r="AF19" s="62">
        <v>0.0</v>
      </c>
      <c r="AG19" s="62">
        <v>0.0</v>
      </c>
      <c r="AH19" s="62">
        <v>0.0</v>
      </c>
      <c r="AI19" s="62">
        <v>0.0</v>
      </c>
      <c r="AJ19" s="62">
        <v>0.0</v>
      </c>
      <c r="AK19" s="62">
        <v>0.0</v>
      </c>
      <c r="AL19" s="62">
        <v>0.0</v>
      </c>
      <c r="AM19" s="62">
        <v>0.0</v>
      </c>
      <c r="AN19" s="62">
        <v>0.0</v>
      </c>
      <c r="AO19" s="62">
        <v>0.0</v>
      </c>
      <c r="AP19" s="62">
        <v>0.0</v>
      </c>
      <c r="AQ19" s="62">
        <v>0.0</v>
      </c>
      <c r="AR19" s="62">
        <v>0.0</v>
      </c>
      <c r="AS19" s="62">
        <v>0.0</v>
      </c>
      <c r="AT19" s="62">
        <v>0.0</v>
      </c>
      <c r="AU19" s="62">
        <v>0.0</v>
      </c>
      <c r="AV19" s="62">
        <v>0.0</v>
      </c>
      <c r="AW19" s="62">
        <v>0.0</v>
      </c>
      <c r="AX19" s="62">
        <v>0.0</v>
      </c>
      <c r="AY19" s="62">
        <v>0.0</v>
      </c>
      <c r="AZ19" s="62">
        <v>0.0</v>
      </c>
      <c r="BA19" s="62">
        <v>0.0</v>
      </c>
      <c r="BB19" s="62">
        <v>0.0</v>
      </c>
      <c r="BC19" s="62">
        <v>0.0</v>
      </c>
      <c r="BD19" s="62">
        <v>0.0</v>
      </c>
      <c r="BE19" s="62">
        <v>0.0</v>
      </c>
      <c r="BF19" s="62">
        <v>0.0</v>
      </c>
      <c r="BG19" s="62">
        <v>0.0</v>
      </c>
      <c r="BH19" s="62">
        <v>0.0</v>
      </c>
      <c r="BI19" s="62">
        <v>0.0</v>
      </c>
      <c r="BJ19" s="62">
        <v>0.0</v>
      </c>
      <c r="BK19" s="62">
        <v>0.0</v>
      </c>
      <c r="BL19" s="62">
        <v>0.0</v>
      </c>
      <c r="BM19" s="62">
        <v>0.0</v>
      </c>
      <c r="BN19" s="62">
        <v>0.0</v>
      </c>
      <c r="BO19" s="62">
        <v>0.0</v>
      </c>
      <c r="BP19" s="62">
        <v>0.0</v>
      </c>
      <c r="BQ19" s="62">
        <v>0.0</v>
      </c>
      <c r="BR19" s="62">
        <v>0.0</v>
      </c>
      <c r="BS19" s="62">
        <v>857.0</v>
      </c>
      <c r="BT19" s="62">
        <v>0.0</v>
      </c>
      <c r="BU19" s="62">
        <v>0.0</v>
      </c>
      <c r="BV19" s="62">
        <v>0.0</v>
      </c>
      <c r="BW19" s="62">
        <v>0.0</v>
      </c>
      <c r="BX19" s="62">
        <v>0.0</v>
      </c>
      <c r="BY19" s="62">
        <v>0.0</v>
      </c>
      <c r="BZ19" s="62">
        <v>0.0</v>
      </c>
      <c r="CA19" s="62">
        <v>1.4432837E7</v>
      </c>
      <c r="CB19" s="62">
        <v>760564.0</v>
      </c>
      <c r="CC19" s="62">
        <v>1645944.0</v>
      </c>
      <c r="CD19" s="62">
        <v>170455.0</v>
      </c>
      <c r="CE19" s="62">
        <v>145721.0</v>
      </c>
      <c r="CF19" s="62">
        <v>83273.0</v>
      </c>
      <c r="CG19" s="62">
        <v>1757.0</v>
      </c>
      <c r="CH19" s="62">
        <v>1209.0</v>
      </c>
      <c r="CI19" s="62">
        <v>7295.0</v>
      </c>
      <c r="CJ19" s="62">
        <v>0.0</v>
      </c>
      <c r="CK19" s="62">
        <v>576915.0</v>
      </c>
      <c r="CL19" s="62">
        <v>81929.0</v>
      </c>
      <c r="CM19" s="62">
        <v>0.0</v>
      </c>
      <c r="CN19" s="62">
        <v>0.0</v>
      </c>
      <c r="CO19" s="62">
        <v>0.0</v>
      </c>
      <c r="CP19" s="62">
        <v>0.0</v>
      </c>
      <c r="CQ19" s="62">
        <v>0.0</v>
      </c>
      <c r="CR19" s="62">
        <v>0.0</v>
      </c>
      <c r="CS19" s="62">
        <v>0.0</v>
      </c>
      <c r="CT19" s="62">
        <v>0.0</v>
      </c>
      <c r="CU19" s="62">
        <v>0.0</v>
      </c>
      <c r="CV19" s="62">
        <v>9299.0</v>
      </c>
      <c r="CW19" s="62">
        <v>0.0</v>
      </c>
      <c r="CX19" s="62">
        <v>0.0</v>
      </c>
      <c r="CY19" s="62">
        <v>0.0</v>
      </c>
      <c r="CZ19" s="62">
        <v>0.0</v>
      </c>
      <c r="DA19" s="62">
        <v>0.0</v>
      </c>
      <c r="DB19" s="62">
        <v>0.0</v>
      </c>
      <c r="DC19" s="62">
        <v>43350.0</v>
      </c>
      <c r="DD19" s="62">
        <v>9836.0</v>
      </c>
      <c r="DE19" s="62">
        <v>0.0</v>
      </c>
      <c r="DF19" s="62">
        <v>0.0</v>
      </c>
      <c r="DG19" s="62">
        <v>0.0</v>
      </c>
      <c r="DH19" s="62">
        <v>0.0</v>
      </c>
      <c r="DI19" s="62">
        <v>0.0</v>
      </c>
      <c r="DJ19" s="62">
        <v>0.0</v>
      </c>
      <c r="DK19" s="62">
        <v>0.0</v>
      </c>
      <c r="DL19" s="62">
        <v>0.0</v>
      </c>
      <c r="DM19" s="62">
        <v>0.0</v>
      </c>
      <c r="DN19" s="62">
        <v>0.0</v>
      </c>
      <c r="DO19" s="62">
        <v>0.0</v>
      </c>
      <c r="DP19" s="62">
        <v>0.0</v>
      </c>
      <c r="DQ19" s="62">
        <v>0.0</v>
      </c>
      <c r="DR19" s="62">
        <v>0.0</v>
      </c>
      <c r="DS19" s="62">
        <v>0.0</v>
      </c>
      <c r="DT19" s="62">
        <v>0.0</v>
      </c>
      <c r="DU19" s="62">
        <v>0.0</v>
      </c>
      <c r="DV19" s="62">
        <v>0.0</v>
      </c>
      <c r="DW19" s="62">
        <v>0.0</v>
      </c>
      <c r="DX19" s="62">
        <v>0.0</v>
      </c>
      <c r="DY19" s="62">
        <v>0.0</v>
      </c>
      <c r="DZ19" s="62">
        <v>0.0</v>
      </c>
      <c r="EA19" s="62">
        <v>0.0</v>
      </c>
      <c r="EB19" s="62">
        <v>0.0</v>
      </c>
      <c r="EC19" s="62">
        <v>0.0</v>
      </c>
      <c r="ED19" s="62">
        <v>0.0</v>
      </c>
      <c r="EE19" s="62">
        <v>0.0</v>
      </c>
      <c r="EF19" s="62">
        <v>0.0</v>
      </c>
      <c r="EG19" s="62">
        <v>0.0</v>
      </c>
      <c r="EH19" s="62">
        <v>0.0</v>
      </c>
      <c r="EI19" s="62">
        <v>0.0</v>
      </c>
      <c r="EJ19" s="62">
        <v>0.0</v>
      </c>
      <c r="EK19" s="62">
        <v>0.0</v>
      </c>
      <c r="EL19" s="62">
        <v>0.0</v>
      </c>
      <c r="EM19" s="62">
        <v>0.0</v>
      </c>
      <c r="EN19" s="62">
        <v>0.0</v>
      </c>
      <c r="EO19" s="62">
        <v>0.0</v>
      </c>
      <c r="EP19" s="62">
        <v>0.0</v>
      </c>
      <c r="EQ19" s="62">
        <v>0.0</v>
      </c>
      <c r="ER19" s="62">
        <v>0.0</v>
      </c>
      <c r="ES19" s="62">
        <v>0.0</v>
      </c>
      <c r="ET19" s="62">
        <v>0.0</v>
      </c>
      <c r="EU19" s="62">
        <v>0.0</v>
      </c>
      <c r="EV19" s="62">
        <v>0.0</v>
      </c>
      <c r="EW19" s="62">
        <v>0.0</v>
      </c>
      <c r="EX19" s="62">
        <v>0.0</v>
      </c>
      <c r="EY19" s="62">
        <v>0.0</v>
      </c>
      <c r="EZ19" s="62">
        <v>0.0</v>
      </c>
      <c r="FA19" s="62">
        <v>0.0</v>
      </c>
      <c r="FB19" s="62">
        <v>0.0</v>
      </c>
      <c r="FC19" s="62">
        <v>0.0</v>
      </c>
      <c r="FD19" s="62">
        <v>0.0</v>
      </c>
      <c r="FE19" s="62">
        <v>0.0</v>
      </c>
      <c r="FF19" s="62">
        <v>0.0</v>
      </c>
      <c r="FG19" s="62">
        <v>0.0</v>
      </c>
      <c r="FH19" s="62">
        <v>0.0</v>
      </c>
      <c r="FI19" s="62">
        <v>0.0</v>
      </c>
      <c r="FJ19" s="62">
        <v>0.0</v>
      </c>
      <c r="FK19" s="62">
        <v>0.0</v>
      </c>
      <c r="FL19" s="62">
        <v>0.0</v>
      </c>
      <c r="FM19" s="62">
        <v>0.0</v>
      </c>
      <c r="FN19" s="62">
        <v>0.0</v>
      </c>
      <c r="FO19" s="62">
        <v>0.0</v>
      </c>
      <c r="FP19" s="62">
        <v>0.0</v>
      </c>
      <c r="FQ19" s="62">
        <v>0.0</v>
      </c>
      <c r="FR19" s="62">
        <v>0.0</v>
      </c>
      <c r="FS19" s="62">
        <v>0.0</v>
      </c>
      <c r="FT19" s="62">
        <v>0.0</v>
      </c>
      <c r="FU19" s="62">
        <v>0.0</v>
      </c>
      <c r="FV19" s="62">
        <v>0.0</v>
      </c>
      <c r="FW19" s="62">
        <v>148.0</v>
      </c>
      <c r="FX19" s="62">
        <v>0.0</v>
      </c>
      <c r="FY19" s="62">
        <v>0.0</v>
      </c>
      <c r="FZ19" s="62">
        <v>0.0</v>
      </c>
      <c r="GA19" s="62">
        <v>0.0</v>
      </c>
      <c r="GB19" s="62">
        <v>0.0</v>
      </c>
      <c r="GC19" s="62">
        <v>0.0</v>
      </c>
      <c r="GD19" s="62">
        <v>0.0</v>
      </c>
      <c r="GE19" s="62">
        <v>0.0</v>
      </c>
      <c r="GF19" s="63">
        <v>1.798267E7</v>
      </c>
      <c r="GG19" s="64">
        <v>0.0</v>
      </c>
      <c r="GH19" s="65">
        <v>0.0</v>
      </c>
      <c r="GI19" s="64">
        <v>0.0</v>
      </c>
      <c r="GJ19" s="64">
        <v>0.0</v>
      </c>
      <c r="GK19" s="64">
        <v>-325312.0</v>
      </c>
      <c r="GL19" s="64">
        <v>56791.0</v>
      </c>
      <c r="GM19" s="64">
        <v>0.0</v>
      </c>
      <c r="GN19" s="63">
        <v>-268521.0</v>
      </c>
      <c r="GO19" s="66">
        <v>1.7714149E7</v>
      </c>
      <c r="GP19" s="64">
        <v>1.1888095E7</v>
      </c>
      <c r="GQ19" s="64">
        <v>0.0</v>
      </c>
      <c r="GR19" s="65">
        <v>0.0</v>
      </c>
      <c r="GS19" s="63">
        <v>1.1888095E7</v>
      </c>
      <c r="GT19" s="67">
        <v>1624836.0</v>
      </c>
      <c r="GU19" s="67">
        <v>1682634.0</v>
      </c>
      <c r="GV19" s="67">
        <v>1205399.0</v>
      </c>
      <c r="GW19" s="63">
        <v>4512869.0</v>
      </c>
      <c r="GX19" s="63">
        <v>745508.0</v>
      </c>
      <c r="GY19" s="63">
        <v>567677.0</v>
      </c>
      <c r="GZ19" s="66">
        <v>1.7714149E7</v>
      </c>
    </row>
    <row r="20">
      <c r="A20" s="68">
        <v>15.0</v>
      </c>
      <c r="B20" s="69" t="s">
        <v>60</v>
      </c>
      <c r="C20" s="70">
        <v>0.0</v>
      </c>
      <c r="D20" s="70">
        <v>0.0</v>
      </c>
      <c r="E20" s="70">
        <v>0.0</v>
      </c>
      <c r="F20" s="70">
        <v>0.0</v>
      </c>
      <c r="G20" s="70">
        <v>0.0</v>
      </c>
      <c r="H20" s="70">
        <v>0.0</v>
      </c>
      <c r="I20" s="70">
        <v>0.0</v>
      </c>
      <c r="J20" s="70">
        <v>0.0</v>
      </c>
      <c r="K20" s="70">
        <v>0.0</v>
      </c>
      <c r="L20" s="70">
        <v>0.0</v>
      </c>
      <c r="M20" s="70">
        <v>0.0</v>
      </c>
      <c r="N20" s="70">
        <v>0.0</v>
      </c>
      <c r="O20" s="70">
        <v>0.0</v>
      </c>
      <c r="P20" s="70">
        <v>0.0</v>
      </c>
      <c r="Q20" s="70">
        <v>3830275.0</v>
      </c>
      <c r="R20" s="70">
        <v>0.0</v>
      </c>
      <c r="S20" s="70">
        <v>0.0</v>
      </c>
      <c r="T20" s="70">
        <v>0.0</v>
      </c>
      <c r="U20" s="70">
        <v>0.0</v>
      </c>
      <c r="V20" s="70">
        <v>0.0</v>
      </c>
      <c r="W20" s="70">
        <v>0.0</v>
      </c>
      <c r="X20" s="70">
        <v>0.0</v>
      </c>
      <c r="Y20" s="70">
        <v>0.0</v>
      </c>
      <c r="Z20" s="70">
        <v>0.0</v>
      </c>
      <c r="AA20" s="70">
        <v>0.0</v>
      </c>
      <c r="AB20" s="70">
        <v>0.0</v>
      </c>
      <c r="AC20" s="70">
        <v>0.0</v>
      </c>
      <c r="AD20" s="70">
        <v>0.0</v>
      </c>
      <c r="AE20" s="70">
        <v>0.0</v>
      </c>
      <c r="AF20" s="70">
        <v>0.0</v>
      </c>
      <c r="AG20" s="70">
        <v>0.0</v>
      </c>
      <c r="AH20" s="70">
        <v>0.0</v>
      </c>
      <c r="AI20" s="70">
        <v>0.0</v>
      </c>
      <c r="AJ20" s="70">
        <v>0.0</v>
      </c>
      <c r="AK20" s="70">
        <v>0.0</v>
      </c>
      <c r="AL20" s="70">
        <v>0.0</v>
      </c>
      <c r="AM20" s="70">
        <v>0.0</v>
      </c>
      <c r="AN20" s="70">
        <v>0.0</v>
      </c>
      <c r="AO20" s="70">
        <v>0.0</v>
      </c>
      <c r="AP20" s="70">
        <v>0.0</v>
      </c>
      <c r="AQ20" s="70">
        <v>0.0</v>
      </c>
      <c r="AR20" s="70">
        <v>0.0</v>
      </c>
      <c r="AS20" s="70">
        <v>0.0</v>
      </c>
      <c r="AT20" s="70">
        <v>0.0</v>
      </c>
      <c r="AU20" s="70">
        <v>0.0</v>
      </c>
      <c r="AV20" s="70">
        <v>0.0</v>
      </c>
      <c r="AW20" s="70">
        <v>0.0</v>
      </c>
      <c r="AX20" s="70">
        <v>0.0</v>
      </c>
      <c r="AY20" s="70">
        <v>0.0</v>
      </c>
      <c r="AZ20" s="70">
        <v>0.0</v>
      </c>
      <c r="BA20" s="70">
        <v>0.0</v>
      </c>
      <c r="BB20" s="70">
        <v>0.0</v>
      </c>
      <c r="BC20" s="70">
        <v>8288.0</v>
      </c>
      <c r="BD20" s="70">
        <v>0.0</v>
      </c>
      <c r="BE20" s="70">
        <v>0.0</v>
      </c>
      <c r="BF20" s="70">
        <v>2158.0</v>
      </c>
      <c r="BG20" s="70">
        <v>83193.0</v>
      </c>
      <c r="BH20" s="70">
        <v>1223368.0</v>
      </c>
      <c r="BI20" s="70">
        <v>0.0</v>
      </c>
      <c r="BJ20" s="70">
        <v>1866.0</v>
      </c>
      <c r="BK20" s="70">
        <v>1372.0</v>
      </c>
      <c r="BL20" s="70">
        <v>0.0</v>
      </c>
      <c r="BM20" s="70">
        <v>0.0</v>
      </c>
      <c r="BN20" s="70">
        <v>0.0</v>
      </c>
      <c r="BO20" s="70">
        <v>0.0</v>
      </c>
      <c r="BP20" s="70">
        <v>11817.0</v>
      </c>
      <c r="BQ20" s="70">
        <v>3260.0</v>
      </c>
      <c r="BR20" s="70">
        <v>1590.0</v>
      </c>
      <c r="BS20" s="70">
        <v>18431.0</v>
      </c>
      <c r="BT20" s="70">
        <v>80191.0</v>
      </c>
      <c r="BU20" s="70">
        <v>1.7229676E7</v>
      </c>
      <c r="BV20" s="70">
        <v>0.0</v>
      </c>
      <c r="BW20" s="70">
        <v>4.0</v>
      </c>
      <c r="BX20" s="70">
        <v>102830.0</v>
      </c>
      <c r="BY20" s="70">
        <v>801.0</v>
      </c>
      <c r="BZ20" s="70">
        <v>0.0</v>
      </c>
      <c r="CA20" s="70">
        <v>0.0</v>
      </c>
      <c r="CB20" s="70">
        <v>0.0</v>
      </c>
      <c r="CC20" s="70">
        <v>0.0</v>
      </c>
      <c r="CD20" s="70">
        <v>0.0</v>
      </c>
      <c r="CE20" s="70">
        <v>0.0</v>
      </c>
      <c r="CF20" s="70">
        <v>0.0</v>
      </c>
      <c r="CG20" s="70">
        <v>0.0</v>
      </c>
      <c r="CH20" s="70">
        <v>0.0</v>
      </c>
      <c r="CI20" s="70">
        <v>0.0</v>
      </c>
      <c r="CJ20" s="70">
        <v>0.0</v>
      </c>
      <c r="CK20" s="70">
        <v>0.0</v>
      </c>
      <c r="CL20" s="70">
        <v>0.0</v>
      </c>
      <c r="CM20" s="70">
        <v>0.0</v>
      </c>
      <c r="CN20" s="70">
        <v>0.0</v>
      </c>
      <c r="CO20" s="70">
        <v>0.0</v>
      </c>
      <c r="CP20" s="70">
        <v>0.0</v>
      </c>
      <c r="CQ20" s="70">
        <v>0.0</v>
      </c>
      <c r="CR20" s="70">
        <v>0.0</v>
      </c>
      <c r="CS20" s="70">
        <v>0.0</v>
      </c>
      <c r="CT20" s="70">
        <v>0.0</v>
      </c>
      <c r="CU20" s="70">
        <v>0.0</v>
      </c>
      <c r="CV20" s="70">
        <v>0.0</v>
      </c>
      <c r="CW20" s="70">
        <v>0.0</v>
      </c>
      <c r="CX20" s="70">
        <v>0.0</v>
      </c>
      <c r="CY20" s="70">
        <v>0.0</v>
      </c>
      <c r="CZ20" s="70">
        <v>93600.0</v>
      </c>
      <c r="DA20" s="70">
        <v>0.0</v>
      </c>
      <c r="DB20" s="70">
        <v>53627.0</v>
      </c>
      <c r="DC20" s="70">
        <v>933801.0</v>
      </c>
      <c r="DD20" s="70">
        <v>689473.0</v>
      </c>
      <c r="DE20" s="70">
        <v>0.0</v>
      </c>
      <c r="DF20" s="70">
        <v>0.0</v>
      </c>
      <c r="DG20" s="70">
        <v>0.0</v>
      </c>
      <c r="DH20" s="70">
        <v>0.0</v>
      </c>
      <c r="DI20" s="70">
        <v>0.0</v>
      </c>
      <c r="DJ20" s="70">
        <v>0.0</v>
      </c>
      <c r="DK20" s="70">
        <v>0.0</v>
      </c>
      <c r="DL20" s="70">
        <v>0.0</v>
      </c>
      <c r="DM20" s="70">
        <v>0.0</v>
      </c>
      <c r="DN20" s="70">
        <v>0.0</v>
      </c>
      <c r="DO20" s="70">
        <v>0.0</v>
      </c>
      <c r="DP20" s="70">
        <v>0.0</v>
      </c>
      <c r="DQ20" s="70">
        <v>0.0</v>
      </c>
      <c r="DR20" s="70">
        <v>0.0</v>
      </c>
      <c r="DS20" s="70">
        <v>0.0</v>
      </c>
      <c r="DT20" s="70">
        <v>0.0</v>
      </c>
      <c r="DU20" s="70">
        <v>0.0</v>
      </c>
      <c r="DV20" s="70">
        <v>0.0</v>
      </c>
      <c r="DW20" s="70">
        <v>0.0</v>
      </c>
      <c r="DX20" s="70">
        <v>0.0</v>
      </c>
      <c r="DY20" s="70">
        <v>0.0</v>
      </c>
      <c r="DZ20" s="70">
        <v>0.0</v>
      </c>
      <c r="EA20" s="70">
        <v>0.0</v>
      </c>
      <c r="EB20" s="70">
        <v>0.0</v>
      </c>
      <c r="EC20" s="70">
        <v>0.0</v>
      </c>
      <c r="ED20" s="70">
        <v>0.0</v>
      </c>
      <c r="EE20" s="70">
        <v>0.0</v>
      </c>
      <c r="EF20" s="70">
        <v>0.0</v>
      </c>
      <c r="EG20" s="70">
        <v>0.0</v>
      </c>
      <c r="EH20" s="70">
        <v>0.0</v>
      </c>
      <c r="EI20" s="70">
        <v>26.0</v>
      </c>
      <c r="EJ20" s="70">
        <v>0.0</v>
      </c>
      <c r="EK20" s="70">
        <v>0.0</v>
      </c>
      <c r="EL20" s="70">
        <v>0.0</v>
      </c>
      <c r="EM20" s="70">
        <v>0.0</v>
      </c>
      <c r="EN20" s="70">
        <v>0.0</v>
      </c>
      <c r="EO20" s="70">
        <v>0.0</v>
      </c>
      <c r="EP20" s="70">
        <v>0.0</v>
      </c>
      <c r="EQ20" s="70">
        <v>0.0</v>
      </c>
      <c r="ER20" s="70">
        <v>0.0</v>
      </c>
      <c r="ES20" s="70">
        <v>0.0</v>
      </c>
      <c r="ET20" s="70">
        <v>0.0</v>
      </c>
      <c r="EU20" s="70">
        <v>0.0</v>
      </c>
      <c r="EV20" s="70">
        <v>0.0</v>
      </c>
      <c r="EW20" s="70">
        <v>0.0</v>
      </c>
      <c r="EX20" s="70">
        <v>0.0</v>
      </c>
      <c r="EY20" s="70">
        <v>0.0</v>
      </c>
      <c r="EZ20" s="70">
        <v>0.0</v>
      </c>
      <c r="FA20" s="70">
        <v>0.0</v>
      </c>
      <c r="FB20" s="70">
        <v>0.0</v>
      </c>
      <c r="FC20" s="70">
        <v>0.0</v>
      </c>
      <c r="FD20" s="70">
        <v>0.0</v>
      </c>
      <c r="FE20" s="70">
        <v>0.0</v>
      </c>
      <c r="FF20" s="70">
        <v>0.0</v>
      </c>
      <c r="FG20" s="70">
        <v>0.0</v>
      </c>
      <c r="FH20" s="70">
        <v>0.0</v>
      </c>
      <c r="FI20" s="70">
        <v>0.0</v>
      </c>
      <c r="FJ20" s="70">
        <v>313756.0</v>
      </c>
      <c r="FK20" s="70">
        <v>2463326.0</v>
      </c>
      <c r="FL20" s="70">
        <v>0.0</v>
      </c>
      <c r="FM20" s="70">
        <v>0.0</v>
      </c>
      <c r="FN20" s="70">
        <v>0.0</v>
      </c>
      <c r="FO20" s="70">
        <v>0.0</v>
      </c>
      <c r="FP20" s="70">
        <v>0.0</v>
      </c>
      <c r="FQ20" s="70">
        <v>0.0</v>
      </c>
      <c r="FR20" s="70">
        <v>0.0</v>
      </c>
      <c r="FS20" s="70">
        <v>0.0</v>
      </c>
      <c r="FT20" s="70">
        <v>0.0</v>
      </c>
      <c r="FU20" s="70">
        <v>0.0</v>
      </c>
      <c r="FV20" s="70">
        <v>0.0</v>
      </c>
      <c r="FW20" s="70">
        <v>24799.0</v>
      </c>
      <c r="FX20" s="70">
        <v>195.0</v>
      </c>
      <c r="FY20" s="70">
        <v>8162.0</v>
      </c>
      <c r="FZ20" s="70">
        <v>0.0</v>
      </c>
      <c r="GA20" s="70">
        <v>2.0</v>
      </c>
      <c r="GB20" s="70">
        <v>695.0</v>
      </c>
      <c r="GC20" s="70">
        <v>11174.0</v>
      </c>
      <c r="GD20" s="70">
        <v>0.0</v>
      </c>
      <c r="GE20" s="70">
        <v>0.0</v>
      </c>
      <c r="GF20" s="71">
        <v>2.7191756E7</v>
      </c>
      <c r="GG20" s="72">
        <v>2297226.0</v>
      </c>
      <c r="GH20" s="73">
        <v>0.0</v>
      </c>
      <c r="GI20" s="72">
        <v>0.0</v>
      </c>
      <c r="GJ20" s="72">
        <v>2.7894524E7</v>
      </c>
      <c r="GK20" s="72">
        <v>6063050.0</v>
      </c>
      <c r="GL20" s="72">
        <v>7105013.0</v>
      </c>
      <c r="GM20" s="72">
        <v>0.0</v>
      </c>
      <c r="GN20" s="71">
        <v>4.3359813E7</v>
      </c>
      <c r="GO20" s="74">
        <v>7.0551569E7</v>
      </c>
      <c r="GP20" s="72">
        <v>669921.0</v>
      </c>
      <c r="GQ20" s="72">
        <v>0.0</v>
      </c>
      <c r="GR20" s="73">
        <v>0.0</v>
      </c>
      <c r="GS20" s="71">
        <v>669921.0</v>
      </c>
      <c r="GT20" s="75">
        <v>7366602.0</v>
      </c>
      <c r="GU20" s="75">
        <v>6124854.0</v>
      </c>
      <c r="GV20" s="75">
        <v>3860441.0</v>
      </c>
      <c r="GW20" s="71">
        <v>1.7351897E7</v>
      </c>
      <c r="GX20" s="71">
        <v>1472970.0</v>
      </c>
      <c r="GY20" s="71">
        <v>5.1056781E7</v>
      </c>
      <c r="GZ20" s="74">
        <v>7.0551569E7</v>
      </c>
    </row>
    <row r="21" ht="15.75" customHeight="1">
      <c r="A21" s="52">
        <v>16.0</v>
      </c>
      <c r="B21" s="53" t="s">
        <v>61</v>
      </c>
      <c r="C21" s="54">
        <v>0.0</v>
      </c>
      <c r="D21" s="54">
        <v>0.0</v>
      </c>
      <c r="E21" s="54">
        <v>0.0</v>
      </c>
      <c r="F21" s="54">
        <v>0.0</v>
      </c>
      <c r="G21" s="54">
        <v>0.0</v>
      </c>
      <c r="H21" s="54">
        <v>0.0</v>
      </c>
      <c r="I21" s="54">
        <v>0.0</v>
      </c>
      <c r="J21" s="54">
        <v>0.0</v>
      </c>
      <c r="K21" s="54">
        <v>0.0</v>
      </c>
      <c r="L21" s="54">
        <v>0.0</v>
      </c>
      <c r="M21" s="54">
        <v>0.0</v>
      </c>
      <c r="N21" s="54">
        <v>0.0</v>
      </c>
      <c r="O21" s="54">
        <v>0.0</v>
      </c>
      <c r="P21" s="54">
        <v>0.0</v>
      </c>
      <c r="Q21" s="54">
        <v>0.0</v>
      </c>
      <c r="R21" s="54">
        <v>8628880.0</v>
      </c>
      <c r="S21" s="54">
        <v>0.0</v>
      </c>
      <c r="T21" s="54">
        <v>0.0</v>
      </c>
      <c r="U21" s="54">
        <v>0.0</v>
      </c>
      <c r="V21" s="54">
        <v>0.0</v>
      </c>
      <c r="W21" s="54">
        <v>0.0</v>
      </c>
      <c r="X21" s="54">
        <v>0.0</v>
      </c>
      <c r="Y21" s="54">
        <v>0.0</v>
      </c>
      <c r="Z21" s="54">
        <v>0.0</v>
      </c>
      <c r="AA21" s="54">
        <v>0.0</v>
      </c>
      <c r="AB21" s="54">
        <v>406982.0</v>
      </c>
      <c r="AC21" s="54">
        <v>0.0</v>
      </c>
      <c r="AD21" s="54">
        <v>852.0</v>
      </c>
      <c r="AE21" s="54">
        <v>87967.0</v>
      </c>
      <c r="AF21" s="54">
        <v>0.0</v>
      </c>
      <c r="AG21" s="54">
        <v>0.0</v>
      </c>
      <c r="AH21" s="54">
        <v>0.0</v>
      </c>
      <c r="AI21" s="54">
        <v>5162.0</v>
      </c>
      <c r="AJ21" s="54">
        <v>0.0</v>
      </c>
      <c r="AK21" s="54">
        <v>0.0</v>
      </c>
      <c r="AL21" s="54">
        <v>0.0</v>
      </c>
      <c r="AM21" s="54">
        <v>264.0</v>
      </c>
      <c r="AN21" s="54">
        <v>97.0</v>
      </c>
      <c r="AO21" s="54">
        <v>215.0</v>
      </c>
      <c r="AP21" s="54">
        <v>89.0</v>
      </c>
      <c r="AQ21" s="54">
        <v>935.0</v>
      </c>
      <c r="AR21" s="54">
        <v>186.0</v>
      </c>
      <c r="AS21" s="54">
        <v>108.0</v>
      </c>
      <c r="AT21" s="54">
        <v>553.0</v>
      </c>
      <c r="AU21" s="54">
        <v>36.0</v>
      </c>
      <c r="AV21" s="54">
        <v>156.0</v>
      </c>
      <c r="AW21" s="54">
        <v>121.0</v>
      </c>
      <c r="AX21" s="54">
        <v>0.0</v>
      </c>
      <c r="AY21" s="54">
        <v>28.0</v>
      </c>
      <c r="AZ21" s="54">
        <v>141.0</v>
      </c>
      <c r="BA21" s="54">
        <v>74.0</v>
      </c>
      <c r="BB21" s="54">
        <v>45.0</v>
      </c>
      <c r="BC21" s="54">
        <v>0.0</v>
      </c>
      <c r="BD21" s="54">
        <v>0.0</v>
      </c>
      <c r="BE21" s="54">
        <v>0.0</v>
      </c>
      <c r="BF21" s="54">
        <v>0.0</v>
      </c>
      <c r="BG21" s="54">
        <v>9748190.0</v>
      </c>
      <c r="BH21" s="54">
        <v>163.0</v>
      </c>
      <c r="BI21" s="54">
        <v>0.0</v>
      </c>
      <c r="BJ21" s="54">
        <v>2159658.0</v>
      </c>
      <c r="BK21" s="54">
        <v>12398.0</v>
      </c>
      <c r="BL21" s="54">
        <v>0.0</v>
      </c>
      <c r="BM21" s="54">
        <v>18.0</v>
      </c>
      <c r="BN21" s="54">
        <v>80284.0</v>
      </c>
      <c r="BO21" s="54">
        <v>700929.0</v>
      </c>
      <c r="BP21" s="54">
        <v>392.0</v>
      </c>
      <c r="BQ21" s="54">
        <v>0.0</v>
      </c>
      <c r="BR21" s="54">
        <v>1532.0</v>
      </c>
      <c r="BS21" s="54">
        <v>29194.0</v>
      </c>
      <c r="BT21" s="54">
        <v>92603.0</v>
      </c>
      <c r="BU21" s="54">
        <v>148749.0</v>
      </c>
      <c r="BV21" s="54">
        <v>73653.0</v>
      </c>
      <c r="BW21" s="54">
        <v>662788.0</v>
      </c>
      <c r="BX21" s="54">
        <v>1.4459385E7</v>
      </c>
      <c r="BY21" s="54">
        <v>0.0</v>
      </c>
      <c r="BZ21" s="54">
        <v>0.0</v>
      </c>
      <c r="CA21" s="54">
        <v>0.0</v>
      </c>
      <c r="CB21" s="54">
        <v>93.0</v>
      </c>
      <c r="CC21" s="54">
        <v>0.0</v>
      </c>
      <c r="CD21" s="54">
        <v>0.0</v>
      </c>
      <c r="CE21" s="54">
        <v>0.0</v>
      </c>
      <c r="CF21" s="54">
        <v>0.0</v>
      </c>
      <c r="CG21" s="54">
        <v>70.0</v>
      </c>
      <c r="CH21" s="54">
        <v>0.0</v>
      </c>
      <c r="CI21" s="54">
        <v>35.0</v>
      </c>
      <c r="CJ21" s="54">
        <v>0.0</v>
      </c>
      <c r="CK21" s="54">
        <v>74124.0</v>
      </c>
      <c r="CL21" s="54">
        <v>79736.0</v>
      </c>
      <c r="CM21" s="54">
        <v>7503.0</v>
      </c>
      <c r="CN21" s="54">
        <v>295.0</v>
      </c>
      <c r="CO21" s="54">
        <v>191.0</v>
      </c>
      <c r="CP21" s="54">
        <v>196.0</v>
      </c>
      <c r="CQ21" s="54">
        <v>0.0</v>
      </c>
      <c r="CR21" s="54">
        <v>0.0</v>
      </c>
      <c r="CS21" s="54">
        <v>23377.0</v>
      </c>
      <c r="CT21" s="54">
        <v>0.0</v>
      </c>
      <c r="CU21" s="54">
        <v>0.0</v>
      </c>
      <c r="CV21" s="54">
        <v>0.0</v>
      </c>
      <c r="CW21" s="54">
        <v>0.0</v>
      </c>
      <c r="CX21" s="54">
        <v>0.0</v>
      </c>
      <c r="CY21" s="54">
        <v>0.0</v>
      </c>
      <c r="CZ21" s="54">
        <v>0.0</v>
      </c>
      <c r="DA21" s="54">
        <v>0.0</v>
      </c>
      <c r="DB21" s="54">
        <v>4956.0</v>
      </c>
      <c r="DC21" s="54">
        <v>904485.0</v>
      </c>
      <c r="DD21" s="54">
        <v>162532.0</v>
      </c>
      <c r="DE21" s="54">
        <v>0.0</v>
      </c>
      <c r="DF21" s="54">
        <v>0.0</v>
      </c>
      <c r="DG21" s="54">
        <v>0.0</v>
      </c>
      <c r="DH21" s="54">
        <v>0.0</v>
      </c>
      <c r="DI21" s="54">
        <v>0.0</v>
      </c>
      <c r="DJ21" s="54">
        <v>0.0</v>
      </c>
      <c r="DK21" s="54">
        <v>0.0</v>
      </c>
      <c r="DL21" s="54">
        <v>0.0</v>
      </c>
      <c r="DM21" s="54">
        <v>119.0</v>
      </c>
      <c r="DN21" s="54">
        <v>229.0</v>
      </c>
      <c r="DO21" s="54">
        <v>630.0</v>
      </c>
      <c r="DP21" s="54">
        <v>102.0</v>
      </c>
      <c r="DQ21" s="54">
        <v>1015.0</v>
      </c>
      <c r="DR21" s="54">
        <v>0.0</v>
      </c>
      <c r="DS21" s="54">
        <v>0.0</v>
      </c>
      <c r="DT21" s="54">
        <v>0.0</v>
      </c>
      <c r="DU21" s="54">
        <v>0.0</v>
      </c>
      <c r="DV21" s="54">
        <v>0.0</v>
      </c>
      <c r="DW21" s="54">
        <v>0.0</v>
      </c>
      <c r="DX21" s="54">
        <v>0.0</v>
      </c>
      <c r="DY21" s="54">
        <v>0.0</v>
      </c>
      <c r="DZ21" s="54">
        <v>24.0</v>
      </c>
      <c r="EA21" s="54">
        <v>0.0</v>
      </c>
      <c r="EB21" s="54">
        <v>0.0</v>
      </c>
      <c r="EC21" s="54">
        <v>135.0</v>
      </c>
      <c r="ED21" s="54">
        <v>153.0</v>
      </c>
      <c r="EE21" s="54">
        <v>49.0</v>
      </c>
      <c r="EF21" s="54">
        <v>281.0</v>
      </c>
      <c r="EG21" s="54">
        <v>47.0</v>
      </c>
      <c r="EH21" s="54">
        <v>1599.0</v>
      </c>
      <c r="EI21" s="54">
        <v>0.0</v>
      </c>
      <c r="EJ21" s="54">
        <v>0.0</v>
      </c>
      <c r="EK21" s="54">
        <v>0.0</v>
      </c>
      <c r="EL21" s="54">
        <v>0.0</v>
      </c>
      <c r="EM21" s="54">
        <v>0.0</v>
      </c>
      <c r="EN21" s="54">
        <v>0.0</v>
      </c>
      <c r="EO21" s="54">
        <v>0.0</v>
      </c>
      <c r="EP21" s="54">
        <v>0.0</v>
      </c>
      <c r="EQ21" s="54">
        <v>18644.0</v>
      </c>
      <c r="ER21" s="54">
        <v>2627.0</v>
      </c>
      <c r="ES21" s="54">
        <v>218.0</v>
      </c>
      <c r="ET21" s="54">
        <v>11526.0</v>
      </c>
      <c r="EU21" s="54">
        <v>785.0</v>
      </c>
      <c r="EV21" s="54">
        <v>62.0</v>
      </c>
      <c r="EW21" s="54">
        <v>140.0</v>
      </c>
      <c r="EX21" s="54">
        <v>125.0</v>
      </c>
      <c r="EY21" s="54">
        <v>538.0</v>
      </c>
      <c r="EZ21" s="54">
        <v>607.0</v>
      </c>
      <c r="FA21" s="54">
        <v>344.0</v>
      </c>
      <c r="FB21" s="54">
        <v>427821.0</v>
      </c>
      <c r="FC21" s="54">
        <v>3790.0</v>
      </c>
      <c r="FD21" s="54">
        <v>3445.0</v>
      </c>
      <c r="FE21" s="54">
        <v>2650801.0</v>
      </c>
      <c r="FF21" s="54">
        <v>8446.0</v>
      </c>
      <c r="FG21" s="54">
        <v>1706015.0</v>
      </c>
      <c r="FH21" s="54">
        <v>0.0</v>
      </c>
      <c r="FI21" s="54">
        <v>0.0</v>
      </c>
      <c r="FJ21" s="54">
        <v>2175530.0</v>
      </c>
      <c r="FK21" s="54">
        <v>1.3048825E7</v>
      </c>
      <c r="FL21" s="54">
        <v>6999.0</v>
      </c>
      <c r="FM21" s="54">
        <v>1042.0</v>
      </c>
      <c r="FN21" s="54">
        <v>3953.0</v>
      </c>
      <c r="FO21" s="54">
        <v>995.0</v>
      </c>
      <c r="FP21" s="54">
        <v>2727.0</v>
      </c>
      <c r="FQ21" s="54">
        <v>226.0</v>
      </c>
      <c r="FR21" s="54">
        <v>43.0</v>
      </c>
      <c r="FS21" s="54">
        <v>2853.0</v>
      </c>
      <c r="FT21" s="54">
        <v>1075.0</v>
      </c>
      <c r="FU21" s="54">
        <v>0.0</v>
      </c>
      <c r="FV21" s="54">
        <v>222503.0</v>
      </c>
      <c r="FW21" s="54">
        <v>323242.0</v>
      </c>
      <c r="FX21" s="54">
        <v>65616.0</v>
      </c>
      <c r="FY21" s="54">
        <v>744197.0</v>
      </c>
      <c r="FZ21" s="54">
        <v>34150.0</v>
      </c>
      <c r="GA21" s="54">
        <v>78515.0</v>
      </c>
      <c r="GB21" s="54">
        <v>5324925.0</v>
      </c>
      <c r="GC21" s="54">
        <v>1327571.0</v>
      </c>
      <c r="GD21" s="54">
        <v>0.0</v>
      </c>
      <c r="GE21" s="54">
        <v>267130.0</v>
      </c>
      <c r="GF21" s="55">
        <v>6.7032854E7</v>
      </c>
      <c r="GG21" s="56">
        <v>1.96567234E8</v>
      </c>
      <c r="GH21" s="57">
        <v>0.0</v>
      </c>
      <c r="GI21" s="56">
        <v>0.0</v>
      </c>
      <c r="GJ21" s="56">
        <v>2.5299926E7</v>
      </c>
      <c r="GK21" s="56">
        <v>-2477379.0</v>
      </c>
      <c r="GL21" s="56">
        <v>2109700.0</v>
      </c>
      <c r="GM21" s="56">
        <v>0.0</v>
      </c>
      <c r="GN21" s="55">
        <v>2.21499481E8</v>
      </c>
      <c r="GO21" s="58">
        <v>2.88532335E8</v>
      </c>
      <c r="GP21" s="56">
        <v>1.8901132E7</v>
      </c>
      <c r="GQ21" s="56">
        <v>0.0</v>
      </c>
      <c r="GR21" s="57">
        <v>0.0</v>
      </c>
      <c r="GS21" s="55">
        <v>1.8901132E7</v>
      </c>
      <c r="GT21" s="59">
        <v>2.6302118E7</v>
      </c>
      <c r="GU21" s="59">
        <v>4.1478895E7</v>
      </c>
      <c r="GV21" s="59">
        <v>9782002.0</v>
      </c>
      <c r="GW21" s="55">
        <v>7.7563015E7</v>
      </c>
      <c r="GX21" s="55">
        <v>491768.0</v>
      </c>
      <c r="GY21" s="55">
        <v>1.9157642E8</v>
      </c>
      <c r="GZ21" s="58">
        <v>2.88532335E8</v>
      </c>
    </row>
    <row r="22" ht="15.75" customHeight="1">
      <c r="A22" s="60">
        <v>17.0</v>
      </c>
      <c r="B22" s="61" t="s">
        <v>62</v>
      </c>
      <c r="C22" s="62">
        <v>0.0</v>
      </c>
      <c r="D22" s="62">
        <v>0.0</v>
      </c>
      <c r="E22" s="62">
        <v>0.0</v>
      </c>
      <c r="F22" s="62">
        <v>0.0</v>
      </c>
      <c r="G22" s="62">
        <v>0.0</v>
      </c>
      <c r="H22" s="62">
        <v>0.0</v>
      </c>
      <c r="I22" s="62">
        <v>0.0</v>
      </c>
      <c r="J22" s="62">
        <v>0.0</v>
      </c>
      <c r="K22" s="62">
        <v>0.0</v>
      </c>
      <c r="L22" s="62">
        <v>0.0</v>
      </c>
      <c r="M22" s="62">
        <v>0.0</v>
      </c>
      <c r="N22" s="62">
        <v>0.0</v>
      </c>
      <c r="O22" s="62">
        <v>0.0</v>
      </c>
      <c r="P22" s="62">
        <v>0.0</v>
      </c>
      <c r="Q22" s="62">
        <v>0.0</v>
      </c>
      <c r="R22" s="62">
        <v>0.0</v>
      </c>
      <c r="S22" s="62">
        <v>19486.0</v>
      </c>
      <c r="T22" s="62">
        <v>0.0</v>
      </c>
      <c r="U22" s="62">
        <v>0.0</v>
      </c>
      <c r="V22" s="62">
        <v>0.0</v>
      </c>
      <c r="W22" s="62">
        <v>0.0</v>
      </c>
      <c r="X22" s="62">
        <v>0.0</v>
      </c>
      <c r="Y22" s="62">
        <v>0.0</v>
      </c>
      <c r="Z22" s="62">
        <v>0.0</v>
      </c>
      <c r="AA22" s="62">
        <v>0.0</v>
      </c>
      <c r="AB22" s="62">
        <v>0.0</v>
      </c>
      <c r="AC22" s="62">
        <v>0.0</v>
      </c>
      <c r="AD22" s="62">
        <v>0.0</v>
      </c>
      <c r="AE22" s="62">
        <v>0.0</v>
      </c>
      <c r="AF22" s="62">
        <v>0.0</v>
      </c>
      <c r="AG22" s="62">
        <v>0.0</v>
      </c>
      <c r="AH22" s="62">
        <v>0.0</v>
      </c>
      <c r="AI22" s="62">
        <v>0.0</v>
      </c>
      <c r="AJ22" s="62">
        <v>0.0</v>
      </c>
      <c r="AK22" s="62">
        <v>0.0</v>
      </c>
      <c r="AL22" s="62">
        <v>0.0</v>
      </c>
      <c r="AM22" s="62">
        <v>0.0</v>
      </c>
      <c r="AN22" s="62">
        <v>0.0</v>
      </c>
      <c r="AO22" s="62">
        <v>0.0</v>
      </c>
      <c r="AP22" s="62">
        <v>0.0</v>
      </c>
      <c r="AQ22" s="62">
        <v>0.0</v>
      </c>
      <c r="AR22" s="62">
        <v>0.0</v>
      </c>
      <c r="AS22" s="62">
        <v>0.0</v>
      </c>
      <c r="AT22" s="62">
        <v>0.0</v>
      </c>
      <c r="AU22" s="62">
        <v>0.0</v>
      </c>
      <c r="AV22" s="62">
        <v>0.0</v>
      </c>
      <c r="AW22" s="62">
        <v>0.0</v>
      </c>
      <c r="AX22" s="62">
        <v>0.0</v>
      </c>
      <c r="AY22" s="62">
        <v>0.0</v>
      </c>
      <c r="AZ22" s="62">
        <v>0.0</v>
      </c>
      <c r="BA22" s="62">
        <v>0.0</v>
      </c>
      <c r="BB22" s="62">
        <v>0.0</v>
      </c>
      <c r="BC22" s="62">
        <v>0.0</v>
      </c>
      <c r="BD22" s="62">
        <v>22488.0</v>
      </c>
      <c r="BE22" s="62">
        <v>0.0</v>
      </c>
      <c r="BF22" s="62">
        <v>0.0</v>
      </c>
      <c r="BG22" s="62">
        <v>11758.0</v>
      </c>
      <c r="BH22" s="62">
        <v>829.0</v>
      </c>
      <c r="BI22" s="62">
        <v>0.0</v>
      </c>
      <c r="BJ22" s="62">
        <v>7608.0</v>
      </c>
      <c r="BK22" s="62">
        <v>0.0</v>
      </c>
      <c r="BL22" s="62">
        <v>0.0</v>
      </c>
      <c r="BM22" s="62">
        <v>0.0</v>
      </c>
      <c r="BN22" s="62">
        <v>0.0</v>
      </c>
      <c r="BO22" s="62">
        <v>0.0</v>
      </c>
      <c r="BP22" s="62">
        <v>110.0</v>
      </c>
      <c r="BQ22" s="62">
        <v>0.0</v>
      </c>
      <c r="BR22" s="62">
        <v>343.0</v>
      </c>
      <c r="BS22" s="62">
        <v>191.0</v>
      </c>
      <c r="BT22" s="62">
        <v>93499.0</v>
      </c>
      <c r="BU22" s="62">
        <v>540411.0</v>
      </c>
      <c r="BV22" s="62">
        <v>0.0</v>
      </c>
      <c r="BW22" s="62">
        <v>0.0</v>
      </c>
      <c r="BX22" s="62">
        <v>50020.0</v>
      </c>
      <c r="BY22" s="62">
        <v>0.0</v>
      </c>
      <c r="BZ22" s="62">
        <v>0.0</v>
      </c>
      <c r="CA22" s="62">
        <v>0.0</v>
      </c>
      <c r="CB22" s="62">
        <v>0.0</v>
      </c>
      <c r="CC22" s="62">
        <v>0.0</v>
      </c>
      <c r="CD22" s="62">
        <v>0.0</v>
      </c>
      <c r="CE22" s="62">
        <v>0.0</v>
      </c>
      <c r="CF22" s="62">
        <v>0.0</v>
      </c>
      <c r="CG22" s="62">
        <v>0.0</v>
      </c>
      <c r="CH22" s="62">
        <v>0.0</v>
      </c>
      <c r="CI22" s="62">
        <v>0.0</v>
      </c>
      <c r="CJ22" s="62">
        <v>0.0</v>
      </c>
      <c r="CK22" s="62">
        <v>0.0</v>
      </c>
      <c r="CL22" s="62">
        <v>0.0</v>
      </c>
      <c r="CM22" s="62">
        <v>0.0</v>
      </c>
      <c r="CN22" s="62">
        <v>0.0</v>
      </c>
      <c r="CO22" s="62">
        <v>0.0</v>
      </c>
      <c r="CP22" s="62">
        <v>0.0</v>
      </c>
      <c r="CQ22" s="62">
        <v>0.0</v>
      </c>
      <c r="CR22" s="62">
        <v>0.0</v>
      </c>
      <c r="CS22" s="62">
        <v>0.0</v>
      </c>
      <c r="CT22" s="62">
        <v>0.0</v>
      </c>
      <c r="CU22" s="62">
        <v>0.0</v>
      </c>
      <c r="CV22" s="62">
        <v>0.0</v>
      </c>
      <c r="CW22" s="62">
        <v>0.0</v>
      </c>
      <c r="CX22" s="62">
        <v>0.0</v>
      </c>
      <c r="CY22" s="62">
        <v>0.0</v>
      </c>
      <c r="CZ22" s="62">
        <v>57423.0</v>
      </c>
      <c r="DA22" s="62">
        <v>0.0</v>
      </c>
      <c r="DB22" s="62">
        <v>133649.0</v>
      </c>
      <c r="DC22" s="62">
        <v>259279.0</v>
      </c>
      <c r="DD22" s="62">
        <v>1778284.0</v>
      </c>
      <c r="DE22" s="62">
        <v>0.0</v>
      </c>
      <c r="DF22" s="62">
        <v>0.0</v>
      </c>
      <c r="DG22" s="62">
        <v>0.0</v>
      </c>
      <c r="DH22" s="62">
        <v>0.0</v>
      </c>
      <c r="DI22" s="62">
        <v>0.0</v>
      </c>
      <c r="DJ22" s="62">
        <v>0.0</v>
      </c>
      <c r="DK22" s="62">
        <v>0.0</v>
      </c>
      <c r="DL22" s="62">
        <v>0.0</v>
      </c>
      <c r="DM22" s="62">
        <v>0.0</v>
      </c>
      <c r="DN22" s="62">
        <v>0.0</v>
      </c>
      <c r="DO22" s="62">
        <v>0.0</v>
      </c>
      <c r="DP22" s="62">
        <v>0.0</v>
      </c>
      <c r="DQ22" s="62">
        <v>0.0</v>
      </c>
      <c r="DR22" s="62">
        <v>0.0</v>
      </c>
      <c r="DS22" s="62">
        <v>0.0</v>
      </c>
      <c r="DT22" s="62">
        <v>0.0</v>
      </c>
      <c r="DU22" s="62">
        <v>0.0</v>
      </c>
      <c r="DV22" s="62">
        <v>0.0</v>
      </c>
      <c r="DW22" s="62">
        <v>0.0</v>
      </c>
      <c r="DX22" s="62">
        <v>0.0</v>
      </c>
      <c r="DY22" s="62">
        <v>0.0</v>
      </c>
      <c r="DZ22" s="62">
        <v>0.0</v>
      </c>
      <c r="EA22" s="62">
        <v>0.0</v>
      </c>
      <c r="EB22" s="62">
        <v>0.0</v>
      </c>
      <c r="EC22" s="62">
        <v>0.0</v>
      </c>
      <c r="ED22" s="62">
        <v>0.0</v>
      </c>
      <c r="EE22" s="62">
        <v>0.0</v>
      </c>
      <c r="EF22" s="62">
        <v>0.0</v>
      </c>
      <c r="EG22" s="62">
        <v>0.0</v>
      </c>
      <c r="EH22" s="62">
        <v>0.0</v>
      </c>
      <c r="EI22" s="62">
        <v>0.0</v>
      </c>
      <c r="EJ22" s="62">
        <v>0.0</v>
      </c>
      <c r="EK22" s="62">
        <v>0.0</v>
      </c>
      <c r="EL22" s="62">
        <v>0.0</v>
      </c>
      <c r="EM22" s="62">
        <v>0.0</v>
      </c>
      <c r="EN22" s="62">
        <v>0.0</v>
      </c>
      <c r="EO22" s="62">
        <v>0.0</v>
      </c>
      <c r="EP22" s="62">
        <v>0.0</v>
      </c>
      <c r="EQ22" s="62">
        <v>0.0</v>
      </c>
      <c r="ER22" s="62">
        <v>0.0</v>
      </c>
      <c r="ES22" s="62">
        <v>0.0</v>
      </c>
      <c r="ET22" s="62">
        <v>272.0</v>
      </c>
      <c r="EU22" s="62">
        <v>0.0</v>
      </c>
      <c r="EV22" s="62">
        <v>0.0</v>
      </c>
      <c r="EW22" s="62">
        <v>0.0</v>
      </c>
      <c r="EX22" s="62">
        <v>0.0</v>
      </c>
      <c r="EY22" s="62">
        <v>0.0</v>
      </c>
      <c r="EZ22" s="62">
        <v>0.0</v>
      </c>
      <c r="FA22" s="62">
        <v>0.0</v>
      </c>
      <c r="FB22" s="62">
        <v>0.0</v>
      </c>
      <c r="FC22" s="62">
        <v>0.0</v>
      </c>
      <c r="FD22" s="62">
        <v>0.0</v>
      </c>
      <c r="FE22" s="62">
        <v>0.0</v>
      </c>
      <c r="FF22" s="62">
        <v>0.0</v>
      </c>
      <c r="FG22" s="62">
        <v>0.0</v>
      </c>
      <c r="FH22" s="62">
        <v>0.0</v>
      </c>
      <c r="FI22" s="62">
        <v>0.0</v>
      </c>
      <c r="FJ22" s="62">
        <v>381.0</v>
      </c>
      <c r="FK22" s="62">
        <v>5376.0</v>
      </c>
      <c r="FL22" s="62">
        <v>0.0</v>
      </c>
      <c r="FM22" s="62">
        <v>0.0</v>
      </c>
      <c r="FN22" s="62">
        <v>0.0</v>
      </c>
      <c r="FO22" s="62">
        <v>0.0</v>
      </c>
      <c r="FP22" s="62">
        <v>0.0</v>
      </c>
      <c r="FQ22" s="62">
        <v>0.0</v>
      </c>
      <c r="FR22" s="62">
        <v>0.0</v>
      </c>
      <c r="FS22" s="62">
        <v>0.0</v>
      </c>
      <c r="FT22" s="62">
        <v>0.0</v>
      </c>
      <c r="FU22" s="62">
        <v>0.0</v>
      </c>
      <c r="FV22" s="62">
        <v>0.0</v>
      </c>
      <c r="FW22" s="62">
        <v>56635.0</v>
      </c>
      <c r="FX22" s="62">
        <v>1613.0</v>
      </c>
      <c r="FY22" s="62">
        <v>18154.0</v>
      </c>
      <c r="FZ22" s="62">
        <v>310.0</v>
      </c>
      <c r="GA22" s="62">
        <v>8.0</v>
      </c>
      <c r="GB22" s="62">
        <v>49051.0</v>
      </c>
      <c r="GC22" s="62">
        <v>12139.0</v>
      </c>
      <c r="GD22" s="62">
        <v>0.0</v>
      </c>
      <c r="GE22" s="62">
        <v>0.0</v>
      </c>
      <c r="GF22" s="63">
        <v>3119317.0</v>
      </c>
      <c r="GG22" s="64">
        <v>2266384.0</v>
      </c>
      <c r="GH22" s="65">
        <v>0.0</v>
      </c>
      <c r="GI22" s="64">
        <v>0.0</v>
      </c>
      <c r="GJ22" s="64">
        <v>1276564.0</v>
      </c>
      <c r="GK22" s="64">
        <v>676401.0</v>
      </c>
      <c r="GL22" s="64">
        <v>4160011.0</v>
      </c>
      <c r="GM22" s="64">
        <v>0.0</v>
      </c>
      <c r="GN22" s="63">
        <v>8379360.0</v>
      </c>
      <c r="GO22" s="66">
        <v>1.1498677E7</v>
      </c>
      <c r="GP22" s="64">
        <v>739379.0</v>
      </c>
      <c r="GQ22" s="64">
        <v>0.0</v>
      </c>
      <c r="GR22" s="65">
        <v>0.0</v>
      </c>
      <c r="GS22" s="63">
        <v>739379.0</v>
      </c>
      <c r="GT22" s="67">
        <v>554540.0</v>
      </c>
      <c r="GU22" s="67">
        <v>863497.0</v>
      </c>
      <c r="GV22" s="67">
        <v>233456.0</v>
      </c>
      <c r="GW22" s="63">
        <v>1651493.0</v>
      </c>
      <c r="GX22" s="63">
        <v>223337.0</v>
      </c>
      <c r="GY22" s="63">
        <v>8884468.0</v>
      </c>
      <c r="GZ22" s="66">
        <v>1.1498677E7</v>
      </c>
    </row>
    <row r="23" ht="15.75" customHeight="1">
      <c r="A23" s="60">
        <v>18.0</v>
      </c>
      <c r="B23" s="61" t="s">
        <v>63</v>
      </c>
      <c r="C23" s="62">
        <v>0.0</v>
      </c>
      <c r="D23" s="62">
        <v>0.0</v>
      </c>
      <c r="E23" s="62">
        <v>0.0</v>
      </c>
      <c r="F23" s="62">
        <v>0.0</v>
      </c>
      <c r="G23" s="62">
        <v>0.0</v>
      </c>
      <c r="H23" s="62">
        <v>0.0</v>
      </c>
      <c r="I23" s="62">
        <v>0.0</v>
      </c>
      <c r="J23" s="62">
        <v>0.0</v>
      </c>
      <c r="K23" s="62">
        <v>0.0</v>
      </c>
      <c r="L23" s="62">
        <v>0.0</v>
      </c>
      <c r="M23" s="62">
        <v>0.0</v>
      </c>
      <c r="N23" s="62">
        <v>0.0</v>
      </c>
      <c r="O23" s="62">
        <v>0.0</v>
      </c>
      <c r="P23" s="62">
        <v>0.0</v>
      </c>
      <c r="Q23" s="62">
        <v>0.0</v>
      </c>
      <c r="R23" s="62">
        <v>0.0</v>
      </c>
      <c r="S23" s="62">
        <v>0.0</v>
      </c>
      <c r="T23" s="62">
        <v>5132001.0</v>
      </c>
      <c r="U23" s="62">
        <v>0.0</v>
      </c>
      <c r="V23" s="62">
        <v>0.0</v>
      </c>
      <c r="W23" s="62">
        <v>0.0</v>
      </c>
      <c r="X23" s="62">
        <v>0.0</v>
      </c>
      <c r="Y23" s="62">
        <v>0.0</v>
      </c>
      <c r="Z23" s="62">
        <v>0.0</v>
      </c>
      <c r="AA23" s="62">
        <v>0.0</v>
      </c>
      <c r="AB23" s="62">
        <v>0.0</v>
      </c>
      <c r="AC23" s="62">
        <v>0.0</v>
      </c>
      <c r="AD23" s="62">
        <v>0.0</v>
      </c>
      <c r="AE23" s="62">
        <v>0.0</v>
      </c>
      <c r="AF23" s="62">
        <v>0.0</v>
      </c>
      <c r="AG23" s="62">
        <v>0.0</v>
      </c>
      <c r="AH23" s="62">
        <v>0.0</v>
      </c>
      <c r="AI23" s="62">
        <v>0.0</v>
      </c>
      <c r="AJ23" s="62">
        <v>0.0</v>
      </c>
      <c r="AK23" s="62">
        <v>0.0</v>
      </c>
      <c r="AL23" s="62">
        <v>0.0</v>
      </c>
      <c r="AM23" s="62">
        <v>0.0</v>
      </c>
      <c r="AN23" s="62">
        <v>0.0</v>
      </c>
      <c r="AO23" s="62">
        <v>0.0</v>
      </c>
      <c r="AP23" s="62">
        <v>0.0</v>
      </c>
      <c r="AQ23" s="62">
        <v>0.0</v>
      </c>
      <c r="AR23" s="62">
        <v>0.0</v>
      </c>
      <c r="AS23" s="62">
        <v>0.0</v>
      </c>
      <c r="AT23" s="62">
        <v>0.0</v>
      </c>
      <c r="AU23" s="62">
        <v>0.0</v>
      </c>
      <c r="AV23" s="62">
        <v>0.0</v>
      </c>
      <c r="AW23" s="62">
        <v>0.0</v>
      </c>
      <c r="AX23" s="62">
        <v>0.0</v>
      </c>
      <c r="AY23" s="62">
        <v>0.0</v>
      </c>
      <c r="AZ23" s="62">
        <v>0.0</v>
      </c>
      <c r="BA23" s="62">
        <v>0.0</v>
      </c>
      <c r="BB23" s="62">
        <v>0.0</v>
      </c>
      <c r="BC23" s="62">
        <v>0.0</v>
      </c>
      <c r="BD23" s="62">
        <v>0.0</v>
      </c>
      <c r="BE23" s="62">
        <v>0.0</v>
      </c>
      <c r="BF23" s="62">
        <v>0.0</v>
      </c>
      <c r="BG23" s="62">
        <v>0.0</v>
      </c>
      <c r="BH23" s="62">
        <v>0.0</v>
      </c>
      <c r="BI23" s="62">
        <v>0.0</v>
      </c>
      <c r="BJ23" s="62">
        <v>0.0</v>
      </c>
      <c r="BK23" s="62">
        <v>0.0</v>
      </c>
      <c r="BL23" s="62">
        <v>0.0</v>
      </c>
      <c r="BM23" s="62">
        <v>0.0</v>
      </c>
      <c r="BN23" s="62">
        <v>0.0</v>
      </c>
      <c r="BO23" s="62">
        <v>0.0</v>
      </c>
      <c r="BP23" s="62">
        <v>0.0</v>
      </c>
      <c r="BQ23" s="62">
        <v>0.0</v>
      </c>
      <c r="BR23" s="62">
        <v>0.0</v>
      </c>
      <c r="BS23" s="62">
        <v>0.0</v>
      </c>
      <c r="BT23" s="62">
        <v>0.0</v>
      </c>
      <c r="BU23" s="62">
        <v>0.0</v>
      </c>
      <c r="BV23" s="62">
        <v>0.0</v>
      </c>
      <c r="BW23" s="62">
        <v>0.0</v>
      </c>
      <c r="BX23" s="62">
        <v>0.0</v>
      </c>
      <c r="BY23" s="62">
        <v>0.0</v>
      </c>
      <c r="BZ23" s="62">
        <v>0.0</v>
      </c>
      <c r="CA23" s="62">
        <v>0.0</v>
      </c>
      <c r="CB23" s="62">
        <v>0.0</v>
      </c>
      <c r="CC23" s="62">
        <v>0.0</v>
      </c>
      <c r="CD23" s="62">
        <v>0.0</v>
      </c>
      <c r="CE23" s="62">
        <v>0.0</v>
      </c>
      <c r="CF23" s="62">
        <v>0.0</v>
      </c>
      <c r="CG23" s="62">
        <v>0.0</v>
      </c>
      <c r="CH23" s="62">
        <v>0.0</v>
      </c>
      <c r="CI23" s="62">
        <v>0.0</v>
      </c>
      <c r="CJ23" s="62">
        <v>0.0</v>
      </c>
      <c r="CK23" s="62">
        <v>0.0</v>
      </c>
      <c r="CL23" s="62">
        <v>0.0</v>
      </c>
      <c r="CM23" s="62">
        <v>0.0</v>
      </c>
      <c r="CN23" s="62">
        <v>0.0</v>
      </c>
      <c r="CO23" s="62">
        <v>0.0</v>
      </c>
      <c r="CP23" s="62">
        <v>0.0</v>
      </c>
      <c r="CQ23" s="62">
        <v>0.0</v>
      </c>
      <c r="CR23" s="62">
        <v>0.0</v>
      </c>
      <c r="CS23" s="62">
        <v>0.0</v>
      </c>
      <c r="CT23" s="62">
        <v>0.0</v>
      </c>
      <c r="CU23" s="62">
        <v>0.0</v>
      </c>
      <c r="CV23" s="62">
        <v>3823621.0</v>
      </c>
      <c r="CW23" s="62">
        <v>0.0</v>
      </c>
      <c r="CX23" s="62">
        <v>936123.0</v>
      </c>
      <c r="CY23" s="62">
        <v>0.0</v>
      </c>
      <c r="CZ23" s="62">
        <v>0.0</v>
      </c>
      <c r="DA23" s="62">
        <v>0.0</v>
      </c>
      <c r="DB23" s="62">
        <v>0.0</v>
      </c>
      <c r="DC23" s="62">
        <v>0.0</v>
      </c>
      <c r="DD23" s="62">
        <v>0.0</v>
      </c>
      <c r="DE23" s="62">
        <v>8446185.0</v>
      </c>
      <c r="DF23" s="62">
        <v>4.9603214E7</v>
      </c>
      <c r="DG23" s="62">
        <v>3443222.0</v>
      </c>
      <c r="DH23" s="62">
        <v>2508246.0</v>
      </c>
      <c r="DI23" s="62">
        <v>0.0</v>
      </c>
      <c r="DJ23" s="62">
        <v>0.0</v>
      </c>
      <c r="DK23" s="62">
        <v>0.0</v>
      </c>
      <c r="DL23" s="62">
        <v>0.0</v>
      </c>
      <c r="DM23" s="62">
        <v>0.0</v>
      </c>
      <c r="DN23" s="62">
        <v>0.0</v>
      </c>
      <c r="DO23" s="62">
        <v>55097.0</v>
      </c>
      <c r="DP23" s="62">
        <v>0.0</v>
      </c>
      <c r="DQ23" s="62">
        <v>67840.0</v>
      </c>
      <c r="DR23" s="62">
        <v>0.0</v>
      </c>
      <c r="DS23" s="62">
        <v>0.0</v>
      </c>
      <c r="DT23" s="62">
        <v>0.0</v>
      </c>
      <c r="DU23" s="62">
        <v>0.0</v>
      </c>
      <c r="DV23" s="62">
        <v>0.0</v>
      </c>
      <c r="DW23" s="62">
        <v>0.0</v>
      </c>
      <c r="DX23" s="62">
        <v>0.0</v>
      </c>
      <c r="DY23" s="62">
        <v>0.0</v>
      </c>
      <c r="DZ23" s="62">
        <v>0.0</v>
      </c>
      <c r="EA23" s="62">
        <v>0.0</v>
      </c>
      <c r="EB23" s="62">
        <v>0.0</v>
      </c>
      <c r="EC23" s="62">
        <v>0.0</v>
      </c>
      <c r="ED23" s="62">
        <v>0.0</v>
      </c>
      <c r="EE23" s="62">
        <v>0.0</v>
      </c>
      <c r="EF23" s="62">
        <v>0.0</v>
      </c>
      <c r="EG23" s="62">
        <v>0.0</v>
      </c>
      <c r="EH23" s="62">
        <v>972007.0</v>
      </c>
      <c r="EI23" s="62">
        <v>910432.0</v>
      </c>
      <c r="EJ23" s="62">
        <v>0.0</v>
      </c>
      <c r="EK23" s="62">
        <v>0.0</v>
      </c>
      <c r="EL23" s="62">
        <v>0.0</v>
      </c>
      <c r="EM23" s="62">
        <v>0.0</v>
      </c>
      <c r="EN23" s="62">
        <v>0.0</v>
      </c>
      <c r="EO23" s="62">
        <v>0.0</v>
      </c>
      <c r="EP23" s="62">
        <v>0.0</v>
      </c>
      <c r="EQ23" s="62">
        <v>0.0</v>
      </c>
      <c r="ER23" s="62">
        <v>0.0</v>
      </c>
      <c r="ES23" s="62">
        <v>0.0</v>
      </c>
      <c r="ET23" s="62">
        <v>0.0</v>
      </c>
      <c r="EU23" s="62">
        <v>0.0</v>
      </c>
      <c r="EV23" s="62">
        <v>0.0</v>
      </c>
      <c r="EW23" s="62">
        <v>0.0</v>
      </c>
      <c r="EX23" s="62">
        <v>9597.0</v>
      </c>
      <c r="EY23" s="62">
        <v>783.0</v>
      </c>
      <c r="EZ23" s="62">
        <v>0.0</v>
      </c>
      <c r="FA23" s="62">
        <v>0.0</v>
      </c>
      <c r="FB23" s="62">
        <v>0.0</v>
      </c>
      <c r="FC23" s="62">
        <v>0.0</v>
      </c>
      <c r="FD23" s="62">
        <v>0.0</v>
      </c>
      <c r="FE23" s="62">
        <v>0.0</v>
      </c>
      <c r="FF23" s="62">
        <v>0.0</v>
      </c>
      <c r="FG23" s="62">
        <v>0.0</v>
      </c>
      <c r="FH23" s="62">
        <v>0.0</v>
      </c>
      <c r="FI23" s="62">
        <v>0.0</v>
      </c>
      <c r="FJ23" s="62">
        <v>0.0</v>
      </c>
      <c r="FK23" s="62">
        <v>0.0</v>
      </c>
      <c r="FL23" s="62">
        <v>0.0</v>
      </c>
      <c r="FM23" s="62">
        <v>0.0</v>
      </c>
      <c r="FN23" s="62">
        <v>0.0</v>
      </c>
      <c r="FO23" s="62">
        <v>0.0</v>
      </c>
      <c r="FP23" s="62">
        <v>0.0</v>
      </c>
      <c r="FQ23" s="62">
        <v>0.0</v>
      </c>
      <c r="FR23" s="62">
        <v>0.0</v>
      </c>
      <c r="FS23" s="62">
        <v>0.0</v>
      </c>
      <c r="FT23" s="62">
        <v>0.0</v>
      </c>
      <c r="FU23" s="62">
        <v>0.0</v>
      </c>
      <c r="FV23" s="62">
        <v>0.0</v>
      </c>
      <c r="FW23" s="62">
        <v>0.0</v>
      </c>
      <c r="FX23" s="62">
        <v>0.0</v>
      </c>
      <c r="FY23" s="62">
        <v>0.0</v>
      </c>
      <c r="FZ23" s="62">
        <v>0.0</v>
      </c>
      <c r="GA23" s="62">
        <v>3149.0</v>
      </c>
      <c r="GB23" s="62">
        <v>0.0</v>
      </c>
      <c r="GC23" s="62">
        <v>0.0</v>
      </c>
      <c r="GD23" s="62">
        <v>0.0</v>
      </c>
      <c r="GE23" s="62">
        <v>0.0</v>
      </c>
      <c r="GF23" s="63">
        <v>7.5911517E7</v>
      </c>
      <c r="GG23" s="64">
        <v>0.0</v>
      </c>
      <c r="GH23" s="65">
        <v>0.0</v>
      </c>
      <c r="GI23" s="64">
        <v>0.0</v>
      </c>
      <c r="GJ23" s="64">
        <v>1.0872469E7</v>
      </c>
      <c r="GK23" s="64">
        <v>4464866.0</v>
      </c>
      <c r="GL23" s="64">
        <v>96566.0</v>
      </c>
      <c r="GM23" s="64">
        <v>0.0</v>
      </c>
      <c r="GN23" s="63">
        <v>1.5433901E7</v>
      </c>
      <c r="GO23" s="66">
        <v>9.1345418E7</v>
      </c>
      <c r="GP23" s="64">
        <v>667495.0</v>
      </c>
      <c r="GQ23" s="64">
        <v>0.0</v>
      </c>
      <c r="GR23" s="65">
        <v>0.0</v>
      </c>
      <c r="GS23" s="63">
        <v>667495.0</v>
      </c>
      <c r="GT23" s="67">
        <v>1.0128945E7</v>
      </c>
      <c r="GU23" s="67">
        <v>0.0</v>
      </c>
      <c r="GV23" s="67">
        <v>1247802.0</v>
      </c>
      <c r="GW23" s="63">
        <v>1.1376747E7</v>
      </c>
      <c r="GX23" s="63">
        <v>451905.0</v>
      </c>
      <c r="GY23" s="63">
        <v>7.8849271E7</v>
      </c>
      <c r="GZ23" s="66">
        <v>9.1345418E7</v>
      </c>
    </row>
    <row r="24" ht="15.75" customHeight="1">
      <c r="A24" s="60">
        <v>19.0</v>
      </c>
      <c r="B24" s="61" t="s">
        <v>64</v>
      </c>
      <c r="C24" s="62">
        <v>0.0</v>
      </c>
      <c r="D24" s="62">
        <v>0.0</v>
      </c>
      <c r="E24" s="62">
        <v>0.0</v>
      </c>
      <c r="F24" s="62">
        <v>0.0</v>
      </c>
      <c r="G24" s="62">
        <v>0.0</v>
      </c>
      <c r="H24" s="62">
        <v>0.0</v>
      </c>
      <c r="I24" s="62">
        <v>0.0</v>
      </c>
      <c r="J24" s="62">
        <v>0.0</v>
      </c>
      <c r="K24" s="62">
        <v>0.0</v>
      </c>
      <c r="L24" s="62">
        <v>0.0</v>
      </c>
      <c r="M24" s="62">
        <v>0.0</v>
      </c>
      <c r="N24" s="62">
        <v>0.0</v>
      </c>
      <c r="O24" s="62">
        <v>0.0</v>
      </c>
      <c r="P24" s="62">
        <v>0.0</v>
      </c>
      <c r="Q24" s="62">
        <v>0.0</v>
      </c>
      <c r="R24" s="62">
        <v>0.0</v>
      </c>
      <c r="S24" s="62">
        <v>0.0</v>
      </c>
      <c r="T24" s="62">
        <v>0.0</v>
      </c>
      <c r="U24" s="62">
        <v>1101179.0</v>
      </c>
      <c r="V24" s="62">
        <v>0.0</v>
      </c>
      <c r="W24" s="62">
        <v>0.0</v>
      </c>
      <c r="X24" s="62">
        <v>0.0</v>
      </c>
      <c r="Y24" s="62">
        <v>0.0</v>
      </c>
      <c r="Z24" s="62">
        <v>0.0</v>
      </c>
      <c r="AA24" s="62">
        <v>0.0</v>
      </c>
      <c r="AB24" s="62">
        <v>0.0</v>
      </c>
      <c r="AC24" s="62">
        <v>0.0</v>
      </c>
      <c r="AD24" s="62">
        <v>0.0</v>
      </c>
      <c r="AE24" s="62">
        <v>0.0</v>
      </c>
      <c r="AF24" s="62">
        <v>0.0</v>
      </c>
      <c r="AG24" s="62">
        <v>0.0</v>
      </c>
      <c r="AH24" s="62">
        <v>0.0</v>
      </c>
      <c r="AI24" s="62">
        <v>0.0</v>
      </c>
      <c r="AJ24" s="62">
        <v>0.0</v>
      </c>
      <c r="AK24" s="62">
        <v>0.0</v>
      </c>
      <c r="AL24" s="62">
        <v>0.0</v>
      </c>
      <c r="AM24" s="62">
        <v>0.0</v>
      </c>
      <c r="AN24" s="62">
        <v>0.0</v>
      </c>
      <c r="AO24" s="62">
        <v>0.0</v>
      </c>
      <c r="AP24" s="62">
        <v>0.0</v>
      </c>
      <c r="AQ24" s="62">
        <v>0.0</v>
      </c>
      <c r="AR24" s="62">
        <v>0.0</v>
      </c>
      <c r="AS24" s="62">
        <v>0.0</v>
      </c>
      <c r="AT24" s="62">
        <v>0.0</v>
      </c>
      <c r="AU24" s="62">
        <v>0.0</v>
      </c>
      <c r="AV24" s="62">
        <v>0.0</v>
      </c>
      <c r="AW24" s="62">
        <v>0.0</v>
      </c>
      <c r="AX24" s="62">
        <v>0.0</v>
      </c>
      <c r="AY24" s="62">
        <v>0.0</v>
      </c>
      <c r="AZ24" s="62">
        <v>0.0</v>
      </c>
      <c r="BA24" s="62">
        <v>0.0</v>
      </c>
      <c r="BB24" s="62">
        <v>0.0</v>
      </c>
      <c r="BC24" s="62">
        <v>44466.0</v>
      </c>
      <c r="BD24" s="62">
        <v>0.0</v>
      </c>
      <c r="BE24" s="62">
        <v>0.0</v>
      </c>
      <c r="BF24" s="62">
        <v>0.0</v>
      </c>
      <c r="BG24" s="62">
        <v>119.0</v>
      </c>
      <c r="BH24" s="62">
        <v>22802.0</v>
      </c>
      <c r="BI24" s="62">
        <v>1.1640756E7</v>
      </c>
      <c r="BJ24" s="62">
        <v>1077819.0</v>
      </c>
      <c r="BK24" s="62">
        <v>0.0</v>
      </c>
      <c r="BL24" s="62">
        <v>0.0</v>
      </c>
      <c r="BM24" s="62">
        <v>0.0</v>
      </c>
      <c r="BN24" s="62">
        <v>1139478.0</v>
      </c>
      <c r="BO24" s="62">
        <v>389.0</v>
      </c>
      <c r="BP24" s="62">
        <v>0.0</v>
      </c>
      <c r="BQ24" s="62">
        <v>0.0</v>
      </c>
      <c r="BR24" s="62">
        <v>2137.0</v>
      </c>
      <c r="BS24" s="62">
        <v>0.0</v>
      </c>
      <c r="BT24" s="62">
        <v>0.0</v>
      </c>
      <c r="BU24" s="62">
        <v>1535704.0</v>
      </c>
      <c r="BV24" s="62">
        <v>50271.0</v>
      </c>
      <c r="BW24" s="62">
        <v>59497.0</v>
      </c>
      <c r="BX24" s="62">
        <v>1998692.0</v>
      </c>
      <c r="BY24" s="62">
        <v>0.0</v>
      </c>
      <c r="BZ24" s="62">
        <v>0.0</v>
      </c>
      <c r="CA24" s="62">
        <v>0.0</v>
      </c>
      <c r="CB24" s="62">
        <v>0.0</v>
      </c>
      <c r="CC24" s="62">
        <v>0.0</v>
      </c>
      <c r="CD24" s="62">
        <v>0.0</v>
      </c>
      <c r="CE24" s="62">
        <v>0.0</v>
      </c>
      <c r="CF24" s="62">
        <v>0.0</v>
      </c>
      <c r="CG24" s="62">
        <v>0.0</v>
      </c>
      <c r="CH24" s="62">
        <v>4794.0</v>
      </c>
      <c r="CI24" s="62">
        <v>28922.0</v>
      </c>
      <c r="CJ24" s="62">
        <v>0.0</v>
      </c>
      <c r="CK24" s="62">
        <v>0.0</v>
      </c>
      <c r="CL24" s="62">
        <v>0.0</v>
      </c>
      <c r="CM24" s="62">
        <v>96251.0</v>
      </c>
      <c r="CN24" s="62">
        <v>0.0</v>
      </c>
      <c r="CO24" s="62">
        <v>0.0</v>
      </c>
      <c r="CP24" s="62">
        <v>0.0</v>
      </c>
      <c r="CQ24" s="62">
        <v>0.0</v>
      </c>
      <c r="CR24" s="62">
        <v>0.0</v>
      </c>
      <c r="CS24" s="62">
        <v>0.0</v>
      </c>
      <c r="CT24" s="62">
        <v>2845930.0</v>
      </c>
      <c r="CU24" s="62">
        <v>0.0</v>
      </c>
      <c r="CV24" s="62">
        <v>0.0</v>
      </c>
      <c r="CW24" s="62">
        <v>0.0</v>
      </c>
      <c r="CX24" s="62">
        <v>0.0</v>
      </c>
      <c r="CY24" s="62">
        <v>0.0</v>
      </c>
      <c r="CZ24" s="62">
        <v>0.0</v>
      </c>
      <c r="DA24" s="62">
        <v>0.0</v>
      </c>
      <c r="DB24" s="62">
        <v>931627.0</v>
      </c>
      <c r="DC24" s="62">
        <v>1451650.0</v>
      </c>
      <c r="DD24" s="62">
        <v>283999.0</v>
      </c>
      <c r="DE24" s="62">
        <v>0.0</v>
      </c>
      <c r="DF24" s="62">
        <v>0.0</v>
      </c>
      <c r="DG24" s="62">
        <v>0.0</v>
      </c>
      <c r="DH24" s="62">
        <v>0.0</v>
      </c>
      <c r="DI24" s="62">
        <v>0.0</v>
      </c>
      <c r="DJ24" s="62">
        <v>0.0</v>
      </c>
      <c r="DK24" s="62">
        <v>0.0</v>
      </c>
      <c r="DL24" s="62">
        <v>0.0</v>
      </c>
      <c r="DM24" s="62">
        <v>0.0</v>
      </c>
      <c r="DN24" s="62">
        <v>0.0</v>
      </c>
      <c r="DO24" s="62">
        <v>0.0</v>
      </c>
      <c r="DP24" s="62">
        <v>0.0</v>
      </c>
      <c r="DQ24" s="62">
        <v>17448.0</v>
      </c>
      <c r="DR24" s="62">
        <v>0.0</v>
      </c>
      <c r="DS24" s="62">
        <v>0.0</v>
      </c>
      <c r="DT24" s="62">
        <v>0.0</v>
      </c>
      <c r="DU24" s="62">
        <v>0.0</v>
      </c>
      <c r="DV24" s="62">
        <v>0.0</v>
      </c>
      <c r="DW24" s="62">
        <v>0.0</v>
      </c>
      <c r="DX24" s="62">
        <v>0.0</v>
      </c>
      <c r="DY24" s="62">
        <v>0.0</v>
      </c>
      <c r="DZ24" s="62">
        <v>0.0</v>
      </c>
      <c r="EA24" s="62">
        <v>0.0</v>
      </c>
      <c r="EB24" s="62">
        <v>0.0</v>
      </c>
      <c r="EC24" s="62">
        <v>0.0</v>
      </c>
      <c r="ED24" s="62">
        <v>0.0</v>
      </c>
      <c r="EE24" s="62">
        <v>0.0</v>
      </c>
      <c r="EF24" s="62">
        <v>0.0</v>
      </c>
      <c r="EG24" s="62">
        <v>0.0</v>
      </c>
      <c r="EH24" s="62">
        <v>0.0</v>
      </c>
      <c r="EI24" s="62">
        <v>702924.0</v>
      </c>
      <c r="EJ24" s="62">
        <v>107250.0</v>
      </c>
      <c r="EK24" s="62">
        <v>61002.0</v>
      </c>
      <c r="EL24" s="62">
        <v>20167.0</v>
      </c>
      <c r="EM24" s="62">
        <v>0.0</v>
      </c>
      <c r="EN24" s="62">
        <v>0.0</v>
      </c>
      <c r="EO24" s="62">
        <v>0.0</v>
      </c>
      <c r="EP24" s="62">
        <v>0.0</v>
      </c>
      <c r="EQ24" s="62">
        <v>0.0</v>
      </c>
      <c r="ER24" s="62">
        <v>0.0</v>
      </c>
      <c r="ES24" s="62">
        <v>0.0</v>
      </c>
      <c r="ET24" s="62">
        <v>0.0</v>
      </c>
      <c r="EU24" s="62">
        <v>0.0</v>
      </c>
      <c r="EV24" s="62">
        <v>0.0</v>
      </c>
      <c r="EW24" s="62">
        <v>0.0</v>
      </c>
      <c r="EX24" s="62">
        <v>0.0</v>
      </c>
      <c r="EY24" s="62">
        <v>0.0</v>
      </c>
      <c r="EZ24" s="62">
        <v>0.0</v>
      </c>
      <c r="FA24" s="62">
        <v>0.0</v>
      </c>
      <c r="FB24" s="62">
        <v>0.0</v>
      </c>
      <c r="FC24" s="62">
        <v>0.0</v>
      </c>
      <c r="FD24" s="62">
        <v>0.0</v>
      </c>
      <c r="FE24" s="62">
        <v>0.0</v>
      </c>
      <c r="FF24" s="62">
        <v>0.0</v>
      </c>
      <c r="FG24" s="62">
        <v>0.0</v>
      </c>
      <c r="FH24" s="62">
        <v>0.0</v>
      </c>
      <c r="FI24" s="62">
        <v>0.0</v>
      </c>
      <c r="FJ24" s="62">
        <v>596487.0</v>
      </c>
      <c r="FK24" s="62">
        <v>8601158.0</v>
      </c>
      <c r="FL24" s="62">
        <v>0.0</v>
      </c>
      <c r="FM24" s="62">
        <v>0.0</v>
      </c>
      <c r="FN24" s="62">
        <v>0.0</v>
      </c>
      <c r="FO24" s="62">
        <v>0.0</v>
      </c>
      <c r="FP24" s="62">
        <v>0.0</v>
      </c>
      <c r="FQ24" s="62">
        <v>0.0</v>
      </c>
      <c r="FR24" s="62">
        <v>0.0</v>
      </c>
      <c r="FS24" s="62">
        <v>0.0</v>
      </c>
      <c r="FT24" s="62">
        <v>0.0</v>
      </c>
      <c r="FU24" s="62">
        <v>0.0</v>
      </c>
      <c r="FV24" s="62">
        <v>0.0</v>
      </c>
      <c r="FW24" s="62">
        <v>45162.0</v>
      </c>
      <c r="FX24" s="62">
        <v>11599.0</v>
      </c>
      <c r="FY24" s="62">
        <v>570.0</v>
      </c>
      <c r="FZ24" s="62">
        <v>1568.0</v>
      </c>
      <c r="GA24" s="62">
        <v>24887.0</v>
      </c>
      <c r="GB24" s="62">
        <v>104794.0</v>
      </c>
      <c r="GC24" s="62">
        <v>313358.0</v>
      </c>
      <c r="GD24" s="62">
        <v>0.0</v>
      </c>
      <c r="GE24" s="62">
        <v>18591.0</v>
      </c>
      <c r="GF24" s="63">
        <v>3.4943447E7</v>
      </c>
      <c r="GG24" s="64">
        <v>1.5420234E7</v>
      </c>
      <c r="GH24" s="65">
        <v>0.0</v>
      </c>
      <c r="GI24" s="64">
        <v>0.0</v>
      </c>
      <c r="GJ24" s="64">
        <v>6760400.0</v>
      </c>
      <c r="GK24" s="64">
        <v>-1815784.0</v>
      </c>
      <c r="GL24" s="64">
        <v>6368132.0</v>
      </c>
      <c r="GM24" s="64">
        <v>0.0</v>
      </c>
      <c r="GN24" s="63">
        <v>2.6732982E7</v>
      </c>
      <c r="GO24" s="66">
        <v>6.1676429E7</v>
      </c>
      <c r="GP24" s="64">
        <v>90012.0</v>
      </c>
      <c r="GQ24" s="64">
        <v>0.0</v>
      </c>
      <c r="GR24" s="65">
        <v>0.0</v>
      </c>
      <c r="GS24" s="63">
        <v>90012.0</v>
      </c>
      <c r="GT24" s="67">
        <v>6043410.0</v>
      </c>
      <c r="GU24" s="67">
        <v>5937941.0</v>
      </c>
      <c r="GV24" s="67">
        <v>1014122.0</v>
      </c>
      <c r="GW24" s="63">
        <v>1.2995473E7</v>
      </c>
      <c r="GX24" s="63">
        <v>909359.0</v>
      </c>
      <c r="GY24" s="63">
        <v>4.7681585E7</v>
      </c>
      <c r="GZ24" s="66">
        <v>6.1676429E7</v>
      </c>
    </row>
    <row r="25" ht="15.75" customHeight="1">
      <c r="A25" s="68">
        <v>20.0</v>
      </c>
      <c r="B25" s="69" t="s">
        <v>65</v>
      </c>
      <c r="C25" s="70">
        <v>0.0</v>
      </c>
      <c r="D25" s="70">
        <v>0.0</v>
      </c>
      <c r="E25" s="70">
        <v>0.0</v>
      </c>
      <c r="F25" s="70">
        <v>0.0</v>
      </c>
      <c r="G25" s="70">
        <v>0.0</v>
      </c>
      <c r="H25" s="70">
        <v>0.0</v>
      </c>
      <c r="I25" s="70">
        <v>0.0</v>
      </c>
      <c r="J25" s="70">
        <v>0.0</v>
      </c>
      <c r="K25" s="70">
        <v>0.0</v>
      </c>
      <c r="L25" s="70">
        <v>0.0</v>
      </c>
      <c r="M25" s="70">
        <v>0.0</v>
      </c>
      <c r="N25" s="70">
        <v>0.0</v>
      </c>
      <c r="O25" s="70">
        <v>0.0</v>
      </c>
      <c r="P25" s="70">
        <v>0.0</v>
      </c>
      <c r="Q25" s="70">
        <v>0.0</v>
      </c>
      <c r="R25" s="70">
        <v>0.0</v>
      </c>
      <c r="S25" s="70">
        <v>0.0</v>
      </c>
      <c r="T25" s="70">
        <v>0.0</v>
      </c>
      <c r="U25" s="70">
        <v>0.0</v>
      </c>
      <c r="V25" s="70">
        <v>5.0836602E7</v>
      </c>
      <c r="W25" s="70">
        <v>0.0</v>
      </c>
      <c r="X25" s="70">
        <v>0.0</v>
      </c>
      <c r="Y25" s="70">
        <v>0.0</v>
      </c>
      <c r="Z25" s="70">
        <v>0.0</v>
      </c>
      <c r="AA25" s="70">
        <v>0.0</v>
      </c>
      <c r="AB25" s="70">
        <v>0.0</v>
      </c>
      <c r="AC25" s="70">
        <v>0.0</v>
      </c>
      <c r="AD25" s="70">
        <v>0.0</v>
      </c>
      <c r="AE25" s="70">
        <v>0.0</v>
      </c>
      <c r="AF25" s="70">
        <v>0.0</v>
      </c>
      <c r="AG25" s="70">
        <v>0.0</v>
      </c>
      <c r="AH25" s="70">
        <v>0.0</v>
      </c>
      <c r="AI25" s="70">
        <v>0.0</v>
      </c>
      <c r="AJ25" s="70">
        <v>0.0</v>
      </c>
      <c r="AK25" s="70">
        <v>0.0</v>
      </c>
      <c r="AL25" s="70">
        <v>0.0</v>
      </c>
      <c r="AM25" s="70">
        <v>0.0</v>
      </c>
      <c r="AN25" s="70">
        <v>0.0</v>
      </c>
      <c r="AO25" s="70">
        <v>0.0</v>
      </c>
      <c r="AP25" s="70">
        <v>0.0</v>
      </c>
      <c r="AQ25" s="70">
        <v>0.0</v>
      </c>
      <c r="AR25" s="70">
        <v>0.0</v>
      </c>
      <c r="AS25" s="70">
        <v>0.0</v>
      </c>
      <c r="AT25" s="70">
        <v>0.0</v>
      </c>
      <c r="AU25" s="70">
        <v>0.0</v>
      </c>
      <c r="AV25" s="70">
        <v>0.0</v>
      </c>
      <c r="AW25" s="70">
        <v>0.0</v>
      </c>
      <c r="AX25" s="70">
        <v>0.0</v>
      </c>
      <c r="AY25" s="70">
        <v>0.0</v>
      </c>
      <c r="AZ25" s="70">
        <v>0.0</v>
      </c>
      <c r="BA25" s="70">
        <v>0.0</v>
      </c>
      <c r="BB25" s="70">
        <v>0.0</v>
      </c>
      <c r="BC25" s="70">
        <v>0.0</v>
      </c>
      <c r="BD25" s="70">
        <v>0.0</v>
      </c>
      <c r="BE25" s="70">
        <v>0.0</v>
      </c>
      <c r="BF25" s="70">
        <v>0.0</v>
      </c>
      <c r="BG25" s="70">
        <v>0.0</v>
      </c>
      <c r="BH25" s="70">
        <v>2.77228887E8</v>
      </c>
      <c r="BI25" s="70">
        <v>0.0</v>
      </c>
      <c r="BJ25" s="70">
        <v>0.0</v>
      </c>
      <c r="BK25" s="70">
        <v>0.0</v>
      </c>
      <c r="BL25" s="70">
        <v>0.0</v>
      </c>
      <c r="BM25" s="70">
        <v>0.0</v>
      </c>
      <c r="BN25" s="70">
        <v>0.0</v>
      </c>
      <c r="BO25" s="70">
        <v>0.0</v>
      </c>
      <c r="BP25" s="70">
        <v>0.0</v>
      </c>
      <c r="BQ25" s="70">
        <v>0.0</v>
      </c>
      <c r="BR25" s="70">
        <v>0.0</v>
      </c>
      <c r="BS25" s="70">
        <v>0.0</v>
      </c>
      <c r="BT25" s="70">
        <v>0.0</v>
      </c>
      <c r="BU25" s="70">
        <v>0.0</v>
      </c>
      <c r="BV25" s="70">
        <v>0.0</v>
      </c>
      <c r="BW25" s="70">
        <v>0.0</v>
      </c>
      <c r="BX25" s="70">
        <v>0.0</v>
      </c>
      <c r="BY25" s="70">
        <v>0.0</v>
      </c>
      <c r="BZ25" s="70">
        <v>0.0</v>
      </c>
      <c r="CA25" s="70">
        <v>0.0</v>
      </c>
      <c r="CB25" s="70">
        <v>0.0</v>
      </c>
      <c r="CC25" s="70">
        <v>0.0</v>
      </c>
      <c r="CD25" s="70">
        <v>0.0</v>
      </c>
      <c r="CE25" s="70">
        <v>0.0</v>
      </c>
      <c r="CF25" s="70">
        <v>0.0</v>
      </c>
      <c r="CG25" s="70">
        <v>0.0</v>
      </c>
      <c r="CH25" s="70">
        <v>0.0</v>
      </c>
      <c r="CI25" s="70">
        <v>0.0</v>
      </c>
      <c r="CJ25" s="70">
        <v>0.0</v>
      </c>
      <c r="CK25" s="70">
        <v>0.0</v>
      </c>
      <c r="CL25" s="70">
        <v>0.0</v>
      </c>
      <c r="CM25" s="70">
        <v>0.0</v>
      </c>
      <c r="CN25" s="70">
        <v>0.0</v>
      </c>
      <c r="CO25" s="70">
        <v>0.0</v>
      </c>
      <c r="CP25" s="70">
        <v>0.0</v>
      </c>
      <c r="CQ25" s="70">
        <v>0.0</v>
      </c>
      <c r="CR25" s="70">
        <v>0.0</v>
      </c>
      <c r="CS25" s="70">
        <v>0.0</v>
      </c>
      <c r="CT25" s="70">
        <v>0.0</v>
      </c>
      <c r="CU25" s="70">
        <v>0.0</v>
      </c>
      <c r="CV25" s="70">
        <v>0.0</v>
      </c>
      <c r="CW25" s="70">
        <v>0.0</v>
      </c>
      <c r="CX25" s="70">
        <v>0.0</v>
      </c>
      <c r="CY25" s="70">
        <v>0.0</v>
      </c>
      <c r="CZ25" s="70">
        <v>0.0</v>
      </c>
      <c r="DA25" s="70">
        <v>0.0</v>
      </c>
      <c r="DB25" s="70">
        <v>0.0</v>
      </c>
      <c r="DC25" s="70">
        <v>0.0</v>
      </c>
      <c r="DD25" s="70">
        <v>0.0</v>
      </c>
      <c r="DE25" s="70">
        <v>0.0</v>
      </c>
      <c r="DF25" s="70">
        <v>0.0</v>
      </c>
      <c r="DG25" s="70">
        <v>0.0</v>
      </c>
      <c r="DH25" s="70">
        <v>0.0</v>
      </c>
      <c r="DI25" s="70">
        <v>0.0</v>
      </c>
      <c r="DJ25" s="70">
        <v>0.0</v>
      </c>
      <c r="DK25" s="70">
        <v>0.0</v>
      </c>
      <c r="DL25" s="70">
        <v>0.0</v>
      </c>
      <c r="DM25" s="70">
        <v>0.0</v>
      </c>
      <c r="DN25" s="70">
        <v>0.0</v>
      </c>
      <c r="DO25" s="70">
        <v>0.0</v>
      </c>
      <c r="DP25" s="70">
        <v>0.0</v>
      </c>
      <c r="DQ25" s="70">
        <v>0.0</v>
      </c>
      <c r="DR25" s="70">
        <v>0.0</v>
      </c>
      <c r="DS25" s="70">
        <v>0.0</v>
      </c>
      <c r="DT25" s="70">
        <v>0.0</v>
      </c>
      <c r="DU25" s="70">
        <v>0.0</v>
      </c>
      <c r="DV25" s="70">
        <v>0.0</v>
      </c>
      <c r="DW25" s="70">
        <v>0.0</v>
      </c>
      <c r="DX25" s="70">
        <v>0.0</v>
      </c>
      <c r="DY25" s="70">
        <v>0.0</v>
      </c>
      <c r="DZ25" s="70">
        <v>0.0</v>
      </c>
      <c r="EA25" s="70">
        <v>0.0</v>
      </c>
      <c r="EB25" s="70">
        <v>0.0</v>
      </c>
      <c r="EC25" s="70">
        <v>0.0</v>
      </c>
      <c r="ED25" s="70">
        <v>0.0</v>
      </c>
      <c r="EE25" s="70">
        <v>0.0</v>
      </c>
      <c r="EF25" s="70">
        <v>0.0</v>
      </c>
      <c r="EG25" s="70">
        <v>0.0</v>
      </c>
      <c r="EH25" s="70">
        <v>0.0</v>
      </c>
      <c r="EI25" s="70">
        <v>0.0</v>
      </c>
      <c r="EJ25" s="70">
        <v>0.0</v>
      </c>
      <c r="EK25" s="70">
        <v>0.0</v>
      </c>
      <c r="EL25" s="70">
        <v>0.0</v>
      </c>
      <c r="EM25" s="70">
        <v>0.0</v>
      </c>
      <c r="EN25" s="70">
        <v>0.0</v>
      </c>
      <c r="EO25" s="70">
        <v>0.0</v>
      </c>
      <c r="EP25" s="70">
        <v>0.0</v>
      </c>
      <c r="EQ25" s="70">
        <v>0.0</v>
      </c>
      <c r="ER25" s="70">
        <v>0.0</v>
      </c>
      <c r="ES25" s="70">
        <v>0.0</v>
      </c>
      <c r="ET25" s="70">
        <v>0.0</v>
      </c>
      <c r="EU25" s="70">
        <v>0.0</v>
      </c>
      <c r="EV25" s="70">
        <v>0.0</v>
      </c>
      <c r="EW25" s="70">
        <v>0.0</v>
      </c>
      <c r="EX25" s="70">
        <v>0.0</v>
      </c>
      <c r="EY25" s="70">
        <v>0.0</v>
      </c>
      <c r="EZ25" s="70">
        <v>0.0</v>
      </c>
      <c r="FA25" s="70">
        <v>0.0</v>
      </c>
      <c r="FB25" s="70">
        <v>0.0</v>
      </c>
      <c r="FC25" s="70">
        <v>0.0</v>
      </c>
      <c r="FD25" s="70">
        <v>0.0</v>
      </c>
      <c r="FE25" s="70">
        <v>0.0</v>
      </c>
      <c r="FF25" s="70">
        <v>0.0</v>
      </c>
      <c r="FG25" s="70">
        <v>0.0</v>
      </c>
      <c r="FH25" s="70">
        <v>0.0</v>
      </c>
      <c r="FI25" s="70">
        <v>0.0</v>
      </c>
      <c r="FJ25" s="70">
        <v>0.0</v>
      </c>
      <c r="FK25" s="70">
        <v>0.0</v>
      </c>
      <c r="FL25" s="70">
        <v>0.0</v>
      </c>
      <c r="FM25" s="70">
        <v>0.0</v>
      </c>
      <c r="FN25" s="70">
        <v>0.0</v>
      </c>
      <c r="FO25" s="70">
        <v>0.0</v>
      </c>
      <c r="FP25" s="70">
        <v>0.0</v>
      </c>
      <c r="FQ25" s="70">
        <v>0.0</v>
      </c>
      <c r="FR25" s="70">
        <v>0.0</v>
      </c>
      <c r="FS25" s="70">
        <v>0.0</v>
      </c>
      <c r="FT25" s="70">
        <v>0.0</v>
      </c>
      <c r="FU25" s="70">
        <v>0.0</v>
      </c>
      <c r="FV25" s="70">
        <v>0.0</v>
      </c>
      <c r="FW25" s="70">
        <v>0.0</v>
      </c>
      <c r="FX25" s="70">
        <v>0.0</v>
      </c>
      <c r="FY25" s="70">
        <v>0.0</v>
      </c>
      <c r="FZ25" s="70">
        <v>0.0</v>
      </c>
      <c r="GA25" s="70">
        <v>911.0</v>
      </c>
      <c r="GB25" s="70">
        <v>0.0</v>
      </c>
      <c r="GC25" s="70">
        <v>0.0</v>
      </c>
      <c r="GD25" s="70">
        <v>0.0</v>
      </c>
      <c r="GE25" s="70">
        <v>0.0</v>
      </c>
      <c r="GF25" s="71">
        <v>3.280664E8</v>
      </c>
      <c r="GG25" s="72">
        <v>0.0</v>
      </c>
      <c r="GH25" s="73">
        <v>0.0</v>
      </c>
      <c r="GI25" s="72">
        <v>0.0</v>
      </c>
      <c r="GJ25" s="72">
        <v>7.7436811E7</v>
      </c>
      <c r="GK25" s="72">
        <v>-1.3101061E7</v>
      </c>
      <c r="GL25" s="72">
        <v>168188.0</v>
      </c>
      <c r="GM25" s="72">
        <v>0.0</v>
      </c>
      <c r="GN25" s="71">
        <v>6.4503938E7</v>
      </c>
      <c r="GO25" s="74">
        <v>3.92570338E8</v>
      </c>
      <c r="GP25" s="72">
        <v>311.0</v>
      </c>
      <c r="GQ25" s="72">
        <v>0.0</v>
      </c>
      <c r="GR25" s="73">
        <v>0.0</v>
      </c>
      <c r="GS25" s="71">
        <v>311.0</v>
      </c>
      <c r="GT25" s="75">
        <v>1.1617122E7</v>
      </c>
      <c r="GU25" s="75">
        <v>0.0</v>
      </c>
      <c r="GV25" s="75">
        <v>530392.0</v>
      </c>
      <c r="GW25" s="71">
        <v>1.2147514E7</v>
      </c>
      <c r="GX25" s="71">
        <v>3152500.0</v>
      </c>
      <c r="GY25" s="71">
        <v>3.77270013E8</v>
      </c>
      <c r="GZ25" s="74">
        <v>3.92570338E8</v>
      </c>
    </row>
    <row r="26" ht="15.75" customHeight="1">
      <c r="A26" s="52">
        <v>21.0</v>
      </c>
      <c r="B26" s="53" t="s">
        <v>66</v>
      </c>
      <c r="C26" s="54">
        <v>0.0</v>
      </c>
      <c r="D26" s="54">
        <v>0.0</v>
      </c>
      <c r="E26" s="54">
        <v>0.0</v>
      </c>
      <c r="F26" s="54">
        <v>0.0</v>
      </c>
      <c r="G26" s="54">
        <v>0.0</v>
      </c>
      <c r="H26" s="54">
        <v>0.0</v>
      </c>
      <c r="I26" s="54">
        <v>0.0</v>
      </c>
      <c r="J26" s="54">
        <v>0.0</v>
      </c>
      <c r="K26" s="54">
        <v>0.0</v>
      </c>
      <c r="L26" s="54">
        <v>0.0</v>
      </c>
      <c r="M26" s="54">
        <v>0.0</v>
      </c>
      <c r="N26" s="54">
        <v>0.0</v>
      </c>
      <c r="O26" s="54">
        <v>0.0</v>
      </c>
      <c r="P26" s="54">
        <v>0.0</v>
      </c>
      <c r="Q26" s="54">
        <v>0.0</v>
      </c>
      <c r="R26" s="54">
        <v>0.0</v>
      </c>
      <c r="S26" s="54">
        <v>0.0</v>
      </c>
      <c r="T26" s="54">
        <v>0.0</v>
      </c>
      <c r="U26" s="54">
        <v>0.0</v>
      </c>
      <c r="V26" s="54">
        <v>0.0</v>
      </c>
      <c r="W26" s="54">
        <v>5493241.0</v>
      </c>
      <c r="X26" s="54">
        <v>0.0</v>
      </c>
      <c r="Y26" s="54">
        <v>0.0</v>
      </c>
      <c r="Z26" s="54">
        <v>0.0</v>
      </c>
      <c r="AA26" s="54">
        <v>0.0</v>
      </c>
      <c r="AB26" s="54">
        <v>0.0</v>
      </c>
      <c r="AC26" s="54">
        <v>0.0</v>
      </c>
      <c r="AD26" s="54">
        <v>0.0</v>
      </c>
      <c r="AE26" s="54">
        <v>0.0</v>
      </c>
      <c r="AF26" s="54">
        <v>0.0</v>
      </c>
      <c r="AG26" s="54">
        <v>0.0</v>
      </c>
      <c r="AH26" s="54">
        <v>0.0</v>
      </c>
      <c r="AI26" s="54">
        <v>0.0</v>
      </c>
      <c r="AJ26" s="54">
        <v>0.0</v>
      </c>
      <c r="AK26" s="54">
        <v>0.0</v>
      </c>
      <c r="AL26" s="54">
        <v>0.0</v>
      </c>
      <c r="AM26" s="54">
        <v>0.0</v>
      </c>
      <c r="AN26" s="54">
        <v>0.0</v>
      </c>
      <c r="AO26" s="54">
        <v>0.0</v>
      </c>
      <c r="AP26" s="54">
        <v>0.0</v>
      </c>
      <c r="AQ26" s="54">
        <v>0.0</v>
      </c>
      <c r="AR26" s="54">
        <v>0.0</v>
      </c>
      <c r="AS26" s="54">
        <v>0.0</v>
      </c>
      <c r="AT26" s="54">
        <v>0.0</v>
      </c>
      <c r="AU26" s="54">
        <v>0.0</v>
      </c>
      <c r="AV26" s="54">
        <v>0.0</v>
      </c>
      <c r="AW26" s="54">
        <v>0.0</v>
      </c>
      <c r="AX26" s="54">
        <v>0.0</v>
      </c>
      <c r="AY26" s="54">
        <v>0.0</v>
      </c>
      <c r="AZ26" s="54">
        <v>0.0</v>
      </c>
      <c r="BA26" s="54">
        <v>0.0</v>
      </c>
      <c r="BB26" s="54">
        <v>0.0</v>
      </c>
      <c r="BC26" s="54">
        <v>0.0</v>
      </c>
      <c r="BD26" s="54">
        <v>0.0</v>
      </c>
      <c r="BE26" s="54">
        <v>0.0</v>
      </c>
      <c r="BF26" s="54">
        <v>0.0</v>
      </c>
      <c r="BG26" s="54">
        <v>0.0</v>
      </c>
      <c r="BH26" s="54">
        <v>0.0</v>
      </c>
      <c r="BI26" s="54">
        <v>0.0</v>
      </c>
      <c r="BJ26" s="54">
        <v>1833556.0</v>
      </c>
      <c r="BK26" s="54">
        <v>0.0</v>
      </c>
      <c r="BL26" s="54">
        <v>0.0</v>
      </c>
      <c r="BM26" s="54">
        <v>0.0</v>
      </c>
      <c r="BN26" s="54">
        <v>0.0</v>
      </c>
      <c r="BO26" s="54">
        <v>0.0</v>
      </c>
      <c r="BP26" s="54">
        <v>25424.0</v>
      </c>
      <c r="BQ26" s="54">
        <v>0.0</v>
      </c>
      <c r="BR26" s="54">
        <v>2.6741526E7</v>
      </c>
      <c r="BS26" s="54">
        <v>1949.0</v>
      </c>
      <c r="BT26" s="54">
        <v>0.0</v>
      </c>
      <c r="BU26" s="54">
        <v>0.0</v>
      </c>
      <c r="BV26" s="54">
        <v>0.0</v>
      </c>
      <c r="BW26" s="54">
        <v>7522.0</v>
      </c>
      <c r="BX26" s="54">
        <v>2523667.0</v>
      </c>
      <c r="BY26" s="54">
        <v>0.0</v>
      </c>
      <c r="BZ26" s="54">
        <v>0.0</v>
      </c>
      <c r="CA26" s="54">
        <v>0.0</v>
      </c>
      <c r="CB26" s="54">
        <v>0.0</v>
      </c>
      <c r="CC26" s="54">
        <v>0.0</v>
      </c>
      <c r="CD26" s="54">
        <v>0.0</v>
      </c>
      <c r="CE26" s="54">
        <v>0.0</v>
      </c>
      <c r="CF26" s="54">
        <v>0.0</v>
      </c>
      <c r="CG26" s="54">
        <v>0.0</v>
      </c>
      <c r="CH26" s="54">
        <v>0.0</v>
      </c>
      <c r="CI26" s="54">
        <v>0.0</v>
      </c>
      <c r="CJ26" s="54">
        <v>0.0</v>
      </c>
      <c r="CK26" s="54">
        <v>0.0</v>
      </c>
      <c r="CL26" s="54">
        <v>0.0</v>
      </c>
      <c r="CM26" s="54">
        <v>0.0</v>
      </c>
      <c r="CN26" s="54">
        <v>0.0</v>
      </c>
      <c r="CO26" s="54">
        <v>0.0</v>
      </c>
      <c r="CP26" s="54">
        <v>0.0</v>
      </c>
      <c r="CQ26" s="54">
        <v>0.0</v>
      </c>
      <c r="CR26" s="54">
        <v>0.0</v>
      </c>
      <c r="CS26" s="54">
        <v>0.0</v>
      </c>
      <c r="CT26" s="54">
        <v>0.0</v>
      </c>
      <c r="CU26" s="54">
        <v>0.0</v>
      </c>
      <c r="CV26" s="54">
        <v>0.0</v>
      </c>
      <c r="CW26" s="54">
        <v>0.0</v>
      </c>
      <c r="CX26" s="54">
        <v>0.0</v>
      </c>
      <c r="CY26" s="54">
        <v>0.0</v>
      </c>
      <c r="CZ26" s="54">
        <v>0.0</v>
      </c>
      <c r="DA26" s="54">
        <v>0.0</v>
      </c>
      <c r="DB26" s="54">
        <v>0.0</v>
      </c>
      <c r="DC26" s="54">
        <v>21580.0</v>
      </c>
      <c r="DD26" s="54">
        <v>45397.0</v>
      </c>
      <c r="DE26" s="54">
        <v>0.0</v>
      </c>
      <c r="DF26" s="54">
        <v>0.0</v>
      </c>
      <c r="DG26" s="54">
        <v>0.0</v>
      </c>
      <c r="DH26" s="54">
        <v>0.0</v>
      </c>
      <c r="DI26" s="54">
        <v>0.0</v>
      </c>
      <c r="DJ26" s="54">
        <v>0.0</v>
      </c>
      <c r="DK26" s="54">
        <v>0.0</v>
      </c>
      <c r="DL26" s="54">
        <v>0.0</v>
      </c>
      <c r="DM26" s="54">
        <v>0.0</v>
      </c>
      <c r="DN26" s="54">
        <v>0.0</v>
      </c>
      <c r="DO26" s="54">
        <v>0.0</v>
      </c>
      <c r="DP26" s="54">
        <v>0.0</v>
      </c>
      <c r="DQ26" s="54">
        <v>0.0</v>
      </c>
      <c r="DR26" s="54">
        <v>0.0</v>
      </c>
      <c r="DS26" s="54">
        <v>0.0</v>
      </c>
      <c r="DT26" s="54">
        <v>0.0</v>
      </c>
      <c r="DU26" s="54">
        <v>0.0</v>
      </c>
      <c r="DV26" s="54">
        <v>0.0</v>
      </c>
      <c r="DW26" s="54">
        <v>0.0</v>
      </c>
      <c r="DX26" s="54">
        <v>0.0</v>
      </c>
      <c r="DY26" s="54">
        <v>0.0</v>
      </c>
      <c r="DZ26" s="54">
        <v>0.0</v>
      </c>
      <c r="EA26" s="54">
        <v>0.0</v>
      </c>
      <c r="EB26" s="54">
        <v>0.0</v>
      </c>
      <c r="EC26" s="54">
        <v>0.0</v>
      </c>
      <c r="ED26" s="54">
        <v>0.0</v>
      </c>
      <c r="EE26" s="54">
        <v>0.0</v>
      </c>
      <c r="EF26" s="54">
        <v>0.0</v>
      </c>
      <c r="EG26" s="54">
        <v>0.0</v>
      </c>
      <c r="EH26" s="54">
        <v>0.0</v>
      </c>
      <c r="EI26" s="54">
        <v>0.0</v>
      </c>
      <c r="EJ26" s="54">
        <v>0.0</v>
      </c>
      <c r="EK26" s="54">
        <v>0.0</v>
      </c>
      <c r="EL26" s="54">
        <v>0.0</v>
      </c>
      <c r="EM26" s="54">
        <v>0.0</v>
      </c>
      <c r="EN26" s="54">
        <v>0.0</v>
      </c>
      <c r="EO26" s="54">
        <v>0.0</v>
      </c>
      <c r="EP26" s="54">
        <v>0.0</v>
      </c>
      <c r="EQ26" s="54">
        <v>0.0</v>
      </c>
      <c r="ER26" s="54">
        <v>0.0</v>
      </c>
      <c r="ES26" s="54">
        <v>0.0</v>
      </c>
      <c r="ET26" s="54">
        <v>0.0</v>
      </c>
      <c r="EU26" s="54">
        <v>0.0</v>
      </c>
      <c r="EV26" s="54">
        <v>0.0</v>
      </c>
      <c r="EW26" s="54">
        <v>0.0</v>
      </c>
      <c r="EX26" s="54">
        <v>0.0</v>
      </c>
      <c r="EY26" s="54">
        <v>0.0</v>
      </c>
      <c r="EZ26" s="54">
        <v>0.0</v>
      </c>
      <c r="FA26" s="54">
        <v>0.0</v>
      </c>
      <c r="FB26" s="54">
        <v>0.0</v>
      </c>
      <c r="FC26" s="54">
        <v>0.0</v>
      </c>
      <c r="FD26" s="54">
        <v>0.0</v>
      </c>
      <c r="FE26" s="54">
        <v>0.0</v>
      </c>
      <c r="FF26" s="54">
        <v>0.0</v>
      </c>
      <c r="FG26" s="54">
        <v>0.0</v>
      </c>
      <c r="FH26" s="54">
        <v>0.0</v>
      </c>
      <c r="FI26" s="54">
        <v>0.0</v>
      </c>
      <c r="FJ26" s="54">
        <v>209673.0</v>
      </c>
      <c r="FK26" s="54">
        <v>5378763.0</v>
      </c>
      <c r="FL26" s="54">
        <v>0.0</v>
      </c>
      <c r="FM26" s="54">
        <v>0.0</v>
      </c>
      <c r="FN26" s="54">
        <v>0.0</v>
      </c>
      <c r="FO26" s="54">
        <v>0.0</v>
      </c>
      <c r="FP26" s="54">
        <v>0.0</v>
      </c>
      <c r="FQ26" s="54">
        <v>0.0</v>
      </c>
      <c r="FR26" s="54">
        <v>0.0</v>
      </c>
      <c r="FS26" s="54">
        <v>0.0</v>
      </c>
      <c r="FT26" s="54">
        <v>0.0</v>
      </c>
      <c r="FU26" s="54">
        <v>0.0</v>
      </c>
      <c r="FV26" s="54">
        <v>0.0</v>
      </c>
      <c r="FW26" s="54">
        <v>0.0</v>
      </c>
      <c r="FX26" s="54">
        <v>5268.0</v>
      </c>
      <c r="FY26" s="54">
        <v>0.0</v>
      </c>
      <c r="FZ26" s="54">
        <v>0.0</v>
      </c>
      <c r="GA26" s="54">
        <v>153.0</v>
      </c>
      <c r="GB26" s="54">
        <v>0.0</v>
      </c>
      <c r="GC26" s="54">
        <v>0.0</v>
      </c>
      <c r="GD26" s="54">
        <v>0.0</v>
      </c>
      <c r="GE26" s="54">
        <v>0.0</v>
      </c>
      <c r="GF26" s="55">
        <v>4.2287719E7</v>
      </c>
      <c r="GG26" s="56">
        <v>0.0</v>
      </c>
      <c r="GH26" s="57">
        <v>0.0</v>
      </c>
      <c r="GI26" s="56">
        <v>0.0</v>
      </c>
      <c r="GJ26" s="56">
        <v>4915576.0</v>
      </c>
      <c r="GK26" s="56">
        <v>9553667.0</v>
      </c>
      <c r="GL26" s="56">
        <v>1.1784542E7</v>
      </c>
      <c r="GM26" s="56">
        <v>0.0</v>
      </c>
      <c r="GN26" s="55">
        <v>2.6253785E7</v>
      </c>
      <c r="GO26" s="58">
        <v>6.8541504E7</v>
      </c>
      <c r="GP26" s="56">
        <v>485504.0</v>
      </c>
      <c r="GQ26" s="56">
        <v>0.0</v>
      </c>
      <c r="GR26" s="57">
        <v>0.0</v>
      </c>
      <c r="GS26" s="55">
        <v>485504.0</v>
      </c>
      <c r="GT26" s="59">
        <v>9662297.0</v>
      </c>
      <c r="GU26" s="59">
        <v>5852815.0</v>
      </c>
      <c r="GV26" s="59">
        <v>1726902.0</v>
      </c>
      <c r="GW26" s="55">
        <v>1.7242014E7</v>
      </c>
      <c r="GX26" s="55">
        <v>249499.0</v>
      </c>
      <c r="GY26" s="55">
        <v>5.0564487E7</v>
      </c>
      <c r="GZ26" s="58">
        <v>6.8541504E7</v>
      </c>
    </row>
    <row r="27" ht="15.75" customHeight="1">
      <c r="A27" s="60">
        <v>22.0</v>
      </c>
      <c r="B27" s="61" t="s">
        <v>67</v>
      </c>
      <c r="C27" s="62">
        <v>0.0</v>
      </c>
      <c r="D27" s="62">
        <v>0.0</v>
      </c>
      <c r="E27" s="62">
        <v>0.0</v>
      </c>
      <c r="F27" s="62">
        <v>0.0</v>
      </c>
      <c r="G27" s="62">
        <v>0.0</v>
      </c>
      <c r="H27" s="62">
        <v>0.0</v>
      </c>
      <c r="I27" s="62">
        <v>0.0</v>
      </c>
      <c r="J27" s="62">
        <v>0.0</v>
      </c>
      <c r="K27" s="62">
        <v>0.0</v>
      </c>
      <c r="L27" s="62">
        <v>0.0</v>
      </c>
      <c r="M27" s="62">
        <v>0.0</v>
      </c>
      <c r="N27" s="62">
        <v>0.0</v>
      </c>
      <c r="O27" s="62">
        <v>0.0</v>
      </c>
      <c r="P27" s="62">
        <v>0.0</v>
      </c>
      <c r="Q27" s="62">
        <v>0.0</v>
      </c>
      <c r="R27" s="62">
        <v>0.0</v>
      </c>
      <c r="S27" s="62">
        <v>0.0</v>
      </c>
      <c r="T27" s="62">
        <v>0.0</v>
      </c>
      <c r="U27" s="62">
        <v>0.0</v>
      </c>
      <c r="V27" s="62">
        <v>0.0</v>
      </c>
      <c r="W27" s="62">
        <v>0.0</v>
      </c>
      <c r="X27" s="62">
        <v>46634.0</v>
      </c>
      <c r="Y27" s="62">
        <v>0.0</v>
      </c>
      <c r="Z27" s="62">
        <v>0.0</v>
      </c>
      <c r="AA27" s="62">
        <v>0.0</v>
      </c>
      <c r="AB27" s="62">
        <v>0.0</v>
      </c>
      <c r="AC27" s="62">
        <v>0.0</v>
      </c>
      <c r="AD27" s="62">
        <v>0.0</v>
      </c>
      <c r="AE27" s="62">
        <v>0.0</v>
      </c>
      <c r="AF27" s="62">
        <v>0.0</v>
      </c>
      <c r="AG27" s="62">
        <v>0.0</v>
      </c>
      <c r="AH27" s="62">
        <v>0.0</v>
      </c>
      <c r="AI27" s="62">
        <v>0.0</v>
      </c>
      <c r="AJ27" s="62">
        <v>0.0</v>
      </c>
      <c r="AK27" s="62">
        <v>0.0</v>
      </c>
      <c r="AL27" s="62">
        <v>0.0</v>
      </c>
      <c r="AM27" s="62">
        <v>0.0</v>
      </c>
      <c r="AN27" s="62">
        <v>0.0</v>
      </c>
      <c r="AO27" s="62">
        <v>0.0</v>
      </c>
      <c r="AP27" s="62">
        <v>0.0</v>
      </c>
      <c r="AQ27" s="62">
        <v>0.0</v>
      </c>
      <c r="AR27" s="62">
        <v>0.0</v>
      </c>
      <c r="AS27" s="62">
        <v>0.0</v>
      </c>
      <c r="AT27" s="62">
        <v>0.0</v>
      </c>
      <c r="AU27" s="62">
        <v>0.0</v>
      </c>
      <c r="AV27" s="62">
        <v>0.0</v>
      </c>
      <c r="AW27" s="62">
        <v>0.0</v>
      </c>
      <c r="AX27" s="62">
        <v>0.0</v>
      </c>
      <c r="AY27" s="62">
        <v>0.0</v>
      </c>
      <c r="AZ27" s="62">
        <v>0.0</v>
      </c>
      <c r="BA27" s="62">
        <v>0.0</v>
      </c>
      <c r="BB27" s="62">
        <v>0.0</v>
      </c>
      <c r="BC27" s="62">
        <v>0.0</v>
      </c>
      <c r="BD27" s="62">
        <v>0.0</v>
      </c>
      <c r="BE27" s="62">
        <v>0.0</v>
      </c>
      <c r="BF27" s="62">
        <v>0.0</v>
      </c>
      <c r="BG27" s="62">
        <v>0.0</v>
      </c>
      <c r="BH27" s="62">
        <v>0.0</v>
      </c>
      <c r="BI27" s="62">
        <v>0.0</v>
      </c>
      <c r="BJ27" s="62">
        <v>53106.0</v>
      </c>
      <c r="BK27" s="62">
        <v>0.0</v>
      </c>
      <c r="BL27" s="62">
        <v>0.0</v>
      </c>
      <c r="BM27" s="62">
        <v>0.0</v>
      </c>
      <c r="BN27" s="62">
        <v>0.0</v>
      </c>
      <c r="BO27" s="62">
        <v>0.0</v>
      </c>
      <c r="BP27" s="62">
        <v>332.0</v>
      </c>
      <c r="BQ27" s="62">
        <v>0.0</v>
      </c>
      <c r="BR27" s="62">
        <v>0.0</v>
      </c>
      <c r="BS27" s="62">
        <v>8375762.0</v>
      </c>
      <c r="BT27" s="62">
        <v>0.0</v>
      </c>
      <c r="BU27" s="62">
        <v>0.0</v>
      </c>
      <c r="BV27" s="62">
        <v>0.0</v>
      </c>
      <c r="BW27" s="62">
        <v>185.0</v>
      </c>
      <c r="BX27" s="62">
        <v>41145.0</v>
      </c>
      <c r="BY27" s="62">
        <v>0.0</v>
      </c>
      <c r="BZ27" s="62">
        <v>0.0</v>
      </c>
      <c r="CA27" s="62">
        <v>0.0</v>
      </c>
      <c r="CB27" s="62">
        <v>0.0</v>
      </c>
      <c r="CC27" s="62">
        <v>0.0</v>
      </c>
      <c r="CD27" s="62">
        <v>0.0</v>
      </c>
      <c r="CE27" s="62">
        <v>0.0</v>
      </c>
      <c r="CF27" s="62">
        <v>0.0</v>
      </c>
      <c r="CG27" s="62">
        <v>0.0</v>
      </c>
      <c r="CH27" s="62">
        <v>0.0</v>
      </c>
      <c r="CI27" s="62">
        <v>0.0</v>
      </c>
      <c r="CJ27" s="62">
        <v>0.0</v>
      </c>
      <c r="CK27" s="62">
        <v>0.0</v>
      </c>
      <c r="CL27" s="62">
        <v>0.0</v>
      </c>
      <c r="CM27" s="62">
        <v>0.0</v>
      </c>
      <c r="CN27" s="62">
        <v>0.0</v>
      </c>
      <c r="CO27" s="62">
        <v>0.0</v>
      </c>
      <c r="CP27" s="62">
        <v>0.0</v>
      </c>
      <c r="CQ27" s="62">
        <v>0.0</v>
      </c>
      <c r="CR27" s="62">
        <v>0.0</v>
      </c>
      <c r="CS27" s="62">
        <v>0.0</v>
      </c>
      <c r="CT27" s="62">
        <v>0.0</v>
      </c>
      <c r="CU27" s="62">
        <v>0.0</v>
      </c>
      <c r="CV27" s="62">
        <v>0.0</v>
      </c>
      <c r="CW27" s="62">
        <v>0.0</v>
      </c>
      <c r="CX27" s="62">
        <v>0.0</v>
      </c>
      <c r="CY27" s="62">
        <v>0.0</v>
      </c>
      <c r="CZ27" s="62">
        <v>0.0</v>
      </c>
      <c r="DA27" s="62">
        <v>0.0</v>
      </c>
      <c r="DB27" s="62">
        <v>0.0</v>
      </c>
      <c r="DC27" s="62">
        <v>128.0</v>
      </c>
      <c r="DD27" s="62">
        <v>255.0</v>
      </c>
      <c r="DE27" s="62">
        <v>0.0</v>
      </c>
      <c r="DF27" s="62">
        <v>0.0</v>
      </c>
      <c r="DG27" s="62">
        <v>0.0</v>
      </c>
      <c r="DH27" s="62">
        <v>0.0</v>
      </c>
      <c r="DI27" s="62">
        <v>0.0</v>
      </c>
      <c r="DJ27" s="62">
        <v>0.0</v>
      </c>
      <c r="DK27" s="62">
        <v>0.0</v>
      </c>
      <c r="DL27" s="62">
        <v>0.0</v>
      </c>
      <c r="DM27" s="62">
        <v>0.0</v>
      </c>
      <c r="DN27" s="62">
        <v>0.0</v>
      </c>
      <c r="DO27" s="62">
        <v>0.0</v>
      </c>
      <c r="DP27" s="62">
        <v>0.0</v>
      </c>
      <c r="DQ27" s="62">
        <v>0.0</v>
      </c>
      <c r="DR27" s="62">
        <v>0.0</v>
      </c>
      <c r="DS27" s="62">
        <v>0.0</v>
      </c>
      <c r="DT27" s="62">
        <v>0.0</v>
      </c>
      <c r="DU27" s="62">
        <v>0.0</v>
      </c>
      <c r="DV27" s="62">
        <v>0.0</v>
      </c>
      <c r="DW27" s="62">
        <v>0.0</v>
      </c>
      <c r="DX27" s="62">
        <v>0.0</v>
      </c>
      <c r="DY27" s="62">
        <v>0.0</v>
      </c>
      <c r="DZ27" s="62">
        <v>0.0</v>
      </c>
      <c r="EA27" s="62">
        <v>0.0</v>
      </c>
      <c r="EB27" s="62">
        <v>0.0</v>
      </c>
      <c r="EC27" s="62">
        <v>0.0</v>
      </c>
      <c r="ED27" s="62">
        <v>0.0</v>
      </c>
      <c r="EE27" s="62">
        <v>0.0</v>
      </c>
      <c r="EF27" s="62">
        <v>0.0</v>
      </c>
      <c r="EG27" s="62">
        <v>0.0</v>
      </c>
      <c r="EH27" s="62">
        <v>0.0</v>
      </c>
      <c r="EI27" s="62">
        <v>0.0</v>
      </c>
      <c r="EJ27" s="62">
        <v>0.0</v>
      </c>
      <c r="EK27" s="62">
        <v>0.0</v>
      </c>
      <c r="EL27" s="62">
        <v>0.0</v>
      </c>
      <c r="EM27" s="62">
        <v>0.0</v>
      </c>
      <c r="EN27" s="62">
        <v>0.0</v>
      </c>
      <c r="EO27" s="62">
        <v>0.0</v>
      </c>
      <c r="EP27" s="62">
        <v>0.0</v>
      </c>
      <c r="EQ27" s="62">
        <v>0.0</v>
      </c>
      <c r="ER27" s="62">
        <v>0.0</v>
      </c>
      <c r="ES27" s="62">
        <v>0.0</v>
      </c>
      <c r="ET27" s="62">
        <v>0.0</v>
      </c>
      <c r="EU27" s="62">
        <v>0.0</v>
      </c>
      <c r="EV27" s="62">
        <v>0.0</v>
      </c>
      <c r="EW27" s="62">
        <v>0.0</v>
      </c>
      <c r="EX27" s="62">
        <v>0.0</v>
      </c>
      <c r="EY27" s="62">
        <v>0.0</v>
      </c>
      <c r="EZ27" s="62">
        <v>0.0</v>
      </c>
      <c r="FA27" s="62">
        <v>0.0</v>
      </c>
      <c r="FB27" s="62">
        <v>0.0</v>
      </c>
      <c r="FC27" s="62">
        <v>0.0</v>
      </c>
      <c r="FD27" s="62">
        <v>0.0</v>
      </c>
      <c r="FE27" s="62">
        <v>0.0</v>
      </c>
      <c r="FF27" s="62">
        <v>0.0</v>
      </c>
      <c r="FG27" s="62">
        <v>0.0</v>
      </c>
      <c r="FH27" s="62">
        <v>0.0</v>
      </c>
      <c r="FI27" s="62">
        <v>0.0</v>
      </c>
      <c r="FJ27" s="62">
        <v>0.0</v>
      </c>
      <c r="FK27" s="62">
        <v>498.0</v>
      </c>
      <c r="FL27" s="62">
        <v>0.0</v>
      </c>
      <c r="FM27" s="62">
        <v>0.0</v>
      </c>
      <c r="FN27" s="62">
        <v>0.0</v>
      </c>
      <c r="FO27" s="62">
        <v>0.0</v>
      </c>
      <c r="FP27" s="62">
        <v>0.0</v>
      </c>
      <c r="FQ27" s="62">
        <v>0.0</v>
      </c>
      <c r="FR27" s="62">
        <v>0.0</v>
      </c>
      <c r="FS27" s="62">
        <v>0.0</v>
      </c>
      <c r="FT27" s="62">
        <v>0.0</v>
      </c>
      <c r="FU27" s="62">
        <v>0.0</v>
      </c>
      <c r="FV27" s="62">
        <v>0.0</v>
      </c>
      <c r="FW27" s="62">
        <v>0.0</v>
      </c>
      <c r="FX27" s="62">
        <v>0.0</v>
      </c>
      <c r="FY27" s="62">
        <v>0.0</v>
      </c>
      <c r="FZ27" s="62">
        <v>0.0</v>
      </c>
      <c r="GA27" s="62">
        <v>0.0</v>
      </c>
      <c r="GB27" s="62">
        <v>0.0</v>
      </c>
      <c r="GC27" s="62">
        <v>0.0</v>
      </c>
      <c r="GD27" s="62">
        <v>0.0</v>
      </c>
      <c r="GE27" s="62">
        <v>0.0</v>
      </c>
      <c r="GF27" s="63">
        <v>8518045.0</v>
      </c>
      <c r="GG27" s="64">
        <v>0.0</v>
      </c>
      <c r="GH27" s="65">
        <v>0.0</v>
      </c>
      <c r="GI27" s="64">
        <v>0.0</v>
      </c>
      <c r="GJ27" s="64">
        <v>159795.0</v>
      </c>
      <c r="GK27" s="64">
        <v>301611.0</v>
      </c>
      <c r="GL27" s="64">
        <v>250743.0</v>
      </c>
      <c r="GM27" s="64">
        <v>0.0</v>
      </c>
      <c r="GN27" s="63">
        <v>712149.0</v>
      </c>
      <c r="GO27" s="66">
        <v>9230194.0</v>
      </c>
      <c r="GP27" s="64">
        <v>114481.0</v>
      </c>
      <c r="GQ27" s="64">
        <v>0.0</v>
      </c>
      <c r="GR27" s="65">
        <v>0.0</v>
      </c>
      <c r="GS27" s="63">
        <v>114481.0</v>
      </c>
      <c r="GT27" s="67">
        <v>993655.0</v>
      </c>
      <c r="GU27" s="67">
        <v>878730.0</v>
      </c>
      <c r="GV27" s="67">
        <v>322971.0</v>
      </c>
      <c r="GW27" s="63">
        <v>2195356.0</v>
      </c>
      <c r="GX27" s="63">
        <v>17124.0</v>
      </c>
      <c r="GY27" s="63">
        <v>6903233.0</v>
      </c>
      <c r="GZ27" s="66">
        <v>9230194.0</v>
      </c>
    </row>
    <row r="28" ht="15.75" customHeight="1">
      <c r="A28" s="60">
        <v>23.0</v>
      </c>
      <c r="B28" s="61" t="s">
        <v>68</v>
      </c>
      <c r="C28" s="62">
        <v>0.0</v>
      </c>
      <c r="D28" s="62">
        <v>0.0</v>
      </c>
      <c r="E28" s="62">
        <v>0.0</v>
      </c>
      <c r="F28" s="62">
        <v>0.0</v>
      </c>
      <c r="G28" s="62">
        <v>0.0</v>
      </c>
      <c r="H28" s="62">
        <v>0.0</v>
      </c>
      <c r="I28" s="62">
        <v>0.0</v>
      </c>
      <c r="J28" s="62">
        <v>0.0</v>
      </c>
      <c r="K28" s="62">
        <v>0.0</v>
      </c>
      <c r="L28" s="62">
        <v>0.0</v>
      </c>
      <c r="M28" s="62">
        <v>0.0</v>
      </c>
      <c r="N28" s="62">
        <v>0.0</v>
      </c>
      <c r="O28" s="62">
        <v>0.0</v>
      </c>
      <c r="P28" s="62">
        <v>0.0</v>
      </c>
      <c r="Q28" s="62">
        <v>0.0</v>
      </c>
      <c r="R28" s="62">
        <v>0.0</v>
      </c>
      <c r="S28" s="62">
        <v>0.0</v>
      </c>
      <c r="T28" s="62">
        <v>0.0</v>
      </c>
      <c r="U28" s="62">
        <v>0.0</v>
      </c>
      <c r="V28" s="62">
        <v>0.0</v>
      </c>
      <c r="W28" s="62">
        <v>0.0</v>
      </c>
      <c r="X28" s="62">
        <v>0.0</v>
      </c>
      <c r="Y28" s="62">
        <v>1268893.0</v>
      </c>
      <c r="Z28" s="62">
        <v>0.0</v>
      </c>
      <c r="AA28" s="62">
        <v>0.0</v>
      </c>
      <c r="AB28" s="62">
        <v>0.0</v>
      </c>
      <c r="AC28" s="62">
        <v>0.0</v>
      </c>
      <c r="AD28" s="62">
        <v>0.0</v>
      </c>
      <c r="AE28" s="62">
        <v>0.0</v>
      </c>
      <c r="AF28" s="62">
        <v>0.0</v>
      </c>
      <c r="AG28" s="62">
        <v>0.0</v>
      </c>
      <c r="AH28" s="62">
        <v>0.0</v>
      </c>
      <c r="AI28" s="62">
        <v>0.0</v>
      </c>
      <c r="AJ28" s="62">
        <v>0.0</v>
      </c>
      <c r="AK28" s="62">
        <v>0.0</v>
      </c>
      <c r="AL28" s="62">
        <v>0.0</v>
      </c>
      <c r="AM28" s="62">
        <v>0.0</v>
      </c>
      <c r="AN28" s="62">
        <v>0.0</v>
      </c>
      <c r="AO28" s="62">
        <v>0.0</v>
      </c>
      <c r="AP28" s="62">
        <v>0.0</v>
      </c>
      <c r="AQ28" s="62">
        <v>0.0</v>
      </c>
      <c r="AR28" s="62">
        <v>0.0</v>
      </c>
      <c r="AS28" s="62">
        <v>0.0</v>
      </c>
      <c r="AT28" s="62">
        <v>0.0</v>
      </c>
      <c r="AU28" s="62">
        <v>0.0</v>
      </c>
      <c r="AV28" s="62">
        <v>0.0</v>
      </c>
      <c r="AW28" s="62">
        <v>0.0</v>
      </c>
      <c r="AX28" s="62">
        <v>0.0</v>
      </c>
      <c r="AY28" s="62">
        <v>0.0</v>
      </c>
      <c r="AZ28" s="62">
        <v>0.0</v>
      </c>
      <c r="BA28" s="62">
        <v>0.0</v>
      </c>
      <c r="BB28" s="62">
        <v>0.0</v>
      </c>
      <c r="BC28" s="62">
        <v>0.0</v>
      </c>
      <c r="BD28" s="62">
        <v>0.0</v>
      </c>
      <c r="BE28" s="62">
        <v>0.0</v>
      </c>
      <c r="BF28" s="62">
        <v>0.0</v>
      </c>
      <c r="BG28" s="62">
        <v>0.0</v>
      </c>
      <c r="BH28" s="62">
        <v>609882.0</v>
      </c>
      <c r="BI28" s="62">
        <v>0.0</v>
      </c>
      <c r="BJ28" s="62">
        <v>4224939.0</v>
      </c>
      <c r="BK28" s="62">
        <v>0.0</v>
      </c>
      <c r="BL28" s="62">
        <v>0.0</v>
      </c>
      <c r="BM28" s="62">
        <v>0.0</v>
      </c>
      <c r="BN28" s="62">
        <v>0.0</v>
      </c>
      <c r="BO28" s="62">
        <v>0.0</v>
      </c>
      <c r="BP28" s="62">
        <v>1.3518375E7</v>
      </c>
      <c r="BQ28" s="62">
        <v>0.0</v>
      </c>
      <c r="BR28" s="62">
        <v>3540330.0</v>
      </c>
      <c r="BS28" s="62">
        <v>3433913.0</v>
      </c>
      <c r="BT28" s="62">
        <v>0.0</v>
      </c>
      <c r="BU28" s="62">
        <v>2920765.0</v>
      </c>
      <c r="BV28" s="62">
        <v>933545.0</v>
      </c>
      <c r="BW28" s="62">
        <v>166774.0</v>
      </c>
      <c r="BX28" s="62">
        <v>1.1253894E7</v>
      </c>
      <c r="BY28" s="62">
        <v>0.0</v>
      </c>
      <c r="BZ28" s="62">
        <v>0.0</v>
      </c>
      <c r="CA28" s="62">
        <v>0.0</v>
      </c>
      <c r="CB28" s="62">
        <v>0.0</v>
      </c>
      <c r="CC28" s="62">
        <v>0.0</v>
      </c>
      <c r="CD28" s="62">
        <v>0.0</v>
      </c>
      <c r="CE28" s="62">
        <v>0.0</v>
      </c>
      <c r="CF28" s="62">
        <v>0.0</v>
      </c>
      <c r="CG28" s="62">
        <v>0.0</v>
      </c>
      <c r="CH28" s="62">
        <v>0.0</v>
      </c>
      <c r="CI28" s="62">
        <v>0.0</v>
      </c>
      <c r="CJ28" s="62">
        <v>0.0</v>
      </c>
      <c r="CK28" s="62">
        <v>0.0</v>
      </c>
      <c r="CL28" s="62">
        <v>0.0</v>
      </c>
      <c r="CM28" s="62">
        <v>0.0</v>
      </c>
      <c r="CN28" s="62">
        <v>0.0</v>
      </c>
      <c r="CO28" s="62">
        <v>0.0</v>
      </c>
      <c r="CP28" s="62">
        <v>0.0</v>
      </c>
      <c r="CQ28" s="62">
        <v>0.0</v>
      </c>
      <c r="CR28" s="62">
        <v>0.0</v>
      </c>
      <c r="CS28" s="62">
        <v>0.0</v>
      </c>
      <c r="CT28" s="62">
        <v>0.0</v>
      </c>
      <c r="CU28" s="62">
        <v>0.0</v>
      </c>
      <c r="CV28" s="62">
        <v>0.0</v>
      </c>
      <c r="CW28" s="62">
        <v>0.0</v>
      </c>
      <c r="CX28" s="62">
        <v>0.0</v>
      </c>
      <c r="CY28" s="62">
        <v>0.0</v>
      </c>
      <c r="CZ28" s="62">
        <v>608234.0</v>
      </c>
      <c r="DA28" s="62">
        <v>292671.0</v>
      </c>
      <c r="DB28" s="62">
        <v>465088.0</v>
      </c>
      <c r="DC28" s="62">
        <v>705366.0</v>
      </c>
      <c r="DD28" s="62">
        <v>349691.0</v>
      </c>
      <c r="DE28" s="62">
        <v>0.0</v>
      </c>
      <c r="DF28" s="62">
        <v>0.0</v>
      </c>
      <c r="DG28" s="62">
        <v>0.0</v>
      </c>
      <c r="DH28" s="62">
        <v>0.0</v>
      </c>
      <c r="DI28" s="62">
        <v>0.0</v>
      </c>
      <c r="DJ28" s="62">
        <v>0.0</v>
      </c>
      <c r="DK28" s="62">
        <v>0.0</v>
      </c>
      <c r="DL28" s="62">
        <v>0.0</v>
      </c>
      <c r="DM28" s="62">
        <v>0.0</v>
      </c>
      <c r="DN28" s="62">
        <v>0.0</v>
      </c>
      <c r="DO28" s="62">
        <v>0.0</v>
      </c>
      <c r="DP28" s="62">
        <v>0.0</v>
      </c>
      <c r="DQ28" s="62">
        <v>0.0</v>
      </c>
      <c r="DR28" s="62">
        <v>0.0</v>
      </c>
      <c r="DS28" s="62">
        <v>0.0</v>
      </c>
      <c r="DT28" s="62">
        <v>0.0</v>
      </c>
      <c r="DU28" s="62">
        <v>0.0</v>
      </c>
      <c r="DV28" s="62">
        <v>0.0</v>
      </c>
      <c r="DW28" s="62">
        <v>0.0</v>
      </c>
      <c r="DX28" s="62">
        <v>0.0</v>
      </c>
      <c r="DY28" s="62">
        <v>0.0</v>
      </c>
      <c r="DZ28" s="62">
        <v>0.0</v>
      </c>
      <c r="EA28" s="62">
        <v>0.0</v>
      </c>
      <c r="EB28" s="62">
        <v>0.0</v>
      </c>
      <c r="EC28" s="62">
        <v>0.0</v>
      </c>
      <c r="ED28" s="62">
        <v>0.0</v>
      </c>
      <c r="EE28" s="62">
        <v>0.0</v>
      </c>
      <c r="EF28" s="62">
        <v>0.0</v>
      </c>
      <c r="EG28" s="62">
        <v>0.0</v>
      </c>
      <c r="EH28" s="62">
        <v>0.0</v>
      </c>
      <c r="EI28" s="62">
        <v>0.0</v>
      </c>
      <c r="EJ28" s="62">
        <v>0.0</v>
      </c>
      <c r="EK28" s="62">
        <v>0.0</v>
      </c>
      <c r="EL28" s="62">
        <v>0.0</v>
      </c>
      <c r="EM28" s="62">
        <v>0.0</v>
      </c>
      <c r="EN28" s="62">
        <v>0.0</v>
      </c>
      <c r="EO28" s="62">
        <v>0.0</v>
      </c>
      <c r="EP28" s="62">
        <v>0.0</v>
      </c>
      <c r="EQ28" s="62">
        <v>0.0</v>
      </c>
      <c r="ER28" s="62">
        <v>0.0</v>
      </c>
      <c r="ES28" s="62">
        <v>0.0</v>
      </c>
      <c r="ET28" s="62">
        <v>0.0</v>
      </c>
      <c r="EU28" s="62">
        <v>0.0</v>
      </c>
      <c r="EV28" s="62">
        <v>0.0</v>
      </c>
      <c r="EW28" s="62">
        <v>0.0</v>
      </c>
      <c r="EX28" s="62">
        <v>0.0</v>
      </c>
      <c r="EY28" s="62">
        <v>0.0</v>
      </c>
      <c r="EZ28" s="62">
        <v>0.0</v>
      </c>
      <c r="FA28" s="62">
        <v>0.0</v>
      </c>
      <c r="FB28" s="62">
        <v>0.0</v>
      </c>
      <c r="FC28" s="62">
        <v>0.0</v>
      </c>
      <c r="FD28" s="62">
        <v>0.0</v>
      </c>
      <c r="FE28" s="62">
        <v>0.0</v>
      </c>
      <c r="FF28" s="62">
        <v>0.0</v>
      </c>
      <c r="FG28" s="62">
        <v>0.0</v>
      </c>
      <c r="FH28" s="62">
        <v>0.0</v>
      </c>
      <c r="FI28" s="62">
        <v>0.0</v>
      </c>
      <c r="FJ28" s="62">
        <v>0.0</v>
      </c>
      <c r="FK28" s="62">
        <v>177845.0</v>
      </c>
      <c r="FL28" s="62">
        <v>0.0</v>
      </c>
      <c r="FM28" s="62">
        <v>0.0</v>
      </c>
      <c r="FN28" s="62">
        <v>0.0</v>
      </c>
      <c r="FO28" s="62">
        <v>0.0</v>
      </c>
      <c r="FP28" s="62">
        <v>0.0</v>
      </c>
      <c r="FQ28" s="62">
        <v>0.0</v>
      </c>
      <c r="FR28" s="62">
        <v>0.0</v>
      </c>
      <c r="FS28" s="62">
        <v>0.0</v>
      </c>
      <c r="FT28" s="62">
        <v>0.0</v>
      </c>
      <c r="FU28" s="62">
        <v>0.0</v>
      </c>
      <c r="FV28" s="62">
        <v>0.0</v>
      </c>
      <c r="FW28" s="62">
        <v>0.0</v>
      </c>
      <c r="FX28" s="62">
        <v>5184.0</v>
      </c>
      <c r="FY28" s="62">
        <v>0.0</v>
      </c>
      <c r="FZ28" s="62">
        <v>0.0</v>
      </c>
      <c r="GA28" s="62">
        <v>0.0</v>
      </c>
      <c r="GB28" s="62">
        <v>0.0</v>
      </c>
      <c r="GC28" s="62">
        <v>0.0</v>
      </c>
      <c r="GD28" s="62">
        <v>0.0</v>
      </c>
      <c r="GE28" s="62">
        <v>0.0</v>
      </c>
      <c r="GF28" s="63">
        <v>4.4475389E7</v>
      </c>
      <c r="GG28" s="64">
        <v>0.0</v>
      </c>
      <c r="GH28" s="65">
        <v>0.0</v>
      </c>
      <c r="GI28" s="64">
        <v>0.0</v>
      </c>
      <c r="GJ28" s="64">
        <v>1.034695E7</v>
      </c>
      <c r="GK28" s="64">
        <v>1.2934112E7</v>
      </c>
      <c r="GL28" s="64">
        <v>1113435.0</v>
      </c>
      <c r="GM28" s="64">
        <v>0.0</v>
      </c>
      <c r="GN28" s="63">
        <v>2.4394497E7</v>
      </c>
      <c r="GO28" s="66">
        <v>6.8869886E7</v>
      </c>
      <c r="GP28" s="64">
        <v>7724253.0</v>
      </c>
      <c r="GQ28" s="64">
        <v>0.0</v>
      </c>
      <c r="GR28" s="65">
        <v>0.0</v>
      </c>
      <c r="GS28" s="63">
        <v>7724253.0</v>
      </c>
      <c r="GT28" s="67">
        <v>3188120.0</v>
      </c>
      <c r="GU28" s="67">
        <v>2294760.0</v>
      </c>
      <c r="GV28" s="67">
        <v>1409413.0</v>
      </c>
      <c r="GW28" s="63">
        <v>6892293.0</v>
      </c>
      <c r="GX28" s="63">
        <v>640958.0</v>
      </c>
      <c r="GY28" s="63">
        <v>5.3612382E7</v>
      </c>
      <c r="GZ28" s="66">
        <v>6.8869886E7</v>
      </c>
    </row>
    <row r="29" ht="15.75" customHeight="1">
      <c r="A29" s="60">
        <v>24.0</v>
      </c>
      <c r="B29" s="61" t="s">
        <v>69</v>
      </c>
      <c r="C29" s="62">
        <v>0.0</v>
      </c>
      <c r="D29" s="62">
        <v>0.0</v>
      </c>
      <c r="E29" s="62">
        <v>0.0</v>
      </c>
      <c r="F29" s="62">
        <v>0.0</v>
      </c>
      <c r="G29" s="62">
        <v>0.0</v>
      </c>
      <c r="H29" s="62">
        <v>0.0</v>
      </c>
      <c r="I29" s="62">
        <v>0.0</v>
      </c>
      <c r="J29" s="62">
        <v>0.0</v>
      </c>
      <c r="K29" s="62">
        <v>0.0</v>
      </c>
      <c r="L29" s="62">
        <v>0.0</v>
      </c>
      <c r="M29" s="62">
        <v>0.0</v>
      </c>
      <c r="N29" s="62">
        <v>0.0</v>
      </c>
      <c r="O29" s="62">
        <v>0.0</v>
      </c>
      <c r="P29" s="62">
        <v>0.0</v>
      </c>
      <c r="Q29" s="62">
        <v>0.0</v>
      </c>
      <c r="R29" s="62">
        <v>0.0</v>
      </c>
      <c r="S29" s="62">
        <v>0.0</v>
      </c>
      <c r="T29" s="62">
        <v>0.0</v>
      </c>
      <c r="U29" s="62">
        <v>0.0</v>
      </c>
      <c r="V29" s="62">
        <v>0.0</v>
      </c>
      <c r="W29" s="62">
        <v>0.0</v>
      </c>
      <c r="X29" s="62">
        <v>0.0</v>
      </c>
      <c r="Y29" s="62">
        <v>0.0</v>
      </c>
      <c r="Z29" s="62">
        <v>365036.0</v>
      </c>
      <c r="AA29" s="62">
        <v>0.0</v>
      </c>
      <c r="AB29" s="62">
        <v>0.0</v>
      </c>
      <c r="AC29" s="62">
        <v>0.0</v>
      </c>
      <c r="AD29" s="62">
        <v>0.0</v>
      </c>
      <c r="AE29" s="62">
        <v>0.0</v>
      </c>
      <c r="AF29" s="62">
        <v>0.0</v>
      </c>
      <c r="AG29" s="62">
        <v>0.0</v>
      </c>
      <c r="AH29" s="62">
        <v>0.0</v>
      </c>
      <c r="AI29" s="62">
        <v>0.0</v>
      </c>
      <c r="AJ29" s="62">
        <v>0.0</v>
      </c>
      <c r="AK29" s="62">
        <v>0.0</v>
      </c>
      <c r="AL29" s="62">
        <v>0.0</v>
      </c>
      <c r="AM29" s="62">
        <v>0.0</v>
      </c>
      <c r="AN29" s="62">
        <v>0.0</v>
      </c>
      <c r="AO29" s="62">
        <v>0.0</v>
      </c>
      <c r="AP29" s="62">
        <v>0.0</v>
      </c>
      <c r="AQ29" s="62">
        <v>0.0</v>
      </c>
      <c r="AR29" s="62">
        <v>0.0</v>
      </c>
      <c r="AS29" s="62">
        <v>0.0</v>
      </c>
      <c r="AT29" s="62">
        <v>0.0</v>
      </c>
      <c r="AU29" s="62">
        <v>0.0</v>
      </c>
      <c r="AV29" s="62">
        <v>0.0</v>
      </c>
      <c r="AW29" s="62">
        <v>0.0</v>
      </c>
      <c r="AX29" s="62">
        <v>0.0</v>
      </c>
      <c r="AY29" s="62">
        <v>0.0</v>
      </c>
      <c r="AZ29" s="62">
        <v>0.0</v>
      </c>
      <c r="BA29" s="62">
        <v>0.0</v>
      </c>
      <c r="BB29" s="62">
        <v>0.0</v>
      </c>
      <c r="BC29" s="62">
        <v>0.0</v>
      </c>
      <c r="BD29" s="62">
        <v>0.0</v>
      </c>
      <c r="BE29" s="62">
        <v>0.0</v>
      </c>
      <c r="BF29" s="62">
        <v>0.0</v>
      </c>
      <c r="BG29" s="62">
        <v>0.0</v>
      </c>
      <c r="BH29" s="62">
        <v>142588.0</v>
      </c>
      <c r="BI29" s="62">
        <v>0.0</v>
      </c>
      <c r="BJ29" s="62">
        <v>0.0</v>
      </c>
      <c r="BK29" s="62">
        <v>0.0</v>
      </c>
      <c r="BL29" s="62">
        <v>0.0</v>
      </c>
      <c r="BM29" s="62">
        <v>0.0</v>
      </c>
      <c r="BN29" s="62">
        <v>0.0</v>
      </c>
      <c r="BO29" s="62">
        <v>0.0</v>
      </c>
      <c r="BP29" s="62">
        <v>0.0</v>
      </c>
      <c r="BQ29" s="62">
        <v>85282.0</v>
      </c>
      <c r="BR29" s="62">
        <v>278.0</v>
      </c>
      <c r="BS29" s="62">
        <v>333.0</v>
      </c>
      <c r="BT29" s="62">
        <v>0.0</v>
      </c>
      <c r="BU29" s="62">
        <v>8944199.0</v>
      </c>
      <c r="BV29" s="62">
        <v>0.0</v>
      </c>
      <c r="BW29" s="62">
        <v>5583.0</v>
      </c>
      <c r="BX29" s="62">
        <v>979540.0</v>
      </c>
      <c r="BY29" s="62">
        <v>1.5814202E7</v>
      </c>
      <c r="BZ29" s="62">
        <v>1039001.0</v>
      </c>
      <c r="CA29" s="62">
        <v>0.0</v>
      </c>
      <c r="CB29" s="62">
        <v>0.0</v>
      </c>
      <c r="CC29" s="62">
        <v>0.0</v>
      </c>
      <c r="CD29" s="62">
        <v>0.0</v>
      </c>
      <c r="CE29" s="62">
        <v>0.0</v>
      </c>
      <c r="CF29" s="62">
        <v>0.0</v>
      </c>
      <c r="CG29" s="62">
        <v>0.0</v>
      </c>
      <c r="CH29" s="62">
        <v>0.0</v>
      </c>
      <c r="CI29" s="62">
        <v>0.0</v>
      </c>
      <c r="CJ29" s="62">
        <v>0.0</v>
      </c>
      <c r="CK29" s="62">
        <v>0.0</v>
      </c>
      <c r="CL29" s="62">
        <v>0.0</v>
      </c>
      <c r="CM29" s="62">
        <v>0.0</v>
      </c>
      <c r="CN29" s="62">
        <v>0.0</v>
      </c>
      <c r="CO29" s="62">
        <v>0.0</v>
      </c>
      <c r="CP29" s="62">
        <v>0.0</v>
      </c>
      <c r="CQ29" s="62">
        <v>0.0</v>
      </c>
      <c r="CR29" s="62">
        <v>0.0</v>
      </c>
      <c r="CS29" s="62">
        <v>0.0</v>
      </c>
      <c r="CT29" s="62">
        <v>0.0</v>
      </c>
      <c r="CU29" s="62">
        <v>0.0</v>
      </c>
      <c r="CV29" s="62">
        <v>0.0</v>
      </c>
      <c r="CW29" s="62">
        <v>0.0</v>
      </c>
      <c r="CX29" s="62">
        <v>0.0</v>
      </c>
      <c r="CY29" s="62">
        <v>0.0</v>
      </c>
      <c r="CZ29" s="62">
        <v>87023.0</v>
      </c>
      <c r="DA29" s="62">
        <v>0.0</v>
      </c>
      <c r="DB29" s="62">
        <v>78942.0</v>
      </c>
      <c r="DC29" s="62">
        <v>366047.0</v>
      </c>
      <c r="DD29" s="62">
        <v>254110.0</v>
      </c>
      <c r="DE29" s="62">
        <v>0.0</v>
      </c>
      <c r="DF29" s="62">
        <v>0.0</v>
      </c>
      <c r="DG29" s="62">
        <v>0.0</v>
      </c>
      <c r="DH29" s="62">
        <v>0.0</v>
      </c>
      <c r="DI29" s="62">
        <v>0.0</v>
      </c>
      <c r="DJ29" s="62">
        <v>0.0</v>
      </c>
      <c r="DK29" s="62">
        <v>0.0</v>
      </c>
      <c r="DL29" s="62">
        <v>0.0</v>
      </c>
      <c r="DM29" s="62">
        <v>0.0</v>
      </c>
      <c r="DN29" s="62">
        <v>0.0</v>
      </c>
      <c r="DO29" s="62">
        <v>0.0</v>
      </c>
      <c r="DP29" s="62">
        <v>0.0</v>
      </c>
      <c r="DQ29" s="62">
        <v>0.0</v>
      </c>
      <c r="DR29" s="62">
        <v>0.0</v>
      </c>
      <c r="DS29" s="62">
        <v>0.0</v>
      </c>
      <c r="DT29" s="62">
        <v>0.0</v>
      </c>
      <c r="DU29" s="62">
        <v>0.0</v>
      </c>
      <c r="DV29" s="62">
        <v>0.0</v>
      </c>
      <c r="DW29" s="62">
        <v>0.0</v>
      </c>
      <c r="DX29" s="62">
        <v>0.0</v>
      </c>
      <c r="DY29" s="62">
        <v>0.0</v>
      </c>
      <c r="DZ29" s="62">
        <v>0.0</v>
      </c>
      <c r="EA29" s="62">
        <v>0.0</v>
      </c>
      <c r="EB29" s="62">
        <v>0.0</v>
      </c>
      <c r="EC29" s="62">
        <v>0.0</v>
      </c>
      <c r="ED29" s="62">
        <v>0.0</v>
      </c>
      <c r="EE29" s="62">
        <v>0.0</v>
      </c>
      <c r="EF29" s="62">
        <v>0.0</v>
      </c>
      <c r="EG29" s="62">
        <v>0.0</v>
      </c>
      <c r="EH29" s="62">
        <v>0.0</v>
      </c>
      <c r="EI29" s="62">
        <v>0.0</v>
      </c>
      <c r="EJ29" s="62">
        <v>0.0</v>
      </c>
      <c r="EK29" s="62">
        <v>0.0</v>
      </c>
      <c r="EL29" s="62">
        <v>0.0</v>
      </c>
      <c r="EM29" s="62">
        <v>0.0</v>
      </c>
      <c r="EN29" s="62">
        <v>0.0</v>
      </c>
      <c r="EO29" s="62">
        <v>0.0</v>
      </c>
      <c r="EP29" s="62">
        <v>0.0</v>
      </c>
      <c r="EQ29" s="62">
        <v>0.0</v>
      </c>
      <c r="ER29" s="62">
        <v>0.0</v>
      </c>
      <c r="ES29" s="62">
        <v>0.0</v>
      </c>
      <c r="ET29" s="62">
        <v>0.0</v>
      </c>
      <c r="EU29" s="62">
        <v>0.0</v>
      </c>
      <c r="EV29" s="62">
        <v>0.0</v>
      </c>
      <c r="EW29" s="62">
        <v>0.0</v>
      </c>
      <c r="EX29" s="62">
        <v>0.0</v>
      </c>
      <c r="EY29" s="62">
        <v>0.0</v>
      </c>
      <c r="EZ29" s="62">
        <v>0.0</v>
      </c>
      <c r="FA29" s="62">
        <v>0.0</v>
      </c>
      <c r="FB29" s="62">
        <v>0.0</v>
      </c>
      <c r="FC29" s="62">
        <v>0.0</v>
      </c>
      <c r="FD29" s="62">
        <v>0.0</v>
      </c>
      <c r="FE29" s="62">
        <v>0.0</v>
      </c>
      <c r="FF29" s="62">
        <v>0.0</v>
      </c>
      <c r="FG29" s="62">
        <v>0.0</v>
      </c>
      <c r="FH29" s="62">
        <v>0.0</v>
      </c>
      <c r="FI29" s="62">
        <v>0.0</v>
      </c>
      <c r="FJ29" s="62">
        <v>3852.0</v>
      </c>
      <c r="FK29" s="62">
        <v>115007.0</v>
      </c>
      <c r="FL29" s="62">
        <v>0.0</v>
      </c>
      <c r="FM29" s="62">
        <v>0.0</v>
      </c>
      <c r="FN29" s="62">
        <v>0.0</v>
      </c>
      <c r="FO29" s="62">
        <v>0.0</v>
      </c>
      <c r="FP29" s="62">
        <v>0.0</v>
      </c>
      <c r="FQ29" s="62">
        <v>0.0</v>
      </c>
      <c r="FR29" s="62">
        <v>0.0</v>
      </c>
      <c r="FS29" s="62">
        <v>0.0</v>
      </c>
      <c r="FT29" s="62">
        <v>0.0</v>
      </c>
      <c r="FU29" s="62">
        <v>0.0</v>
      </c>
      <c r="FV29" s="62">
        <v>0.0</v>
      </c>
      <c r="FW29" s="62">
        <v>18756.0</v>
      </c>
      <c r="FX29" s="62">
        <v>0.0</v>
      </c>
      <c r="FY29" s="62">
        <v>0.0</v>
      </c>
      <c r="FZ29" s="62">
        <v>0.0</v>
      </c>
      <c r="GA29" s="62">
        <v>0.0</v>
      </c>
      <c r="GB29" s="62">
        <v>0.0</v>
      </c>
      <c r="GC29" s="62">
        <v>0.0</v>
      </c>
      <c r="GD29" s="62">
        <v>0.0</v>
      </c>
      <c r="GE29" s="62">
        <v>0.0</v>
      </c>
      <c r="GF29" s="63">
        <v>2.8299779E7</v>
      </c>
      <c r="GG29" s="64">
        <v>90907.0</v>
      </c>
      <c r="GH29" s="65">
        <v>0.0</v>
      </c>
      <c r="GI29" s="64">
        <v>0.0</v>
      </c>
      <c r="GJ29" s="64">
        <v>7770250.0</v>
      </c>
      <c r="GK29" s="64">
        <v>2031073.0</v>
      </c>
      <c r="GL29" s="64">
        <v>2519821.0</v>
      </c>
      <c r="GM29" s="64">
        <v>0.0</v>
      </c>
      <c r="GN29" s="63">
        <v>1.2412051E7</v>
      </c>
      <c r="GO29" s="66">
        <v>4.071183E7</v>
      </c>
      <c r="GP29" s="64">
        <v>186552.0</v>
      </c>
      <c r="GQ29" s="64">
        <v>0.0</v>
      </c>
      <c r="GR29" s="65">
        <v>0.0</v>
      </c>
      <c r="GS29" s="63">
        <v>186552.0</v>
      </c>
      <c r="GT29" s="67">
        <v>4993098.0</v>
      </c>
      <c r="GU29" s="67">
        <v>2901904.0</v>
      </c>
      <c r="GV29" s="67">
        <v>2493178.0</v>
      </c>
      <c r="GW29" s="63">
        <v>1.038818E7</v>
      </c>
      <c r="GX29" s="63">
        <v>338828.0</v>
      </c>
      <c r="GY29" s="63">
        <v>2.979827E7</v>
      </c>
      <c r="GZ29" s="66">
        <v>4.071183E7</v>
      </c>
    </row>
    <row r="30" ht="15.75" customHeight="1">
      <c r="A30" s="68">
        <v>25.0</v>
      </c>
      <c r="B30" s="69" t="s">
        <v>70</v>
      </c>
      <c r="C30" s="70">
        <v>0.0</v>
      </c>
      <c r="D30" s="70">
        <v>0.0</v>
      </c>
      <c r="E30" s="70">
        <v>0.0</v>
      </c>
      <c r="F30" s="70">
        <v>0.0</v>
      </c>
      <c r="G30" s="70">
        <v>0.0</v>
      </c>
      <c r="H30" s="70">
        <v>0.0</v>
      </c>
      <c r="I30" s="70">
        <v>0.0</v>
      </c>
      <c r="J30" s="70">
        <v>0.0</v>
      </c>
      <c r="K30" s="70">
        <v>0.0</v>
      </c>
      <c r="L30" s="70">
        <v>0.0</v>
      </c>
      <c r="M30" s="70">
        <v>0.0</v>
      </c>
      <c r="N30" s="70">
        <v>0.0</v>
      </c>
      <c r="O30" s="70">
        <v>0.0</v>
      </c>
      <c r="P30" s="70">
        <v>0.0</v>
      </c>
      <c r="Q30" s="70">
        <v>0.0</v>
      </c>
      <c r="R30" s="70">
        <v>0.0</v>
      </c>
      <c r="S30" s="70">
        <v>0.0</v>
      </c>
      <c r="T30" s="70">
        <v>0.0</v>
      </c>
      <c r="U30" s="70">
        <v>0.0</v>
      </c>
      <c r="V30" s="70">
        <v>0.0</v>
      </c>
      <c r="W30" s="70">
        <v>0.0</v>
      </c>
      <c r="X30" s="70">
        <v>0.0</v>
      </c>
      <c r="Y30" s="70">
        <v>0.0</v>
      </c>
      <c r="Z30" s="70">
        <v>0.0</v>
      </c>
      <c r="AA30" s="70">
        <v>54952.0</v>
      </c>
      <c r="AB30" s="70">
        <v>0.0</v>
      </c>
      <c r="AC30" s="70">
        <v>0.0</v>
      </c>
      <c r="AD30" s="70">
        <v>0.0</v>
      </c>
      <c r="AE30" s="70">
        <v>0.0</v>
      </c>
      <c r="AF30" s="70">
        <v>0.0</v>
      </c>
      <c r="AG30" s="70">
        <v>0.0</v>
      </c>
      <c r="AH30" s="70">
        <v>0.0</v>
      </c>
      <c r="AI30" s="70">
        <v>0.0</v>
      </c>
      <c r="AJ30" s="70">
        <v>0.0</v>
      </c>
      <c r="AK30" s="70">
        <v>0.0</v>
      </c>
      <c r="AL30" s="70">
        <v>0.0</v>
      </c>
      <c r="AM30" s="70">
        <v>0.0</v>
      </c>
      <c r="AN30" s="70">
        <v>0.0</v>
      </c>
      <c r="AO30" s="70">
        <v>0.0</v>
      </c>
      <c r="AP30" s="70">
        <v>0.0</v>
      </c>
      <c r="AQ30" s="70">
        <v>0.0</v>
      </c>
      <c r="AR30" s="70">
        <v>0.0</v>
      </c>
      <c r="AS30" s="70">
        <v>0.0</v>
      </c>
      <c r="AT30" s="70">
        <v>0.0</v>
      </c>
      <c r="AU30" s="70">
        <v>0.0</v>
      </c>
      <c r="AV30" s="70">
        <v>0.0</v>
      </c>
      <c r="AW30" s="70">
        <v>0.0</v>
      </c>
      <c r="AX30" s="70">
        <v>0.0</v>
      </c>
      <c r="AY30" s="70">
        <v>0.0</v>
      </c>
      <c r="AZ30" s="70">
        <v>0.0</v>
      </c>
      <c r="BA30" s="70">
        <v>0.0</v>
      </c>
      <c r="BB30" s="70">
        <v>0.0</v>
      </c>
      <c r="BC30" s="70">
        <v>0.0</v>
      </c>
      <c r="BD30" s="70">
        <v>0.0</v>
      </c>
      <c r="BE30" s="70">
        <v>0.0</v>
      </c>
      <c r="BF30" s="70">
        <v>0.0</v>
      </c>
      <c r="BG30" s="70">
        <v>76823.0</v>
      </c>
      <c r="BH30" s="70">
        <v>25774.0</v>
      </c>
      <c r="BI30" s="70">
        <v>0.0</v>
      </c>
      <c r="BJ30" s="70">
        <v>135138.0</v>
      </c>
      <c r="BK30" s="70">
        <v>0.0</v>
      </c>
      <c r="BL30" s="70">
        <v>0.0</v>
      </c>
      <c r="BM30" s="70">
        <v>0.0</v>
      </c>
      <c r="BN30" s="70">
        <v>0.0</v>
      </c>
      <c r="BO30" s="70">
        <v>0.0</v>
      </c>
      <c r="BP30" s="70">
        <v>127779.0</v>
      </c>
      <c r="BQ30" s="70">
        <v>0.0</v>
      </c>
      <c r="BR30" s="70">
        <v>1464.0</v>
      </c>
      <c r="BS30" s="70">
        <v>0.0</v>
      </c>
      <c r="BT30" s="70">
        <v>0.0</v>
      </c>
      <c r="BU30" s="70">
        <v>484690.0</v>
      </c>
      <c r="BV30" s="70">
        <v>1292.0</v>
      </c>
      <c r="BW30" s="70">
        <v>1088.0</v>
      </c>
      <c r="BX30" s="70">
        <v>1739.0</v>
      </c>
      <c r="BY30" s="70">
        <v>0.0</v>
      </c>
      <c r="BZ30" s="70">
        <v>0.0</v>
      </c>
      <c r="CA30" s="70">
        <v>0.0</v>
      </c>
      <c r="CB30" s="70">
        <v>0.0</v>
      </c>
      <c r="CC30" s="70">
        <v>0.0</v>
      </c>
      <c r="CD30" s="70">
        <v>0.0</v>
      </c>
      <c r="CE30" s="70">
        <v>0.0</v>
      </c>
      <c r="CF30" s="70">
        <v>0.0</v>
      </c>
      <c r="CG30" s="70">
        <v>0.0</v>
      </c>
      <c r="CH30" s="70">
        <v>0.0</v>
      </c>
      <c r="CI30" s="70">
        <v>0.0</v>
      </c>
      <c r="CJ30" s="70">
        <v>0.0</v>
      </c>
      <c r="CK30" s="70">
        <v>0.0</v>
      </c>
      <c r="CL30" s="70">
        <v>0.0</v>
      </c>
      <c r="CM30" s="70">
        <v>0.0</v>
      </c>
      <c r="CN30" s="70">
        <v>0.0</v>
      </c>
      <c r="CO30" s="70">
        <v>0.0</v>
      </c>
      <c r="CP30" s="70">
        <v>0.0</v>
      </c>
      <c r="CQ30" s="70">
        <v>0.0</v>
      </c>
      <c r="CR30" s="70">
        <v>0.0</v>
      </c>
      <c r="CS30" s="70">
        <v>0.0</v>
      </c>
      <c r="CT30" s="70">
        <v>0.0</v>
      </c>
      <c r="CU30" s="70">
        <v>0.0</v>
      </c>
      <c r="CV30" s="70">
        <v>0.0</v>
      </c>
      <c r="CW30" s="70">
        <v>0.0</v>
      </c>
      <c r="CX30" s="70">
        <v>0.0</v>
      </c>
      <c r="CY30" s="70">
        <v>0.0</v>
      </c>
      <c r="CZ30" s="70">
        <v>0.0</v>
      </c>
      <c r="DA30" s="70">
        <v>0.0</v>
      </c>
      <c r="DB30" s="70">
        <v>151.0</v>
      </c>
      <c r="DC30" s="70">
        <v>7515.0</v>
      </c>
      <c r="DD30" s="70">
        <v>10622.0</v>
      </c>
      <c r="DE30" s="70">
        <v>0.0</v>
      </c>
      <c r="DF30" s="70">
        <v>0.0</v>
      </c>
      <c r="DG30" s="70">
        <v>0.0</v>
      </c>
      <c r="DH30" s="70">
        <v>0.0</v>
      </c>
      <c r="DI30" s="70">
        <v>0.0</v>
      </c>
      <c r="DJ30" s="70">
        <v>0.0</v>
      </c>
      <c r="DK30" s="70">
        <v>0.0</v>
      </c>
      <c r="DL30" s="70">
        <v>0.0</v>
      </c>
      <c r="DM30" s="70">
        <v>0.0</v>
      </c>
      <c r="DN30" s="70">
        <v>0.0</v>
      </c>
      <c r="DO30" s="70">
        <v>0.0</v>
      </c>
      <c r="DP30" s="70">
        <v>0.0</v>
      </c>
      <c r="DQ30" s="70">
        <v>0.0</v>
      </c>
      <c r="DR30" s="70">
        <v>0.0</v>
      </c>
      <c r="DS30" s="70">
        <v>0.0</v>
      </c>
      <c r="DT30" s="70">
        <v>0.0</v>
      </c>
      <c r="DU30" s="70">
        <v>0.0</v>
      </c>
      <c r="DV30" s="70">
        <v>0.0</v>
      </c>
      <c r="DW30" s="70">
        <v>0.0</v>
      </c>
      <c r="DX30" s="70">
        <v>0.0</v>
      </c>
      <c r="DY30" s="70">
        <v>0.0</v>
      </c>
      <c r="DZ30" s="70">
        <v>0.0</v>
      </c>
      <c r="EA30" s="70">
        <v>0.0</v>
      </c>
      <c r="EB30" s="70">
        <v>0.0</v>
      </c>
      <c r="EC30" s="70">
        <v>0.0</v>
      </c>
      <c r="ED30" s="70">
        <v>0.0</v>
      </c>
      <c r="EE30" s="70">
        <v>0.0</v>
      </c>
      <c r="EF30" s="70">
        <v>0.0</v>
      </c>
      <c r="EG30" s="70">
        <v>0.0</v>
      </c>
      <c r="EH30" s="70">
        <v>0.0</v>
      </c>
      <c r="EI30" s="70">
        <v>0.0</v>
      </c>
      <c r="EJ30" s="70">
        <v>0.0</v>
      </c>
      <c r="EK30" s="70">
        <v>0.0</v>
      </c>
      <c r="EL30" s="70">
        <v>0.0</v>
      </c>
      <c r="EM30" s="70">
        <v>0.0</v>
      </c>
      <c r="EN30" s="70">
        <v>0.0</v>
      </c>
      <c r="EO30" s="70">
        <v>0.0</v>
      </c>
      <c r="EP30" s="70">
        <v>0.0</v>
      </c>
      <c r="EQ30" s="70">
        <v>0.0</v>
      </c>
      <c r="ER30" s="70">
        <v>0.0</v>
      </c>
      <c r="ES30" s="70">
        <v>0.0</v>
      </c>
      <c r="ET30" s="70">
        <v>0.0</v>
      </c>
      <c r="EU30" s="70">
        <v>0.0</v>
      </c>
      <c r="EV30" s="70">
        <v>0.0</v>
      </c>
      <c r="EW30" s="70">
        <v>0.0</v>
      </c>
      <c r="EX30" s="70">
        <v>0.0</v>
      </c>
      <c r="EY30" s="70">
        <v>0.0</v>
      </c>
      <c r="EZ30" s="70">
        <v>0.0</v>
      </c>
      <c r="FA30" s="70">
        <v>0.0</v>
      </c>
      <c r="FB30" s="70">
        <v>0.0</v>
      </c>
      <c r="FC30" s="70">
        <v>0.0</v>
      </c>
      <c r="FD30" s="70">
        <v>0.0</v>
      </c>
      <c r="FE30" s="70">
        <v>0.0</v>
      </c>
      <c r="FF30" s="70">
        <v>0.0</v>
      </c>
      <c r="FG30" s="70">
        <v>0.0</v>
      </c>
      <c r="FH30" s="70">
        <v>0.0</v>
      </c>
      <c r="FI30" s="70">
        <v>0.0</v>
      </c>
      <c r="FJ30" s="70">
        <v>0.0</v>
      </c>
      <c r="FK30" s="70">
        <v>1681593.0</v>
      </c>
      <c r="FL30" s="70">
        <v>0.0</v>
      </c>
      <c r="FM30" s="70">
        <v>0.0</v>
      </c>
      <c r="FN30" s="70">
        <v>0.0</v>
      </c>
      <c r="FO30" s="70">
        <v>0.0</v>
      </c>
      <c r="FP30" s="70">
        <v>0.0</v>
      </c>
      <c r="FQ30" s="70">
        <v>0.0</v>
      </c>
      <c r="FR30" s="70">
        <v>0.0</v>
      </c>
      <c r="FS30" s="70">
        <v>0.0</v>
      </c>
      <c r="FT30" s="70">
        <v>0.0</v>
      </c>
      <c r="FU30" s="70">
        <v>0.0</v>
      </c>
      <c r="FV30" s="70">
        <v>0.0</v>
      </c>
      <c r="FW30" s="70">
        <v>0.0</v>
      </c>
      <c r="FX30" s="70">
        <v>0.0</v>
      </c>
      <c r="FY30" s="70">
        <v>0.0</v>
      </c>
      <c r="FZ30" s="70">
        <v>0.0</v>
      </c>
      <c r="GA30" s="70">
        <v>0.0</v>
      </c>
      <c r="GB30" s="70">
        <v>0.0</v>
      </c>
      <c r="GC30" s="70">
        <v>0.0</v>
      </c>
      <c r="GD30" s="70">
        <v>0.0</v>
      </c>
      <c r="GE30" s="70">
        <v>0.0</v>
      </c>
      <c r="GF30" s="71">
        <v>2610620.0</v>
      </c>
      <c r="GG30" s="72">
        <v>195726.0</v>
      </c>
      <c r="GH30" s="73">
        <v>0.0</v>
      </c>
      <c r="GI30" s="72">
        <v>0.0</v>
      </c>
      <c r="GJ30" s="72">
        <v>558699.0</v>
      </c>
      <c r="GK30" s="72">
        <v>-143263.0</v>
      </c>
      <c r="GL30" s="72">
        <v>1455629.0</v>
      </c>
      <c r="GM30" s="72">
        <v>0.0</v>
      </c>
      <c r="GN30" s="71">
        <v>2066791.0</v>
      </c>
      <c r="GO30" s="74">
        <v>4677411.0</v>
      </c>
      <c r="GP30" s="72">
        <v>283.0</v>
      </c>
      <c r="GQ30" s="72">
        <v>0.0</v>
      </c>
      <c r="GR30" s="73">
        <v>0.0</v>
      </c>
      <c r="GS30" s="71">
        <v>283.0</v>
      </c>
      <c r="GT30" s="75">
        <v>561073.0</v>
      </c>
      <c r="GU30" s="75">
        <v>391481.0</v>
      </c>
      <c r="GV30" s="75">
        <v>18337.0</v>
      </c>
      <c r="GW30" s="71">
        <v>970891.0</v>
      </c>
      <c r="GX30" s="71">
        <v>30716.0</v>
      </c>
      <c r="GY30" s="71">
        <v>3675521.0</v>
      </c>
      <c r="GZ30" s="74">
        <v>4677411.0</v>
      </c>
    </row>
    <row r="31" ht="15.75" customHeight="1">
      <c r="A31" s="52">
        <v>26.0</v>
      </c>
      <c r="B31" s="53" t="s">
        <v>71</v>
      </c>
      <c r="C31" s="54">
        <v>33778.0</v>
      </c>
      <c r="D31" s="54">
        <v>58716.0</v>
      </c>
      <c r="E31" s="54">
        <v>633.0</v>
      </c>
      <c r="F31" s="54">
        <v>62556.0</v>
      </c>
      <c r="G31" s="54">
        <v>459.0</v>
      </c>
      <c r="H31" s="54">
        <v>14784.0</v>
      </c>
      <c r="I31" s="54">
        <v>5322.0</v>
      </c>
      <c r="J31" s="54">
        <v>1477.0</v>
      </c>
      <c r="K31" s="54">
        <v>0.0</v>
      </c>
      <c r="L31" s="54">
        <v>564283.0</v>
      </c>
      <c r="M31" s="54">
        <v>98007.0</v>
      </c>
      <c r="N31" s="54">
        <v>89067.0</v>
      </c>
      <c r="O31" s="54">
        <v>358693.0</v>
      </c>
      <c r="P31" s="54">
        <v>352.0</v>
      </c>
      <c r="Q31" s="54">
        <v>40543.0</v>
      </c>
      <c r="R31" s="54">
        <v>757947.0</v>
      </c>
      <c r="S31" s="54">
        <v>13488.0</v>
      </c>
      <c r="T31" s="54">
        <v>86991.0</v>
      </c>
      <c r="U31" s="54">
        <v>334490.0</v>
      </c>
      <c r="V31" s="54">
        <v>914199.0</v>
      </c>
      <c r="W31" s="54">
        <v>19457.0</v>
      </c>
      <c r="X31" s="54">
        <v>11794.0</v>
      </c>
      <c r="Y31" s="54">
        <v>37945.0</v>
      </c>
      <c r="Z31" s="54">
        <v>125975.0</v>
      </c>
      <c r="AA31" s="54">
        <v>2787.0</v>
      </c>
      <c r="AB31" s="54">
        <v>833212.0</v>
      </c>
      <c r="AC31" s="54">
        <v>812.0</v>
      </c>
      <c r="AD31" s="54">
        <v>0.0</v>
      </c>
      <c r="AE31" s="54">
        <v>0.0</v>
      </c>
      <c r="AF31" s="54">
        <v>664236.0</v>
      </c>
      <c r="AG31" s="54">
        <v>130889.0</v>
      </c>
      <c r="AH31" s="54">
        <v>149863.0</v>
      </c>
      <c r="AI31" s="54">
        <v>3349.0</v>
      </c>
      <c r="AJ31" s="54">
        <v>0.0</v>
      </c>
      <c r="AK31" s="54">
        <v>0.0</v>
      </c>
      <c r="AL31" s="54">
        <v>29434.0</v>
      </c>
      <c r="AM31" s="54">
        <v>0.0</v>
      </c>
      <c r="AN31" s="54">
        <v>0.0</v>
      </c>
      <c r="AO31" s="54">
        <v>0.0</v>
      </c>
      <c r="AP31" s="54">
        <v>0.0</v>
      </c>
      <c r="AQ31" s="54">
        <v>0.0</v>
      </c>
      <c r="AR31" s="54">
        <v>0.0</v>
      </c>
      <c r="AS31" s="54">
        <v>0.0</v>
      </c>
      <c r="AT31" s="54">
        <v>0.0</v>
      </c>
      <c r="AU31" s="54">
        <v>0.0</v>
      </c>
      <c r="AV31" s="54">
        <v>0.0</v>
      </c>
      <c r="AW31" s="54">
        <v>0.0</v>
      </c>
      <c r="AX31" s="54">
        <v>0.0</v>
      </c>
      <c r="AY31" s="54">
        <v>0.0</v>
      </c>
      <c r="AZ31" s="54">
        <v>0.0</v>
      </c>
      <c r="BA31" s="54">
        <v>0.0</v>
      </c>
      <c r="BB31" s="54">
        <v>0.0</v>
      </c>
      <c r="BC31" s="54">
        <v>6.333299E7</v>
      </c>
      <c r="BD31" s="54">
        <v>0.0</v>
      </c>
      <c r="BE31" s="54">
        <v>0.0</v>
      </c>
      <c r="BF31" s="54">
        <v>0.0</v>
      </c>
      <c r="BG31" s="54">
        <v>0.0</v>
      </c>
      <c r="BH31" s="54">
        <v>0.0</v>
      </c>
      <c r="BI31" s="54">
        <v>0.0</v>
      </c>
      <c r="BJ31" s="54">
        <v>0.0</v>
      </c>
      <c r="BK31" s="54">
        <v>0.0</v>
      </c>
      <c r="BL31" s="54">
        <v>0.0</v>
      </c>
      <c r="BM31" s="54">
        <v>0.0</v>
      </c>
      <c r="BN31" s="54">
        <v>0.0</v>
      </c>
      <c r="BO31" s="54">
        <v>0.0</v>
      </c>
      <c r="BP31" s="54">
        <v>0.0</v>
      </c>
      <c r="BQ31" s="54">
        <v>0.0</v>
      </c>
      <c r="BR31" s="54">
        <v>0.0</v>
      </c>
      <c r="BS31" s="54">
        <v>0.0</v>
      </c>
      <c r="BT31" s="54">
        <v>0.0</v>
      </c>
      <c r="BU31" s="54">
        <v>1901585.0</v>
      </c>
      <c r="BV31" s="54">
        <v>273084.0</v>
      </c>
      <c r="BW31" s="54">
        <v>0.0</v>
      </c>
      <c r="BX31" s="54">
        <v>0.0</v>
      </c>
      <c r="BY31" s="54">
        <v>0.0</v>
      </c>
      <c r="BZ31" s="54">
        <v>0.0</v>
      </c>
      <c r="CA31" s="54">
        <v>435.0</v>
      </c>
      <c r="CB31" s="54">
        <v>0.0</v>
      </c>
      <c r="CC31" s="54">
        <v>8471.0</v>
      </c>
      <c r="CD31" s="54">
        <v>0.0</v>
      </c>
      <c r="CE31" s="54">
        <v>0.0</v>
      </c>
      <c r="CF31" s="54">
        <v>919.0</v>
      </c>
      <c r="CG31" s="54">
        <v>0.0</v>
      </c>
      <c r="CH31" s="54">
        <v>0.0</v>
      </c>
      <c r="CI31" s="54">
        <v>0.0</v>
      </c>
      <c r="CJ31" s="54">
        <v>0.0</v>
      </c>
      <c r="CK31" s="54">
        <v>0.0</v>
      </c>
      <c r="CL31" s="54">
        <v>0.0</v>
      </c>
      <c r="CM31" s="54">
        <v>0.0</v>
      </c>
      <c r="CN31" s="54">
        <v>0.0</v>
      </c>
      <c r="CO31" s="54">
        <v>0.0</v>
      </c>
      <c r="CP31" s="54">
        <v>0.0</v>
      </c>
      <c r="CQ31" s="54">
        <v>0.0</v>
      </c>
      <c r="CR31" s="54">
        <v>0.0</v>
      </c>
      <c r="CS31" s="54">
        <v>0.0</v>
      </c>
      <c r="CT31" s="54">
        <v>0.0</v>
      </c>
      <c r="CU31" s="54">
        <v>0.0</v>
      </c>
      <c r="CV31" s="54">
        <v>0.0</v>
      </c>
      <c r="CW31" s="54">
        <v>0.0</v>
      </c>
      <c r="CX31" s="54">
        <v>0.0</v>
      </c>
      <c r="CY31" s="54">
        <v>0.0</v>
      </c>
      <c r="CZ31" s="54">
        <v>0.0</v>
      </c>
      <c r="DA31" s="54">
        <v>0.0</v>
      </c>
      <c r="DB31" s="54">
        <v>8325.0</v>
      </c>
      <c r="DC31" s="54">
        <v>0.0</v>
      </c>
      <c r="DD31" s="54">
        <v>203.0</v>
      </c>
      <c r="DE31" s="54">
        <v>0.0</v>
      </c>
      <c r="DF31" s="54">
        <v>0.0</v>
      </c>
      <c r="DG31" s="54">
        <v>0.0</v>
      </c>
      <c r="DH31" s="54">
        <v>0.0</v>
      </c>
      <c r="DI31" s="54">
        <v>0.0</v>
      </c>
      <c r="DJ31" s="54">
        <v>0.0</v>
      </c>
      <c r="DK31" s="54">
        <v>0.0</v>
      </c>
      <c r="DL31" s="54">
        <v>0.0</v>
      </c>
      <c r="DM31" s="54">
        <v>0.0</v>
      </c>
      <c r="DN31" s="54">
        <v>0.0</v>
      </c>
      <c r="DO31" s="54">
        <v>0.0</v>
      </c>
      <c r="DP31" s="54">
        <v>0.0</v>
      </c>
      <c r="DQ31" s="54">
        <v>0.0</v>
      </c>
      <c r="DR31" s="54">
        <v>0.0</v>
      </c>
      <c r="DS31" s="54">
        <v>0.0</v>
      </c>
      <c r="DT31" s="54">
        <v>0.0</v>
      </c>
      <c r="DU31" s="54">
        <v>0.0</v>
      </c>
      <c r="DV31" s="54">
        <v>0.0</v>
      </c>
      <c r="DW31" s="54">
        <v>0.0</v>
      </c>
      <c r="DX31" s="54">
        <v>0.0</v>
      </c>
      <c r="DY31" s="54">
        <v>0.0</v>
      </c>
      <c r="DZ31" s="54">
        <v>0.0</v>
      </c>
      <c r="EA31" s="54">
        <v>0.0</v>
      </c>
      <c r="EB31" s="54">
        <v>0.0</v>
      </c>
      <c r="EC31" s="54">
        <v>0.0</v>
      </c>
      <c r="ED31" s="54">
        <v>0.0</v>
      </c>
      <c r="EE31" s="54">
        <v>0.0</v>
      </c>
      <c r="EF31" s="54">
        <v>0.0</v>
      </c>
      <c r="EG31" s="54">
        <v>0.0</v>
      </c>
      <c r="EH31" s="54">
        <v>0.0</v>
      </c>
      <c r="EI31" s="54">
        <v>629.0</v>
      </c>
      <c r="EJ31" s="54">
        <v>0.0</v>
      </c>
      <c r="EK31" s="54">
        <v>0.0</v>
      </c>
      <c r="EL31" s="54">
        <v>0.0</v>
      </c>
      <c r="EM31" s="54">
        <v>0.0</v>
      </c>
      <c r="EN31" s="54">
        <v>0.0</v>
      </c>
      <c r="EO31" s="54">
        <v>0.0</v>
      </c>
      <c r="EP31" s="54">
        <v>0.0</v>
      </c>
      <c r="EQ31" s="54">
        <v>0.0</v>
      </c>
      <c r="ER31" s="54">
        <v>0.0</v>
      </c>
      <c r="ES31" s="54">
        <v>0.0</v>
      </c>
      <c r="ET31" s="54">
        <v>16.0</v>
      </c>
      <c r="EU31" s="54">
        <v>0.0</v>
      </c>
      <c r="EV31" s="54">
        <v>0.0</v>
      </c>
      <c r="EW31" s="54">
        <v>0.0</v>
      </c>
      <c r="EX31" s="54">
        <v>0.0</v>
      </c>
      <c r="EY31" s="54">
        <v>0.0</v>
      </c>
      <c r="EZ31" s="54">
        <v>0.0</v>
      </c>
      <c r="FA31" s="54">
        <v>0.0</v>
      </c>
      <c r="FB31" s="54">
        <v>0.0</v>
      </c>
      <c r="FC31" s="54">
        <v>0.0</v>
      </c>
      <c r="FD31" s="54">
        <v>0.0</v>
      </c>
      <c r="FE31" s="54">
        <v>0.0</v>
      </c>
      <c r="FF31" s="54">
        <v>0.0</v>
      </c>
      <c r="FG31" s="54">
        <v>0.0</v>
      </c>
      <c r="FH31" s="54">
        <v>0.0</v>
      </c>
      <c r="FI31" s="54">
        <v>0.0</v>
      </c>
      <c r="FJ31" s="54">
        <v>0.0</v>
      </c>
      <c r="FK31" s="54">
        <v>634639.0</v>
      </c>
      <c r="FL31" s="54">
        <v>0.0</v>
      </c>
      <c r="FM31" s="54">
        <v>0.0</v>
      </c>
      <c r="FN31" s="54">
        <v>0.0</v>
      </c>
      <c r="FO31" s="54">
        <v>0.0</v>
      </c>
      <c r="FP31" s="54">
        <v>0.0</v>
      </c>
      <c r="FQ31" s="54">
        <v>0.0</v>
      </c>
      <c r="FR31" s="54">
        <v>0.0</v>
      </c>
      <c r="FS31" s="54">
        <v>0.0</v>
      </c>
      <c r="FT31" s="54">
        <v>0.0</v>
      </c>
      <c r="FU31" s="54">
        <v>0.0</v>
      </c>
      <c r="FV31" s="54">
        <v>0.0</v>
      </c>
      <c r="FW31" s="54">
        <v>96747.0</v>
      </c>
      <c r="FX31" s="54">
        <v>0.0</v>
      </c>
      <c r="FY31" s="54">
        <v>109.0</v>
      </c>
      <c r="FZ31" s="54">
        <v>50.0</v>
      </c>
      <c r="GA31" s="54">
        <v>0.0</v>
      </c>
      <c r="GB31" s="54">
        <v>0.0</v>
      </c>
      <c r="GC31" s="54">
        <v>147818.0</v>
      </c>
      <c r="GD31" s="54">
        <v>0.0</v>
      </c>
      <c r="GE31" s="54">
        <v>0.0</v>
      </c>
      <c r="GF31" s="55">
        <v>7.1851558E7</v>
      </c>
      <c r="GG31" s="56">
        <v>474855.0</v>
      </c>
      <c r="GH31" s="57">
        <v>0.0</v>
      </c>
      <c r="GI31" s="56">
        <v>0.0</v>
      </c>
      <c r="GJ31" s="56">
        <v>6.9343373E7</v>
      </c>
      <c r="GK31" s="56">
        <v>-3161885.0</v>
      </c>
      <c r="GL31" s="56">
        <v>1195393.0</v>
      </c>
      <c r="GM31" s="56">
        <v>0.0</v>
      </c>
      <c r="GN31" s="55">
        <v>6.7851736E7</v>
      </c>
      <c r="GO31" s="58">
        <v>1.39703294E8</v>
      </c>
      <c r="GP31" s="56">
        <v>6752579.0</v>
      </c>
      <c r="GQ31" s="56">
        <v>0.0</v>
      </c>
      <c r="GR31" s="57">
        <v>0.0</v>
      </c>
      <c r="GS31" s="55">
        <v>6752579.0</v>
      </c>
      <c r="GT31" s="59">
        <v>1.390691E7</v>
      </c>
      <c r="GU31" s="59">
        <v>1.4363107E7</v>
      </c>
      <c r="GV31" s="59">
        <v>2786031.0</v>
      </c>
      <c r="GW31" s="55">
        <v>3.1056048E7</v>
      </c>
      <c r="GX31" s="55">
        <v>300747.0</v>
      </c>
      <c r="GY31" s="55">
        <v>1.0159392E8</v>
      </c>
      <c r="GZ31" s="58">
        <v>1.39703294E8</v>
      </c>
    </row>
    <row r="32" ht="15.75" customHeight="1">
      <c r="A32" s="60">
        <v>27.0</v>
      </c>
      <c r="B32" s="61" t="s">
        <v>72</v>
      </c>
      <c r="C32" s="62">
        <v>0.0</v>
      </c>
      <c r="D32" s="62">
        <v>0.0</v>
      </c>
      <c r="E32" s="62">
        <v>0.0</v>
      </c>
      <c r="F32" s="62">
        <v>0.0</v>
      </c>
      <c r="G32" s="62">
        <v>0.0</v>
      </c>
      <c r="H32" s="62">
        <v>0.0</v>
      </c>
      <c r="I32" s="62">
        <v>0.0</v>
      </c>
      <c r="J32" s="62">
        <v>0.0</v>
      </c>
      <c r="K32" s="62">
        <v>0.0</v>
      </c>
      <c r="L32" s="62">
        <v>0.0</v>
      </c>
      <c r="M32" s="62">
        <v>0.0</v>
      </c>
      <c r="N32" s="62">
        <v>0.0</v>
      </c>
      <c r="O32" s="62">
        <v>0.0</v>
      </c>
      <c r="P32" s="62">
        <v>0.0</v>
      </c>
      <c r="Q32" s="62">
        <v>0.0</v>
      </c>
      <c r="R32" s="62">
        <v>0.0</v>
      </c>
      <c r="S32" s="62">
        <v>0.0</v>
      </c>
      <c r="T32" s="62">
        <v>0.0</v>
      </c>
      <c r="U32" s="62">
        <v>0.0</v>
      </c>
      <c r="V32" s="62">
        <v>0.0</v>
      </c>
      <c r="W32" s="62">
        <v>0.0</v>
      </c>
      <c r="X32" s="62">
        <v>0.0</v>
      </c>
      <c r="Y32" s="62">
        <v>0.0</v>
      </c>
      <c r="Z32" s="62">
        <v>0.0</v>
      </c>
      <c r="AA32" s="62">
        <v>0.0</v>
      </c>
      <c r="AB32" s="62">
        <v>256.0</v>
      </c>
      <c r="AC32" s="62">
        <v>4039.0</v>
      </c>
      <c r="AD32" s="62">
        <v>45367.0</v>
      </c>
      <c r="AE32" s="62">
        <v>0.0</v>
      </c>
      <c r="AF32" s="62">
        <v>0.0</v>
      </c>
      <c r="AG32" s="62">
        <v>0.0</v>
      </c>
      <c r="AH32" s="62">
        <v>0.0</v>
      </c>
      <c r="AI32" s="62">
        <v>0.0</v>
      </c>
      <c r="AJ32" s="62">
        <v>0.0</v>
      </c>
      <c r="AK32" s="62">
        <v>0.0</v>
      </c>
      <c r="AL32" s="62">
        <v>0.0</v>
      </c>
      <c r="AM32" s="62">
        <v>0.0</v>
      </c>
      <c r="AN32" s="62">
        <v>0.0</v>
      </c>
      <c r="AO32" s="62">
        <v>0.0</v>
      </c>
      <c r="AP32" s="62">
        <v>0.0</v>
      </c>
      <c r="AQ32" s="62">
        <v>0.0</v>
      </c>
      <c r="AR32" s="62">
        <v>0.0</v>
      </c>
      <c r="AS32" s="62">
        <v>0.0</v>
      </c>
      <c r="AT32" s="62">
        <v>0.0</v>
      </c>
      <c r="AU32" s="62">
        <v>0.0</v>
      </c>
      <c r="AV32" s="62">
        <v>0.0</v>
      </c>
      <c r="AW32" s="62">
        <v>0.0</v>
      </c>
      <c r="AX32" s="62">
        <v>0.0</v>
      </c>
      <c r="AY32" s="62">
        <v>0.0</v>
      </c>
      <c r="AZ32" s="62">
        <v>0.0</v>
      </c>
      <c r="BA32" s="62">
        <v>0.0</v>
      </c>
      <c r="BB32" s="62">
        <v>0.0</v>
      </c>
      <c r="BC32" s="62">
        <v>0.0</v>
      </c>
      <c r="BD32" s="62">
        <v>0.0</v>
      </c>
      <c r="BE32" s="62">
        <v>0.0</v>
      </c>
      <c r="BF32" s="62">
        <v>0.0</v>
      </c>
      <c r="BG32" s="62">
        <v>2010.0</v>
      </c>
      <c r="BH32" s="62">
        <v>0.0</v>
      </c>
      <c r="BI32" s="62">
        <v>0.0</v>
      </c>
      <c r="BJ32" s="62">
        <v>1.8195183E7</v>
      </c>
      <c r="BK32" s="62">
        <v>0.0</v>
      </c>
      <c r="BL32" s="62">
        <v>0.0</v>
      </c>
      <c r="BM32" s="62">
        <v>0.0</v>
      </c>
      <c r="BN32" s="62">
        <v>104900.0</v>
      </c>
      <c r="BO32" s="62">
        <v>0.0</v>
      </c>
      <c r="BP32" s="62">
        <v>0.0</v>
      </c>
      <c r="BQ32" s="62">
        <v>0.0</v>
      </c>
      <c r="BR32" s="62">
        <v>140.0</v>
      </c>
      <c r="BS32" s="62">
        <v>2857.0</v>
      </c>
      <c r="BT32" s="62">
        <v>0.0</v>
      </c>
      <c r="BU32" s="62">
        <v>11773.0</v>
      </c>
      <c r="BV32" s="62">
        <v>0.0</v>
      </c>
      <c r="BW32" s="62">
        <v>9666.0</v>
      </c>
      <c r="BX32" s="62">
        <v>209957.0</v>
      </c>
      <c r="BY32" s="62">
        <v>0.0</v>
      </c>
      <c r="BZ32" s="62">
        <v>0.0</v>
      </c>
      <c r="CA32" s="62">
        <v>0.0</v>
      </c>
      <c r="CB32" s="62">
        <v>0.0</v>
      </c>
      <c r="CC32" s="62">
        <v>0.0</v>
      </c>
      <c r="CD32" s="62">
        <v>0.0</v>
      </c>
      <c r="CE32" s="62">
        <v>0.0</v>
      </c>
      <c r="CF32" s="62">
        <v>0.0</v>
      </c>
      <c r="CG32" s="62">
        <v>0.0</v>
      </c>
      <c r="CH32" s="62">
        <v>0.0</v>
      </c>
      <c r="CI32" s="62">
        <v>0.0</v>
      </c>
      <c r="CJ32" s="62">
        <v>0.0</v>
      </c>
      <c r="CK32" s="62">
        <v>0.0</v>
      </c>
      <c r="CL32" s="62">
        <v>0.0</v>
      </c>
      <c r="CM32" s="62">
        <v>0.0</v>
      </c>
      <c r="CN32" s="62">
        <v>0.0</v>
      </c>
      <c r="CO32" s="62">
        <v>0.0</v>
      </c>
      <c r="CP32" s="62">
        <v>0.0</v>
      </c>
      <c r="CQ32" s="62">
        <v>0.0</v>
      </c>
      <c r="CR32" s="62">
        <v>0.0</v>
      </c>
      <c r="CS32" s="62">
        <v>0.0</v>
      </c>
      <c r="CT32" s="62">
        <v>0.0</v>
      </c>
      <c r="CU32" s="62">
        <v>0.0</v>
      </c>
      <c r="CV32" s="62">
        <v>0.0</v>
      </c>
      <c r="CW32" s="62">
        <v>0.0</v>
      </c>
      <c r="CX32" s="62">
        <v>0.0</v>
      </c>
      <c r="CY32" s="62">
        <v>0.0</v>
      </c>
      <c r="CZ32" s="62">
        <v>11852.0</v>
      </c>
      <c r="DA32" s="62">
        <v>26870.0</v>
      </c>
      <c r="DB32" s="62">
        <v>12829.0</v>
      </c>
      <c r="DC32" s="62">
        <v>0.0</v>
      </c>
      <c r="DD32" s="62">
        <v>6558.0</v>
      </c>
      <c r="DE32" s="62">
        <v>0.0</v>
      </c>
      <c r="DF32" s="62">
        <v>0.0</v>
      </c>
      <c r="DG32" s="62">
        <v>0.0</v>
      </c>
      <c r="DH32" s="62">
        <v>0.0</v>
      </c>
      <c r="DI32" s="62">
        <v>0.0</v>
      </c>
      <c r="DJ32" s="62">
        <v>0.0</v>
      </c>
      <c r="DK32" s="62">
        <v>0.0</v>
      </c>
      <c r="DL32" s="62">
        <v>0.0</v>
      </c>
      <c r="DM32" s="62">
        <v>0.0</v>
      </c>
      <c r="DN32" s="62">
        <v>0.0</v>
      </c>
      <c r="DO32" s="62">
        <v>0.0</v>
      </c>
      <c r="DP32" s="62">
        <v>0.0</v>
      </c>
      <c r="DQ32" s="62">
        <v>0.0</v>
      </c>
      <c r="DR32" s="62">
        <v>0.0</v>
      </c>
      <c r="DS32" s="62">
        <v>0.0</v>
      </c>
      <c r="DT32" s="62">
        <v>0.0</v>
      </c>
      <c r="DU32" s="62">
        <v>0.0</v>
      </c>
      <c r="DV32" s="62">
        <v>0.0</v>
      </c>
      <c r="DW32" s="62">
        <v>0.0</v>
      </c>
      <c r="DX32" s="62">
        <v>0.0</v>
      </c>
      <c r="DY32" s="62">
        <v>0.0</v>
      </c>
      <c r="DZ32" s="62">
        <v>0.0</v>
      </c>
      <c r="EA32" s="62">
        <v>0.0</v>
      </c>
      <c r="EB32" s="62">
        <v>0.0</v>
      </c>
      <c r="EC32" s="62">
        <v>0.0</v>
      </c>
      <c r="ED32" s="62">
        <v>0.0</v>
      </c>
      <c r="EE32" s="62">
        <v>0.0</v>
      </c>
      <c r="EF32" s="62">
        <v>0.0</v>
      </c>
      <c r="EG32" s="62">
        <v>0.0</v>
      </c>
      <c r="EH32" s="62">
        <v>0.0</v>
      </c>
      <c r="EI32" s="62">
        <v>0.0</v>
      </c>
      <c r="EJ32" s="62">
        <v>0.0</v>
      </c>
      <c r="EK32" s="62">
        <v>0.0</v>
      </c>
      <c r="EL32" s="62">
        <v>0.0</v>
      </c>
      <c r="EM32" s="62">
        <v>0.0</v>
      </c>
      <c r="EN32" s="62">
        <v>0.0</v>
      </c>
      <c r="EO32" s="62">
        <v>0.0</v>
      </c>
      <c r="EP32" s="62">
        <v>0.0</v>
      </c>
      <c r="EQ32" s="62">
        <v>0.0</v>
      </c>
      <c r="ER32" s="62">
        <v>0.0</v>
      </c>
      <c r="ES32" s="62">
        <v>0.0</v>
      </c>
      <c r="ET32" s="62">
        <v>0.0</v>
      </c>
      <c r="EU32" s="62">
        <v>0.0</v>
      </c>
      <c r="EV32" s="62">
        <v>0.0</v>
      </c>
      <c r="EW32" s="62">
        <v>0.0</v>
      </c>
      <c r="EX32" s="62">
        <v>0.0</v>
      </c>
      <c r="EY32" s="62">
        <v>0.0</v>
      </c>
      <c r="EZ32" s="62">
        <v>0.0</v>
      </c>
      <c r="FA32" s="62">
        <v>0.0</v>
      </c>
      <c r="FB32" s="62">
        <v>0.0</v>
      </c>
      <c r="FC32" s="62">
        <v>0.0</v>
      </c>
      <c r="FD32" s="62">
        <v>0.0</v>
      </c>
      <c r="FE32" s="62">
        <v>0.0</v>
      </c>
      <c r="FF32" s="62">
        <v>0.0</v>
      </c>
      <c r="FG32" s="62">
        <v>0.0</v>
      </c>
      <c r="FH32" s="62">
        <v>0.0</v>
      </c>
      <c r="FI32" s="62">
        <v>0.0</v>
      </c>
      <c r="FJ32" s="62">
        <v>41524.0</v>
      </c>
      <c r="FK32" s="62">
        <v>455445.0</v>
      </c>
      <c r="FL32" s="62">
        <v>0.0</v>
      </c>
      <c r="FM32" s="62">
        <v>0.0</v>
      </c>
      <c r="FN32" s="62">
        <v>0.0</v>
      </c>
      <c r="FO32" s="62">
        <v>0.0</v>
      </c>
      <c r="FP32" s="62">
        <v>0.0</v>
      </c>
      <c r="FQ32" s="62">
        <v>0.0</v>
      </c>
      <c r="FR32" s="62">
        <v>0.0</v>
      </c>
      <c r="FS32" s="62">
        <v>0.0</v>
      </c>
      <c r="FT32" s="62">
        <v>0.0</v>
      </c>
      <c r="FU32" s="62">
        <v>0.0</v>
      </c>
      <c r="FV32" s="62">
        <v>0.0</v>
      </c>
      <c r="FW32" s="62">
        <v>379.0</v>
      </c>
      <c r="FX32" s="62">
        <v>278.0</v>
      </c>
      <c r="FY32" s="62">
        <v>1234341.0</v>
      </c>
      <c r="FZ32" s="62">
        <v>0.0</v>
      </c>
      <c r="GA32" s="62">
        <v>50544.0</v>
      </c>
      <c r="GB32" s="62">
        <v>568034.0</v>
      </c>
      <c r="GC32" s="62">
        <v>32992.0</v>
      </c>
      <c r="GD32" s="62">
        <v>0.0</v>
      </c>
      <c r="GE32" s="62">
        <v>229006.0</v>
      </c>
      <c r="GF32" s="63">
        <v>2.12568E7</v>
      </c>
      <c r="GG32" s="64">
        <v>1123679.0</v>
      </c>
      <c r="GH32" s="65">
        <v>0.0</v>
      </c>
      <c r="GI32" s="64">
        <v>0.0</v>
      </c>
      <c r="GJ32" s="64">
        <v>0.0</v>
      </c>
      <c r="GK32" s="64">
        <v>-438818.0</v>
      </c>
      <c r="GL32" s="64">
        <v>135213.0</v>
      </c>
      <c r="GM32" s="64">
        <v>0.0</v>
      </c>
      <c r="GN32" s="63">
        <v>820074.0</v>
      </c>
      <c r="GO32" s="66">
        <v>2.2076874E7</v>
      </c>
      <c r="GP32" s="64">
        <v>174170.0</v>
      </c>
      <c r="GQ32" s="64">
        <v>0.0</v>
      </c>
      <c r="GR32" s="65">
        <v>0.0</v>
      </c>
      <c r="GS32" s="63">
        <v>174170.0</v>
      </c>
      <c r="GT32" s="67">
        <v>2388175.0</v>
      </c>
      <c r="GU32" s="67">
        <v>1565297.0</v>
      </c>
      <c r="GV32" s="67">
        <v>246789.0</v>
      </c>
      <c r="GW32" s="63">
        <v>4200261.0</v>
      </c>
      <c r="GX32" s="63">
        <v>17432.0</v>
      </c>
      <c r="GY32" s="63">
        <v>1.7685011E7</v>
      </c>
      <c r="GZ32" s="66">
        <v>2.2076874E7</v>
      </c>
    </row>
    <row r="33" ht="15.75" customHeight="1">
      <c r="A33" s="60">
        <v>28.0</v>
      </c>
      <c r="B33" s="61" t="s">
        <v>73</v>
      </c>
      <c r="C33" s="62">
        <v>88607.0</v>
      </c>
      <c r="D33" s="62">
        <v>88791.0</v>
      </c>
      <c r="E33" s="62">
        <v>8922.0</v>
      </c>
      <c r="F33" s="62">
        <v>63798.0</v>
      </c>
      <c r="G33" s="62">
        <v>2623.0</v>
      </c>
      <c r="H33" s="62">
        <v>16301.0</v>
      </c>
      <c r="I33" s="62">
        <v>5998.0</v>
      </c>
      <c r="J33" s="62">
        <v>9167.0</v>
      </c>
      <c r="K33" s="62">
        <v>0.0</v>
      </c>
      <c r="L33" s="62">
        <v>665365.0</v>
      </c>
      <c r="M33" s="62">
        <v>66882.0</v>
      </c>
      <c r="N33" s="62">
        <v>65771.0</v>
      </c>
      <c r="O33" s="62">
        <v>279090.0</v>
      </c>
      <c r="P33" s="62">
        <v>624.0</v>
      </c>
      <c r="Q33" s="62">
        <v>27772.0</v>
      </c>
      <c r="R33" s="62">
        <v>1267702.0</v>
      </c>
      <c r="S33" s="62">
        <v>24110.0</v>
      </c>
      <c r="T33" s="62">
        <v>16269.0</v>
      </c>
      <c r="U33" s="62">
        <v>5452.0</v>
      </c>
      <c r="V33" s="62">
        <v>85396.0</v>
      </c>
      <c r="W33" s="62">
        <v>3110.0</v>
      </c>
      <c r="X33" s="62">
        <v>91120.0</v>
      </c>
      <c r="Y33" s="62">
        <v>48490.0</v>
      </c>
      <c r="Z33" s="62">
        <v>81514.0</v>
      </c>
      <c r="AA33" s="62">
        <v>952.0</v>
      </c>
      <c r="AB33" s="62">
        <v>53015.0</v>
      </c>
      <c r="AC33" s="62">
        <v>6184.0</v>
      </c>
      <c r="AD33" s="62">
        <v>4595365.0</v>
      </c>
      <c r="AE33" s="62">
        <v>42056.0</v>
      </c>
      <c r="AF33" s="62">
        <v>0.0</v>
      </c>
      <c r="AG33" s="62">
        <v>0.0</v>
      </c>
      <c r="AH33" s="62">
        <v>0.0</v>
      </c>
      <c r="AI33" s="62">
        <v>0.0</v>
      </c>
      <c r="AJ33" s="62">
        <v>0.0</v>
      </c>
      <c r="AK33" s="62">
        <v>0.0</v>
      </c>
      <c r="AL33" s="62">
        <v>8765.0</v>
      </c>
      <c r="AM33" s="62">
        <v>0.0</v>
      </c>
      <c r="AN33" s="62">
        <v>0.0</v>
      </c>
      <c r="AO33" s="62">
        <v>0.0</v>
      </c>
      <c r="AP33" s="62">
        <v>0.0</v>
      </c>
      <c r="AQ33" s="62">
        <v>0.0</v>
      </c>
      <c r="AR33" s="62">
        <v>0.0</v>
      </c>
      <c r="AS33" s="62">
        <v>0.0</v>
      </c>
      <c r="AT33" s="62">
        <v>0.0</v>
      </c>
      <c r="AU33" s="62">
        <v>0.0</v>
      </c>
      <c r="AV33" s="62">
        <v>0.0</v>
      </c>
      <c r="AW33" s="62">
        <v>0.0</v>
      </c>
      <c r="AX33" s="62">
        <v>0.0</v>
      </c>
      <c r="AY33" s="62">
        <v>0.0</v>
      </c>
      <c r="AZ33" s="62">
        <v>0.0</v>
      </c>
      <c r="BA33" s="62">
        <v>0.0</v>
      </c>
      <c r="BB33" s="62">
        <v>0.0</v>
      </c>
      <c r="BC33" s="62">
        <v>9.6443546E7</v>
      </c>
      <c r="BD33" s="62">
        <v>205565.0</v>
      </c>
      <c r="BE33" s="62">
        <v>0.0</v>
      </c>
      <c r="BF33" s="62">
        <v>0.0</v>
      </c>
      <c r="BG33" s="62">
        <v>2870.0</v>
      </c>
      <c r="BH33" s="62">
        <v>0.0</v>
      </c>
      <c r="BI33" s="62">
        <v>0.0</v>
      </c>
      <c r="BJ33" s="62">
        <v>40125.0</v>
      </c>
      <c r="BK33" s="62">
        <v>0.0</v>
      </c>
      <c r="BL33" s="62">
        <v>0.0</v>
      </c>
      <c r="BM33" s="62">
        <v>0.0</v>
      </c>
      <c r="BN33" s="62">
        <v>1911153.0</v>
      </c>
      <c r="BO33" s="62">
        <v>0.0</v>
      </c>
      <c r="BP33" s="62">
        <v>159.0</v>
      </c>
      <c r="BQ33" s="62">
        <v>5475.0</v>
      </c>
      <c r="BR33" s="62">
        <v>78.0</v>
      </c>
      <c r="BS33" s="62">
        <v>141.0</v>
      </c>
      <c r="BT33" s="62">
        <v>24706.0</v>
      </c>
      <c r="BU33" s="62">
        <v>6011320.0</v>
      </c>
      <c r="BV33" s="62">
        <v>0.0</v>
      </c>
      <c r="BW33" s="62">
        <v>0.0</v>
      </c>
      <c r="BX33" s="62">
        <v>10114.0</v>
      </c>
      <c r="BY33" s="62">
        <v>0.0</v>
      </c>
      <c r="BZ33" s="62">
        <v>0.0</v>
      </c>
      <c r="CA33" s="62">
        <v>0.0</v>
      </c>
      <c r="CB33" s="62">
        <v>0.0</v>
      </c>
      <c r="CC33" s="62">
        <v>0.0</v>
      </c>
      <c r="CD33" s="62">
        <v>0.0</v>
      </c>
      <c r="CE33" s="62">
        <v>0.0</v>
      </c>
      <c r="CF33" s="62">
        <v>0.0</v>
      </c>
      <c r="CG33" s="62">
        <v>0.0</v>
      </c>
      <c r="CH33" s="62">
        <v>0.0</v>
      </c>
      <c r="CI33" s="62">
        <v>0.0</v>
      </c>
      <c r="CJ33" s="62">
        <v>0.0</v>
      </c>
      <c r="CK33" s="62">
        <v>0.0</v>
      </c>
      <c r="CL33" s="62">
        <v>0.0</v>
      </c>
      <c r="CM33" s="62">
        <v>0.0</v>
      </c>
      <c r="CN33" s="62">
        <v>0.0</v>
      </c>
      <c r="CO33" s="62">
        <v>0.0</v>
      </c>
      <c r="CP33" s="62">
        <v>0.0</v>
      </c>
      <c r="CQ33" s="62">
        <v>0.0</v>
      </c>
      <c r="CR33" s="62">
        <v>0.0</v>
      </c>
      <c r="CS33" s="62">
        <v>0.0</v>
      </c>
      <c r="CT33" s="62">
        <v>0.0</v>
      </c>
      <c r="CU33" s="62">
        <v>0.0</v>
      </c>
      <c r="CV33" s="62">
        <v>0.0</v>
      </c>
      <c r="CW33" s="62">
        <v>0.0</v>
      </c>
      <c r="CX33" s="62">
        <v>0.0</v>
      </c>
      <c r="CY33" s="62">
        <v>0.0</v>
      </c>
      <c r="CZ33" s="62">
        <v>0.0</v>
      </c>
      <c r="DA33" s="62">
        <v>0.0</v>
      </c>
      <c r="DB33" s="62">
        <v>3443.0</v>
      </c>
      <c r="DC33" s="62">
        <v>84364.0</v>
      </c>
      <c r="DD33" s="62">
        <v>22372.0</v>
      </c>
      <c r="DE33" s="62">
        <v>0.0</v>
      </c>
      <c r="DF33" s="62">
        <v>0.0</v>
      </c>
      <c r="DG33" s="62">
        <v>0.0</v>
      </c>
      <c r="DH33" s="62">
        <v>0.0</v>
      </c>
      <c r="DI33" s="62">
        <v>0.0</v>
      </c>
      <c r="DJ33" s="62">
        <v>0.0</v>
      </c>
      <c r="DK33" s="62">
        <v>0.0</v>
      </c>
      <c r="DL33" s="62">
        <v>0.0</v>
      </c>
      <c r="DM33" s="62">
        <v>0.0</v>
      </c>
      <c r="DN33" s="62">
        <v>0.0</v>
      </c>
      <c r="DO33" s="62">
        <v>0.0</v>
      </c>
      <c r="DP33" s="62">
        <v>0.0</v>
      </c>
      <c r="DQ33" s="62">
        <v>0.0</v>
      </c>
      <c r="DR33" s="62">
        <v>0.0</v>
      </c>
      <c r="DS33" s="62">
        <v>0.0</v>
      </c>
      <c r="DT33" s="62">
        <v>0.0</v>
      </c>
      <c r="DU33" s="62">
        <v>0.0</v>
      </c>
      <c r="DV33" s="62">
        <v>0.0</v>
      </c>
      <c r="DW33" s="62">
        <v>0.0</v>
      </c>
      <c r="DX33" s="62">
        <v>0.0</v>
      </c>
      <c r="DY33" s="62">
        <v>0.0</v>
      </c>
      <c r="DZ33" s="62">
        <v>0.0</v>
      </c>
      <c r="EA33" s="62">
        <v>0.0</v>
      </c>
      <c r="EB33" s="62">
        <v>0.0</v>
      </c>
      <c r="EC33" s="62">
        <v>0.0</v>
      </c>
      <c r="ED33" s="62">
        <v>0.0</v>
      </c>
      <c r="EE33" s="62">
        <v>0.0</v>
      </c>
      <c r="EF33" s="62">
        <v>0.0</v>
      </c>
      <c r="EG33" s="62">
        <v>0.0</v>
      </c>
      <c r="EH33" s="62">
        <v>0.0</v>
      </c>
      <c r="EI33" s="62">
        <v>0.0</v>
      </c>
      <c r="EJ33" s="62">
        <v>0.0</v>
      </c>
      <c r="EK33" s="62">
        <v>0.0</v>
      </c>
      <c r="EL33" s="62">
        <v>155325.0</v>
      </c>
      <c r="EM33" s="62">
        <v>4443.0</v>
      </c>
      <c r="EN33" s="62">
        <v>0.0</v>
      </c>
      <c r="EO33" s="62">
        <v>0.0</v>
      </c>
      <c r="EP33" s="62">
        <v>0.0</v>
      </c>
      <c r="EQ33" s="62">
        <v>0.0</v>
      </c>
      <c r="ER33" s="62">
        <v>0.0</v>
      </c>
      <c r="ES33" s="62">
        <v>0.0</v>
      </c>
      <c r="ET33" s="62">
        <v>0.0</v>
      </c>
      <c r="EU33" s="62">
        <v>0.0</v>
      </c>
      <c r="EV33" s="62">
        <v>0.0</v>
      </c>
      <c r="EW33" s="62">
        <v>0.0</v>
      </c>
      <c r="EX33" s="62">
        <v>0.0</v>
      </c>
      <c r="EY33" s="62">
        <v>0.0</v>
      </c>
      <c r="EZ33" s="62">
        <v>0.0</v>
      </c>
      <c r="FA33" s="62">
        <v>0.0</v>
      </c>
      <c r="FB33" s="62">
        <v>0.0</v>
      </c>
      <c r="FC33" s="62">
        <v>0.0</v>
      </c>
      <c r="FD33" s="62">
        <v>0.0</v>
      </c>
      <c r="FE33" s="62">
        <v>57167.0</v>
      </c>
      <c r="FF33" s="62">
        <v>0.0</v>
      </c>
      <c r="FG33" s="62">
        <v>0.0</v>
      </c>
      <c r="FH33" s="62">
        <v>0.0</v>
      </c>
      <c r="FI33" s="62">
        <v>0.0</v>
      </c>
      <c r="FJ33" s="62">
        <v>2118261.0</v>
      </c>
      <c r="FK33" s="62">
        <v>1.6426834E7</v>
      </c>
      <c r="FL33" s="62">
        <v>0.0</v>
      </c>
      <c r="FM33" s="62">
        <v>0.0</v>
      </c>
      <c r="FN33" s="62">
        <v>0.0</v>
      </c>
      <c r="FO33" s="62">
        <v>0.0</v>
      </c>
      <c r="FP33" s="62">
        <v>0.0</v>
      </c>
      <c r="FQ33" s="62">
        <v>0.0</v>
      </c>
      <c r="FR33" s="62">
        <v>0.0</v>
      </c>
      <c r="FS33" s="62">
        <v>0.0</v>
      </c>
      <c r="FT33" s="62">
        <v>0.0</v>
      </c>
      <c r="FU33" s="62">
        <v>0.0</v>
      </c>
      <c r="FV33" s="62">
        <v>0.0</v>
      </c>
      <c r="FW33" s="62">
        <v>205501.0</v>
      </c>
      <c r="FX33" s="62">
        <v>6233.0</v>
      </c>
      <c r="FY33" s="62">
        <v>382269.0</v>
      </c>
      <c r="FZ33" s="62">
        <v>2926.0</v>
      </c>
      <c r="GA33" s="62">
        <v>160342.0</v>
      </c>
      <c r="GB33" s="62">
        <v>1383123.0</v>
      </c>
      <c r="GC33" s="62">
        <v>148539.0</v>
      </c>
      <c r="GD33" s="62">
        <v>0.0</v>
      </c>
      <c r="GE33" s="62">
        <v>608013.0</v>
      </c>
      <c r="GF33" s="63">
        <v>1.34143618E8</v>
      </c>
      <c r="GG33" s="64">
        <v>9.6248584E7</v>
      </c>
      <c r="GH33" s="65">
        <v>0.0</v>
      </c>
      <c r="GI33" s="64">
        <v>0.0</v>
      </c>
      <c r="GJ33" s="64">
        <v>3.2590435E7</v>
      </c>
      <c r="GK33" s="64">
        <v>-2018594.0</v>
      </c>
      <c r="GL33" s="64">
        <v>32986.0</v>
      </c>
      <c r="GM33" s="64">
        <v>0.0</v>
      </c>
      <c r="GN33" s="63">
        <v>1.26853411E8</v>
      </c>
      <c r="GO33" s="66">
        <v>2.60997029E8</v>
      </c>
      <c r="GP33" s="64">
        <v>509273.0</v>
      </c>
      <c r="GQ33" s="64">
        <v>0.0</v>
      </c>
      <c r="GR33" s="65">
        <v>0.0</v>
      </c>
      <c r="GS33" s="63">
        <v>509273.0</v>
      </c>
      <c r="GT33" s="67">
        <v>2.4338252E7</v>
      </c>
      <c r="GU33" s="67">
        <v>2.6686842E7</v>
      </c>
      <c r="GV33" s="67">
        <v>3176670.0</v>
      </c>
      <c r="GW33" s="63">
        <v>5.4201764E7</v>
      </c>
      <c r="GX33" s="63">
        <v>25295.0</v>
      </c>
      <c r="GY33" s="63">
        <v>2.06260697E8</v>
      </c>
      <c r="GZ33" s="66">
        <v>2.60997029E8</v>
      </c>
    </row>
    <row r="34" ht="15.75" customHeight="1">
      <c r="A34" s="60">
        <v>29.0</v>
      </c>
      <c r="B34" s="61" t="s">
        <v>74</v>
      </c>
      <c r="C34" s="62">
        <v>0.0</v>
      </c>
      <c r="D34" s="62">
        <v>0.0</v>
      </c>
      <c r="E34" s="62">
        <v>0.0</v>
      </c>
      <c r="F34" s="62">
        <v>0.0</v>
      </c>
      <c r="G34" s="62">
        <v>0.0</v>
      </c>
      <c r="H34" s="62">
        <v>0.0</v>
      </c>
      <c r="I34" s="62">
        <v>0.0</v>
      </c>
      <c r="J34" s="62">
        <v>0.0</v>
      </c>
      <c r="K34" s="62">
        <v>0.0</v>
      </c>
      <c r="L34" s="62">
        <v>0.0</v>
      </c>
      <c r="M34" s="62">
        <v>0.0</v>
      </c>
      <c r="N34" s="62">
        <v>0.0</v>
      </c>
      <c r="O34" s="62">
        <v>0.0</v>
      </c>
      <c r="P34" s="62">
        <v>0.0</v>
      </c>
      <c r="Q34" s="62">
        <v>0.0</v>
      </c>
      <c r="R34" s="62">
        <v>0.0</v>
      </c>
      <c r="S34" s="62">
        <v>0.0</v>
      </c>
      <c r="T34" s="62">
        <v>0.0</v>
      </c>
      <c r="U34" s="62">
        <v>0.0</v>
      </c>
      <c r="V34" s="62">
        <v>0.0</v>
      </c>
      <c r="W34" s="62">
        <v>0.0</v>
      </c>
      <c r="X34" s="62">
        <v>0.0</v>
      </c>
      <c r="Y34" s="62">
        <v>0.0</v>
      </c>
      <c r="Z34" s="62">
        <v>0.0</v>
      </c>
      <c r="AA34" s="62">
        <v>0.0</v>
      </c>
      <c r="AB34" s="62">
        <v>0.0</v>
      </c>
      <c r="AC34" s="62">
        <v>0.0</v>
      </c>
      <c r="AD34" s="62">
        <v>0.0</v>
      </c>
      <c r="AE34" s="62">
        <v>219309.0</v>
      </c>
      <c r="AF34" s="62">
        <v>0.0</v>
      </c>
      <c r="AG34" s="62">
        <v>0.0</v>
      </c>
      <c r="AH34" s="62">
        <v>0.0</v>
      </c>
      <c r="AI34" s="62">
        <v>6352.0</v>
      </c>
      <c r="AJ34" s="62">
        <v>0.0</v>
      </c>
      <c r="AK34" s="62">
        <v>0.0</v>
      </c>
      <c r="AL34" s="62">
        <v>0.0</v>
      </c>
      <c r="AM34" s="62">
        <v>0.0</v>
      </c>
      <c r="AN34" s="62">
        <v>0.0</v>
      </c>
      <c r="AO34" s="62">
        <v>0.0</v>
      </c>
      <c r="AP34" s="62">
        <v>0.0</v>
      </c>
      <c r="AQ34" s="62">
        <v>0.0</v>
      </c>
      <c r="AR34" s="62">
        <v>0.0</v>
      </c>
      <c r="AS34" s="62">
        <v>0.0</v>
      </c>
      <c r="AT34" s="62">
        <v>0.0</v>
      </c>
      <c r="AU34" s="62">
        <v>0.0</v>
      </c>
      <c r="AV34" s="62">
        <v>0.0</v>
      </c>
      <c r="AW34" s="62">
        <v>0.0</v>
      </c>
      <c r="AX34" s="62">
        <v>0.0</v>
      </c>
      <c r="AY34" s="62">
        <v>0.0</v>
      </c>
      <c r="AZ34" s="62">
        <v>0.0</v>
      </c>
      <c r="BA34" s="62">
        <v>0.0</v>
      </c>
      <c r="BB34" s="62">
        <v>0.0</v>
      </c>
      <c r="BC34" s="62">
        <v>0.0</v>
      </c>
      <c r="BD34" s="62">
        <v>0.0</v>
      </c>
      <c r="BE34" s="62">
        <v>0.0</v>
      </c>
      <c r="BF34" s="62">
        <v>0.0</v>
      </c>
      <c r="BG34" s="62">
        <v>0.0</v>
      </c>
      <c r="BH34" s="62">
        <v>4632.0</v>
      </c>
      <c r="BI34" s="62">
        <v>0.0</v>
      </c>
      <c r="BJ34" s="62">
        <v>0.0</v>
      </c>
      <c r="BK34" s="62">
        <v>0.0</v>
      </c>
      <c r="BL34" s="62">
        <v>0.0</v>
      </c>
      <c r="BM34" s="62">
        <v>0.0</v>
      </c>
      <c r="BN34" s="62">
        <v>0.0</v>
      </c>
      <c r="BO34" s="62">
        <v>0.0</v>
      </c>
      <c r="BP34" s="62">
        <v>0.0</v>
      </c>
      <c r="BQ34" s="62">
        <v>0.0</v>
      </c>
      <c r="BR34" s="62">
        <v>0.0</v>
      </c>
      <c r="BS34" s="62">
        <v>0.0</v>
      </c>
      <c r="BT34" s="62">
        <v>0.0</v>
      </c>
      <c r="BU34" s="62">
        <v>248.0</v>
      </c>
      <c r="BV34" s="62">
        <v>0.0</v>
      </c>
      <c r="BW34" s="62">
        <v>0.0</v>
      </c>
      <c r="BX34" s="62">
        <v>0.0</v>
      </c>
      <c r="BY34" s="62">
        <v>0.0</v>
      </c>
      <c r="BZ34" s="62">
        <v>0.0</v>
      </c>
      <c r="CA34" s="62">
        <v>225698.0</v>
      </c>
      <c r="CB34" s="62">
        <v>0.0</v>
      </c>
      <c r="CC34" s="62">
        <v>0.0</v>
      </c>
      <c r="CD34" s="62">
        <v>0.0</v>
      </c>
      <c r="CE34" s="62">
        <v>0.0</v>
      </c>
      <c r="CF34" s="62">
        <v>0.0</v>
      </c>
      <c r="CG34" s="62">
        <v>0.0</v>
      </c>
      <c r="CH34" s="62">
        <v>0.0</v>
      </c>
      <c r="CI34" s="62">
        <v>0.0</v>
      </c>
      <c r="CJ34" s="62">
        <v>0.0</v>
      </c>
      <c r="CK34" s="62">
        <v>0.0</v>
      </c>
      <c r="CL34" s="62">
        <v>0.0</v>
      </c>
      <c r="CM34" s="62">
        <v>0.0</v>
      </c>
      <c r="CN34" s="62">
        <v>0.0</v>
      </c>
      <c r="CO34" s="62">
        <v>0.0</v>
      </c>
      <c r="CP34" s="62">
        <v>0.0</v>
      </c>
      <c r="CQ34" s="62">
        <v>0.0</v>
      </c>
      <c r="CR34" s="62">
        <v>0.0</v>
      </c>
      <c r="CS34" s="62">
        <v>0.0</v>
      </c>
      <c r="CT34" s="62">
        <v>0.0</v>
      </c>
      <c r="CU34" s="62">
        <v>0.0</v>
      </c>
      <c r="CV34" s="62">
        <v>0.0</v>
      </c>
      <c r="CW34" s="62">
        <v>0.0</v>
      </c>
      <c r="CX34" s="62">
        <v>0.0</v>
      </c>
      <c r="CY34" s="62">
        <v>0.0</v>
      </c>
      <c r="CZ34" s="62">
        <v>0.0</v>
      </c>
      <c r="DA34" s="62">
        <v>0.0</v>
      </c>
      <c r="DB34" s="62">
        <v>0.0</v>
      </c>
      <c r="DC34" s="62">
        <v>0.0</v>
      </c>
      <c r="DD34" s="62">
        <v>5463.0</v>
      </c>
      <c r="DE34" s="62">
        <v>0.0</v>
      </c>
      <c r="DF34" s="62">
        <v>0.0</v>
      </c>
      <c r="DG34" s="62">
        <v>0.0</v>
      </c>
      <c r="DH34" s="62">
        <v>0.0</v>
      </c>
      <c r="DI34" s="62">
        <v>0.0</v>
      </c>
      <c r="DJ34" s="62">
        <v>0.0</v>
      </c>
      <c r="DK34" s="62">
        <v>0.0</v>
      </c>
      <c r="DL34" s="62">
        <v>0.0</v>
      </c>
      <c r="DM34" s="62">
        <v>0.0</v>
      </c>
      <c r="DN34" s="62">
        <v>0.0</v>
      </c>
      <c r="DO34" s="62">
        <v>0.0</v>
      </c>
      <c r="DP34" s="62">
        <v>0.0</v>
      </c>
      <c r="DQ34" s="62">
        <v>0.0</v>
      </c>
      <c r="DR34" s="62">
        <v>0.0</v>
      </c>
      <c r="DS34" s="62">
        <v>0.0</v>
      </c>
      <c r="DT34" s="62">
        <v>0.0</v>
      </c>
      <c r="DU34" s="62">
        <v>0.0</v>
      </c>
      <c r="DV34" s="62">
        <v>0.0</v>
      </c>
      <c r="DW34" s="62">
        <v>0.0</v>
      </c>
      <c r="DX34" s="62">
        <v>0.0</v>
      </c>
      <c r="DY34" s="62">
        <v>0.0</v>
      </c>
      <c r="DZ34" s="62">
        <v>0.0</v>
      </c>
      <c r="EA34" s="62">
        <v>0.0</v>
      </c>
      <c r="EB34" s="62">
        <v>0.0</v>
      </c>
      <c r="EC34" s="62">
        <v>0.0</v>
      </c>
      <c r="ED34" s="62">
        <v>0.0</v>
      </c>
      <c r="EE34" s="62">
        <v>0.0</v>
      </c>
      <c r="EF34" s="62">
        <v>0.0</v>
      </c>
      <c r="EG34" s="62">
        <v>0.0</v>
      </c>
      <c r="EH34" s="62">
        <v>0.0</v>
      </c>
      <c r="EI34" s="62">
        <v>0.0</v>
      </c>
      <c r="EJ34" s="62">
        <v>0.0</v>
      </c>
      <c r="EK34" s="62">
        <v>0.0</v>
      </c>
      <c r="EL34" s="62">
        <v>0.0</v>
      </c>
      <c r="EM34" s="62">
        <v>0.0</v>
      </c>
      <c r="EN34" s="62">
        <v>0.0</v>
      </c>
      <c r="EO34" s="62">
        <v>0.0</v>
      </c>
      <c r="EP34" s="62">
        <v>0.0</v>
      </c>
      <c r="EQ34" s="62">
        <v>0.0</v>
      </c>
      <c r="ER34" s="62">
        <v>0.0</v>
      </c>
      <c r="ES34" s="62">
        <v>0.0</v>
      </c>
      <c r="ET34" s="62">
        <v>0.0</v>
      </c>
      <c r="EU34" s="62">
        <v>0.0</v>
      </c>
      <c r="EV34" s="62">
        <v>0.0</v>
      </c>
      <c r="EW34" s="62">
        <v>0.0</v>
      </c>
      <c r="EX34" s="62">
        <v>0.0</v>
      </c>
      <c r="EY34" s="62">
        <v>0.0</v>
      </c>
      <c r="EZ34" s="62">
        <v>0.0</v>
      </c>
      <c r="FA34" s="62">
        <v>0.0</v>
      </c>
      <c r="FB34" s="62">
        <v>0.0</v>
      </c>
      <c r="FC34" s="62">
        <v>0.0</v>
      </c>
      <c r="FD34" s="62">
        <v>0.0</v>
      </c>
      <c r="FE34" s="62">
        <v>0.0</v>
      </c>
      <c r="FF34" s="62">
        <v>0.0</v>
      </c>
      <c r="FG34" s="62">
        <v>0.0</v>
      </c>
      <c r="FH34" s="62">
        <v>0.0</v>
      </c>
      <c r="FI34" s="62">
        <v>0.0</v>
      </c>
      <c r="FJ34" s="62">
        <v>35171.0</v>
      </c>
      <c r="FK34" s="62">
        <v>112222.0</v>
      </c>
      <c r="FL34" s="62">
        <v>0.0</v>
      </c>
      <c r="FM34" s="62">
        <v>0.0</v>
      </c>
      <c r="FN34" s="62">
        <v>0.0</v>
      </c>
      <c r="FO34" s="62">
        <v>0.0</v>
      </c>
      <c r="FP34" s="62">
        <v>0.0</v>
      </c>
      <c r="FQ34" s="62">
        <v>0.0</v>
      </c>
      <c r="FR34" s="62">
        <v>0.0</v>
      </c>
      <c r="FS34" s="62">
        <v>0.0</v>
      </c>
      <c r="FT34" s="62">
        <v>0.0</v>
      </c>
      <c r="FU34" s="62">
        <v>0.0</v>
      </c>
      <c r="FV34" s="62">
        <v>0.0</v>
      </c>
      <c r="FW34" s="62">
        <v>0.0</v>
      </c>
      <c r="FX34" s="62">
        <v>0.0</v>
      </c>
      <c r="FY34" s="62">
        <v>0.0</v>
      </c>
      <c r="FZ34" s="62">
        <v>0.0</v>
      </c>
      <c r="GA34" s="62">
        <v>0.0</v>
      </c>
      <c r="GB34" s="62">
        <v>17.0</v>
      </c>
      <c r="GC34" s="62">
        <v>960.0</v>
      </c>
      <c r="GD34" s="62">
        <v>0.0</v>
      </c>
      <c r="GE34" s="62">
        <v>0.0</v>
      </c>
      <c r="GF34" s="63">
        <v>610072.0</v>
      </c>
      <c r="GG34" s="64">
        <v>6510565.0</v>
      </c>
      <c r="GH34" s="65">
        <v>0.0</v>
      </c>
      <c r="GI34" s="64">
        <v>0.0</v>
      </c>
      <c r="GJ34" s="64">
        <v>9850970.0</v>
      </c>
      <c r="GK34" s="64">
        <v>-1604509.0</v>
      </c>
      <c r="GL34" s="64">
        <v>7911017.0</v>
      </c>
      <c r="GM34" s="64">
        <v>0.0</v>
      </c>
      <c r="GN34" s="63">
        <v>2.2668043E7</v>
      </c>
      <c r="GO34" s="66">
        <v>2.3278115E7</v>
      </c>
      <c r="GP34" s="64">
        <v>54147.0</v>
      </c>
      <c r="GQ34" s="64">
        <v>0.0</v>
      </c>
      <c r="GR34" s="65">
        <v>0.0</v>
      </c>
      <c r="GS34" s="63">
        <v>54147.0</v>
      </c>
      <c r="GT34" s="67">
        <v>2938273.0</v>
      </c>
      <c r="GU34" s="67">
        <v>1779836.0</v>
      </c>
      <c r="GV34" s="67">
        <v>319442.0</v>
      </c>
      <c r="GW34" s="63">
        <v>5037551.0</v>
      </c>
      <c r="GX34" s="63">
        <v>5725.0</v>
      </c>
      <c r="GY34" s="63">
        <v>1.8180692E7</v>
      </c>
      <c r="GZ34" s="66">
        <v>2.3278115E7</v>
      </c>
    </row>
    <row r="35" ht="15.75" customHeight="1">
      <c r="A35" s="68">
        <v>30.0</v>
      </c>
      <c r="B35" s="69" t="s">
        <v>75</v>
      </c>
      <c r="C35" s="70">
        <v>3268458.0</v>
      </c>
      <c r="D35" s="70">
        <v>401487.0</v>
      </c>
      <c r="E35" s="70">
        <v>98617.0</v>
      </c>
      <c r="F35" s="70">
        <v>1161301.0</v>
      </c>
      <c r="G35" s="70">
        <v>68921.0</v>
      </c>
      <c r="H35" s="70">
        <v>165801.0</v>
      </c>
      <c r="I35" s="70">
        <v>135048.0</v>
      </c>
      <c r="J35" s="70">
        <v>163305.0</v>
      </c>
      <c r="K35" s="70">
        <v>531.0</v>
      </c>
      <c r="L35" s="70">
        <v>2619485.0</v>
      </c>
      <c r="M35" s="70">
        <v>198085.0</v>
      </c>
      <c r="N35" s="70">
        <v>526315.0</v>
      </c>
      <c r="O35" s="70">
        <v>1206888.0</v>
      </c>
      <c r="P35" s="70">
        <v>13155.0</v>
      </c>
      <c r="Q35" s="70">
        <v>522630.0</v>
      </c>
      <c r="R35" s="70">
        <v>2380273.0</v>
      </c>
      <c r="S35" s="70">
        <v>143873.0</v>
      </c>
      <c r="T35" s="70">
        <v>2852237.0</v>
      </c>
      <c r="U35" s="70">
        <v>896234.0</v>
      </c>
      <c r="V35" s="70">
        <v>1.3666851E7</v>
      </c>
      <c r="W35" s="70">
        <v>69103.0</v>
      </c>
      <c r="X35" s="70">
        <v>226751.0</v>
      </c>
      <c r="Y35" s="70">
        <v>1016878.0</v>
      </c>
      <c r="Z35" s="70">
        <v>642388.0</v>
      </c>
      <c r="AA35" s="70">
        <v>61665.0</v>
      </c>
      <c r="AB35" s="70">
        <v>351865.0</v>
      </c>
      <c r="AC35" s="70">
        <v>115128.0</v>
      </c>
      <c r="AD35" s="70">
        <v>339178.0</v>
      </c>
      <c r="AE35" s="70">
        <v>398129.0</v>
      </c>
      <c r="AF35" s="70">
        <v>259028.0</v>
      </c>
      <c r="AG35" s="70">
        <v>1979227.0</v>
      </c>
      <c r="AH35" s="70">
        <v>939090.0</v>
      </c>
      <c r="AI35" s="70">
        <v>1279045.0</v>
      </c>
      <c r="AJ35" s="70">
        <v>301915.0</v>
      </c>
      <c r="AK35" s="70">
        <v>43219.0</v>
      </c>
      <c r="AL35" s="70">
        <v>78713.0</v>
      </c>
      <c r="AM35" s="70">
        <v>0.0</v>
      </c>
      <c r="AN35" s="70">
        <v>0.0</v>
      </c>
      <c r="AO35" s="70">
        <v>0.0</v>
      </c>
      <c r="AP35" s="70">
        <v>0.0</v>
      </c>
      <c r="AQ35" s="70">
        <v>0.0</v>
      </c>
      <c r="AR35" s="70">
        <v>0.0</v>
      </c>
      <c r="AS35" s="70">
        <v>0.0</v>
      </c>
      <c r="AT35" s="70">
        <v>0.0</v>
      </c>
      <c r="AU35" s="70">
        <v>0.0</v>
      </c>
      <c r="AV35" s="70">
        <v>0.0</v>
      </c>
      <c r="AW35" s="70">
        <v>0.0</v>
      </c>
      <c r="AX35" s="70">
        <v>0.0</v>
      </c>
      <c r="AY35" s="70">
        <v>0.0</v>
      </c>
      <c r="AZ35" s="70">
        <v>0.0</v>
      </c>
      <c r="BA35" s="70">
        <v>0.0</v>
      </c>
      <c r="BB35" s="70">
        <v>0.0</v>
      </c>
      <c r="BC35" s="70">
        <v>0.0</v>
      </c>
      <c r="BD35" s="70">
        <v>0.0</v>
      </c>
      <c r="BE35" s="70">
        <v>0.0</v>
      </c>
      <c r="BF35" s="70">
        <v>0.0</v>
      </c>
      <c r="BG35" s="70">
        <v>0.0</v>
      </c>
      <c r="BH35" s="70">
        <v>0.0</v>
      </c>
      <c r="BI35" s="70">
        <v>0.0</v>
      </c>
      <c r="BJ35" s="70">
        <v>0.0</v>
      </c>
      <c r="BK35" s="70">
        <v>0.0</v>
      </c>
      <c r="BL35" s="70">
        <v>0.0</v>
      </c>
      <c r="BM35" s="70">
        <v>0.0</v>
      </c>
      <c r="BN35" s="70">
        <v>0.0</v>
      </c>
      <c r="BO35" s="70">
        <v>0.0</v>
      </c>
      <c r="BP35" s="70">
        <v>0.0</v>
      </c>
      <c r="BQ35" s="70">
        <v>0.0</v>
      </c>
      <c r="BR35" s="70">
        <v>0.0</v>
      </c>
      <c r="BS35" s="70">
        <v>0.0</v>
      </c>
      <c r="BT35" s="70">
        <v>0.0</v>
      </c>
      <c r="BU35" s="70">
        <v>0.0</v>
      </c>
      <c r="BV35" s="70">
        <v>0.0</v>
      </c>
      <c r="BW35" s="70">
        <v>0.0</v>
      </c>
      <c r="BX35" s="70">
        <v>0.0</v>
      </c>
      <c r="BY35" s="70">
        <v>0.0</v>
      </c>
      <c r="BZ35" s="70">
        <v>0.0</v>
      </c>
      <c r="CA35" s="70">
        <v>0.0</v>
      </c>
      <c r="CB35" s="70">
        <v>0.0</v>
      </c>
      <c r="CC35" s="70">
        <v>0.0</v>
      </c>
      <c r="CD35" s="70">
        <v>0.0</v>
      </c>
      <c r="CE35" s="70">
        <v>0.0</v>
      </c>
      <c r="CF35" s="70">
        <v>0.0</v>
      </c>
      <c r="CG35" s="70">
        <v>0.0</v>
      </c>
      <c r="CH35" s="70">
        <v>0.0</v>
      </c>
      <c r="CI35" s="70">
        <v>0.0</v>
      </c>
      <c r="CJ35" s="70">
        <v>0.0</v>
      </c>
      <c r="CK35" s="70">
        <v>0.0</v>
      </c>
      <c r="CL35" s="70">
        <v>0.0</v>
      </c>
      <c r="CM35" s="70">
        <v>0.0</v>
      </c>
      <c r="CN35" s="70">
        <v>0.0</v>
      </c>
      <c r="CO35" s="70">
        <v>0.0</v>
      </c>
      <c r="CP35" s="70">
        <v>0.0</v>
      </c>
      <c r="CQ35" s="70">
        <v>0.0</v>
      </c>
      <c r="CR35" s="70">
        <v>0.0</v>
      </c>
      <c r="CS35" s="70">
        <v>0.0</v>
      </c>
      <c r="CT35" s="70">
        <v>0.0</v>
      </c>
      <c r="CU35" s="70">
        <v>0.0</v>
      </c>
      <c r="CV35" s="70">
        <v>0.0</v>
      </c>
      <c r="CW35" s="70">
        <v>0.0</v>
      </c>
      <c r="CX35" s="70">
        <v>0.0</v>
      </c>
      <c r="CY35" s="70">
        <v>0.0</v>
      </c>
      <c r="CZ35" s="70">
        <v>0.0</v>
      </c>
      <c r="DA35" s="70">
        <v>0.0</v>
      </c>
      <c r="DB35" s="70">
        <v>0.0</v>
      </c>
      <c r="DC35" s="70">
        <v>0.0</v>
      </c>
      <c r="DD35" s="70">
        <v>0.0</v>
      </c>
      <c r="DE35" s="70">
        <v>0.0</v>
      </c>
      <c r="DF35" s="70">
        <v>0.0</v>
      </c>
      <c r="DG35" s="70">
        <v>0.0</v>
      </c>
      <c r="DH35" s="70">
        <v>0.0</v>
      </c>
      <c r="DI35" s="70">
        <v>0.0</v>
      </c>
      <c r="DJ35" s="70">
        <v>0.0</v>
      </c>
      <c r="DK35" s="70">
        <v>0.0</v>
      </c>
      <c r="DL35" s="70">
        <v>0.0</v>
      </c>
      <c r="DM35" s="70">
        <v>0.0</v>
      </c>
      <c r="DN35" s="70">
        <v>0.0</v>
      </c>
      <c r="DO35" s="70">
        <v>0.0</v>
      </c>
      <c r="DP35" s="70">
        <v>0.0</v>
      </c>
      <c r="DQ35" s="70">
        <v>0.0</v>
      </c>
      <c r="DR35" s="70">
        <v>0.0</v>
      </c>
      <c r="DS35" s="70">
        <v>0.0</v>
      </c>
      <c r="DT35" s="70">
        <v>0.0</v>
      </c>
      <c r="DU35" s="70">
        <v>0.0</v>
      </c>
      <c r="DV35" s="70">
        <v>0.0</v>
      </c>
      <c r="DW35" s="70">
        <v>0.0</v>
      </c>
      <c r="DX35" s="70">
        <v>0.0</v>
      </c>
      <c r="DY35" s="70">
        <v>0.0</v>
      </c>
      <c r="DZ35" s="70">
        <v>0.0</v>
      </c>
      <c r="EA35" s="70">
        <v>0.0</v>
      </c>
      <c r="EB35" s="70">
        <v>0.0</v>
      </c>
      <c r="EC35" s="70">
        <v>0.0</v>
      </c>
      <c r="ED35" s="70">
        <v>0.0</v>
      </c>
      <c r="EE35" s="70">
        <v>0.0</v>
      </c>
      <c r="EF35" s="70">
        <v>0.0</v>
      </c>
      <c r="EG35" s="70">
        <v>0.0</v>
      </c>
      <c r="EH35" s="70">
        <v>0.0</v>
      </c>
      <c r="EI35" s="70">
        <v>0.0</v>
      </c>
      <c r="EJ35" s="70">
        <v>0.0</v>
      </c>
      <c r="EK35" s="70">
        <v>0.0</v>
      </c>
      <c r="EL35" s="70">
        <v>0.0</v>
      </c>
      <c r="EM35" s="70">
        <v>0.0</v>
      </c>
      <c r="EN35" s="70">
        <v>0.0</v>
      </c>
      <c r="EO35" s="70">
        <v>0.0</v>
      </c>
      <c r="EP35" s="70">
        <v>0.0</v>
      </c>
      <c r="EQ35" s="70">
        <v>0.0</v>
      </c>
      <c r="ER35" s="70">
        <v>0.0</v>
      </c>
      <c r="ES35" s="70">
        <v>0.0</v>
      </c>
      <c r="ET35" s="70">
        <v>933.0</v>
      </c>
      <c r="EU35" s="70">
        <v>0.0</v>
      </c>
      <c r="EV35" s="70">
        <v>0.0</v>
      </c>
      <c r="EW35" s="70">
        <v>0.0</v>
      </c>
      <c r="EX35" s="70">
        <v>0.0</v>
      </c>
      <c r="EY35" s="70">
        <v>0.0</v>
      </c>
      <c r="EZ35" s="70">
        <v>0.0</v>
      </c>
      <c r="FA35" s="70">
        <v>0.0</v>
      </c>
      <c r="FB35" s="70">
        <v>0.0</v>
      </c>
      <c r="FC35" s="70">
        <v>0.0</v>
      </c>
      <c r="FD35" s="70">
        <v>0.0</v>
      </c>
      <c r="FE35" s="70">
        <v>0.0</v>
      </c>
      <c r="FF35" s="70">
        <v>0.0</v>
      </c>
      <c r="FG35" s="70">
        <v>0.0</v>
      </c>
      <c r="FH35" s="70">
        <v>0.0</v>
      </c>
      <c r="FI35" s="70">
        <v>0.0</v>
      </c>
      <c r="FJ35" s="70">
        <v>0.0</v>
      </c>
      <c r="FK35" s="70">
        <v>0.0</v>
      </c>
      <c r="FL35" s="70">
        <v>0.0</v>
      </c>
      <c r="FM35" s="70">
        <v>0.0</v>
      </c>
      <c r="FN35" s="70">
        <v>0.0</v>
      </c>
      <c r="FO35" s="70">
        <v>0.0</v>
      </c>
      <c r="FP35" s="70">
        <v>0.0</v>
      </c>
      <c r="FQ35" s="70">
        <v>0.0</v>
      </c>
      <c r="FR35" s="70">
        <v>0.0</v>
      </c>
      <c r="FS35" s="70">
        <v>0.0</v>
      </c>
      <c r="FT35" s="70">
        <v>0.0</v>
      </c>
      <c r="FU35" s="70">
        <v>0.0</v>
      </c>
      <c r="FV35" s="70">
        <v>0.0</v>
      </c>
      <c r="FW35" s="70">
        <v>10752.0</v>
      </c>
      <c r="FX35" s="70">
        <v>0.0</v>
      </c>
      <c r="FY35" s="70">
        <v>0.0</v>
      </c>
      <c r="FZ35" s="70">
        <v>0.0</v>
      </c>
      <c r="GA35" s="70">
        <v>0.0</v>
      </c>
      <c r="GB35" s="70">
        <v>0.0</v>
      </c>
      <c r="GC35" s="70">
        <v>0.0</v>
      </c>
      <c r="GD35" s="70">
        <v>0.0</v>
      </c>
      <c r="GE35" s="70">
        <v>0.0</v>
      </c>
      <c r="GF35" s="71">
        <v>3.8602502E7</v>
      </c>
      <c r="GG35" s="72">
        <v>381444.0</v>
      </c>
      <c r="GH35" s="73">
        <v>0.0</v>
      </c>
      <c r="GI35" s="72">
        <v>0.0</v>
      </c>
      <c r="GJ35" s="72">
        <v>0.0</v>
      </c>
      <c r="GK35" s="72">
        <v>0.0</v>
      </c>
      <c r="GL35" s="72">
        <v>0.0</v>
      </c>
      <c r="GM35" s="72">
        <v>0.0</v>
      </c>
      <c r="GN35" s="71">
        <v>381444.0</v>
      </c>
      <c r="GO35" s="74">
        <v>3.8983946E7</v>
      </c>
      <c r="GP35" s="72">
        <v>0.0</v>
      </c>
      <c r="GQ35" s="72">
        <v>0.0</v>
      </c>
      <c r="GR35" s="73">
        <v>0.0</v>
      </c>
      <c r="GS35" s="71">
        <v>0.0</v>
      </c>
      <c r="GT35" s="75">
        <v>0.0</v>
      </c>
      <c r="GU35" s="75">
        <v>0.0</v>
      </c>
      <c r="GV35" s="75">
        <v>0.0</v>
      </c>
      <c r="GW35" s="71">
        <v>0.0</v>
      </c>
      <c r="GX35" s="71">
        <v>15512.0</v>
      </c>
      <c r="GY35" s="71">
        <v>3.8968434E7</v>
      </c>
      <c r="GZ35" s="74">
        <v>3.8983946E7</v>
      </c>
    </row>
    <row r="36" ht="15.75" customHeight="1">
      <c r="A36" s="52">
        <v>31.0</v>
      </c>
      <c r="B36" s="53" t="s">
        <v>76</v>
      </c>
      <c r="C36" s="54">
        <v>0.0</v>
      </c>
      <c r="D36" s="54">
        <v>0.0</v>
      </c>
      <c r="E36" s="54">
        <v>0.0</v>
      </c>
      <c r="F36" s="54">
        <v>0.0</v>
      </c>
      <c r="G36" s="54">
        <v>0.0</v>
      </c>
      <c r="H36" s="54">
        <v>0.0</v>
      </c>
      <c r="I36" s="54">
        <v>0.0</v>
      </c>
      <c r="J36" s="54">
        <v>0.0</v>
      </c>
      <c r="K36" s="54">
        <v>0.0</v>
      </c>
      <c r="L36" s="54">
        <v>5566.0</v>
      </c>
      <c r="M36" s="54">
        <v>0.0</v>
      </c>
      <c r="N36" s="54">
        <v>0.0</v>
      </c>
      <c r="O36" s="54">
        <v>31650.0</v>
      </c>
      <c r="P36" s="54">
        <v>0.0</v>
      </c>
      <c r="Q36" s="54">
        <v>0.0</v>
      </c>
      <c r="R36" s="54">
        <v>40145.0</v>
      </c>
      <c r="S36" s="54">
        <v>0.0</v>
      </c>
      <c r="T36" s="54">
        <v>0.0</v>
      </c>
      <c r="U36" s="54">
        <v>0.0</v>
      </c>
      <c r="V36" s="54">
        <v>0.0</v>
      </c>
      <c r="W36" s="54">
        <v>0.0</v>
      </c>
      <c r="X36" s="54">
        <v>0.0</v>
      </c>
      <c r="Y36" s="54">
        <v>0.0</v>
      </c>
      <c r="Z36" s="54">
        <v>0.0</v>
      </c>
      <c r="AA36" s="54">
        <v>0.0</v>
      </c>
      <c r="AB36" s="54">
        <v>91091.0</v>
      </c>
      <c r="AC36" s="54">
        <v>900.0</v>
      </c>
      <c r="AD36" s="54">
        <v>6523.0</v>
      </c>
      <c r="AE36" s="54">
        <v>9644.0</v>
      </c>
      <c r="AF36" s="54">
        <v>34.0</v>
      </c>
      <c r="AG36" s="54">
        <v>1639.0</v>
      </c>
      <c r="AH36" s="54">
        <v>429.0</v>
      </c>
      <c r="AI36" s="54">
        <v>21725.0</v>
      </c>
      <c r="AJ36" s="54">
        <v>2861.0</v>
      </c>
      <c r="AK36" s="54">
        <v>515.0</v>
      </c>
      <c r="AL36" s="54">
        <v>233.0</v>
      </c>
      <c r="AM36" s="54">
        <v>0.0</v>
      </c>
      <c r="AN36" s="54">
        <v>0.0</v>
      </c>
      <c r="AO36" s="54">
        <v>0.0</v>
      </c>
      <c r="AP36" s="54">
        <v>0.0</v>
      </c>
      <c r="AQ36" s="54">
        <v>0.0</v>
      </c>
      <c r="AR36" s="54">
        <v>0.0</v>
      </c>
      <c r="AS36" s="54">
        <v>0.0</v>
      </c>
      <c r="AT36" s="54">
        <v>0.0</v>
      </c>
      <c r="AU36" s="54">
        <v>0.0</v>
      </c>
      <c r="AV36" s="54">
        <v>0.0</v>
      </c>
      <c r="AW36" s="54">
        <v>0.0</v>
      </c>
      <c r="AX36" s="54">
        <v>0.0</v>
      </c>
      <c r="AY36" s="54">
        <v>0.0</v>
      </c>
      <c r="AZ36" s="54">
        <v>0.0</v>
      </c>
      <c r="BA36" s="54">
        <v>0.0</v>
      </c>
      <c r="BB36" s="54">
        <v>0.0</v>
      </c>
      <c r="BC36" s="54">
        <v>1622.0</v>
      </c>
      <c r="BD36" s="54">
        <v>113.0</v>
      </c>
      <c r="BE36" s="54">
        <v>5459.0</v>
      </c>
      <c r="BF36" s="54">
        <v>19650.0</v>
      </c>
      <c r="BG36" s="54">
        <v>49855.0</v>
      </c>
      <c r="BH36" s="54">
        <v>23356.0</v>
      </c>
      <c r="BI36" s="54">
        <v>1593.0</v>
      </c>
      <c r="BJ36" s="54">
        <v>77525.0</v>
      </c>
      <c r="BK36" s="54">
        <v>6433.0</v>
      </c>
      <c r="BL36" s="54">
        <v>0.0</v>
      </c>
      <c r="BM36" s="54">
        <v>0.0</v>
      </c>
      <c r="BN36" s="54">
        <v>0.0</v>
      </c>
      <c r="BO36" s="54">
        <v>0.0</v>
      </c>
      <c r="BP36" s="54">
        <v>0.0</v>
      </c>
      <c r="BQ36" s="54">
        <v>0.0</v>
      </c>
      <c r="BR36" s="54">
        <v>0.0</v>
      </c>
      <c r="BS36" s="54">
        <v>0.0</v>
      </c>
      <c r="BT36" s="54">
        <v>267535.0</v>
      </c>
      <c r="BU36" s="54">
        <v>18825.0</v>
      </c>
      <c r="BV36" s="54">
        <v>0.0</v>
      </c>
      <c r="BW36" s="54">
        <v>0.0</v>
      </c>
      <c r="BX36" s="54">
        <v>0.0</v>
      </c>
      <c r="BY36" s="54">
        <v>0.0</v>
      </c>
      <c r="BZ36" s="54">
        <v>0.0</v>
      </c>
      <c r="CA36" s="54">
        <v>128.0</v>
      </c>
      <c r="CB36" s="54">
        <v>0.0</v>
      </c>
      <c r="CC36" s="54">
        <v>0.0</v>
      </c>
      <c r="CD36" s="54">
        <v>0.0</v>
      </c>
      <c r="CE36" s="54">
        <v>0.0</v>
      </c>
      <c r="CF36" s="54">
        <v>652.0</v>
      </c>
      <c r="CG36" s="54">
        <v>0.0</v>
      </c>
      <c r="CH36" s="54">
        <v>0.0</v>
      </c>
      <c r="CI36" s="54">
        <v>0.0</v>
      </c>
      <c r="CJ36" s="54">
        <v>7431269.0</v>
      </c>
      <c r="CK36" s="54">
        <v>2.0802944E7</v>
      </c>
      <c r="CL36" s="54">
        <v>1.3060697E7</v>
      </c>
      <c r="CM36" s="54">
        <v>5105097.0</v>
      </c>
      <c r="CN36" s="54">
        <v>9192113.0</v>
      </c>
      <c r="CO36" s="54">
        <v>5269652.0</v>
      </c>
      <c r="CP36" s="54">
        <v>6810904.0</v>
      </c>
      <c r="CQ36" s="54">
        <v>0.0</v>
      </c>
      <c r="CR36" s="54">
        <v>0.0</v>
      </c>
      <c r="CS36" s="54">
        <v>0.0</v>
      </c>
      <c r="CT36" s="54">
        <v>0.0</v>
      </c>
      <c r="CU36" s="54">
        <v>0.0</v>
      </c>
      <c r="CV36" s="54">
        <v>0.0</v>
      </c>
      <c r="CW36" s="54">
        <v>0.0</v>
      </c>
      <c r="CX36" s="54">
        <v>0.0</v>
      </c>
      <c r="CY36" s="54">
        <v>0.0</v>
      </c>
      <c r="CZ36" s="54">
        <v>0.0</v>
      </c>
      <c r="DA36" s="54">
        <v>0.0</v>
      </c>
      <c r="DB36" s="54">
        <v>0.0</v>
      </c>
      <c r="DC36" s="54">
        <v>0.0</v>
      </c>
      <c r="DD36" s="54">
        <v>1949.0</v>
      </c>
      <c r="DE36" s="54">
        <v>0.0</v>
      </c>
      <c r="DF36" s="54">
        <v>0.0</v>
      </c>
      <c r="DG36" s="54">
        <v>0.0</v>
      </c>
      <c r="DH36" s="54">
        <v>0.0</v>
      </c>
      <c r="DI36" s="54">
        <v>0.0</v>
      </c>
      <c r="DJ36" s="54">
        <v>0.0</v>
      </c>
      <c r="DK36" s="54">
        <v>0.0</v>
      </c>
      <c r="DL36" s="54">
        <v>0.0</v>
      </c>
      <c r="DM36" s="54">
        <v>0.0</v>
      </c>
      <c r="DN36" s="54">
        <v>0.0</v>
      </c>
      <c r="DO36" s="54">
        <v>0.0</v>
      </c>
      <c r="DP36" s="54">
        <v>0.0</v>
      </c>
      <c r="DQ36" s="54">
        <v>0.0</v>
      </c>
      <c r="DR36" s="54">
        <v>0.0</v>
      </c>
      <c r="DS36" s="54">
        <v>0.0</v>
      </c>
      <c r="DT36" s="54">
        <v>0.0</v>
      </c>
      <c r="DU36" s="54">
        <v>0.0</v>
      </c>
      <c r="DV36" s="54">
        <v>0.0</v>
      </c>
      <c r="DW36" s="54">
        <v>0.0</v>
      </c>
      <c r="DX36" s="54">
        <v>0.0</v>
      </c>
      <c r="DY36" s="54">
        <v>0.0</v>
      </c>
      <c r="DZ36" s="54">
        <v>0.0</v>
      </c>
      <c r="EA36" s="54">
        <v>0.0</v>
      </c>
      <c r="EB36" s="54">
        <v>0.0</v>
      </c>
      <c r="EC36" s="54">
        <v>0.0</v>
      </c>
      <c r="ED36" s="54">
        <v>46800.0</v>
      </c>
      <c r="EE36" s="54">
        <v>0.0</v>
      </c>
      <c r="EF36" s="54">
        <v>0.0</v>
      </c>
      <c r="EG36" s="54">
        <v>0.0</v>
      </c>
      <c r="EH36" s="54">
        <v>0.0</v>
      </c>
      <c r="EI36" s="54">
        <v>1957745.0</v>
      </c>
      <c r="EJ36" s="54">
        <v>14325.0</v>
      </c>
      <c r="EK36" s="54">
        <v>293207.0</v>
      </c>
      <c r="EL36" s="54">
        <v>65144.0</v>
      </c>
      <c r="EM36" s="54">
        <v>34191.0</v>
      </c>
      <c r="EN36" s="54">
        <v>0.0</v>
      </c>
      <c r="EO36" s="54">
        <v>80983.0</v>
      </c>
      <c r="EP36" s="54">
        <v>707.0</v>
      </c>
      <c r="EQ36" s="54">
        <v>0.0</v>
      </c>
      <c r="ER36" s="54">
        <v>0.0</v>
      </c>
      <c r="ES36" s="54">
        <v>0.0</v>
      </c>
      <c r="ET36" s="54">
        <v>0.0</v>
      </c>
      <c r="EU36" s="54">
        <v>1.6254967E7</v>
      </c>
      <c r="EV36" s="54">
        <v>3452680.0</v>
      </c>
      <c r="EW36" s="54">
        <v>1087989.0</v>
      </c>
      <c r="EX36" s="54">
        <v>4101085.0</v>
      </c>
      <c r="EY36" s="54">
        <v>3.8137353E7</v>
      </c>
      <c r="EZ36" s="54">
        <v>0.0</v>
      </c>
      <c r="FA36" s="54">
        <v>0.0</v>
      </c>
      <c r="FB36" s="54">
        <v>0.0</v>
      </c>
      <c r="FC36" s="54">
        <v>0.0</v>
      </c>
      <c r="FD36" s="54">
        <v>0.0</v>
      </c>
      <c r="FE36" s="54">
        <v>0.0</v>
      </c>
      <c r="FF36" s="54">
        <v>0.0</v>
      </c>
      <c r="FG36" s="54">
        <v>0.0</v>
      </c>
      <c r="FH36" s="54">
        <v>0.0</v>
      </c>
      <c r="FI36" s="54">
        <v>0.0</v>
      </c>
      <c r="FJ36" s="54">
        <v>3288.0</v>
      </c>
      <c r="FK36" s="54">
        <v>15700.0</v>
      </c>
      <c r="FL36" s="54">
        <v>106709.0</v>
      </c>
      <c r="FM36" s="54">
        <v>0.0</v>
      </c>
      <c r="FN36" s="54">
        <v>0.0</v>
      </c>
      <c r="FO36" s="54">
        <v>0.0</v>
      </c>
      <c r="FP36" s="54">
        <v>0.0</v>
      </c>
      <c r="FQ36" s="54">
        <v>0.0</v>
      </c>
      <c r="FR36" s="54">
        <v>0.0</v>
      </c>
      <c r="FS36" s="54">
        <v>0.0</v>
      </c>
      <c r="FT36" s="54">
        <v>0.0</v>
      </c>
      <c r="FU36" s="54">
        <v>0.0</v>
      </c>
      <c r="FV36" s="54">
        <v>16332.0</v>
      </c>
      <c r="FW36" s="54">
        <v>1035.0</v>
      </c>
      <c r="FX36" s="54">
        <v>0.0</v>
      </c>
      <c r="FY36" s="54">
        <v>144.0</v>
      </c>
      <c r="FZ36" s="54">
        <v>0.0</v>
      </c>
      <c r="GA36" s="54">
        <v>4243.0</v>
      </c>
      <c r="GB36" s="54">
        <v>0.0</v>
      </c>
      <c r="GC36" s="54">
        <v>1680.0</v>
      </c>
      <c r="GD36" s="54">
        <v>0.0</v>
      </c>
      <c r="GE36" s="54">
        <v>0.0</v>
      </c>
      <c r="GF36" s="55">
        <v>1.34036633E8</v>
      </c>
      <c r="GG36" s="56">
        <v>1925528.0</v>
      </c>
      <c r="GH36" s="57">
        <v>0.0</v>
      </c>
      <c r="GI36" s="56">
        <v>0.0</v>
      </c>
      <c r="GJ36" s="56">
        <v>0.0</v>
      </c>
      <c r="GK36" s="56">
        <v>8081142.0</v>
      </c>
      <c r="GL36" s="56">
        <v>2019985.0</v>
      </c>
      <c r="GM36" s="56">
        <v>0.0</v>
      </c>
      <c r="GN36" s="55">
        <v>1.2026655E7</v>
      </c>
      <c r="GO36" s="58">
        <v>1.46063288E8</v>
      </c>
      <c r="GP36" s="56">
        <v>513352.0</v>
      </c>
      <c r="GQ36" s="56">
        <v>0.0</v>
      </c>
      <c r="GR36" s="57">
        <v>0.0</v>
      </c>
      <c r="GS36" s="55">
        <v>513352.0</v>
      </c>
      <c r="GT36" s="59">
        <v>2.5968933E7</v>
      </c>
      <c r="GU36" s="59">
        <v>7187229.0</v>
      </c>
      <c r="GV36" s="59">
        <v>2902430.0</v>
      </c>
      <c r="GW36" s="55">
        <v>3.6058592E7</v>
      </c>
      <c r="GX36" s="55">
        <v>126283.0</v>
      </c>
      <c r="GY36" s="55">
        <v>1.09365061E8</v>
      </c>
      <c r="GZ36" s="58">
        <v>1.46063288E8</v>
      </c>
    </row>
    <row r="37" ht="15.75" customHeight="1">
      <c r="A37" s="60">
        <v>32.0</v>
      </c>
      <c r="B37" s="61" t="s">
        <v>77</v>
      </c>
      <c r="C37" s="62">
        <v>2819.0</v>
      </c>
      <c r="D37" s="62">
        <v>3956.0</v>
      </c>
      <c r="E37" s="62">
        <v>1310.0</v>
      </c>
      <c r="F37" s="62">
        <v>2050.0</v>
      </c>
      <c r="G37" s="62">
        <v>188.0</v>
      </c>
      <c r="H37" s="62">
        <v>363.0</v>
      </c>
      <c r="I37" s="62">
        <v>263.0</v>
      </c>
      <c r="J37" s="62">
        <v>478.0</v>
      </c>
      <c r="K37" s="62">
        <v>0.0</v>
      </c>
      <c r="L37" s="62">
        <v>3517.0</v>
      </c>
      <c r="M37" s="62">
        <v>2426.0</v>
      </c>
      <c r="N37" s="62">
        <v>0.0</v>
      </c>
      <c r="O37" s="62">
        <v>3192.0</v>
      </c>
      <c r="P37" s="62">
        <v>0.0</v>
      </c>
      <c r="Q37" s="62">
        <v>1331.0</v>
      </c>
      <c r="R37" s="62">
        <v>1132.0</v>
      </c>
      <c r="S37" s="62">
        <v>86.0</v>
      </c>
      <c r="T37" s="62">
        <v>876.0</v>
      </c>
      <c r="U37" s="62">
        <v>3578.0</v>
      </c>
      <c r="V37" s="62">
        <v>20285.0</v>
      </c>
      <c r="W37" s="62">
        <v>733.0</v>
      </c>
      <c r="X37" s="62">
        <v>735.0</v>
      </c>
      <c r="Y37" s="62">
        <v>4507.0</v>
      </c>
      <c r="Z37" s="62">
        <v>4743.0</v>
      </c>
      <c r="AA37" s="62">
        <v>2292.0</v>
      </c>
      <c r="AB37" s="62">
        <v>64644.0</v>
      </c>
      <c r="AC37" s="62">
        <v>371.0</v>
      </c>
      <c r="AD37" s="62">
        <v>0.0</v>
      </c>
      <c r="AE37" s="62">
        <v>0.0</v>
      </c>
      <c r="AF37" s="62">
        <v>9149.0</v>
      </c>
      <c r="AG37" s="62">
        <v>778.0</v>
      </c>
      <c r="AH37" s="62">
        <v>131533.0</v>
      </c>
      <c r="AI37" s="62">
        <v>13764.0</v>
      </c>
      <c r="AJ37" s="62">
        <v>7029.0</v>
      </c>
      <c r="AK37" s="62">
        <v>596.0</v>
      </c>
      <c r="AL37" s="62">
        <v>3294.0</v>
      </c>
      <c r="AM37" s="62">
        <v>0.0</v>
      </c>
      <c r="AN37" s="62">
        <v>0.0</v>
      </c>
      <c r="AO37" s="62">
        <v>0.0</v>
      </c>
      <c r="AP37" s="62">
        <v>0.0</v>
      </c>
      <c r="AQ37" s="62">
        <v>0.0</v>
      </c>
      <c r="AR37" s="62">
        <v>0.0</v>
      </c>
      <c r="AS37" s="62">
        <v>0.0</v>
      </c>
      <c r="AT37" s="62">
        <v>0.0</v>
      </c>
      <c r="AU37" s="62">
        <v>0.0</v>
      </c>
      <c r="AV37" s="62">
        <v>0.0</v>
      </c>
      <c r="AW37" s="62">
        <v>0.0</v>
      </c>
      <c r="AX37" s="62">
        <v>0.0</v>
      </c>
      <c r="AY37" s="62">
        <v>0.0</v>
      </c>
      <c r="AZ37" s="62">
        <v>0.0</v>
      </c>
      <c r="BA37" s="62">
        <v>0.0</v>
      </c>
      <c r="BB37" s="62">
        <v>0.0</v>
      </c>
      <c r="BC37" s="62">
        <v>0.0</v>
      </c>
      <c r="BD37" s="62">
        <v>0.0</v>
      </c>
      <c r="BE37" s="62">
        <v>0.0</v>
      </c>
      <c r="BF37" s="62">
        <v>0.0</v>
      </c>
      <c r="BG37" s="62">
        <v>0.0</v>
      </c>
      <c r="BH37" s="62">
        <v>4715.0</v>
      </c>
      <c r="BI37" s="62">
        <v>0.0</v>
      </c>
      <c r="BJ37" s="62">
        <v>0.0</v>
      </c>
      <c r="BK37" s="62">
        <v>0.0</v>
      </c>
      <c r="BL37" s="62">
        <v>0.0</v>
      </c>
      <c r="BM37" s="62">
        <v>0.0</v>
      </c>
      <c r="BN37" s="62">
        <v>0.0</v>
      </c>
      <c r="BO37" s="62">
        <v>0.0</v>
      </c>
      <c r="BP37" s="62">
        <v>0.0</v>
      </c>
      <c r="BQ37" s="62">
        <v>0.0</v>
      </c>
      <c r="BR37" s="62">
        <v>0.0</v>
      </c>
      <c r="BS37" s="62">
        <v>0.0</v>
      </c>
      <c r="BT37" s="62">
        <v>0.0</v>
      </c>
      <c r="BU37" s="62">
        <v>30795.0</v>
      </c>
      <c r="BV37" s="62">
        <v>0.0</v>
      </c>
      <c r="BW37" s="62">
        <v>0.0</v>
      </c>
      <c r="BX37" s="62">
        <v>63.0</v>
      </c>
      <c r="BY37" s="62">
        <v>9386.0</v>
      </c>
      <c r="BZ37" s="62">
        <v>0.0</v>
      </c>
      <c r="CA37" s="62">
        <v>145.0</v>
      </c>
      <c r="CB37" s="62">
        <v>0.0</v>
      </c>
      <c r="CC37" s="62">
        <v>0.0</v>
      </c>
      <c r="CD37" s="62">
        <v>1946.0</v>
      </c>
      <c r="CE37" s="62">
        <v>0.0</v>
      </c>
      <c r="CF37" s="62">
        <v>0.0</v>
      </c>
      <c r="CG37" s="62">
        <v>460.0</v>
      </c>
      <c r="CH37" s="62">
        <v>18967.0</v>
      </c>
      <c r="CI37" s="62">
        <v>126568.0</v>
      </c>
      <c r="CJ37" s="62">
        <v>6423515.0</v>
      </c>
      <c r="CK37" s="62">
        <v>0.0</v>
      </c>
      <c r="CL37" s="62">
        <v>0.0</v>
      </c>
      <c r="CM37" s="62">
        <v>0.0</v>
      </c>
      <c r="CN37" s="62">
        <v>2093938.0</v>
      </c>
      <c r="CO37" s="62">
        <v>1041694.0</v>
      </c>
      <c r="CP37" s="62">
        <v>1768265.0</v>
      </c>
      <c r="CQ37" s="62">
        <v>0.0</v>
      </c>
      <c r="CR37" s="62">
        <v>23346.0</v>
      </c>
      <c r="CS37" s="62">
        <v>0.0</v>
      </c>
      <c r="CT37" s="62">
        <v>0.0</v>
      </c>
      <c r="CU37" s="62">
        <v>0.0</v>
      </c>
      <c r="CV37" s="62">
        <v>508919.0</v>
      </c>
      <c r="CW37" s="62">
        <v>0.0</v>
      </c>
      <c r="CX37" s="62">
        <v>109840.0</v>
      </c>
      <c r="CY37" s="62">
        <v>18472.0</v>
      </c>
      <c r="CZ37" s="62">
        <v>58540.0</v>
      </c>
      <c r="DA37" s="62">
        <v>146718.0</v>
      </c>
      <c r="DB37" s="62">
        <v>573642.0</v>
      </c>
      <c r="DC37" s="62">
        <v>1259.0</v>
      </c>
      <c r="DD37" s="62">
        <v>81711.0</v>
      </c>
      <c r="DE37" s="62">
        <v>0.0</v>
      </c>
      <c r="DF37" s="62">
        <v>0.0</v>
      </c>
      <c r="DG37" s="62">
        <v>3691.0</v>
      </c>
      <c r="DH37" s="62">
        <v>19042.0</v>
      </c>
      <c r="DI37" s="62">
        <v>0.0</v>
      </c>
      <c r="DJ37" s="62">
        <v>39899.0</v>
      </c>
      <c r="DK37" s="62">
        <v>0.0</v>
      </c>
      <c r="DL37" s="62">
        <v>0.0</v>
      </c>
      <c r="DM37" s="62">
        <v>0.0</v>
      </c>
      <c r="DN37" s="62">
        <v>0.0</v>
      </c>
      <c r="DO37" s="62">
        <v>332.0</v>
      </c>
      <c r="DP37" s="62">
        <v>0.0</v>
      </c>
      <c r="DQ37" s="62">
        <v>189675.0</v>
      </c>
      <c r="DR37" s="62">
        <v>458419.0</v>
      </c>
      <c r="DS37" s="62">
        <v>0.0</v>
      </c>
      <c r="DT37" s="62">
        <v>0.0</v>
      </c>
      <c r="DU37" s="62">
        <v>0.0</v>
      </c>
      <c r="DV37" s="62">
        <v>0.0</v>
      </c>
      <c r="DW37" s="62">
        <v>0.0</v>
      </c>
      <c r="DX37" s="62">
        <v>0.0</v>
      </c>
      <c r="DY37" s="62">
        <v>0.0</v>
      </c>
      <c r="DZ37" s="62">
        <v>0.0</v>
      </c>
      <c r="EA37" s="62">
        <v>0.0</v>
      </c>
      <c r="EB37" s="62">
        <v>0.0</v>
      </c>
      <c r="EC37" s="62">
        <v>0.0</v>
      </c>
      <c r="ED37" s="62">
        <v>0.0</v>
      </c>
      <c r="EE37" s="62">
        <v>0.0</v>
      </c>
      <c r="EF37" s="62">
        <v>0.0</v>
      </c>
      <c r="EG37" s="62">
        <v>0.0</v>
      </c>
      <c r="EH37" s="62">
        <v>13863.0</v>
      </c>
      <c r="EI37" s="62">
        <v>1179073.0</v>
      </c>
      <c r="EJ37" s="62">
        <v>5658.0</v>
      </c>
      <c r="EK37" s="62">
        <v>5500.0</v>
      </c>
      <c r="EL37" s="62">
        <v>16548.0</v>
      </c>
      <c r="EM37" s="62">
        <v>11717.0</v>
      </c>
      <c r="EN37" s="62">
        <v>0.0</v>
      </c>
      <c r="EO37" s="62">
        <v>262823.0</v>
      </c>
      <c r="EP37" s="62">
        <v>0.0</v>
      </c>
      <c r="EQ37" s="62">
        <v>0.0</v>
      </c>
      <c r="ER37" s="62">
        <v>0.0</v>
      </c>
      <c r="ES37" s="62">
        <v>0.0</v>
      </c>
      <c r="ET37" s="62">
        <v>0.0</v>
      </c>
      <c r="EU37" s="62">
        <v>2.0646838E7</v>
      </c>
      <c r="EV37" s="62">
        <v>3480972.0</v>
      </c>
      <c r="EW37" s="62">
        <v>873002.0</v>
      </c>
      <c r="EX37" s="62">
        <v>2756279.0</v>
      </c>
      <c r="EY37" s="62">
        <v>9681461.0</v>
      </c>
      <c r="EZ37" s="62">
        <v>0.0</v>
      </c>
      <c r="FA37" s="62">
        <v>0.0</v>
      </c>
      <c r="FB37" s="62">
        <v>0.0</v>
      </c>
      <c r="FC37" s="62">
        <v>0.0</v>
      </c>
      <c r="FD37" s="62">
        <v>0.0</v>
      </c>
      <c r="FE37" s="62">
        <v>0.0</v>
      </c>
      <c r="FF37" s="62">
        <v>0.0</v>
      </c>
      <c r="FG37" s="62">
        <v>0.0</v>
      </c>
      <c r="FH37" s="62">
        <v>0.0</v>
      </c>
      <c r="FI37" s="62">
        <v>0.0</v>
      </c>
      <c r="FJ37" s="62">
        <v>4372.0</v>
      </c>
      <c r="FK37" s="62">
        <v>60239.0</v>
      </c>
      <c r="FL37" s="62">
        <v>0.0</v>
      </c>
      <c r="FM37" s="62">
        <v>0.0</v>
      </c>
      <c r="FN37" s="62">
        <v>0.0</v>
      </c>
      <c r="FO37" s="62">
        <v>0.0</v>
      </c>
      <c r="FP37" s="62">
        <v>0.0</v>
      </c>
      <c r="FQ37" s="62">
        <v>0.0</v>
      </c>
      <c r="FR37" s="62">
        <v>0.0</v>
      </c>
      <c r="FS37" s="62">
        <v>0.0</v>
      </c>
      <c r="FT37" s="62">
        <v>0.0</v>
      </c>
      <c r="FU37" s="62">
        <v>0.0</v>
      </c>
      <c r="FV37" s="62">
        <v>0.0</v>
      </c>
      <c r="FW37" s="62">
        <v>103.0</v>
      </c>
      <c r="FX37" s="62">
        <v>4.0</v>
      </c>
      <c r="FY37" s="62">
        <v>200186.0</v>
      </c>
      <c r="FZ37" s="62">
        <v>0.0</v>
      </c>
      <c r="GA37" s="62">
        <v>2632.0</v>
      </c>
      <c r="GB37" s="62">
        <v>3698.0</v>
      </c>
      <c r="GC37" s="62">
        <v>649.0</v>
      </c>
      <c r="GD37" s="62">
        <v>0.0</v>
      </c>
      <c r="GE37" s="62">
        <v>0.0</v>
      </c>
      <c r="GF37" s="63">
        <v>5.3251597E7</v>
      </c>
      <c r="GG37" s="64">
        <v>401198.0</v>
      </c>
      <c r="GH37" s="65">
        <v>0.0</v>
      </c>
      <c r="GI37" s="64">
        <v>0.0</v>
      </c>
      <c r="GJ37" s="64">
        <v>0.0</v>
      </c>
      <c r="GK37" s="64">
        <v>4091834.0</v>
      </c>
      <c r="GL37" s="64">
        <v>6132656.0</v>
      </c>
      <c r="GM37" s="64">
        <v>0.0</v>
      </c>
      <c r="GN37" s="63">
        <v>1.0625688E7</v>
      </c>
      <c r="GO37" s="66">
        <v>6.3877285E7</v>
      </c>
      <c r="GP37" s="64">
        <v>504370.0</v>
      </c>
      <c r="GQ37" s="64">
        <v>0.0</v>
      </c>
      <c r="GR37" s="65">
        <v>0.0</v>
      </c>
      <c r="GS37" s="63">
        <v>504370.0</v>
      </c>
      <c r="GT37" s="67">
        <v>6482853.0</v>
      </c>
      <c r="GU37" s="67">
        <v>1382960.0</v>
      </c>
      <c r="GV37" s="67">
        <v>759404.0</v>
      </c>
      <c r="GW37" s="63">
        <v>8625217.0</v>
      </c>
      <c r="GX37" s="63">
        <v>113221.0</v>
      </c>
      <c r="GY37" s="63">
        <v>5.4634477E7</v>
      </c>
      <c r="GZ37" s="66">
        <v>6.3877285E7</v>
      </c>
    </row>
    <row r="38" ht="15.75" customHeight="1">
      <c r="A38" s="60">
        <v>33.0</v>
      </c>
      <c r="B38" s="61" t="s">
        <v>78</v>
      </c>
      <c r="C38" s="62">
        <v>0.0</v>
      </c>
      <c r="D38" s="62">
        <v>0.0</v>
      </c>
      <c r="E38" s="62">
        <v>0.0</v>
      </c>
      <c r="F38" s="62">
        <v>0.0</v>
      </c>
      <c r="G38" s="62">
        <v>0.0</v>
      </c>
      <c r="H38" s="62">
        <v>0.0</v>
      </c>
      <c r="I38" s="62">
        <v>0.0</v>
      </c>
      <c r="J38" s="62">
        <v>0.0</v>
      </c>
      <c r="K38" s="62">
        <v>0.0</v>
      </c>
      <c r="L38" s="62">
        <v>0.0</v>
      </c>
      <c r="M38" s="62">
        <v>0.0</v>
      </c>
      <c r="N38" s="62">
        <v>0.0</v>
      </c>
      <c r="O38" s="62">
        <v>0.0</v>
      </c>
      <c r="P38" s="62">
        <v>0.0</v>
      </c>
      <c r="Q38" s="62">
        <v>0.0</v>
      </c>
      <c r="R38" s="62">
        <v>0.0</v>
      </c>
      <c r="S38" s="62">
        <v>0.0</v>
      </c>
      <c r="T38" s="62">
        <v>0.0</v>
      </c>
      <c r="U38" s="62">
        <v>0.0</v>
      </c>
      <c r="V38" s="62">
        <v>0.0</v>
      </c>
      <c r="W38" s="62">
        <v>0.0</v>
      </c>
      <c r="X38" s="62">
        <v>0.0</v>
      </c>
      <c r="Y38" s="62">
        <v>0.0</v>
      </c>
      <c r="Z38" s="62">
        <v>0.0</v>
      </c>
      <c r="AA38" s="62">
        <v>0.0</v>
      </c>
      <c r="AB38" s="62">
        <v>0.0</v>
      </c>
      <c r="AC38" s="62">
        <v>3629.0</v>
      </c>
      <c r="AD38" s="62">
        <v>181129.0</v>
      </c>
      <c r="AE38" s="62">
        <v>0.0</v>
      </c>
      <c r="AF38" s="62">
        <v>5118.0</v>
      </c>
      <c r="AG38" s="62">
        <v>0.0</v>
      </c>
      <c r="AH38" s="62">
        <v>0.0</v>
      </c>
      <c r="AI38" s="62">
        <v>2879097.0</v>
      </c>
      <c r="AJ38" s="62">
        <v>236727.0</v>
      </c>
      <c r="AK38" s="62">
        <v>61245.0</v>
      </c>
      <c r="AL38" s="62">
        <v>0.0</v>
      </c>
      <c r="AM38" s="62">
        <v>0.0</v>
      </c>
      <c r="AN38" s="62">
        <v>0.0</v>
      </c>
      <c r="AO38" s="62">
        <v>0.0</v>
      </c>
      <c r="AP38" s="62">
        <v>0.0</v>
      </c>
      <c r="AQ38" s="62">
        <v>0.0</v>
      </c>
      <c r="AR38" s="62">
        <v>0.0</v>
      </c>
      <c r="AS38" s="62">
        <v>0.0</v>
      </c>
      <c r="AT38" s="62">
        <v>0.0</v>
      </c>
      <c r="AU38" s="62">
        <v>0.0</v>
      </c>
      <c r="AV38" s="62">
        <v>0.0</v>
      </c>
      <c r="AW38" s="62">
        <v>0.0</v>
      </c>
      <c r="AX38" s="62">
        <v>0.0</v>
      </c>
      <c r="AY38" s="62">
        <v>0.0</v>
      </c>
      <c r="AZ38" s="62">
        <v>0.0</v>
      </c>
      <c r="BA38" s="62">
        <v>0.0</v>
      </c>
      <c r="BB38" s="62">
        <v>0.0</v>
      </c>
      <c r="BC38" s="62">
        <v>0.0</v>
      </c>
      <c r="BD38" s="62">
        <v>0.0</v>
      </c>
      <c r="BE38" s="62">
        <v>1.4277668E7</v>
      </c>
      <c r="BF38" s="62">
        <v>3.0448116E7</v>
      </c>
      <c r="BG38" s="62">
        <v>0.0</v>
      </c>
      <c r="BH38" s="62">
        <v>75699.0</v>
      </c>
      <c r="BI38" s="62">
        <v>0.0</v>
      </c>
      <c r="BJ38" s="62">
        <v>0.0</v>
      </c>
      <c r="BK38" s="62">
        <v>0.0</v>
      </c>
      <c r="BL38" s="62">
        <v>0.0</v>
      </c>
      <c r="BM38" s="62">
        <v>0.0</v>
      </c>
      <c r="BN38" s="62">
        <v>0.0</v>
      </c>
      <c r="BO38" s="62">
        <v>0.0</v>
      </c>
      <c r="BP38" s="62">
        <v>0.0</v>
      </c>
      <c r="BQ38" s="62">
        <v>1019.0</v>
      </c>
      <c r="BR38" s="62">
        <v>0.0</v>
      </c>
      <c r="BS38" s="62">
        <v>0.0</v>
      </c>
      <c r="BT38" s="62">
        <v>112021.0</v>
      </c>
      <c r="BU38" s="62">
        <v>8737647.0</v>
      </c>
      <c r="BV38" s="62">
        <v>0.0</v>
      </c>
      <c r="BW38" s="62">
        <v>0.0</v>
      </c>
      <c r="BX38" s="62">
        <v>0.0</v>
      </c>
      <c r="BY38" s="62">
        <v>0.0</v>
      </c>
      <c r="BZ38" s="62">
        <v>0.0</v>
      </c>
      <c r="CA38" s="62">
        <v>0.0</v>
      </c>
      <c r="CB38" s="62">
        <v>0.0</v>
      </c>
      <c r="CC38" s="62">
        <v>0.0</v>
      </c>
      <c r="CD38" s="62">
        <v>0.0</v>
      </c>
      <c r="CE38" s="62">
        <v>0.0</v>
      </c>
      <c r="CF38" s="62">
        <v>0.0</v>
      </c>
      <c r="CG38" s="62">
        <v>0.0</v>
      </c>
      <c r="CH38" s="62">
        <v>0.0</v>
      </c>
      <c r="CI38" s="62">
        <v>0.0</v>
      </c>
      <c r="CJ38" s="62">
        <v>0.0</v>
      </c>
      <c r="CK38" s="62">
        <v>0.0</v>
      </c>
      <c r="CL38" s="62">
        <v>0.0</v>
      </c>
      <c r="CM38" s="62">
        <v>0.0</v>
      </c>
      <c r="CN38" s="62">
        <v>0.0</v>
      </c>
      <c r="CO38" s="62">
        <v>0.0</v>
      </c>
      <c r="CP38" s="62">
        <v>0.0</v>
      </c>
      <c r="CQ38" s="62">
        <v>0.0</v>
      </c>
      <c r="CR38" s="62">
        <v>0.0</v>
      </c>
      <c r="CS38" s="62">
        <v>0.0</v>
      </c>
      <c r="CT38" s="62">
        <v>0.0</v>
      </c>
      <c r="CU38" s="62">
        <v>0.0</v>
      </c>
      <c r="CV38" s="62">
        <v>0.0</v>
      </c>
      <c r="CW38" s="62">
        <v>0.0</v>
      </c>
      <c r="CX38" s="62">
        <v>0.0</v>
      </c>
      <c r="CY38" s="62">
        <v>0.0</v>
      </c>
      <c r="CZ38" s="62">
        <v>0.0</v>
      </c>
      <c r="DA38" s="62">
        <v>114563.0</v>
      </c>
      <c r="DB38" s="62">
        <v>6885.0</v>
      </c>
      <c r="DC38" s="62">
        <v>0.0</v>
      </c>
      <c r="DD38" s="62">
        <v>209360.0</v>
      </c>
      <c r="DE38" s="62">
        <v>0.0</v>
      </c>
      <c r="DF38" s="62">
        <v>0.0</v>
      </c>
      <c r="DG38" s="62">
        <v>0.0</v>
      </c>
      <c r="DH38" s="62">
        <v>0.0</v>
      </c>
      <c r="DI38" s="62">
        <v>0.0</v>
      </c>
      <c r="DJ38" s="62">
        <v>0.0</v>
      </c>
      <c r="DK38" s="62">
        <v>0.0</v>
      </c>
      <c r="DL38" s="62">
        <v>0.0</v>
      </c>
      <c r="DM38" s="62">
        <v>0.0</v>
      </c>
      <c r="DN38" s="62">
        <v>0.0</v>
      </c>
      <c r="DO38" s="62">
        <v>0.0</v>
      </c>
      <c r="DP38" s="62">
        <v>0.0</v>
      </c>
      <c r="DQ38" s="62">
        <v>0.0</v>
      </c>
      <c r="DR38" s="62">
        <v>0.0</v>
      </c>
      <c r="DS38" s="62">
        <v>0.0</v>
      </c>
      <c r="DT38" s="62">
        <v>0.0</v>
      </c>
      <c r="DU38" s="62">
        <v>0.0</v>
      </c>
      <c r="DV38" s="62">
        <v>0.0</v>
      </c>
      <c r="DW38" s="62">
        <v>0.0</v>
      </c>
      <c r="DX38" s="62">
        <v>0.0</v>
      </c>
      <c r="DY38" s="62">
        <v>0.0</v>
      </c>
      <c r="DZ38" s="62">
        <v>0.0</v>
      </c>
      <c r="EA38" s="62">
        <v>0.0</v>
      </c>
      <c r="EB38" s="62">
        <v>0.0</v>
      </c>
      <c r="EC38" s="62">
        <v>0.0</v>
      </c>
      <c r="ED38" s="62">
        <v>0.0</v>
      </c>
      <c r="EE38" s="62">
        <v>0.0</v>
      </c>
      <c r="EF38" s="62">
        <v>0.0</v>
      </c>
      <c r="EG38" s="62">
        <v>0.0</v>
      </c>
      <c r="EH38" s="62">
        <v>0.0</v>
      </c>
      <c r="EI38" s="62">
        <v>0.0</v>
      </c>
      <c r="EJ38" s="62">
        <v>0.0</v>
      </c>
      <c r="EK38" s="62">
        <v>0.0</v>
      </c>
      <c r="EL38" s="62">
        <v>0.0</v>
      </c>
      <c r="EM38" s="62">
        <v>0.0</v>
      </c>
      <c r="EN38" s="62">
        <v>0.0</v>
      </c>
      <c r="EO38" s="62">
        <v>0.0</v>
      </c>
      <c r="EP38" s="62">
        <v>0.0</v>
      </c>
      <c r="EQ38" s="62">
        <v>0.0</v>
      </c>
      <c r="ER38" s="62">
        <v>0.0</v>
      </c>
      <c r="ES38" s="62">
        <v>0.0</v>
      </c>
      <c r="ET38" s="62">
        <v>0.0</v>
      </c>
      <c r="EU38" s="62">
        <v>0.0</v>
      </c>
      <c r="EV38" s="62">
        <v>0.0</v>
      </c>
      <c r="EW38" s="62">
        <v>0.0</v>
      </c>
      <c r="EX38" s="62">
        <v>0.0</v>
      </c>
      <c r="EY38" s="62">
        <v>0.0</v>
      </c>
      <c r="EZ38" s="62">
        <v>0.0</v>
      </c>
      <c r="FA38" s="62">
        <v>0.0</v>
      </c>
      <c r="FB38" s="62">
        <v>0.0</v>
      </c>
      <c r="FC38" s="62">
        <v>0.0</v>
      </c>
      <c r="FD38" s="62">
        <v>0.0</v>
      </c>
      <c r="FE38" s="62">
        <v>1354663.0</v>
      </c>
      <c r="FF38" s="62">
        <v>0.0</v>
      </c>
      <c r="FG38" s="62">
        <v>0.0</v>
      </c>
      <c r="FH38" s="62">
        <v>0.0</v>
      </c>
      <c r="FI38" s="62">
        <v>0.0</v>
      </c>
      <c r="FJ38" s="62">
        <v>2667560.0</v>
      </c>
      <c r="FK38" s="62">
        <v>2.3871497E7</v>
      </c>
      <c r="FL38" s="62">
        <v>0.0</v>
      </c>
      <c r="FM38" s="62">
        <v>0.0</v>
      </c>
      <c r="FN38" s="62">
        <v>0.0</v>
      </c>
      <c r="FO38" s="62">
        <v>0.0</v>
      </c>
      <c r="FP38" s="62">
        <v>0.0</v>
      </c>
      <c r="FQ38" s="62">
        <v>0.0</v>
      </c>
      <c r="FR38" s="62">
        <v>0.0</v>
      </c>
      <c r="FS38" s="62">
        <v>0.0</v>
      </c>
      <c r="FT38" s="62">
        <v>0.0</v>
      </c>
      <c r="FU38" s="62">
        <v>0.0</v>
      </c>
      <c r="FV38" s="62">
        <v>0.0</v>
      </c>
      <c r="FW38" s="62">
        <v>366506.0</v>
      </c>
      <c r="FX38" s="62">
        <v>22915.0</v>
      </c>
      <c r="FY38" s="62">
        <v>1112439.0</v>
      </c>
      <c r="FZ38" s="62">
        <v>9096.0</v>
      </c>
      <c r="GA38" s="62">
        <v>189171.0</v>
      </c>
      <c r="GB38" s="62">
        <v>3566523.0</v>
      </c>
      <c r="GC38" s="62">
        <v>1061697.0</v>
      </c>
      <c r="GD38" s="62">
        <v>0.0</v>
      </c>
      <c r="GE38" s="62">
        <v>684665.0</v>
      </c>
      <c r="GF38" s="63">
        <v>9.2256655E7</v>
      </c>
      <c r="GG38" s="64">
        <v>2.79018291E8</v>
      </c>
      <c r="GH38" s="65">
        <v>0.0</v>
      </c>
      <c r="GI38" s="64">
        <v>0.0</v>
      </c>
      <c r="GJ38" s="64">
        <v>2822354.0</v>
      </c>
      <c r="GK38" s="64">
        <v>-1316634.0</v>
      </c>
      <c r="GL38" s="64">
        <v>4145337.0</v>
      </c>
      <c r="GM38" s="64">
        <v>0.0</v>
      </c>
      <c r="GN38" s="63">
        <v>2.84669348E8</v>
      </c>
      <c r="GO38" s="66">
        <v>3.76926003E8</v>
      </c>
      <c r="GP38" s="64">
        <v>433603.0</v>
      </c>
      <c r="GQ38" s="64">
        <v>0.0</v>
      </c>
      <c r="GR38" s="65">
        <v>0.0</v>
      </c>
      <c r="GS38" s="63">
        <v>433603.0</v>
      </c>
      <c r="GT38" s="67">
        <v>2.9450971E7</v>
      </c>
      <c r="GU38" s="67">
        <v>3.3686748E7</v>
      </c>
      <c r="GV38" s="67">
        <v>7500924.0</v>
      </c>
      <c r="GW38" s="63">
        <v>7.0638643E7</v>
      </c>
      <c r="GX38" s="63">
        <v>44759.0</v>
      </c>
      <c r="GY38" s="63">
        <v>3.05808998E8</v>
      </c>
      <c r="GZ38" s="66">
        <v>3.76926003E8</v>
      </c>
    </row>
    <row r="39" ht="15.75" customHeight="1">
      <c r="A39" s="60">
        <v>34.0</v>
      </c>
      <c r="B39" s="61" t="s">
        <v>79</v>
      </c>
      <c r="C39" s="62">
        <v>0.0</v>
      </c>
      <c r="D39" s="62">
        <v>0.0</v>
      </c>
      <c r="E39" s="62">
        <v>0.0</v>
      </c>
      <c r="F39" s="62">
        <v>0.0</v>
      </c>
      <c r="G39" s="62">
        <v>0.0</v>
      </c>
      <c r="H39" s="62">
        <v>0.0</v>
      </c>
      <c r="I39" s="62">
        <v>0.0</v>
      </c>
      <c r="J39" s="62">
        <v>0.0</v>
      </c>
      <c r="K39" s="62">
        <v>0.0</v>
      </c>
      <c r="L39" s="62">
        <v>0.0</v>
      </c>
      <c r="M39" s="62">
        <v>0.0</v>
      </c>
      <c r="N39" s="62">
        <v>0.0</v>
      </c>
      <c r="O39" s="62">
        <v>0.0</v>
      </c>
      <c r="P39" s="62">
        <v>0.0</v>
      </c>
      <c r="Q39" s="62">
        <v>0.0</v>
      </c>
      <c r="R39" s="62">
        <v>0.0</v>
      </c>
      <c r="S39" s="62">
        <v>0.0</v>
      </c>
      <c r="T39" s="62">
        <v>0.0</v>
      </c>
      <c r="U39" s="62">
        <v>0.0</v>
      </c>
      <c r="V39" s="62">
        <v>0.0</v>
      </c>
      <c r="W39" s="62">
        <v>0.0</v>
      </c>
      <c r="X39" s="62">
        <v>0.0</v>
      </c>
      <c r="Y39" s="62">
        <v>0.0</v>
      </c>
      <c r="Z39" s="62">
        <v>0.0</v>
      </c>
      <c r="AA39" s="62">
        <v>0.0</v>
      </c>
      <c r="AB39" s="62">
        <v>0.0</v>
      </c>
      <c r="AC39" s="62">
        <v>1792.0</v>
      </c>
      <c r="AD39" s="62">
        <v>144883.0</v>
      </c>
      <c r="AE39" s="62">
        <v>0.0</v>
      </c>
      <c r="AF39" s="62">
        <v>10941.0</v>
      </c>
      <c r="AG39" s="62">
        <v>0.0</v>
      </c>
      <c r="AH39" s="62">
        <v>0.0</v>
      </c>
      <c r="AI39" s="62">
        <v>0.0</v>
      </c>
      <c r="AJ39" s="62">
        <v>2224597.0</v>
      </c>
      <c r="AK39" s="62">
        <v>23024.0</v>
      </c>
      <c r="AL39" s="62">
        <v>0.0</v>
      </c>
      <c r="AM39" s="62">
        <v>0.0</v>
      </c>
      <c r="AN39" s="62">
        <v>0.0</v>
      </c>
      <c r="AO39" s="62">
        <v>0.0</v>
      </c>
      <c r="AP39" s="62">
        <v>0.0</v>
      </c>
      <c r="AQ39" s="62">
        <v>0.0</v>
      </c>
      <c r="AR39" s="62">
        <v>0.0</v>
      </c>
      <c r="AS39" s="62">
        <v>0.0</v>
      </c>
      <c r="AT39" s="62">
        <v>0.0</v>
      </c>
      <c r="AU39" s="62">
        <v>0.0</v>
      </c>
      <c r="AV39" s="62">
        <v>0.0</v>
      </c>
      <c r="AW39" s="62">
        <v>0.0</v>
      </c>
      <c r="AX39" s="62">
        <v>0.0</v>
      </c>
      <c r="AY39" s="62">
        <v>0.0</v>
      </c>
      <c r="AZ39" s="62">
        <v>0.0</v>
      </c>
      <c r="BA39" s="62">
        <v>0.0</v>
      </c>
      <c r="BB39" s="62">
        <v>0.0</v>
      </c>
      <c r="BC39" s="62">
        <v>0.0</v>
      </c>
      <c r="BD39" s="62">
        <v>0.0</v>
      </c>
      <c r="BE39" s="62">
        <v>1283744.0</v>
      </c>
      <c r="BF39" s="62">
        <v>4031488.0</v>
      </c>
      <c r="BG39" s="62">
        <v>0.0</v>
      </c>
      <c r="BH39" s="62">
        <v>10720.0</v>
      </c>
      <c r="BI39" s="62">
        <v>0.0</v>
      </c>
      <c r="BJ39" s="62">
        <v>0.0</v>
      </c>
      <c r="BK39" s="62">
        <v>0.0</v>
      </c>
      <c r="BL39" s="62">
        <v>0.0</v>
      </c>
      <c r="BM39" s="62">
        <v>0.0</v>
      </c>
      <c r="BN39" s="62">
        <v>0.0</v>
      </c>
      <c r="BO39" s="62">
        <v>0.0</v>
      </c>
      <c r="BP39" s="62">
        <v>0.0</v>
      </c>
      <c r="BQ39" s="62">
        <v>0.0</v>
      </c>
      <c r="BR39" s="62">
        <v>0.0</v>
      </c>
      <c r="BS39" s="62">
        <v>0.0</v>
      </c>
      <c r="BT39" s="62">
        <v>0.0</v>
      </c>
      <c r="BU39" s="62">
        <v>1010303.0</v>
      </c>
      <c r="BV39" s="62">
        <v>0.0</v>
      </c>
      <c r="BW39" s="62">
        <v>0.0</v>
      </c>
      <c r="BX39" s="62">
        <v>0.0</v>
      </c>
      <c r="BY39" s="62">
        <v>0.0</v>
      </c>
      <c r="BZ39" s="62">
        <v>0.0</v>
      </c>
      <c r="CA39" s="62">
        <v>0.0</v>
      </c>
      <c r="CB39" s="62">
        <v>0.0</v>
      </c>
      <c r="CC39" s="62">
        <v>0.0</v>
      </c>
      <c r="CD39" s="62">
        <v>0.0</v>
      </c>
      <c r="CE39" s="62">
        <v>0.0</v>
      </c>
      <c r="CF39" s="62">
        <v>0.0</v>
      </c>
      <c r="CG39" s="62">
        <v>0.0</v>
      </c>
      <c r="CH39" s="62">
        <v>0.0</v>
      </c>
      <c r="CI39" s="62">
        <v>0.0</v>
      </c>
      <c r="CJ39" s="62">
        <v>0.0</v>
      </c>
      <c r="CK39" s="62">
        <v>0.0</v>
      </c>
      <c r="CL39" s="62">
        <v>0.0</v>
      </c>
      <c r="CM39" s="62">
        <v>0.0</v>
      </c>
      <c r="CN39" s="62">
        <v>0.0</v>
      </c>
      <c r="CO39" s="62">
        <v>0.0</v>
      </c>
      <c r="CP39" s="62">
        <v>0.0</v>
      </c>
      <c r="CQ39" s="62">
        <v>0.0</v>
      </c>
      <c r="CR39" s="62">
        <v>0.0</v>
      </c>
      <c r="CS39" s="62">
        <v>0.0</v>
      </c>
      <c r="CT39" s="62">
        <v>0.0</v>
      </c>
      <c r="CU39" s="62">
        <v>0.0</v>
      </c>
      <c r="CV39" s="62">
        <v>0.0</v>
      </c>
      <c r="CW39" s="62">
        <v>0.0</v>
      </c>
      <c r="CX39" s="62">
        <v>0.0</v>
      </c>
      <c r="CY39" s="62">
        <v>0.0</v>
      </c>
      <c r="CZ39" s="62">
        <v>0.0</v>
      </c>
      <c r="DA39" s="62">
        <v>0.0</v>
      </c>
      <c r="DB39" s="62">
        <v>0.0</v>
      </c>
      <c r="DC39" s="62">
        <v>0.0</v>
      </c>
      <c r="DD39" s="62">
        <v>0.0</v>
      </c>
      <c r="DE39" s="62">
        <v>0.0</v>
      </c>
      <c r="DF39" s="62">
        <v>0.0</v>
      </c>
      <c r="DG39" s="62">
        <v>0.0</v>
      </c>
      <c r="DH39" s="62">
        <v>0.0</v>
      </c>
      <c r="DI39" s="62">
        <v>0.0</v>
      </c>
      <c r="DJ39" s="62">
        <v>0.0</v>
      </c>
      <c r="DK39" s="62">
        <v>0.0</v>
      </c>
      <c r="DL39" s="62">
        <v>0.0</v>
      </c>
      <c r="DM39" s="62">
        <v>0.0</v>
      </c>
      <c r="DN39" s="62">
        <v>0.0</v>
      </c>
      <c r="DO39" s="62">
        <v>0.0</v>
      </c>
      <c r="DP39" s="62">
        <v>0.0</v>
      </c>
      <c r="DQ39" s="62">
        <v>0.0</v>
      </c>
      <c r="DR39" s="62">
        <v>0.0</v>
      </c>
      <c r="DS39" s="62">
        <v>0.0</v>
      </c>
      <c r="DT39" s="62">
        <v>0.0</v>
      </c>
      <c r="DU39" s="62">
        <v>0.0</v>
      </c>
      <c r="DV39" s="62">
        <v>0.0</v>
      </c>
      <c r="DW39" s="62">
        <v>0.0</v>
      </c>
      <c r="DX39" s="62">
        <v>0.0</v>
      </c>
      <c r="DY39" s="62">
        <v>0.0</v>
      </c>
      <c r="DZ39" s="62">
        <v>0.0</v>
      </c>
      <c r="EA39" s="62">
        <v>0.0</v>
      </c>
      <c r="EB39" s="62">
        <v>0.0</v>
      </c>
      <c r="EC39" s="62">
        <v>0.0</v>
      </c>
      <c r="ED39" s="62">
        <v>0.0</v>
      </c>
      <c r="EE39" s="62">
        <v>0.0</v>
      </c>
      <c r="EF39" s="62">
        <v>0.0</v>
      </c>
      <c r="EG39" s="62">
        <v>0.0</v>
      </c>
      <c r="EH39" s="62">
        <v>0.0</v>
      </c>
      <c r="EI39" s="62">
        <v>0.0</v>
      </c>
      <c r="EJ39" s="62">
        <v>0.0</v>
      </c>
      <c r="EK39" s="62">
        <v>0.0</v>
      </c>
      <c r="EL39" s="62">
        <v>0.0</v>
      </c>
      <c r="EM39" s="62">
        <v>0.0</v>
      </c>
      <c r="EN39" s="62">
        <v>0.0</v>
      </c>
      <c r="EO39" s="62">
        <v>0.0</v>
      </c>
      <c r="EP39" s="62">
        <v>0.0</v>
      </c>
      <c r="EQ39" s="62">
        <v>0.0</v>
      </c>
      <c r="ER39" s="62">
        <v>0.0</v>
      </c>
      <c r="ES39" s="62">
        <v>0.0</v>
      </c>
      <c r="ET39" s="62">
        <v>0.0</v>
      </c>
      <c r="EU39" s="62">
        <v>0.0</v>
      </c>
      <c r="EV39" s="62">
        <v>0.0</v>
      </c>
      <c r="EW39" s="62">
        <v>0.0</v>
      </c>
      <c r="EX39" s="62">
        <v>0.0</v>
      </c>
      <c r="EY39" s="62">
        <v>0.0</v>
      </c>
      <c r="EZ39" s="62">
        <v>0.0</v>
      </c>
      <c r="FA39" s="62">
        <v>0.0</v>
      </c>
      <c r="FB39" s="62">
        <v>0.0</v>
      </c>
      <c r="FC39" s="62">
        <v>0.0</v>
      </c>
      <c r="FD39" s="62">
        <v>0.0</v>
      </c>
      <c r="FE39" s="62">
        <v>0.0</v>
      </c>
      <c r="FF39" s="62">
        <v>0.0</v>
      </c>
      <c r="FG39" s="62">
        <v>0.0</v>
      </c>
      <c r="FH39" s="62">
        <v>0.0</v>
      </c>
      <c r="FI39" s="62">
        <v>0.0</v>
      </c>
      <c r="FJ39" s="62">
        <v>919861.0</v>
      </c>
      <c r="FK39" s="62">
        <v>1.7479219E7</v>
      </c>
      <c r="FL39" s="62">
        <v>0.0</v>
      </c>
      <c r="FM39" s="62">
        <v>0.0</v>
      </c>
      <c r="FN39" s="62">
        <v>0.0</v>
      </c>
      <c r="FO39" s="62">
        <v>0.0</v>
      </c>
      <c r="FP39" s="62">
        <v>0.0</v>
      </c>
      <c r="FQ39" s="62">
        <v>0.0</v>
      </c>
      <c r="FR39" s="62">
        <v>0.0</v>
      </c>
      <c r="FS39" s="62">
        <v>0.0</v>
      </c>
      <c r="FT39" s="62">
        <v>0.0</v>
      </c>
      <c r="FU39" s="62">
        <v>0.0</v>
      </c>
      <c r="FV39" s="62">
        <v>0.0</v>
      </c>
      <c r="FW39" s="62">
        <v>0.0</v>
      </c>
      <c r="FX39" s="62">
        <v>176307.0</v>
      </c>
      <c r="FY39" s="62">
        <v>141523.0</v>
      </c>
      <c r="FZ39" s="62">
        <v>0.0</v>
      </c>
      <c r="GA39" s="62">
        <v>41693.0</v>
      </c>
      <c r="GB39" s="62">
        <v>1266725.0</v>
      </c>
      <c r="GC39" s="62">
        <v>738244.0</v>
      </c>
      <c r="GD39" s="62">
        <v>0.0</v>
      </c>
      <c r="GE39" s="62">
        <v>57195.0</v>
      </c>
      <c r="GF39" s="63">
        <v>2.9562259E7</v>
      </c>
      <c r="GG39" s="64">
        <v>5.6540521E7</v>
      </c>
      <c r="GH39" s="65">
        <v>0.0</v>
      </c>
      <c r="GI39" s="64">
        <v>0.0</v>
      </c>
      <c r="GJ39" s="64">
        <v>286073.0</v>
      </c>
      <c r="GK39" s="64">
        <v>504285.0</v>
      </c>
      <c r="GL39" s="64">
        <v>3448310.0</v>
      </c>
      <c r="GM39" s="64">
        <v>0.0</v>
      </c>
      <c r="GN39" s="63">
        <v>6.0779189E7</v>
      </c>
      <c r="GO39" s="66">
        <v>9.0341448E7</v>
      </c>
      <c r="GP39" s="64">
        <v>91901.0</v>
      </c>
      <c r="GQ39" s="64">
        <v>0.0</v>
      </c>
      <c r="GR39" s="65">
        <v>0.0</v>
      </c>
      <c r="GS39" s="63">
        <v>91901.0</v>
      </c>
      <c r="GT39" s="67">
        <v>1.0204211E7</v>
      </c>
      <c r="GU39" s="67">
        <v>7643703.0</v>
      </c>
      <c r="GV39" s="67">
        <v>794466.0</v>
      </c>
      <c r="GW39" s="63">
        <v>1.864238E7</v>
      </c>
      <c r="GX39" s="63">
        <v>2627.0</v>
      </c>
      <c r="GY39" s="63">
        <v>7.160454E7</v>
      </c>
      <c r="GZ39" s="66">
        <v>9.0341448E7</v>
      </c>
    </row>
    <row r="40" ht="15.75" customHeight="1">
      <c r="A40" s="68">
        <v>35.0</v>
      </c>
      <c r="B40" s="69" t="s">
        <v>80</v>
      </c>
      <c r="C40" s="70">
        <v>0.0</v>
      </c>
      <c r="D40" s="70">
        <v>0.0</v>
      </c>
      <c r="E40" s="70">
        <v>0.0</v>
      </c>
      <c r="F40" s="70">
        <v>0.0</v>
      </c>
      <c r="G40" s="70">
        <v>0.0</v>
      </c>
      <c r="H40" s="70">
        <v>0.0</v>
      </c>
      <c r="I40" s="70">
        <v>0.0</v>
      </c>
      <c r="J40" s="70">
        <v>0.0</v>
      </c>
      <c r="K40" s="70">
        <v>0.0</v>
      </c>
      <c r="L40" s="70">
        <v>0.0</v>
      </c>
      <c r="M40" s="70">
        <v>0.0</v>
      </c>
      <c r="N40" s="70">
        <v>0.0</v>
      </c>
      <c r="O40" s="70">
        <v>0.0</v>
      </c>
      <c r="P40" s="70">
        <v>0.0</v>
      </c>
      <c r="Q40" s="70">
        <v>0.0</v>
      </c>
      <c r="R40" s="70">
        <v>0.0</v>
      </c>
      <c r="S40" s="70">
        <v>0.0</v>
      </c>
      <c r="T40" s="70">
        <v>0.0</v>
      </c>
      <c r="U40" s="70">
        <v>0.0</v>
      </c>
      <c r="V40" s="70">
        <v>0.0</v>
      </c>
      <c r="W40" s="70">
        <v>0.0</v>
      </c>
      <c r="X40" s="70">
        <v>0.0</v>
      </c>
      <c r="Y40" s="70">
        <v>0.0</v>
      </c>
      <c r="Z40" s="70">
        <v>0.0</v>
      </c>
      <c r="AA40" s="70">
        <v>0.0</v>
      </c>
      <c r="AB40" s="70">
        <v>0.0</v>
      </c>
      <c r="AC40" s="70">
        <v>0.0</v>
      </c>
      <c r="AD40" s="70">
        <v>0.0</v>
      </c>
      <c r="AE40" s="70">
        <v>0.0</v>
      </c>
      <c r="AF40" s="70">
        <v>2177.0</v>
      </c>
      <c r="AG40" s="70">
        <v>0.0</v>
      </c>
      <c r="AH40" s="70">
        <v>0.0</v>
      </c>
      <c r="AI40" s="70">
        <v>0.0</v>
      </c>
      <c r="AJ40" s="70">
        <v>150.0</v>
      </c>
      <c r="AK40" s="70">
        <v>469713.0</v>
      </c>
      <c r="AL40" s="70">
        <v>0.0</v>
      </c>
      <c r="AM40" s="70">
        <v>0.0</v>
      </c>
      <c r="AN40" s="70">
        <v>0.0</v>
      </c>
      <c r="AO40" s="70">
        <v>0.0</v>
      </c>
      <c r="AP40" s="70">
        <v>0.0</v>
      </c>
      <c r="AQ40" s="70">
        <v>0.0</v>
      </c>
      <c r="AR40" s="70">
        <v>0.0</v>
      </c>
      <c r="AS40" s="70">
        <v>0.0</v>
      </c>
      <c r="AT40" s="70">
        <v>0.0</v>
      </c>
      <c r="AU40" s="70">
        <v>0.0</v>
      </c>
      <c r="AV40" s="70">
        <v>0.0</v>
      </c>
      <c r="AW40" s="70">
        <v>0.0</v>
      </c>
      <c r="AX40" s="70">
        <v>0.0</v>
      </c>
      <c r="AY40" s="70">
        <v>0.0</v>
      </c>
      <c r="AZ40" s="70">
        <v>0.0</v>
      </c>
      <c r="BA40" s="70">
        <v>0.0</v>
      </c>
      <c r="BB40" s="70">
        <v>0.0</v>
      </c>
      <c r="BC40" s="70">
        <v>0.0</v>
      </c>
      <c r="BD40" s="70">
        <v>0.0</v>
      </c>
      <c r="BE40" s="70">
        <v>435143.0</v>
      </c>
      <c r="BF40" s="70">
        <v>968395.0</v>
      </c>
      <c r="BG40" s="70">
        <v>0.0</v>
      </c>
      <c r="BH40" s="70">
        <v>2175.0</v>
      </c>
      <c r="BI40" s="70">
        <v>0.0</v>
      </c>
      <c r="BJ40" s="70">
        <v>0.0</v>
      </c>
      <c r="BK40" s="70">
        <v>0.0</v>
      </c>
      <c r="BL40" s="70">
        <v>0.0</v>
      </c>
      <c r="BM40" s="70">
        <v>0.0</v>
      </c>
      <c r="BN40" s="70">
        <v>0.0</v>
      </c>
      <c r="BO40" s="70">
        <v>0.0</v>
      </c>
      <c r="BP40" s="70">
        <v>0.0</v>
      </c>
      <c r="BQ40" s="70">
        <v>0.0</v>
      </c>
      <c r="BR40" s="70">
        <v>0.0</v>
      </c>
      <c r="BS40" s="70">
        <v>0.0</v>
      </c>
      <c r="BT40" s="70">
        <v>0.0</v>
      </c>
      <c r="BU40" s="70">
        <v>208135.0</v>
      </c>
      <c r="BV40" s="70">
        <v>0.0</v>
      </c>
      <c r="BW40" s="70">
        <v>0.0</v>
      </c>
      <c r="BX40" s="70">
        <v>0.0</v>
      </c>
      <c r="BY40" s="70">
        <v>0.0</v>
      </c>
      <c r="BZ40" s="70">
        <v>0.0</v>
      </c>
      <c r="CA40" s="70">
        <v>0.0</v>
      </c>
      <c r="CB40" s="70">
        <v>0.0</v>
      </c>
      <c r="CC40" s="70">
        <v>0.0</v>
      </c>
      <c r="CD40" s="70">
        <v>0.0</v>
      </c>
      <c r="CE40" s="70">
        <v>0.0</v>
      </c>
      <c r="CF40" s="70">
        <v>0.0</v>
      </c>
      <c r="CG40" s="70">
        <v>0.0</v>
      </c>
      <c r="CH40" s="70">
        <v>0.0</v>
      </c>
      <c r="CI40" s="70">
        <v>0.0</v>
      </c>
      <c r="CJ40" s="70">
        <v>0.0</v>
      </c>
      <c r="CK40" s="70">
        <v>0.0</v>
      </c>
      <c r="CL40" s="70">
        <v>0.0</v>
      </c>
      <c r="CM40" s="70">
        <v>0.0</v>
      </c>
      <c r="CN40" s="70">
        <v>0.0</v>
      </c>
      <c r="CO40" s="70">
        <v>0.0</v>
      </c>
      <c r="CP40" s="70">
        <v>0.0</v>
      </c>
      <c r="CQ40" s="70">
        <v>0.0</v>
      </c>
      <c r="CR40" s="70">
        <v>0.0</v>
      </c>
      <c r="CS40" s="70">
        <v>0.0</v>
      </c>
      <c r="CT40" s="70">
        <v>0.0</v>
      </c>
      <c r="CU40" s="70">
        <v>0.0</v>
      </c>
      <c r="CV40" s="70">
        <v>0.0</v>
      </c>
      <c r="CW40" s="70">
        <v>0.0</v>
      </c>
      <c r="CX40" s="70">
        <v>0.0</v>
      </c>
      <c r="CY40" s="70">
        <v>0.0</v>
      </c>
      <c r="CZ40" s="70">
        <v>0.0</v>
      </c>
      <c r="DA40" s="70">
        <v>97.0</v>
      </c>
      <c r="DB40" s="70">
        <v>62637.0</v>
      </c>
      <c r="DC40" s="70">
        <v>0.0</v>
      </c>
      <c r="DD40" s="70">
        <v>14260.0</v>
      </c>
      <c r="DE40" s="70">
        <v>0.0</v>
      </c>
      <c r="DF40" s="70">
        <v>0.0</v>
      </c>
      <c r="DG40" s="70">
        <v>0.0</v>
      </c>
      <c r="DH40" s="70">
        <v>0.0</v>
      </c>
      <c r="DI40" s="70">
        <v>0.0</v>
      </c>
      <c r="DJ40" s="70">
        <v>0.0</v>
      </c>
      <c r="DK40" s="70">
        <v>0.0</v>
      </c>
      <c r="DL40" s="70">
        <v>0.0</v>
      </c>
      <c r="DM40" s="70">
        <v>0.0</v>
      </c>
      <c r="DN40" s="70">
        <v>0.0</v>
      </c>
      <c r="DO40" s="70">
        <v>0.0</v>
      </c>
      <c r="DP40" s="70">
        <v>0.0</v>
      </c>
      <c r="DQ40" s="70">
        <v>0.0</v>
      </c>
      <c r="DR40" s="70">
        <v>0.0</v>
      </c>
      <c r="DS40" s="70">
        <v>0.0</v>
      </c>
      <c r="DT40" s="70">
        <v>0.0</v>
      </c>
      <c r="DU40" s="70">
        <v>0.0</v>
      </c>
      <c r="DV40" s="70">
        <v>0.0</v>
      </c>
      <c r="DW40" s="70">
        <v>0.0</v>
      </c>
      <c r="DX40" s="70">
        <v>0.0</v>
      </c>
      <c r="DY40" s="70">
        <v>0.0</v>
      </c>
      <c r="DZ40" s="70">
        <v>0.0</v>
      </c>
      <c r="EA40" s="70">
        <v>0.0</v>
      </c>
      <c r="EB40" s="70">
        <v>0.0</v>
      </c>
      <c r="EC40" s="70">
        <v>0.0</v>
      </c>
      <c r="ED40" s="70">
        <v>0.0</v>
      </c>
      <c r="EE40" s="70">
        <v>0.0</v>
      </c>
      <c r="EF40" s="70">
        <v>0.0</v>
      </c>
      <c r="EG40" s="70">
        <v>0.0</v>
      </c>
      <c r="EH40" s="70">
        <v>0.0</v>
      </c>
      <c r="EI40" s="70">
        <v>0.0</v>
      </c>
      <c r="EJ40" s="70">
        <v>1633828.0</v>
      </c>
      <c r="EK40" s="70">
        <v>0.0</v>
      </c>
      <c r="EL40" s="70">
        <v>0.0</v>
      </c>
      <c r="EM40" s="70">
        <v>0.0</v>
      </c>
      <c r="EN40" s="70">
        <v>0.0</v>
      </c>
      <c r="EO40" s="70">
        <v>0.0</v>
      </c>
      <c r="EP40" s="70">
        <v>0.0</v>
      </c>
      <c r="EQ40" s="70">
        <v>0.0</v>
      </c>
      <c r="ER40" s="70">
        <v>0.0</v>
      </c>
      <c r="ES40" s="70">
        <v>0.0</v>
      </c>
      <c r="ET40" s="70">
        <v>0.0</v>
      </c>
      <c r="EU40" s="70">
        <v>0.0</v>
      </c>
      <c r="EV40" s="70">
        <v>0.0</v>
      </c>
      <c r="EW40" s="70">
        <v>0.0</v>
      </c>
      <c r="EX40" s="70">
        <v>0.0</v>
      </c>
      <c r="EY40" s="70">
        <v>0.0</v>
      </c>
      <c r="EZ40" s="70">
        <v>0.0</v>
      </c>
      <c r="FA40" s="70">
        <v>0.0</v>
      </c>
      <c r="FB40" s="70">
        <v>0.0</v>
      </c>
      <c r="FC40" s="70">
        <v>0.0</v>
      </c>
      <c r="FD40" s="70">
        <v>0.0</v>
      </c>
      <c r="FE40" s="70">
        <v>0.0</v>
      </c>
      <c r="FF40" s="70">
        <v>0.0</v>
      </c>
      <c r="FG40" s="70">
        <v>0.0</v>
      </c>
      <c r="FH40" s="70">
        <v>0.0</v>
      </c>
      <c r="FI40" s="70">
        <v>0.0</v>
      </c>
      <c r="FJ40" s="70">
        <v>89696.0</v>
      </c>
      <c r="FK40" s="70">
        <v>1495325.0</v>
      </c>
      <c r="FL40" s="70">
        <v>0.0</v>
      </c>
      <c r="FM40" s="70">
        <v>0.0</v>
      </c>
      <c r="FN40" s="70">
        <v>0.0</v>
      </c>
      <c r="FO40" s="70">
        <v>0.0</v>
      </c>
      <c r="FP40" s="70">
        <v>0.0</v>
      </c>
      <c r="FQ40" s="70">
        <v>0.0</v>
      </c>
      <c r="FR40" s="70">
        <v>0.0</v>
      </c>
      <c r="FS40" s="70">
        <v>0.0</v>
      </c>
      <c r="FT40" s="70">
        <v>0.0</v>
      </c>
      <c r="FU40" s="70">
        <v>0.0</v>
      </c>
      <c r="FV40" s="70">
        <v>0.0</v>
      </c>
      <c r="FW40" s="70">
        <v>351.0</v>
      </c>
      <c r="FX40" s="70">
        <v>16469.0</v>
      </c>
      <c r="FY40" s="70">
        <v>18540.0</v>
      </c>
      <c r="FZ40" s="70">
        <v>0.0</v>
      </c>
      <c r="GA40" s="70">
        <v>0.0</v>
      </c>
      <c r="GB40" s="70">
        <v>2714.0</v>
      </c>
      <c r="GC40" s="70">
        <v>11066.0</v>
      </c>
      <c r="GD40" s="70">
        <v>0.0</v>
      </c>
      <c r="GE40" s="70">
        <v>0.0</v>
      </c>
      <c r="GF40" s="71">
        <v>5430871.0</v>
      </c>
      <c r="GG40" s="72">
        <v>1.0496777E7</v>
      </c>
      <c r="GH40" s="73">
        <v>0.0</v>
      </c>
      <c r="GI40" s="72">
        <v>0.0</v>
      </c>
      <c r="GJ40" s="72">
        <v>0.0</v>
      </c>
      <c r="GK40" s="72">
        <v>33.0</v>
      </c>
      <c r="GL40" s="72">
        <v>764838.0</v>
      </c>
      <c r="GM40" s="72">
        <v>0.0</v>
      </c>
      <c r="GN40" s="71">
        <v>1.1261648E7</v>
      </c>
      <c r="GO40" s="74">
        <v>1.6692519E7</v>
      </c>
      <c r="GP40" s="72">
        <v>6285.0</v>
      </c>
      <c r="GQ40" s="72">
        <v>0.0</v>
      </c>
      <c r="GR40" s="73">
        <v>0.0</v>
      </c>
      <c r="GS40" s="71">
        <v>6285.0</v>
      </c>
      <c r="GT40" s="75">
        <v>1775005.0</v>
      </c>
      <c r="GU40" s="75">
        <v>1687120.0</v>
      </c>
      <c r="GV40" s="75">
        <v>41560.0</v>
      </c>
      <c r="GW40" s="71">
        <v>3503685.0</v>
      </c>
      <c r="GX40" s="71">
        <v>709.0</v>
      </c>
      <c r="GY40" s="71">
        <v>1.318184E7</v>
      </c>
      <c r="GZ40" s="74">
        <v>1.6692519E7</v>
      </c>
    </row>
    <row r="41" ht="15.75" customHeight="1">
      <c r="A41" s="52">
        <v>36.0</v>
      </c>
      <c r="B41" s="53" t="s">
        <v>81</v>
      </c>
      <c r="C41" s="54">
        <v>0.0</v>
      </c>
      <c r="D41" s="54">
        <v>0.0</v>
      </c>
      <c r="E41" s="54">
        <v>0.0</v>
      </c>
      <c r="F41" s="54">
        <v>0.0</v>
      </c>
      <c r="G41" s="54">
        <v>0.0</v>
      </c>
      <c r="H41" s="54">
        <v>0.0</v>
      </c>
      <c r="I41" s="54">
        <v>0.0</v>
      </c>
      <c r="J41" s="54">
        <v>0.0</v>
      </c>
      <c r="K41" s="54">
        <v>0.0</v>
      </c>
      <c r="L41" s="54">
        <v>0.0</v>
      </c>
      <c r="M41" s="54">
        <v>0.0</v>
      </c>
      <c r="N41" s="54">
        <v>0.0</v>
      </c>
      <c r="O41" s="54">
        <v>0.0</v>
      </c>
      <c r="P41" s="54">
        <v>0.0</v>
      </c>
      <c r="Q41" s="54">
        <v>0.0</v>
      </c>
      <c r="R41" s="54">
        <v>0.0</v>
      </c>
      <c r="S41" s="54">
        <v>0.0</v>
      </c>
      <c r="T41" s="54">
        <v>0.0</v>
      </c>
      <c r="U41" s="54">
        <v>0.0</v>
      </c>
      <c r="V41" s="54">
        <v>0.0</v>
      </c>
      <c r="W41" s="54">
        <v>0.0</v>
      </c>
      <c r="X41" s="54">
        <v>0.0</v>
      </c>
      <c r="Y41" s="54">
        <v>0.0</v>
      </c>
      <c r="Z41" s="54">
        <v>0.0</v>
      </c>
      <c r="AA41" s="54">
        <v>0.0</v>
      </c>
      <c r="AB41" s="54">
        <v>0.0</v>
      </c>
      <c r="AC41" s="54">
        <v>0.0</v>
      </c>
      <c r="AD41" s="54">
        <v>0.0</v>
      </c>
      <c r="AE41" s="54">
        <v>0.0</v>
      </c>
      <c r="AF41" s="54">
        <v>64903.0</v>
      </c>
      <c r="AG41" s="54">
        <v>0.0</v>
      </c>
      <c r="AH41" s="54">
        <v>0.0</v>
      </c>
      <c r="AI41" s="54">
        <v>28461.0</v>
      </c>
      <c r="AJ41" s="54">
        <v>54544.0</v>
      </c>
      <c r="AK41" s="54">
        <v>11634.0</v>
      </c>
      <c r="AL41" s="54">
        <v>6278320.0</v>
      </c>
      <c r="AM41" s="54">
        <v>0.0</v>
      </c>
      <c r="AN41" s="54">
        <v>0.0</v>
      </c>
      <c r="AO41" s="54">
        <v>0.0</v>
      </c>
      <c r="AP41" s="54">
        <v>0.0</v>
      </c>
      <c r="AQ41" s="54">
        <v>0.0</v>
      </c>
      <c r="AR41" s="54">
        <v>0.0</v>
      </c>
      <c r="AS41" s="54">
        <v>0.0</v>
      </c>
      <c r="AT41" s="54">
        <v>0.0</v>
      </c>
      <c r="AU41" s="54">
        <v>0.0</v>
      </c>
      <c r="AV41" s="54">
        <v>0.0</v>
      </c>
      <c r="AW41" s="54">
        <v>0.0</v>
      </c>
      <c r="AX41" s="54">
        <v>0.0</v>
      </c>
      <c r="AY41" s="54">
        <v>0.0</v>
      </c>
      <c r="AZ41" s="54">
        <v>0.0</v>
      </c>
      <c r="BA41" s="54">
        <v>0.0</v>
      </c>
      <c r="BB41" s="54">
        <v>0.0</v>
      </c>
      <c r="BC41" s="54">
        <v>0.0</v>
      </c>
      <c r="BD41" s="54">
        <v>0.0</v>
      </c>
      <c r="BE41" s="54">
        <v>1.2554693E7</v>
      </c>
      <c r="BF41" s="54">
        <v>2.096505E7</v>
      </c>
      <c r="BG41" s="54">
        <v>0.0</v>
      </c>
      <c r="BH41" s="54">
        <v>85930.0</v>
      </c>
      <c r="BI41" s="54">
        <v>0.0</v>
      </c>
      <c r="BJ41" s="54">
        <v>0.0</v>
      </c>
      <c r="BK41" s="54">
        <v>0.0</v>
      </c>
      <c r="BL41" s="54">
        <v>0.0</v>
      </c>
      <c r="BM41" s="54">
        <v>0.0</v>
      </c>
      <c r="BN41" s="54">
        <v>0.0</v>
      </c>
      <c r="BO41" s="54">
        <v>0.0</v>
      </c>
      <c r="BP41" s="54">
        <v>0.0</v>
      </c>
      <c r="BQ41" s="54">
        <v>0.0</v>
      </c>
      <c r="BR41" s="54">
        <v>0.0</v>
      </c>
      <c r="BS41" s="54">
        <v>0.0</v>
      </c>
      <c r="BT41" s="54">
        <v>0.0</v>
      </c>
      <c r="BU41" s="54">
        <v>6294997.0</v>
      </c>
      <c r="BV41" s="54">
        <v>0.0</v>
      </c>
      <c r="BW41" s="54">
        <v>0.0</v>
      </c>
      <c r="BX41" s="54">
        <v>0.0</v>
      </c>
      <c r="BY41" s="54">
        <v>0.0</v>
      </c>
      <c r="BZ41" s="54">
        <v>0.0</v>
      </c>
      <c r="CA41" s="54">
        <v>0.0</v>
      </c>
      <c r="CB41" s="54">
        <v>0.0</v>
      </c>
      <c r="CC41" s="54">
        <v>0.0</v>
      </c>
      <c r="CD41" s="54">
        <v>0.0</v>
      </c>
      <c r="CE41" s="54">
        <v>0.0</v>
      </c>
      <c r="CF41" s="54">
        <v>0.0</v>
      </c>
      <c r="CG41" s="54">
        <v>0.0</v>
      </c>
      <c r="CH41" s="54">
        <v>0.0</v>
      </c>
      <c r="CI41" s="54">
        <v>0.0</v>
      </c>
      <c r="CJ41" s="54">
        <v>0.0</v>
      </c>
      <c r="CK41" s="54">
        <v>0.0</v>
      </c>
      <c r="CL41" s="54">
        <v>0.0</v>
      </c>
      <c r="CM41" s="54">
        <v>0.0</v>
      </c>
      <c r="CN41" s="54">
        <v>0.0</v>
      </c>
      <c r="CO41" s="54">
        <v>0.0</v>
      </c>
      <c r="CP41" s="54">
        <v>0.0</v>
      </c>
      <c r="CQ41" s="54">
        <v>0.0</v>
      </c>
      <c r="CR41" s="54">
        <v>0.0</v>
      </c>
      <c r="CS41" s="54">
        <v>0.0</v>
      </c>
      <c r="CT41" s="54">
        <v>0.0</v>
      </c>
      <c r="CU41" s="54">
        <v>0.0</v>
      </c>
      <c r="CV41" s="54">
        <v>266822.0</v>
      </c>
      <c r="CW41" s="54">
        <v>0.0</v>
      </c>
      <c r="CX41" s="54">
        <v>0.0</v>
      </c>
      <c r="CY41" s="54">
        <v>0.0</v>
      </c>
      <c r="CZ41" s="54">
        <v>130481.0</v>
      </c>
      <c r="DA41" s="54">
        <v>4063503.0</v>
      </c>
      <c r="DB41" s="54">
        <v>202999.0</v>
      </c>
      <c r="DC41" s="54">
        <v>0.0</v>
      </c>
      <c r="DD41" s="54">
        <v>83688.0</v>
      </c>
      <c r="DE41" s="54">
        <v>0.0</v>
      </c>
      <c r="DF41" s="54">
        <v>0.0</v>
      </c>
      <c r="DG41" s="54">
        <v>0.0</v>
      </c>
      <c r="DH41" s="54">
        <v>0.0</v>
      </c>
      <c r="DI41" s="54">
        <v>0.0</v>
      </c>
      <c r="DJ41" s="54">
        <v>0.0</v>
      </c>
      <c r="DK41" s="54">
        <v>0.0</v>
      </c>
      <c r="DL41" s="54">
        <v>0.0</v>
      </c>
      <c r="DM41" s="54">
        <v>0.0</v>
      </c>
      <c r="DN41" s="54">
        <v>0.0</v>
      </c>
      <c r="DO41" s="54">
        <v>0.0</v>
      </c>
      <c r="DP41" s="54">
        <v>0.0</v>
      </c>
      <c r="DQ41" s="54">
        <v>0.0</v>
      </c>
      <c r="DR41" s="54">
        <v>0.0</v>
      </c>
      <c r="DS41" s="54">
        <v>0.0</v>
      </c>
      <c r="DT41" s="54">
        <v>0.0</v>
      </c>
      <c r="DU41" s="54">
        <v>0.0</v>
      </c>
      <c r="DV41" s="54">
        <v>0.0</v>
      </c>
      <c r="DW41" s="54">
        <v>0.0</v>
      </c>
      <c r="DX41" s="54">
        <v>0.0</v>
      </c>
      <c r="DY41" s="54">
        <v>0.0</v>
      </c>
      <c r="DZ41" s="54">
        <v>0.0</v>
      </c>
      <c r="EA41" s="54">
        <v>0.0</v>
      </c>
      <c r="EB41" s="54">
        <v>0.0</v>
      </c>
      <c r="EC41" s="54">
        <v>0.0</v>
      </c>
      <c r="ED41" s="54">
        <v>0.0</v>
      </c>
      <c r="EE41" s="54">
        <v>0.0</v>
      </c>
      <c r="EF41" s="54">
        <v>0.0</v>
      </c>
      <c r="EG41" s="54">
        <v>0.0</v>
      </c>
      <c r="EH41" s="54">
        <v>0.0</v>
      </c>
      <c r="EI41" s="54">
        <v>0.0</v>
      </c>
      <c r="EJ41" s="54">
        <v>0.0</v>
      </c>
      <c r="EK41" s="54">
        <v>0.0</v>
      </c>
      <c r="EL41" s="54">
        <v>0.0</v>
      </c>
      <c r="EM41" s="54">
        <v>0.0</v>
      </c>
      <c r="EN41" s="54">
        <v>0.0</v>
      </c>
      <c r="EO41" s="54">
        <v>0.0</v>
      </c>
      <c r="EP41" s="54">
        <v>0.0</v>
      </c>
      <c r="EQ41" s="54">
        <v>0.0</v>
      </c>
      <c r="ER41" s="54">
        <v>0.0</v>
      </c>
      <c r="ES41" s="54">
        <v>0.0</v>
      </c>
      <c r="ET41" s="54">
        <v>0.0</v>
      </c>
      <c r="EU41" s="54">
        <v>0.0</v>
      </c>
      <c r="EV41" s="54">
        <v>0.0</v>
      </c>
      <c r="EW41" s="54">
        <v>0.0</v>
      </c>
      <c r="EX41" s="54">
        <v>0.0</v>
      </c>
      <c r="EY41" s="54">
        <v>0.0</v>
      </c>
      <c r="EZ41" s="54">
        <v>0.0</v>
      </c>
      <c r="FA41" s="54">
        <v>0.0</v>
      </c>
      <c r="FB41" s="54">
        <v>0.0</v>
      </c>
      <c r="FC41" s="54">
        <v>0.0</v>
      </c>
      <c r="FD41" s="54">
        <v>0.0</v>
      </c>
      <c r="FE41" s="54">
        <v>0.0</v>
      </c>
      <c r="FF41" s="54">
        <v>0.0</v>
      </c>
      <c r="FG41" s="54">
        <v>0.0</v>
      </c>
      <c r="FH41" s="54">
        <v>0.0</v>
      </c>
      <c r="FI41" s="54">
        <v>0.0</v>
      </c>
      <c r="FJ41" s="54">
        <v>729836.0</v>
      </c>
      <c r="FK41" s="54">
        <v>1.7022024E7</v>
      </c>
      <c r="FL41" s="54">
        <v>0.0</v>
      </c>
      <c r="FM41" s="54">
        <v>0.0</v>
      </c>
      <c r="FN41" s="54">
        <v>0.0</v>
      </c>
      <c r="FO41" s="54">
        <v>0.0</v>
      </c>
      <c r="FP41" s="54">
        <v>0.0</v>
      </c>
      <c r="FQ41" s="54">
        <v>0.0</v>
      </c>
      <c r="FR41" s="54">
        <v>0.0</v>
      </c>
      <c r="FS41" s="54">
        <v>0.0</v>
      </c>
      <c r="FT41" s="54">
        <v>0.0</v>
      </c>
      <c r="FU41" s="54">
        <v>0.0</v>
      </c>
      <c r="FV41" s="54">
        <v>0.0</v>
      </c>
      <c r="FW41" s="54">
        <v>31.0</v>
      </c>
      <c r="FX41" s="54">
        <v>2.0</v>
      </c>
      <c r="FY41" s="54">
        <v>80167.0</v>
      </c>
      <c r="FZ41" s="54">
        <v>0.0</v>
      </c>
      <c r="GA41" s="54">
        <v>0.0</v>
      </c>
      <c r="GB41" s="54">
        <v>68408.0</v>
      </c>
      <c r="GC41" s="54">
        <v>109238.0</v>
      </c>
      <c r="GD41" s="54">
        <v>0.0</v>
      </c>
      <c r="GE41" s="54">
        <v>0.0</v>
      </c>
      <c r="GF41" s="55">
        <v>6.9095731E7</v>
      </c>
      <c r="GG41" s="56">
        <v>49133.0</v>
      </c>
      <c r="GH41" s="57">
        <v>0.0</v>
      </c>
      <c r="GI41" s="56">
        <v>0.0</v>
      </c>
      <c r="GJ41" s="56">
        <v>0.0</v>
      </c>
      <c r="GK41" s="56">
        <v>175.0</v>
      </c>
      <c r="GL41" s="56">
        <v>2691360.0</v>
      </c>
      <c r="GM41" s="56">
        <v>0.0</v>
      </c>
      <c r="GN41" s="55">
        <v>2740668.0</v>
      </c>
      <c r="GO41" s="58">
        <v>7.1836399E7</v>
      </c>
      <c r="GP41" s="56">
        <v>93733.0</v>
      </c>
      <c r="GQ41" s="56">
        <v>0.0</v>
      </c>
      <c r="GR41" s="57">
        <v>0.0</v>
      </c>
      <c r="GS41" s="55">
        <v>93733.0</v>
      </c>
      <c r="GT41" s="59">
        <v>7479871.0</v>
      </c>
      <c r="GU41" s="59">
        <v>5901958.0</v>
      </c>
      <c r="GV41" s="59">
        <v>1742718.0</v>
      </c>
      <c r="GW41" s="55">
        <v>1.5124547E7</v>
      </c>
      <c r="GX41" s="55">
        <v>9231.0</v>
      </c>
      <c r="GY41" s="55">
        <v>5.6608888E7</v>
      </c>
      <c r="GZ41" s="58">
        <v>7.1836399E7</v>
      </c>
    </row>
    <row r="42" ht="15.75" customHeight="1">
      <c r="A42" s="60">
        <v>37.0</v>
      </c>
      <c r="B42" s="61" t="s">
        <v>82</v>
      </c>
      <c r="C42" s="62">
        <v>0.0</v>
      </c>
      <c r="D42" s="62">
        <v>0.0</v>
      </c>
      <c r="E42" s="62">
        <v>0.0</v>
      </c>
      <c r="F42" s="62">
        <v>0.0</v>
      </c>
      <c r="G42" s="62">
        <v>0.0</v>
      </c>
      <c r="H42" s="62">
        <v>0.0</v>
      </c>
      <c r="I42" s="62">
        <v>0.0</v>
      </c>
      <c r="J42" s="62">
        <v>0.0</v>
      </c>
      <c r="K42" s="62">
        <v>0.0</v>
      </c>
      <c r="L42" s="62">
        <v>0.0</v>
      </c>
      <c r="M42" s="62">
        <v>0.0</v>
      </c>
      <c r="N42" s="62">
        <v>0.0</v>
      </c>
      <c r="O42" s="62">
        <v>0.0</v>
      </c>
      <c r="P42" s="62">
        <v>0.0</v>
      </c>
      <c r="Q42" s="62">
        <v>0.0</v>
      </c>
      <c r="R42" s="62">
        <v>0.0</v>
      </c>
      <c r="S42" s="62">
        <v>0.0</v>
      </c>
      <c r="T42" s="62">
        <v>0.0</v>
      </c>
      <c r="U42" s="62">
        <v>0.0</v>
      </c>
      <c r="V42" s="62">
        <v>0.0</v>
      </c>
      <c r="W42" s="62">
        <v>0.0</v>
      </c>
      <c r="X42" s="62">
        <v>0.0</v>
      </c>
      <c r="Y42" s="62">
        <v>0.0</v>
      </c>
      <c r="Z42" s="62">
        <v>0.0</v>
      </c>
      <c r="AA42" s="62">
        <v>0.0</v>
      </c>
      <c r="AB42" s="62">
        <v>0.0</v>
      </c>
      <c r="AC42" s="62">
        <v>0.0</v>
      </c>
      <c r="AD42" s="62">
        <v>0.0</v>
      </c>
      <c r="AE42" s="62">
        <v>0.0</v>
      </c>
      <c r="AF42" s="62">
        <v>0.0</v>
      </c>
      <c r="AG42" s="62">
        <v>0.0</v>
      </c>
      <c r="AH42" s="62">
        <v>0.0</v>
      </c>
      <c r="AI42" s="62">
        <v>0.0</v>
      </c>
      <c r="AJ42" s="62">
        <v>0.0</v>
      </c>
      <c r="AK42" s="62">
        <v>0.0</v>
      </c>
      <c r="AL42" s="62">
        <v>0.0</v>
      </c>
      <c r="AM42" s="62">
        <v>1.588531E7</v>
      </c>
      <c r="AN42" s="62">
        <v>1329.0</v>
      </c>
      <c r="AO42" s="62">
        <v>752.0</v>
      </c>
      <c r="AP42" s="62">
        <v>0.0</v>
      </c>
      <c r="AQ42" s="62">
        <v>0.0</v>
      </c>
      <c r="AR42" s="62">
        <v>0.0</v>
      </c>
      <c r="AS42" s="62">
        <v>0.0</v>
      </c>
      <c r="AT42" s="62">
        <v>0.0</v>
      </c>
      <c r="AU42" s="62">
        <v>0.0</v>
      </c>
      <c r="AV42" s="62">
        <v>0.0</v>
      </c>
      <c r="AW42" s="62">
        <v>0.0</v>
      </c>
      <c r="AX42" s="62">
        <v>0.0</v>
      </c>
      <c r="AY42" s="62">
        <v>0.0</v>
      </c>
      <c r="AZ42" s="62">
        <v>0.0</v>
      </c>
      <c r="BA42" s="62">
        <v>0.0</v>
      </c>
      <c r="BB42" s="62">
        <v>0.0</v>
      </c>
      <c r="BC42" s="62">
        <v>0.0</v>
      </c>
      <c r="BD42" s="62">
        <v>0.0</v>
      </c>
      <c r="BE42" s="62">
        <v>0.0</v>
      </c>
      <c r="BF42" s="62">
        <v>0.0</v>
      </c>
      <c r="BG42" s="62">
        <v>0.0</v>
      </c>
      <c r="BH42" s="62">
        <v>0.0</v>
      </c>
      <c r="BI42" s="62">
        <v>0.0</v>
      </c>
      <c r="BJ42" s="62">
        <v>0.0</v>
      </c>
      <c r="BK42" s="62">
        <v>0.0</v>
      </c>
      <c r="BL42" s="62">
        <v>0.0</v>
      </c>
      <c r="BM42" s="62">
        <v>0.0</v>
      </c>
      <c r="BN42" s="62">
        <v>0.0</v>
      </c>
      <c r="BO42" s="62">
        <v>0.0</v>
      </c>
      <c r="BP42" s="62">
        <v>0.0</v>
      </c>
      <c r="BQ42" s="62">
        <v>0.0</v>
      </c>
      <c r="BR42" s="62">
        <v>0.0</v>
      </c>
      <c r="BS42" s="62">
        <v>0.0</v>
      </c>
      <c r="BT42" s="62">
        <v>0.0</v>
      </c>
      <c r="BU42" s="62">
        <v>0.0</v>
      </c>
      <c r="BV42" s="62">
        <v>0.0</v>
      </c>
      <c r="BW42" s="62">
        <v>0.0</v>
      </c>
      <c r="BX42" s="62">
        <v>0.0</v>
      </c>
      <c r="BY42" s="62">
        <v>0.0</v>
      </c>
      <c r="BZ42" s="62">
        <v>0.0</v>
      </c>
      <c r="CA42" s="62">
        <v>633669.0</v>
      </c>
      <c r="CB42" s="62">
        <v>1199900.0</v>
      </c>
      <c r="CC42" s="62">
        <v>71740.0</v>
      </c>
      <c r="CD42" s="62">
        <v>53349.0</v>
      </c>
      <c r="CE42" s="62">
        <v>48989.0</v>
      </c>
      <c r="CF42" s="62">
        <v>5432.0</v>
      </c>
      <c r="CG42" s="62">
        <v>0.0</v>
      </c>
      <c r="CH42" s="62">
        <v>0.0</v>
      </c>
      <c r="CI42" s="62">
        <v>0.0</v>
      </c>
      <c r="CJ42" s="62">
        <v>0.0</v>
      </c>
      <c r="CK42" s="62">
        <v>0.0</v>
      </c>
      <c r="CL42" s="62">
        <v>0.0</v>
      </c>
      <c r="CM42" s="62">
        <v>26936.0</v>
      </c>
      <c r="CN42" s="62">
        <v>3032503.0</v>
      </c>
      <c r="CO42" s="62">
        <v>2280954.0</v>
      </c>
      <c r="CP42" s="62">
        <v>1941649.0</v>
      </c>
      <c r="CQ42" s="62">
        <v>0.0</v>
      </c>
      <c r="CR42" s="62">
        <v>5413637.0</v>
      </c>
      <c r="CS42" s="62">
        <v>2642087.0</v>
      </c>
      <c r="CT42" s="62">
        <v>5159433.0</v>
      </c>
      <c r="CU42" s="62">
        <v>1224915.0</v>
      </c>
      <c r="CV42" s="62">
        <v>560263.0</v>
      </c>
      <c r="CW42" s="62">
        <v>99886.0</v>
      </c>
      <c r="CX42" s="62">
        <v>129.0</v>
      </c>
      <c r="CY42" s="62">
        <v>53.0</v>
      </c>
      <c r="CZ42" s="62">
        <v>70749.0</v>
      </c>
      <c r="DA42" s="62">
        <v>16737.0</v>
      </c>
      <c r="DB42" s="62">
        <v>401251.0</v>
      </c>
      <c r="DC42" s="62">
        <v>19130.0</v>
      </c>
      <c r="DD42" s="62">
        <v>4448.0</v>
      </c>
      <c r="DE42" s="62">
        <v>174517.0</v>
      </c>
      <c r="DF42" s="62">
        <v>209545.0</v>
      </c>
      <c r="DG42" s="62">
        <v>42670.0</v>
      </c>
      <c r="DH42" s="62">
        <v>388113.0</v>
      </c>
      <c r="DI42" s="62">
        <v>0.0</v>
      </c>
      <c r="DJ42" s="62">
        <v>111545.0</v>
      </c>
      <c r="DK42" s="62">
        <v>1.0671856E7</v>
      </c>
      <c r="DL42" s="62">
        <v>4665536.0</v>
      </c>
      <c r="DM42" s="62">
        <v>811110.0</v>
      </c>
      <c r="DN42" s="62">
        <v>333893.0</v>
      </c>
      <c r="DO42" s="62">
        <v>5082774.0</v>
      </c>
      <c r="DP42" s="62">
        <v>37152.0</v>
      </c>
      <c r="DQ42" s="62">
        <v>184326.0</v>
      </c>
      <c r="DR42" s="62">
        <v>827744.0</v>
      </c>
      <c r="DS42" s="62">
        <v>0.0</v>
      </c>
      <c r="DT42" s="62">
        <v>0.0</v>
      </c>
      <c r="DU42" s="62">
        <v>0.0</v>
      </c>
      <c r="DV42" s="62">
        <v>0.0</v>
      </c>
      <c r="DW42" s="62">
        <v>0.0</v>
      </c>
      <c r="DX42" s="62">
        <v>0.0</v>
      </c>
      <c r="DY42" s="62">
        <v>0.0</v>
      </c>
      <c r="DZ42" s="62">
        <v>0.0</v>
      </c>
      <c r="EA42" s="62">
        <v>0.0</v>
      </c>
      <c r="EB42" s="62">
        <v>2486.0</v>
      </c>
      <c r="EC42" s="62">
        <v>0.0</v>
      </c>
      <c r="ED42" s="62">
        <v>0.0</v>
      </c>
      <c r="EE42" s="62">
        <v>0.0</v>
      </c>
      <c r="EF42" s="62">
        <v>0.0</v>
      </c>
      <c r="EG42" s="62">
        <v>0.0</v>
      </c>
      <c r="EH42" s="62">
        <v>0.0</v>
      </c>
      <c r="EI42" s="62">
        <v>636.0</v>
      </c>
      <c r="EJ42" s="62">
        <v>0.0</v>
      </c>
      <c r="EK42" s="62">
        <v>2891.0</v>
      </c>
      <c r="EL42" s="62">
        <v>996.0</v>
      </c>
      <c r="EM42" s="62">
        <v>0.0</v>
      </c>
      <c r="EN42" s="62">
        <v>0.0</v>
      </c>
      <c r="EO42" s="62">
        <v>0.0</v>
      </c>
      <c r="EP42" s="62">
        <v>0.0</v>
      </c>
      <c r="EQ42" s="62">
        <v>1.36010607E8</v>
      </c>
      <c r="ER42" s="62">
        <v>0.0</v>
      </c>
      <c r="ES42" s="62">
        <v>0.0</v>
      </c>
      <c r="ET42" s="62">
        <v>9243.0</v>
      </c>
      <c r="EU42" s="62">
        <v>0.0</v>
      </c>
      <c r="EV42" s="62">
        <v>0.0</v>
      </c>
      <c r="EW42" s="62">
        <v>0.0</v>
      </c>
      <c r="EX42" s="62">
        <v>0.0</v>
      </c>
      <c r="EY42" s="62">
        <v>0.0</v>
      </c>
      <c r="EZ42" s="62">
        <v>0.0</v>
      </c>
      <c r="FA42" s="62">
        <v>0.0</v>
      </c>
      <c r="FB42" s="62">
        <v>0.0</v>
      </c>
      <c r="FC42" s="62">
        <v>0.0</v>
      </c>
      <c r="FD42" s="62">
        <v>0.0</v>
      </c>
      <c r="FE42" s="62">
        <v>0.0</v>
      </c>
      <c r="FF42" s="62">
        <v>0.0</v>
      </c>
      <c r="FG42" s="62">
        <v>0.0</v>
      </c>
      <c r="FH42" s="62">
        <v>0.0</v>
      </c>
      <c r="FI42" s="62">
        <v>0.0</v>
      </c>
      <c r="FJ42" s="62">
        <v>8.0</v>
      </c>
      <c r="FK42" s="62">
        <v>0.0</v>
      </c>
      <c r="FL42" s="62">
        <v>0.0</v>
      </c>
      <c r="FM42" s="62">
        <v>0.0</v>
      </c>
      <c r="FN42" s="62">
        <v>0.0</v>
      </c>
      <c r="FO42" s="62">
        <v>0.0</v>
      </c>
      <c r="FP42" s="62">
        <v>0.0</v>
      </c>
      <c r="FQ42" s="62">
        <v>0.0</v>
      </c>
      <c r="FR42" s="62">
        <v>0.0</v>
      </c>
      <c r="FS42" s="62">
        <v>0.0</v>
      </c>
      <c r="FT42" s="62">
        <v>0.0</v>
      </c>
      <c r="FU42" s="62">
        <v>0.0</v>
      </c>
      <c r="FV42" s="62">
        <v>0.0</v>
      </c>
      <c r="FW42" s="62">
        <v>0.0</v>
      </c>
      <c r="FX42" s="62">
        <v>0.0</v>
      </c>
      <c r="FY42" s="62">
        <v>0.0</v>
      </c>
      <c r="FZ42" s="62">
        <v>0.0</v>
      </c>
      <c r="GA42" s="62">
        <v>0.0</v>
      </c>
      <c r="GB42" s="62">
        <v>0.0</v>
      </c>
      <c r="GC42" s="62">
        <v>0.0</v>
      </c>
      <c r="GD42" s="62">
        <v>0.0</v>
      </c>
      <c r="GE42" s="62">
        <v>0.0</v>
      </c>
      <c r="GF42" s="63">
        <v>2.00362878E8</v>
      </c>
      <c r="GG42" s="64">
        <v>0.0</v>
      </c>
      <c r="GH42" s="65">
        <v>0.0</v>
      </c>
      <c r="GI42" s="64">
        <v>0.0</v>
      </c>
      <c r="GJ42" s="64">
        <v>0.0</v>
      </c>
      <c r="GK42" s="64">
        <v>-3197599.0</v>
      </c>
      <c r="GL42" s="64">
        <v>2.8990454E8</v>
      </c>
      <c r="GM42" s="64">
        <v>0.0</v>
      </c>
      <c r="GN42" s="63">
        <v>2.86706941E8</v>
      </c>
      <c r="GO42" s="66">
        <v>4.87069819E8</v>
      </c>
      <c r="GP42" s="64">
        <v>1.375743E7</v>
      </c>
      <c r="GQ42" s="64">
        <v>0.0</v>
      </c>
      <c r="GR42" s="65">
        <v>0.0</v>
      </c>
      <c r="GS42" s="63">
        <v>1.375743E7</v>
      </c>
      <c r="GT42" s="67">
        <v>2.5770812E7</v>
      </c>
      <c r="GU42" s="67">
        <v>0.0</v>
      </c>
      <c r="GV42" s="67">
        <v>8994219.0</v>
      </c>
      <c r="GW42" s="63">
        <v>3.4765031E7</v>
      </c>
      <c r="GX42" s="63">
        <v>589199.0</v>
      </c>
      <c r="GY42" s="63">
        <v>4.37958159E8</v>
      </c>
      <c r="GZ42" s="66">
        <v>4.87069819E8</v>
      </c>
    </row>
    <row r="43" ht="15.75" customHeight="1">
      <c r="A43" s="60">
        <v>38.0</v>
      </c>
      <c r="B43" s="61" t="s">
        <v>83</v>
      </c>
      <c r="C43" s="62">
        <v>0.0</v>
      </c>
      <c r="D43" s="62">
        <v>0.0</v>
      </c>
      <c r="E43" s="62">
        <v>0.0</v>
      </c>
      <c r="F43" s="62">
        <v>0.0</v>
      </c>
      <c r="G43" s="62">
        <v>0.0</v>
      </c>
      <c r="H43" s="62">
        <v>0.0</v>
      </c>
      <c r="I43" s="62">
        <v>0.0</v>
      </c>
      <c r="J43" s="62">
        <v>0.0</v>
      </c>
      <c r="K43" s="62">
        <v>0.0</v>
      </c>
      <c r="L43" s="62">
        <v>0.0</v>
      </c>
      <c r="M43" s="62">
        <v>0.0</v>
      </c>
      <c r="N43" s="62">
        <v>0.0</v>
      </c>
      <c r="O43" s="62">
        <v>0.0</v>
      </c>
      <c r="P43" s="62">
        <v>0.0</v>
      </c>
      <c r="Q43" s="62">
        <v>0.0</v>
      </c>
      <c r="R43" s="62">
        <v>0.0</v>
      </c>
      <c r="S43" s="62">
        <v>0.0</v>
      </c>
      <c r="T43" s="62">
        <v>0.0</v>
      </c>
      <c r="U43" s="62">
        <v>0.0</v>
      </c>
      <c r="V43" s="62">
        <v>0.0</v>
      </c>
      <c r="W43" s="62">
        <v>0.0</v>
      </c>
      <c r="X43" s="62">
        <v>0.0</v>
      </c>
      <c r="Y43" s="62">
        <v>0.0</v>
      </c>
      <c r="Z43" s="62">
        <v>0.0</v>
      </c>
      <c r="AA43" s="62">
        <v>0.0</v>
      </c>
      <c r="AB43" s="62">
        <v>0.0</v>
      </c>
      <c r="AC43" s="62">
        <v>0.0</v>
      </c>
      <c r="AD43" s="62">
        <v>0.0</v>
      </c>
      <c r="AE43" s="62">
        <v>0.0</v>
      </c>
      <c r="AF43" s="62">
        <v>0.0</v>
      </c>
      <c r="AG43" s="62">
        <v>0.0</v>
      </c>
      <c r="AH43" s="62">
        <v>0.0</v>
      </c>
      <c r="AI43" s="62">
        <v>0.0</v>
      </c>
      <c r="AJ43" s="62">
        <v>0.0</v>
      </c>
      <c r="AK43" s="62">
        <v>0.0</v>
      </c>
      <c r="AL43" s="62">
        <v>0.0</v>
      </c>
      <c r="AM43" s="62">
        <v>0.0</v>
      </c>
      <c r="AN43" s="62">
        <v>976444.0</v>
      </c>
      <c r="AO43" s="62">
        <v>1045547.0</v>
      </c>
      <c r="AP43" s="62">
        <v>0.0</v>
      </c>
      <c r="AQ43" s="62">
        <v>0.0</v>
      </c>
      <c r="AR43" s="62">
        <v>0.0</v>
      </c>
      <c r="AS43" s="62">
        <v>0.0</v>
      </c>
      <c r="AT43" s="62">
        <v>0.0</v>
      </c>
      <c r="AU43" s="62">
        <v>0.0</v>
      </c>
      <c r="AV43" s="62">
        <v>0.0</v>
      </c>
      <c r="AW43" s="62">
        <v>0.0</v>
      </c>
      <c r="AX43" s="62">
        <v>0.0</v>
      </c>
      <c r="AY43" s="62">
        <v>0.0</v>
      </c>
      <c r="AZ43" s="62">
        <v>0.0</v>
      </c>
      <c r="BA43" s="62">
        <v>4427.0</v>
      </c>
      <c r="BB43" s="62">
        <v>0.0</v>
      </c>
      <c r="BC43" s="62">
        <v>0.0</v>
      </c>
      <c r="BD43" s="62">
        <v>0.0</v>
      </c>
      <c r="BE43" s="62">
        <v>0.0</v>
      </c>
      <c r="BF43" s="62">
        <v>0.0</v>
      </c>
      <c r="BG43" s="62">
        <v>0.0</v>
      </c>
      <c r="BH43" s="62">
        <v>0.0</v>
      </c>
      <c r="BI43" s="62">
        <v>0.0</v>
      </c>
      <c r="BJ43" s="62">
        <v>0.0</v>
      </c>
      <c r="BK43" s="62">
        <v>0.0</v>
      </c>
      <c r="BL43" s="62">
        <v>0.0</v>
      </c>
      <c r="BM43" s="62">
        <v>0.0</v>
      </c>
      <c r="BN43" s="62">
        <v>0.0</v>
      </c>
      <c r="BO43" s="62">
        <v>0.0</v>
      </c>
      <c r="BP43" s="62">
        <v>0.0</v>
      </c>
      <c r="BQ43" s="62">
        <v>0.0</v>
      </c>
      <c r="BR43" s="62">
        <v>0.0</v>
      </c>
      <c r="BS43" s="62">
        <v>0.0</v>
      </c>
      <c r="BT43" s="62">
        <v>0.0</v>
      </c>
      <c r="BU43" s="62">
        <v>0.0</v>
      </c>
      <c r="BV43" s="62">
        <v>0.0</v>
      </c>
      <c r="BW43" s="62">
        <v>0.0</v>
      </c>
      <c r="BX43" s="62">
        <v>0.0</v>
      </c>
      <c r="BY43" s="62">
        <v>0.0</v>
      </c>
      <c r="BZ43" s="62">
        <v>0.0</v>
      </c>
      <c r="CA43" s="62">
        <v>0.0</v>
      </c>
      <c r="CB43" s="62">
        <v>0.0</v>
      </c>
      <c r="CC43" s="62">
        <v>0.0</v>
      </c>
      <c r="CD43" s="62">
        <v>0.0</v>
      </c>
      <c r="CE43" s="62">
        <v>0.0</v>
      </c>
      <c r="CF43" s="62">
        <v>0.0</v>
      </c>
      <c r="CG43" s="62">
        <v>0.0</v>
      </c>
      <c r="CH43" s="62">
        <v>0.0</v>
      </c>
      <c r="CI43" s="62">
        <v>0.0</v>
      </c>
      <c r="CJ43" s="62">
        <v>0.0</v>
      </c>
      <c r="CK43" s="62">
        <v>0.0</v>
      </c>
      <c r="CL43" s="62">
        <v>0.0</v>
      </c>
      <c r="CM43" s="62">
        <v>0.0</v>
      </c>
      <c r="CN43" s="62">
        <v>0.0</v>
      </c>
      <c r="CO43" s="62">
        <v>0.0</v>
      </c>
      <c r="CP43" s="62">
        <v>0.0</v>
      </c>
      <c r="CQ43" s="62">
        <v>0.0</v>
      </c>
      <c r="CR43" s="62">
        <v>0.0</v>
      </c>
      <c r="CS43" s="62">
        <v>2.16406778E8</v>
      </c>
      <c r="CT43" s="62">
        <v>3.433338E7</v>
      </c>
      <c r="CU43" s="62">
        <v>86505.0</v>
      </c>
      <c r="CV43" s="62">
        <v>7073930.0</v>
      </c>
      <c r="CW43" s="62">
        <v>86816.0</v>
      </c>
      <c r="CX43" s="62">
        <v>0.0</v>
      </c>
      <c r="CY43" s="62">
        <v>0.0</v>
      </c>
      <c r="CZ43" s="62">
        <v>0.0</v>
      </c>
      <c r="DA43" s="62">
        <v>0.0</v>
      </c>
      <c r="DB43" s="62">
        <v>1385459.0</v>
      </c>
      <c r="DC43" s="62">
        <v>0.0</v>
      </c>
      <c r="DD43" s="62">
        <v>0.0</v>
      </c>
      <c r="DE43" s="62">
        <v>0.0</v>
      </c>
      <c r="DF43" s="62">
        <v>1922.0</v>
      </c>
      <c r="DG43" s="62">
        <v>0.0</v>
      </c>
      <c r="DH43" s="62">
        <v>0.0</v>
      </c>
      <c r="DI43" s="62">
        <v>0.0</v>
      </c>
      <c r="DJ43" s="62">
        <v>0.0</v>
      </c>
      <c r="DK43" s="62">
        <v>0.0</v>
      </c>
      <c r="DL43" s="62">
        <v>0.0</v>
      </c>
      <c r="DM43" s="62">
        <v>0.0</v>
      </c>
      <c r="DN43" s="62">
        <v>0.0</v>
      </c>
      <c r="DO43" s="62">
        <v>0.0</v>
      </c>
      <c r="DP43" s="62">
        <v>0.0</v>
      </c>
      <c r="DQ43" s="62">
        <v>0.0</v>
      </c>
      <c r="DR43" s="62">
        <v>0.0</v>
      </c>
      <c r="DS43" s="62">
        <v>0.0</v>
      </c>
      <c r="DT43" s="62">
        <v>0.0</v>
      </c>
      <c r="DU43" s="62">
        <v>0.0</v>
      </c>
      <c r="DV43" s="62">
        <v>0.0</v>
      </c>
      <c r="DW43" s="62">
        <v>0.0</v>
      </c>
      <c r="DX43" s="62">
        <v>0.0</v>
      </c>
      <c r="DY43" s="62">
        <v>0.0</v>
      </c>
      <c r="DZ43" s="62">
        <v>0.0</v>
      </c>
      <c r="EA43" s="62">
        <v>0.0</v>
      </c>
      <c r="EB43" s="62">
        <v>0.0</v>
      </c>
      <c r="EC43" s="62">
        <v>0.0</v>
      </c>
      <c r="ED43" s="62">
        <v>0.0</v>
      </c>
      <c r="EE43" s="62">
        <v>0.0</v>
      </c>
      <c r="EF43" s="62">
        <v>0.0</v>
      </c>
      <c r="EG43" s="62">
        <v>0.0</v>
      </c>
      <c r="EH43" s="62">
        <v>0.0</v>
      </c>
      <c r="EI43" s="62">
        <v>0.0</v>
      </c>
      <c r="EJ43" s="62">
        <v>0.0</v>
      </c>
      <c r="EK43" s="62">
        <v>0.0</v>
      </c>
      <c r="EL43" s="62">
        <v>0.0</v>
      </c>
      <c r="EM43" s="62">
        <v>0.0</v>
      </c>
      <c r="EN43" s="62">
        <v>0.0</v>
      </c>
      <c r="EO43" s="62">
        <v>0.0</v>
      </c>
      <c r="EP43" s="62">
        <v>0.0</v>
      </c>
      <c r="EQ43" s="62">
        <v>0.0</v>
      </c>
      <c r="ER43" s="62">
        <v>0.0</v>
      </c>
      <c r="ES43" s="62">
        <v>0.0</v>
      </c>
      <c r="ET43" s="62">
        <v>0.0</v>
      </c>
      <c r="EU43" s="62">
        <v>0.0</v>
      </c>
      <c r="EV43" s="62">
        <v>0.0</v>
      </c>
      <c r="EW43" s="62">
        <v>0.0</v>
      </c>
      <c r="EX43" s="62">
        <v>0.0</v>
      </c>
      <c r="EY43" s="62">
        <v>0.0</v>
      </c>
      <c r="EZ43" s="62">
        <v>0.0</v>
      </c>
      <c r="FA43" s="62">
        <v>0.0</v>
      </c>
      <c r="FB43" s="62">
        <v>0.0</v>
      </c>
      <c r="FC43" s="62">
        <v>0.0</v>
      </c>
      <c r="FD43" s="62">
        <v>0.0</v>
      </c>
      <c r="FE43" s="62">
        <v>0.0</v>
      </c>
      <c r="FF43" s="62">
        <v>0.0</v>
      </c>
      <c r="FG43" s="62">
        <v>0.0</v>
      </c>
      <c r="FH43" s="62">
        <v>0.0</v>
      </c>
      <c r="FI43" s="62">
        <v>0.0</v>
      </c>
      <c r="FJ43" s="62">
        <v>0.0</v>
      </c>
      <c r="FK43" s="62">
        <v>0.0</v>
      </c>
      <c r="FL43" s="62">
        <v>0.0</v>
      </c>
      <c r="FM43" s="62">
        <v>0.0</v>
      </c>
      <c r="FN43" s="62">
        <v>0.0</v>
      </c>
      <c r="FO43" s="62">
        <v>0.0</v>
      </c>
      <c r="FP43" s="62">
        <v>0.0</v>
      </c>
      <c r="FQ43" s="62">
        <v>0.0</v>
      </c>
      <c r="FR43" s="62">
        <v>0.0</v>
      </c>
      <c r="FS43" s="62">
        <v>0.0</v>
      </c>
      <c r="FT43" s="62">
        <v>0.0</v>
      </c>
      <c r="FU43" s="62">
        <v>0.0</v>
      </c>
      <c r="FV43" s="62">
        <v>0.0</v>
      </c>
      <c r="FW43" s="62">
        <v>0.0</v>
      </c>
      <c r="FX43" s="62">
        <v>0.0</v>
      </c>
      <c r="FY43" s="62">
        <v>0.0</v>
      </c>
      <c r="FZ43" s="62">
        <v>0.0</v>
      </c>
      <c r="GA43" s="62">
        <v>0.0</v>
      </c>
      <c r="GB43" s="62">
        <v>0.0</v>
      </c>
      <c r="GC43" s="62">
        <v>0.0</v>
      </c>
      <c r="GD43" s="62">
        <v>0.0</v>
      </c>
      <c r="GE43" s="62">
        <v>0.0</v>
      </c>
      <c r="GF43" s="63">
        <v>2.61401208E8</v>
      </c>
      <c r="GG43" s="64">
        <v>0.0</v>
      </c>
      <c r="GH43" s="65">
        <v>0.0</v>
      </c>
      <c r="GI43" s="64">
        <v>0.0</v>
      </c>
      <c r="GJ43" s="64">
        <v>0.0</v>
      </c>
      <c r="GK43" s="64">
        <v>-8629406.0</v>
      </c>
      <c r="GL43" s="64">
        <v>2.0097961E7</v>
      </c>
      <c r="GM43" s="64">
        <v>0.0</v>
      </c>
      <c r="GN43" s="63">
        <v>1.1468555E7</v>
      </c>
      <c r="GO43" s="66">
        <v>2.72869763E8</v>
      </c>
      <c r="GP43" s="64">
        <v>5.1369006E7</v>
      </c>
      <c r="GQ43" s="64">
        <v>0.0</v>
      </c>
      <c r="GR43" s="65">
        <v>0.0</v>
      </c>
      <c r="GS43" s="63">
        <v>5.1369006E7</v>
      </c>
      <c r="GT43" s="67">
        <v>0.0</v>
      </c>
      <c r="GU43" s="67">
        <v>0.0</v>
      </c>
      <c r="GV43" s="67">
        <v>0.0</v>
      </c>
      <c r="GW43" s="63">
        <v>0.0</v>
      </c>
      <c r="GX43" s="63">
        <v>153.0</v>
      </c>
      <c r="GY43" s="63">
        <v>2.21500604E8</v>
      </c>
      <c r="GZ43" s="66">
        <v>2.72869763E8</v>
      </c>
    </row>
    <row r="44" ht="15.75" customHeight="1">
      <c r="A44" s="60">
        <v>39.0</v>
      </c>
      <c r="B44" s="61" t="s">
        <v>84</v>
      </c>
      <c r="C44" s="62">
        <v>0.0</v>
      </c>
      <c r="D44" s="62">
        <v>0.0</v>
      </c>
      <c r="E44" s="62">
        <v>0.0</v>
      </c>
      <c r="F44" s="62">
        <v>0.0</v>
      </c>
      <c r="G44" s="62">
        <v>0.0</v>
      </c>
      <c r="H44" s="62">
        <v>0.0</v>
      </c>
      <c r="I44" s="62">
        <v>0.0</v>
      </c>
      <c r="J44" s="62">
        <v>0.0</v>
      </c>
      <c r="K44" s="62">
        <v>0.0</v>
      </c>
      <c r="L44" s="62">
        <v>0.0</v>
      </c>
      <c r="M44" s="62">
        <v>0.0</v>
      </c>
      <c r="N44" s="62">
        <v>0.0</v>
      </c>
      <c r="O44" s="62">
        <v>0.0</v>
      </c>
      <c r="P44" s="62">
        <v>0.0</v>
      </c>
      <c r="Q44" s="62">
        <v>0.0</v>
      </c>
      <c r="R44" s="62">
        <v>0.0</v>
      </c>
      <c r="S44" s="62">
        <v>0.0</v>
      </c>
      <c r="T44" s="62">
        <v>0.0</v>
      </c>
      <c r="U44" s="62">
        <v>0.0</v>
      </c>
      <c r="V44" s="62">
        <v>0.0</v>
      </c>
      <c r="W44" s="62">
        <v>0.0</v>
      </c>
      <c r="X44" s="62">
        <v>0.0</v>
      </c>
      <c r="Y44" s="62">
        <v>0.0</v>
      </c>
      <c r="Z44" s="62">
        <v>0.0</v>
      </c>
      <c r="AA44" s="62">
        <v>0.0</v>
      </c>
      <c r="AB44" s="62">
        <v>0.0</v>
      </c>
      <c r="AC44" s="62">
        <v>0.0</v>
      </c>
      <c r="AD44" s="62">
        <v>0.0</v>
      </c>
      <c r="AE44" s="62">
        <v>0.0</v>
      </c>
      <c r="AF44" s="62">
        <v>0.0</v>
      </c>
      <c r="AG44" s="62">
        <v>0.0</v>
      </c>
      <c r="AH44" s="62">
        <v>0.0</v>
      </c>
      <c r="AI44" s="62">
        <v>0.0</v>
      </c>
      <c r="AJ44" s="62">
        <v>0.0</v>
      </c>
      <c r="AK44" s="62">
        <v>0.0</v>
      </c>
      <c r="AL44" s="62">
        <v>0.0</v>
      </c>
      <c r="AM44" s="62">
        <v>312287.0</v>
      </c>
      <c r="AN44" s="62">
        <v>2472200.0</v>
      </c>
      <c r="AO44" s="62">
        <v>3.4589171E7</v>
      </c>
      <c r="AP44" s="62">
        <v>13806.0</v>
      </c>
      <c r="AQ44" s="62">
        <v>44036.0</v>
      </c>
      <c r="AR44" s="62">
        <v>28858.0</v>
      </c>
      <c r="AS44" s="62">
        <v>212604.0</v>
      </c>
      <c r="AT44" s="62">
        <v>25284.0</v>
      </c>
      <c r="AU44" s="62">
        <v>18726.0</v>
      </c>
      <c r="AV44" s="62">
        <v>350382.0</v>
      </c>
      <c r="AW44" s="62">
        <v>7270.0</v>
      </c>
      <c r="AX44" s="62">
        <v>0.0</v>
      </c>
      <c r="AY44" s="62">
        <v>176.0</v>
      </c>
      <c r="AZ44" s="62">
        <v>0.0</v>
      </c>
      <c r="BA44" s="62">
        <v>295017.0</v>
      </c>
      <c r="BB44" s="62">
        <v>112203.0</v>
      </c>
      <c r="BC44" s="62">
        <v>0.0</v>
      </c>
      <c r="BD44" s="62">
        <v>0.0</v>
      </c>
      <c r="BE44" s="62">
        <v>0.0</v>
      </c>
      <c r="BF44" s="62">
        <v>0.0</v>
      </c>
      <c r="BG44" s="62">
        <v>0.0</v>
      </c>
      <c r="BH44" s="62">
        <v>0.0</v>
      </c>
      <c r="BI44" s="62">
        <v>0.0</v>
      </c>
      <c r="BJ44" s="62">
        <v>0.0</v>
      </c>
      <c r="BK44" s="62">
        <v>0.0</v>
      </c>
      <c r="BL44" s="62">
        <v>0.0</v>
      </c>
      <c r="BM44" s="62">
        <v>0.0</v>
      </c>
      <c r="BN44" s="62">
        <v>91.0</v>
      </c>
      <c r="BO44" s="62">
        <v>0.0</v>
      </c>
      <c r="BP44" s="62">
        <v>303.0</v>
      </c>
      <c r="BQ44" s="62">
        <v>284.0</v>
      </c>
      <c r="BR44" s="62">
        <v>0.0</v>
      </c>
      <c r="BS44" s="62">
        <v>0.0</v>
      </c>
      <c r="BT44" s="62">
        <v>0.0</v>
      </c>
      <c r="BU44" s="62">
        <v>0.0</v>
      </c>
      <c r="BV44" s="62">
        <v>0.0</v>
      </c>
      <c r="BW44" s="62">
        <v>0.0</v>
      </c>
      <c r="BX44" s="62">
        <v>6644.0</v>
      </c>
      <c r="BY44" s="62">
        <v>79847.0</v>
      </c>
      <c r="BZ44" s="62">
        <v>5323.0</v>
      </c>
      <c r="CA44" s="62">
        <v>82335.0</v>
      </c>
      <c r="CB44" s="62">
        <v>131500.0</v>
      </c>
      <c r="CC44" s="62">
        <v>11543.0</v>
      </c>
      <c r="CD44" s="62">
        <v>17157.0</v>
      </c>
      <c r="CE44" s="62">
        <v>24406.0</v>
      </c>
      <c r="CF44" s="62">
        <v>133865.0</v>
      </c>
      <c r="CG44" s="62">
        <v>0.0</v>
      </c>
      <c r="CH44" s="62">
        <v>9543.0</v>
      </c>
      <c r="CI44" s="62">
        <v>129862.0</v>
      </c>
      <c r="CJ44" s="62">
        <v>38103.0</v>
      </c>
      <c r="CK44" s="62">
        <v>81126.0</v>
      </c>
      <c r="CL44" s="62">
        <v>46305.0</v>
      </c>
      <c r="CM44" s="62">
        <v>17361.0</v>
      </c>
      <c r="CN44" s="62">
        <v>73098.0</v>
      </c>
      <c r="CO44" s="62">
        <v>84945.0</v>
      </c>
      <c r="CP44" s="62">
        <v>125066.0</v>
      </c>
      <c r="CQ44" s="62">
        <v>0.0</v>
      </c>
      <c r="CR44" s="62">
        <v>665965.0</v>
      </c>
      <c r="CS44" s="62">
        <v>1.6967814E7</v>
      </c>
      <c r="CT44" s="62">
        <v>4463412.0</v>
      </c>
      <c r="CU44" s="62">
        <v>7192703.0</v>
      </c>
      <c r="CV44" s="62">
        <v>2409482.0</v>
      </c>
      <c r="CW44" s="62">
        <v>163685.0</v>
      </c>
      <c r="CX44" s="62">
        <v>59288.0</v>
      </c>
      <c r="CY44" s="62">
        <v>2532.0</v>
      </c>
      <c r="CZ44" s="62">
        <v>57558.0</v>
      </c>
      <c r="DA44" s="62">
        <v>119294.0</v>
      </c>
      <c r="DB44" s="62">
        <v>133483.0</v>
      </c>
      <c r="DC44" s="62">
        <v>86963.0</v>
      </c>
      <c r="DD44" s="62">
        <v>31985.0</v>
      </c>
      <c r="DE44" s="62">
        <v>1832.0</v>
      </c>
      <c r="DF44" s="62">
        <v>108808.0</v>
      </c>
      <c r="DG44" s="62">
        <v>0.0</v>
      </c>
      <c r="DH44" s="62">
        <v>301113.0</v>
      </c>
      <c r="DI44" s="62">
        <v>3073172.0</v>
      </c>
      <c r="DJ44" s="62">
        <v>3369251.0</v>
      </c>
      <c r="DK44" s="62">
        <v>1018923.0</v>
      </c>
      <c r="DL44" s="62">
        <v>1.0762563E7</v>
      </c>
      <c r="DM44" s="62">
        <v>1400841.0</v>
      </c>
      <c r="DN44" s="62">
        <v>333392.0</v>
      </c>
      <c r="DO44" s="62">
        <v>698423.0</v>
      </c>
      <c r="DP44" s="62">
        <v>47781.0</v>
      </c>
      <c r="DQ44" s="62">
        <v>251360.0</v>
      </c>
      <c r="DR44" s="62">
        <v>541166.0</v>
      </c>
      <c r="DS44" s="62">
        <v>0.0</v>
      </c>
      <c r="DT44" s="62">
        <v>0.0</v>
      </c>
      <c r="DU44" s="62">
        <v>0.0</v>
      </c>
      <c r="DV44" s="62">
        <v>0.0</v>
      </c>
      <c r="DW44" s="62">
        <v>0.0</v>
      </c>
      <c r="DX44" s="62">
        <v>9853.0</v>
      </c>
      <c r="DY44" s="62">
        <v>79.0</v>
      </c>
      <c r="DZ44" s="62">
        <v>3637.0</v>
      </c>
      <c r="EA44" s="62">
        <v>0.0</v>
      </c>
      <c r="EB44" s="62">
        <v>598.0</v>
      </c>
      <c r="EC44" s="62">
        <v>179228.0</v>
      </c>
      <c r="ED44" s="62">
        <v>24278.0</v>
      </c>
      <c r="EE44" s="62">
        <v>3303.0</v>
      </c>
      <c r="EF44" s="62">
        <v>0.0</v>
      </c>
      <c r="EG44" s="62">
        <v>1489.0</v>
      </c>
      <c r="EH44" s="62">
        <v>6668.0</v>
      </c>
      <c r="EI44" s="62">
        <v>1762.0</v>
      </c>
      <c r="EJ44" s="62">
        <v>0.0</v>
      </c>
      <c r="EK44" s="62">
        <v>2188.0</v>
      </c>
      <c r="EL44" s="62">
        <v>908.0</v>
      </c>
      <c r="EM44" s="62">
        <v>0.0</v>
      </c>
      <c r="EN44" s="62">
        <v>0.0</v>
      </c>
      <c r="EO44" s="62">
        <v>0.0</v>
      </c>
      <c r="EP44" s="62">
        <v>0.0</v>
      </c>
      <c r="EQ44" s="62">
        <v>5.8979054E7</v>
      </c>
      <c r="ER44" s="62">
        <v>1.1756543E7</v>
      </c>
      <c r="ES44" s="62">
        <v>168263.0</v>
      </c>
      <c r="ET44" s="62">
        <v>15829.0</v>
      </c>
      <c r="EU44" s="62">
        <v>0.0</v>
      </c>
      <c r="EV44" s="62">
        <v>0.0</v>
      </c>
      <c r="EW44" s="62">
        <v>0.0</v>
      </c>
      <c r="EX44" s="62">
        <v>0.0</v>
      </c>
      <c r="EY44" s="62">
        <v>0.0</v>
      </c>
      <c r="EZ44" s="62">
        <v>0.0</v>
      </c>
      <c r="FA44" s="62">
        <v>0.0</v>
      </c>
      <c r="FB44" s="62">
        <v>0.0</v>
      </c>
      <c r="FC44" s="62">
        <v>0.0</v>
      </c>
      <c r="FD44" s="62">
        <v>755261.0</v>
      </c>
      <c r="FE44" s="62">
        <v>1474826.0</v>
      </c>
      <c r="FF44" s="62">
        <v>185016.0</v>
      </c>
      <c r="FG44" s="62">
        <v>0.0</v>
      </c>
      <c r="FH44" s="62">
        <v>139476.0</v>
      </c>
      <c r="FI44" s="62">
        <v>0.0</v>
      </c>
      <c r="FJ44" s="62">
        <v>0.0</v>
      </c>
      <c r="FK44" s="62">
        <v>445.0</v>
      </c>
      <c r="FL44" s="62">
        <v>0.0</v>
      </c>
      <c r="FM44" s="62">
        <v>0.0</v>
      </c>
      <c r="FN44" s="62">
        <v>0.0</v>
      </c>
      <c r="FO44" s="62">
        <v>0.0</v>
      </c>
      <c r="FP44" s="62">
        <v>0.0</v>
      </c>
      <c r="FQ44" s="62">
        <v>0.0</v>
      </c>
      <c r="FR44" s="62">
        <v>0.0</v>
      </c>
      <c r="FS44" s="62">
        <v>0.0</v>
      </c>
      <c r="FT44" s="62">
        <v>0.0</v>
      </c>
      <c r="FU44" s="62">
        <v>0.0</v>
      </c>
      <c r="FV44" s="62">
        <v>0.0</v>
      </c>
      <c r="FW44" s="62">
        <v>2770898.0</v>
      </c>
      <c r="FX44" s="62">
        <v>0.0</v>
      </c>
      <c r="FY44" s="62">
        <v>53689.0</v>
      </c>
      <c r="FZ44" s="62">
        <v>0.0</v>
      </c>
      <c r="GA44" s="62">
        <v>20.0</v>
      </c>
      <c r="GB44" s="62">
        <v>0.0</v>
      </c>
      <c r="GC44" s="62">
        <v>0.0</v>
      </c>
      <c r="GD44" s="62">
        <v>0.0</v>
      </c>
      <c r="GE44" s="62">
        <v>0.0</v>
      </c>
      <c r="GF44" s="63">
        <v>1.70376827E8</v>
      </c>
      <c r="GG44" s="64">
        <v>0.0</v>
      </c>
      <c r="GH44" s="65">
        <v>0.0</v>
      </c>
      <c r="GI44" s="64">
        <v>0.0</v>
      </c>
      <c r="GJ44" s="64">
        <v>0.0</v>
      </c>
      <c r="GK44" s="64">
        <v>1331309.0</v>
      </c>
      <c r="GL44" s="64">
        <v>7.8989944E7</v>
      </c>
      <c r="GM44" s="64">
        <v>0.0</v>
      </c>
      <c r="GN44" s="63">
        <v>8.0321253E7</v>
      </c>
      <c r="GO44" s="66">
        <v>2.5069808E8</v>
      </c>
      <c r="GP44" s="64">
        <v>202.0</v>
      </c>
      <c r="GQ44" s="64">
        <v>0.0</v>
      </c>
      <c r="GR44" s="65">
        <v>0.0</v>
      </c>
      <c r="GS44" s="63">
        <v>202.0</v>
      </c>
      <c r="GT44" s="67">
        <v>0.0</v>
      </c>
      <c r="GU44" s="67">
        <v>0.0</v>
      </c>
      <c r="GV44" s="67">
        <v>0.0</v>
      </c>
      <c r="GW44" s="63">
        <v>0.0</v>
      </c>
      <c r="GX44" s="63">
        <v>194235.0</v>
      </c>
      <c r="GY44" s="63">
        <v>2.50503643E8</v>
      </c>
      <c r="GZ44" s="66">
        <v>2.5069808E8</v>
      </c>
    </row>
    <row r="45" ht="15.75" customHeight="1">
      <c r="A45" s="68">
        <v>40.0</v>
      </c>
      <c r="B45" s="69" t="s">
        <v>85</v>
      </c>
      <c r="C45" s="70">
        <v>0.0</v>
      </c>
      <c r="D45" s="70">
        <v>0.0</v>
      </c>
      <c r="E45" s="70">
        <v>0.0</v>
      </c>
      <c r="F45" s="70">
        <v>0.0</v>
      </c>
      <c r="G45" s="70">
        <v>0.0</v>
      </c>
      <c r="H45" s="70">
        <v>0.0</v>
      </c>
      <c r="I45" s="70">
        <v>0.0</v>
      </c>
      <c r="J45" s="70">
        <v>0.0</v>
      </c>
      <c r="K45" s="70">
        <v>0.0</v>
      </c>
      <c r="L45" s="70">
        <v>0.0</v>
      </c>
      <c r="M45" s="70">
        <v>0.0</v>
      </c>
      <c r="N45" s="70">
        <v>0.0</v>
      </c>
      <c r="O45" s="70">
        <v>0.0</v>
      </c>
      <c r="P45" s="70">
        <v>0.0</v>
      </c>
      <c r="Q45" s="70">
        <v>0.0</v>
      </c>
      <c r="R45" s="70">
        <v>0.0</v>
      </c>
      <c r="S45" s="70">
        <v>0.0</v>
      </c>
      <c r="T45" s="70">
        <v>0.0</v>
      </c>
      <c r="U45" s="70">
        <v>0.0</v>
      </c>
      <c r="V45" s="70">
        <v>0.0</v>
      </c>
      <c r="W45" s="70">
        <v>0.0</v>
      </c>
      <c r="X45" s="70">
        <v>0.0</v>
      </c>
      <c r="Y45" s="70">
        <v>0.0</v>
      </c>
      <c r="Z45" s="70">
        <v>0.0</v>
      </c>
      <c r="AA45" s="70">
        <v>0.0</v>
      </c>
      <c r="AB45" s="70">
        <v>0.0</v>
      </c>
      <c r="AC45" s="70">
        <v>0.0</v>
      </c>
      <c r="AD45" s="70">
        <v>0.0</v>
      </c>
      <c r="AE45" s="70">
        <v>0.0</v>
      </c>
      <c r="AF45" s="70">
        <v>0.0</v>
      </c>
      <c r="AG45" s="70">
        <v>0.0</v>
      </c>
      <c r="AH45" s="70">
        <v>0.0</v>
      </c>
      <c r="AI45" s="70">
        <v>0.0</v>
      </c>
      <c r="AJ45" s="70">
        <v>0.0</v>
      </c>
      <c r="AK45" s="70">
        <v>0.0</v>
      </c>
      <c r="AL45" s="70">
        <v>0.0</v>
      </c>
      <c r="AM45" s="70">
        <v>0.0</v>
      </c>
      <c r="AN45" s="70">
        <v>0.0</v>
      </c>
      <c r="AO45" s="70">
        <v>0.0</v>
      </c>
      <c r="AP45" s="70">
        <v>842.0</v>
      </c>
      <c r="AQ45" s="70">
        <v>0.0</v>
      </c>
      <c r="AR45" s="70">
        <v>0.0</v>
      </c>
      <c r="AS45" s="70">
        <v>0.0</v>
      </c>
      <c r="AT45" s="70">
        <v>0.0</v>
      </c>
      <c r="AU45" s="70">
        <v>0.0</v>
      </c>
      <c r="AV45" s="70">
        <v>0.0</v>
      </c>
      <c r="AW45" s="70">
        <v>0.0</v>
      </c>
      <c r="AX45" s="70">
        <v>0.0</v>
      </c>
      <c r="AY45" s="70">
        <v>0.0</v>
      </c>
      <c r="AZ45" s="70">
        <v>0.0</v>
      </c>
      <c r="BA45" s="70">
        <v>0.0</v>
      </c>
      <c r="BB45" s="70">
        <v>0.0</v>
      </c>
      <c r="BC45" s="70">
        <v>0.0</v>
      </c>
      <c r="BD45" s="70">
        <v>0.0</v>
      </c>
      <c r="BE45" s="70">
        <v>0.0</v>
      </c>
      <c r="BF45" s="70">
        <v>0.0</v>
      </c>
      <c r="BG45" s="70">
        <v>0.0</v>
      </c>
      <c r="BH45" s="70">
        <v>0.0</v>
      </c>
      <c r="BI45" s="70">
        <v>0.0</v>
      </c>
      <c r="BJ45" s="70">
        <v>0.0</v>
      </c>
      <c r="BK45" s="70">
        <v>0.0</v>
      </c>
      <c r="BL45" s="70">
        <v>0.0</v>
      </c>
      <c r="BM45" s="70">
        <v>0.0</v>
      </c>
      <c r="BN45" s="70">
        <v>0.0</v>
      </c>
      <c r="BO45" s="70">
        <v>0.0</v>
      </c>
      <c r="BP45" s="70">
        <v>0.0</v>
      </c>
      <c r="BQ45" s="70">
        <v>0.0</v>
      </c>
      <c r="BR45" s="70">
        <v>0.0</v>
      </c>
      <c r="BS45" s="70">
        <v>0.0</v>
      </c>
      <c r="BT45" s="70">
        <v>0.0</v>
      </c>
      <c r="BU45" s="70">
        <v>0.0</v>
      </c>
      <c r="BV45" s="70">
        <v>0.0</v>
      </c>
      <c r="BW45" s="70">
        <v>0.0</v>
      </c>
      <c r="BX45" s="70">
        <v>0.0</v>
      </c>
      <c r="BY45" s="70">
        <v>0.0</v>
      </c>
      <c r="BZ45" s="70">
        <v>0.0</v>
      </c>
      <c r="CA45" s="70">
        <v>0.0</v>
      </c>
      <c r="CB45" s="70">
        <v>0.0</v>
      </c>
      <c r="CC45" s="70">
        <v>0.0</v>
      </c>
      <c r="CD45" s="70">
        <v>0.0</v>
      </c>
      <c r="CE45" s="70">
        <v>0.0</v>
      </c>
      <c r="CF45" s="70">
        <v>0.0</v>
      </c>
      <c r="CG45" s="70">
        <v>0.0</v>
      </c>
      <c r="CH45" s="70">
        <v>0.0</v>
      </c>
      <c r="CI45" s="70">
        <v>0.0</v>
      </c>
      <c r="CJ45" s="70">
        <v>0.0</v>
      </c>
      <c r="CK45" s="70">
        <v>0.0</v>
      </c>
      <c r="CL45" s="70">
        <v>0.0</v>
      </c>
      <c r="CM45" s="70">
        <v>0.0</v>
      </c>
      <c r="CN45" s="70">
        <v>0.0</v>
      </c>
      <c r="CO45" s="70">
        <v>0.0</v>
      </c>
      <c r="CP45" s="70">
        <v>0.0</v>
      </c>
      <c r="CQ45" s="70">
        <v>0.0</v>
      </c>
      <c r="CR45" s="70">
        <v>0.0</v>
      </c>
      <c r="CS45" s="70">
        <v>0.0</v>
      </c>
      <c r="CT45" s="70">
        <v>0.0</v>
      </c>
      <c r="CU45" s="70">
        <v>0.0</v>
      </c>
      <c r="CV45" s="70">
        <v>0.0</v>
      </c>
      <c r="CW45" s="70">
        <v>0.0</v>
      </c>
      <c r="CX45" s="70">
        <v>0.0</v>
      </c>
      <c r="CY45" s="70">
        <v>0.0</v>
      </c>
      <c r="CZ45" s="70">
        <v>0.0</v>
      </c>
      <c r="DA45" s="70">
        <v>0.0</v>
      </c>
      <c r="DB45" s="70">
        <v>0.0</v>
      </c>
      <c r="DC45" s="70">
        <v>0.0</v>
      </c>
      <c r="DD45" s="70">
        <v>0.0</v>
      </c>
      <c r="DE45" s="70">
        <v>0.0</v>
      </c>
      <c r="DF45" s="70">
        <v>0.0</v>
      </c>
      <c r="DG45" s="70">
        <v>0.0</v>
      </c>
      <c r="DH45" s="70">
        <v>0.0</v>
      </c>
      <c r="DI45" s="70">
        <v>0.0</v>
      </c>
      <c r="DJ45" s="70">
        <v>0.0</v>
      </c>
      <c r="DK45" s="70">
        <v>0.0</v>
      </c>
      <c r="DL45" s="70">
        <v>1.234593E7</v>
      </c>
      <c r="DM45" s="70">
        <v>1805.0</v>
      </c>
      <c r="DN45" s="70">
        <v>250901.0</v>
      </c>
      <c r="DO45" s="70">
        <v>0.0</v>
      </c>
      <c r="DP45" s="70">
        <v>0.0</v>
      </c>
      <c r="DQ45" s="70">
        <v>0.0</v>
      </c>
      <c r="DR45" s="70">
        <v>0.0</v>
      </c>
      <c r="DS45" s="70">
        <v>0.0</v>
      </c>
      <c r="DT45" s="70">
        <v>0.0</v>
      </c>
      <c r="DU45" s="70">
        <v>0.0</v>
      </c>
      <c r="DV45" s="70">
        <v>0.0</v>
      </c>
      <c r="DW45" s="70">
        <v>0.0</v>
      </c>
      <c r="DX45" s="70">
        <v>0.0</v>
      </c>
      <c r="DY45" s="70">
        <v>0.0</v>
      </c>
      <c r="DZ45" s="70">
        <v>0.0</v>
      </c>
      <c r="EA45" s="70">
        <v>0.0</v>
      </c>
      <c r="EB45" s="70">
        <v>0.0</v>
      </c>
      <c r="EC45" s="70">
        <v>0.0</v>
      </c>
      <c r="ED45" s="70">
        <v>0.0</v>
      </c>
      <c r="EE45" s="70">
        <v>0.0</v>
      </c>
      <c r="EF45" s="70">
        <v>0.0</v>
      </c>
      <c r="EG45" s="70">
        <v>0.0</v>
      </c>
      <c r="EH45" s="70">
        <v>0.0</v>
      </c>
      <c r="EI45" s="70">
        <v>0.0</v>
      </c>
      <c r="EJ45" s="70">
        <v>0.0</v>
      </c>
      <c r="EK45" s="70">
        <v>0.0</v>
      </c>
      <c r="EL45" s="70">
        <v>0.0</v>
      </c>
      <c r="EM45" s="70">
        <v>0.0</v>
      </c>
      <c r="EN45" s="70">
        <v>0.0</v>
      </c>
      <c r="EO45" s="70">
        <v>0.0</v>
      </c>
      <c r="EP45" s="70">
        <v>0.0</v>
      </c>
      <c r="EQ45" s="70">
        <v>0.0</v>
      </c>
      <c r="ER45" s="70">
        <v>0.0</v>
      </c>
      <c r="ES45" s="70">
        <v>0.0</v>
      </c>
      <c r="ET45" s="70">
        <v>0.0</v>
      </c>
      <c r="EU45" s="70">
        <v>0.0</v>
      </c>
      <c r="EV45" s="70">
        <v>0.0</v>
      </c>
      <c r="EW45" s="70">
        <v>0.0</v>
      </c>
      <c r="EX45" s="70">
        <v>0.0</v>
      </c>
      <c r="EY45" s="70">
        <v>0.0</v>
      </c>
      <c r="EZ45" s="70">
        <v>0.0</v>
      </c>
      <c r="FA45" s="70">
        <v>0.0</v>
      </c>
      <c r="FB45" s="70">
        <v>0.0</v>
      </c>
      <c r="FC45" s="70">
        <v>0.0</v>
      </c>
      <c r="FD45" s="70">
        <v>0.0</v>
      </c>
      <c r="FE45" s="70">
        <v>0.0</v>
      </c>
      <c r="FF45" s="70">
        <v>0.0</v>
      </c>
      <c r="FG45" s="70">
        <v>0.0</v>
      </c>
      <c r="FH45" s="70">
        <v>0.0</v>
      </c>
      <c r="FI45" s="70">
        <v>0.0</v>
      </c>
      <c r="FJ45" s="70">
        <v>0.0</v>
      </c>
      <c r="FK45" s="70">
        <v>0.0</v>
      </c>
      <c r="FL45" s="70">
        <v>0.0</v>
      </c>
      <c r="FM45" s="70">
        <v>0.0</v>
      </c>
      <c r="FN45" s="70">
        <v>0.0</v>
      </c>
      <c r="FO45" s="70">
        <v>0.0</v>
      </c>
      <c r="FP45" s="70">
        <v>0.0</v>
      </c>
      <c r="FQ45" s="70">
        <v>0.0</v>
      </c>
      <c r="FR45" s="70">
        <v>0.0</v>
      </c>
      <c r="FS45" s="70">
        <v>0.0</v>
      </c>
      <c r="FT45" s="70">
        <v>0.0</v>
      </c>
      <c r="FU45" s="70">
        <v>0.0</v>
      </c>
      <c r="FV45" s="70">
        <v>0.0</v>
      </c>
      <c r="FW45" s="70">
        <v>0.0</v>
      </c>
      <c r="FX45" s="70">
        <v>0.0</v>
      </c>
      <c r="FY45" s="70">
        <v>0.0</v>
      </c>
      <c r="FZ45" s="70">
        <v>0.0</v>
      </c>
      <c r="GA45" s="70">
        <v>0.0</v>
      </c>
      <c r="GB45" s="70">
        <v>0.0</v>
      </c>
      <c r="GC45" s="70">
        <v>0.0</v>
      </c>
      <c r="GD45" s="70">
        <v>0.0</v>
      </c>
      <c r="GE45" s="70">
        <v>0.0</v>
      </c>
      <c r="GF45" s="71">
        <v>1.2599478E7</v>
      </c>
      <c r="GG45" s="72">
        <v>0.0</v>
      </c>
      <c r="GH45" s="73">
        <v>0.0</v>
      </c>
      <c r="GI45" s="72">
        <v>0.0</v>
      </c>
      <c r="GJ45" s="72">
        <v>0.0</v>
      </c>
      <c r="GK45" s="72">
        <v>408305.0</v>
      </c>
      <c r="GL45" s="72">
        <v>1418521.0</v>
      </c>
      <c r="GM45" s="72">
        <v>0.0</v>
      </c>
      <c r="GN45" s="71">
        <v>1826826.0</v>
      </c>
      <c r="GO45" s="74">
        <v>1.4426304E7</v>
      </c>
      <c r="GP45" s="72">
        <v>1.0376785E7</v>
      </c>
      <c r="GQ45" s="72">
        <v>0.0</v>
      </c>
      <c r="GR45" s="73">
        <v>0.0</v>
      </c>
      <c r="GS45" s="71">
        <v>1.0376785E7</v>
      </c>
      <c r="GT45" s="75">
        <v>448762.0</v>
      </c>
      <c r="GU45" s="75">
        <v>0.0</v>
      </c>
      <c r="GV45" s="75">
        <v>130606.0</v>
      </c>
      <c r="GW45" s="71">
        <v>579368.0</v>
      </c>
      <c r="GX45" s="71">
        <v>315966.0</v>
      </c>
      <c r="GY45" s="71">
        <v>3154185.0</v>
      </c>
      <c r="GZ45" s="74">
        <v>1.4426304E7</v>
      </c>
    </row>
    <row r="46" ht="15.75" customHeight="1">
      <c r="A46" s="52">
        <v>41.0</v>
      </c>
      <c r="B46" s="53" t="s">
        <v>86</v>
      </c>
      <c r="C46" s="54">
        <v>0.0</v>
      </c>
      <c r="D46" s="54">
        <v>0.0</v>
      </c>
      <c r="E46" s="54">
        <v>0.0</v>
      </c>
      <c r="F46" s="54">
        <v>0.0</v>
      </c>
      <c r="G46" s="54">
        <v>0.0</v>
      </c>
      <c r="H46" s="54">
        <v>0.0</v>
      </c>
      <c r="I46" s="54">
        <v>0.0</v>
      </c>
      <c r="J46" s="54">
        <v>0.0</v>
      </c>
      <c r="K46" s="54">
        <v>0.0</v>
      </c>
      <c r="L46" s="54">
        <v>0.0</v>
      </c>
      <c r="M46" s="54">
        <v>0.0</v>
      </c>
      <c r="N46" s="54">
        <v>0.0</v>
      </c>
      <c r="O46" s="54">
        <v>0.0</v>
      </c>
      <c r="P46" s="54">
        <v>0.0</v>
      </c>
      <c r="Q46" s="54">
        <v>0.0</v>
      </c>
      <c r="R46" s="54">
        <v>0.0</v>
      </c>
      <c r="S46" s="54">
        <v>0.0</v>
      </c>
      <c r="T46" s="54">
        <v>0.0</v>
      </c>
      <c r="U46" s="54">
        <v>0.0</v>
      </c>
      <c r="V46" s="54">
        <v>0.0</v>
      </c>
      <c r="W46" s="54">
        <v>0.0</v>
      </c>
      <c r="X46" s="54">
        <v>0.0</v>
      </c>
      <c r="Y46" s="54">
        <v>0.0</v>
      </c>
      <c r="Z46" s="54">
        <v>0.0</v>
      </c>
      <c r="AA46" s="54">
        <v>0.0</v>
      </c>
      <c r="AB46" s="54">
        <v>0.0</v>
      </c>
      <c r="AC46" s="54">
        <v>0.0</v>
      </c>
      <c r="AD46" s="54">
        <v>0.0</v>
      </c>
      <c r="AE46" s="54">
        <v>0.0</v>
      </c>
      <c r="AF46" s="54">
        <v>0.0</v>
      </c>
      <c r="AG46" s="54">
        <v>0.0</v>
      </c>
      <c r="AH46" s="54">
        <v>0.0</v>
      </c>
      <c r="AI46" s="54">
        <v>0.0</v>
      </c>
      <c r="AJ46" s="54">
        <v>0.0</v>
      </c>
      <c r="AK46" s="54">
        <v>0.0</v>
      </c>
      <c r="AL46" s="54">
        <v>0.0</v>
      </c>
      <c r="AM46" s="54">
        <v>0.0</v>
      </c>
      <c r="AN46" s="54">
        <v>0.0</v>
      </c>
      <c r="AO46" s="54">
        <v>0.0</v>
      </c>
      <c r="AP46" s="54">
        <v>0.0</v>
      </c>
      <c r="AQ46" s="54">
        <v>84227.0</v>
      </c>
      <c r="AR46" s="54">
        <v>0.0</v>
      </c>
      <c r="AS46" s="54">
        <v>0.0</v>
      </c>
      <c r="AT46" s="54">
        <v>0.0</v>
      </c>
      <c r="AU46" s="54">
        <v>0.0</v>
      </c>
      <c r="AV46" s="54">
        <v>0.0</v>
      </c>
      <c r="AW46" s="54">
        <v>0.0</v>
      </c>
      <c r="AX46" s="54">
        <v>0.0</v>
      </c>
      <c r="AY46" s="54">
        <v>0.0</v>
      </c>
      <c r="AZ46" s="54">
        <v>0.0</v>
      </c>
      <c r="BA46" s="54">
        <v>0.0</v>
      </c>
      <c r="BB46" s="54">
        <v>0.0</v>
      </c>
      <c r="BC46" s="54">
        <v>0.0</v>
      </c>
      <c r="BD46" s="54">
        <v>0.0</v>
      </c>
      <c r="BE46" s="54">
        <v>0.0</v>
      </c>
      <c r="BF46" s="54">
        <v>0.0</v>
      </c>
      <c r="BG46" s="54">
        <v>0.0</v>
      </c>
      <c r="BH46" s="54">
        <v>0.0</v>
      </c>
      <c r="BI46" s="54">
        <v>0.0</v>
      </c>
      <c r="BJ46" s="54">
        <v>0.0</v>
      </c>
      <c r="BK46" s="54">
        <v>0.0</v>
      </c>
      <c r="BL46" s="54">
        <v>0.0</v>
      </c>
      <c r="BM46" s="54">
        <v>0.0</v>
      </c>
      <c r="BN46" s="54">
        <v>0.0</v>
      </c>
      <c r="BO46" s="54">
        <v>0.0</v>
      </c>
      <c r="BP46" s="54">
        <v>0.0</v>
      </c>
      <c r="BQ46" s="54">
        <v>0.0</v>
      </c>
      <c r="BR46" s="54">
        <v>0.0</v>
      </c>
      <c r="BS46" s="54">
        <v>0.0</v>
      </c>
      <c r="BT46" s="54">
        <v>0.0</v>
      </c>
      <c r="BU46" s="54">
        <v>0.0</v>
      </c>
      <c r="BV46" s="54">
        <v>0.0</v>
      </c>
      <c r="BW46" s="54">
        <v>0.0</v>
      </c>
      <c r="BX46" s="54">
        <v>0.0</v>
      </c>
      <c r="BY46" s="54">
        <v>0.0</v>
      </c>
      <c r="BZ46" s="54">
        <v>0.0</v>
      </c>
      <c r="CA46" s="54">
        <v>0.0</v>
      </c>
      <c r="CB46" s="54">
        <v>0.0</v>
      </c>
      <c r="CC46" s="54">
        <v>0.0</v>
      </c>
      <c r="CD46" s="54">
        <v>0.0</v>
      </c>
      <c r="CE46" s="54">
        <v>0.0</v>
      </c>
      <c r="CF46" s="54">
        <v>0.0</v>
      </c>
      <c r="CG46" s="54">
        <v>0.0</v>
      </c>
      <c r="CH46" s="54">
        <v>0.0</v>
      </c>
      <c r="CI46" s="54">
        <v>0.0</v>
      </c>
      <c r="CJ46" s="54">
        <v>0.0</v>
      </c>
      <c r="CK46" s="54">
        <v>0.0</v>
      </c>
      <c r="CL46" s="54">
        <v>0.0</v>
      </c>
      <c r="CM46" s="54">
        <v>0.0</v>
      </c>
      <c r="CN46" s="54">
        <v>0.0</v>
      </c>
      <c r="CO46" s="54">
        <v>0.0</v>
      </c>
      <c r="CP46" s="54">
        <v>0.0</v>
      </c>
      <c r="CQ46" s="54">
        <v>0.0</v>
      </c>
      <c r="CR46" s="54">
        <v>0.0</v>
      </c>
      <c r="CS46" s="54">
        <v>0.0</v>
      </c>
      <c r="CT46" s="54">
        <v>0.0</v>
      </c>
      <c r="CU46" s="54">
        <v>0.0</v>
      </c>
      <c r="CV46" s="54">
        <v>0.0</v>
      </c>
      <c r="CW46" s="54">
        <v>0.0</v>
      </c>
      <c r="CX46" s="54">
        <v>0.0</v>
      </c>
      <c r="CY46" s="54">
        <v>0.0</v>
      </c>
      <c r="CZ46" s="54">
        <v>0.0</v>
      </c>
      <c r="DA46" s="54">
        <v>0.0</v>
      </c>
      <c r="DB46" s="54">
        <v>0.0</v>
      </c>
      <c r="DC46" s="54">
        <v>0.0</v>
      </c>
      <c r="DD46" s="54">
        <v>0.0</v>
      </c>
      <c r="DE46" s="54">
        <v>0.0</v>
      </c>
      <c r="DF46" s="54">
        <v>0.0</v>
      </c>
      <c r="DG46" s="54">
        <v>0.0</v>
      </c>
      <c r="DH46" s="54">
        <v>0.0</v>
      </c>
      <c r="DI46" s="54">
        <v>0.0</v>
      </c>
      <c r="DJ46" s="54">
        <v>0.0</v>
      </c>
      <c r="DK46" s="54">
        <v>0.0</v>
      </c>
      <c r="DL46" s="54">
        <v>1.2016618E7</v>
      </c>
      <c r="DM46" s="54">
        <v>3814420.0</v>
      </c>
      <c r="DN46" s="54">
        <v>470788.0</v>
      </c>
      <c r="DO46" s="54">
        <v>0.0</v>
      </c>
      <c r="DP46" s="54">
        <v>0.0</v>
      </c>
      <c r="DQ46" s="54">
        <v>0.0</v>
      </c>
      <c r="DR46" s="54">
        <v>0.0</v>
      </c>
      <c r="DS46" s="54">
        <v>0.0</v>
      </c>
      <c r="DT46" s="54">
        <v>0.0</v>
      </c>
      <c r="DU46" s="54">
        <v>0.0</v>
      </c>
      <c r="DV46" s="54">
        <v>0.0</v>
      </c>
      <c r="DW46" s="54">
        <v>0.0</v>
      </c>
      <c r="DX46" s="54">
        <v>0.0</v>
      </c>
      <c r="DY46" s="54">
        <v>0.0</v>
      </c>
      <c r="DZ46" s="54">
        <v>0.0</v>
      </c>
      <c r="EA46" s="54">
        <v>0.0</v>
      </c>
      <c r="EB46" s="54">
        <v>0.0</v>
      </c>
      <c r="EC46" s="54">
        <v>0.0</v>
      </c>
      <c r="ED46" s="54">
        <v>0.0</v>
      </c>
      <c r="EE46" s="54">
        <v>0.0</v>
      </c>
      <c r="EF46" s="54">
        <v>0.0</v>
      </c>
      <c r="EG46" s="54">
        <v>0.0</v>
      </c>
      <c r="EH46" s="54">
        <v>0.0</v>
      </c>
      <c r="EI46" s="54">
        <v>0.0</v>
      </c>
      <c r="EJ46" s="54">
        <v>0.0</v>
      </c>
      <c r="EK46" s="54">
        <v>0.0</v>
      </c>
      <c r="EL46" s="54">
        <v>0.0</v>
      </c>
      <c r="EM46" s="54">
        <v>0.0</v>
      </c>
      <c r="EN46" s="54">
        <v>0.0</v>
      </c>
      <c r="EO46" s="54">
        <v>0.0</v>
      </c>
      <c r="EP46" s="54">
        <v>0.0</v>
      </c>
      <c r="EQ46" s="54">
        <v>0.0</v>
      </c>
      <c r="ER46" s="54">
        <v>0.0</v>
      </c>
      <c r="ES46" s="54">
        <v>0.0</v>
      </c>
      <c r="ET46" s="54">
        <v>0.0</v>
      </c>
      <c r="EU46" s="54">
        <v>0.0</v>
      </c>
      <c r="EV46" s="54">
        <v>0.0</v>
      </c>
      <c r="EW46" s="54">
        <v>0.0</v>
      </c>
      <c r="EX46" s="54">
        <v>0.0</v>
      </c>
      <c r="EY46" s="54">
        <v>0.0</v>
      </c>
      <c r="EZ46" s="54">
        <v>0.0</v>
      </c>
      <c r="FA46" s="54">
        <v>0.0</v>
      </c>
      <c r="FB46" s="54">
        <v>0.0</v>
      </c>
      <c r="FC46" s="54">
        <v>0.0</v>
      </c>
      <c r="FD46" s="54">
        <v>0.0</v>
      </c>
      <c r="FE46" s="54">
        <v>0.0</v>
      </c>
      <c r="FF46" s="54">
        <v>0.0</v>
      </c>
      <c r="FG46" s="54">
        <v>0.0</v>
      </c>
      <c r="FH46" s="54">
        <v>0.0</v>
      </c>
      <c r="FI46" s="54">
        <v>0.0</v>
      </c>
      <c r="FJ46" s="54">
        <v>0.0</v>
      </c>
      <c r="FK46" s="54">
        <v>0.0</v>
      </c>
      <c r="FL46" s="54">
        <v>0.0</v>
      </c>
      <c r="FM46" s="54">
        <v>0.0</v>
      </c>
      <c r="FN46" s="54">
        <v>0.0</v>
      </c>
      <c r="FO46" s="54">
        <v>0.0</v>
      </c>
      <c r="FP46" s="54">
        <v>0.0</v>
      </c>
      <c r="FQ46" s="54">
        <v>0.0</v>
      </c>
      <c r="FR46" s="54">
        <v>0.0</v>
      </c>
      <c r="FS46" s="54">
        <v>0.0</v>
      </c>
      <c r="FT46" s="54">
        <v>0.0</v>
      </c>
      <c r="FU46" s="54">
        <v>0.0</v>
      </c>
      <c r="FV46" s="54">
        <v>0.0</v>
      </c>
      <c r="FW46" s="54">
        <v>0.0</v>
      </c>
      <c r="FX46" s="54">
        <v>0.0</v>
      </c>
      <c r="FY46" s="54">
        <v>0.0</v>
      </c>
      <c r="FZ46" s="54">
        <v>0.0</v>
      </c>
      <c r="GA46" s="54">
        <v>0.0</v>
      </c>
      <c r="GB46" s="54">
        <v>0.0</v>
      </c>
      <c r="GC46" s="54">
        <v>0.0</v>
      </c>
      <c r="GD46" s="54">
        <v>0.0</v>
      </c>
      <c r="GE46" s="54">
        <v>0.0</v>
      </c>
      <c r="GF46" s="55">
        <v>1.6386053E7</v>
      </c>
      <c r="GG46" s="56">
        <v>0.0</v>
      </c>
      <c r="GH46" s="57">
        <v>0.0</v>
      </c>
      <c r="GI46" s="56">
        <v>0.0</v>
      </c>
      <c r="GJ46" s="56">
        <v>0.0</v>
      </c>
      <c r="GK46" s="56">
        <v>13.0</v>
      </c>
      <c r="GL46" s="56">
        <v>0.0</v>
      </c>
      <c r="GM46" s="56">
        <v>0.0</v>
      </c>
      <c r="GN46" s="55">
        <v>13.0</v>
      </c>
      <c r="GO46" s="58">
        <v>1.6386066E7</v>
      </c>
      <c r="GP46" s="56">
        <v>1195.0</v>
      </c>
      <c r="GQ46" s="56">
        <v>0.0</v>
      </c>
      <c r="GR46" s="57">
        <v>0.0</v>
      </c>
      <c r="GS46" s="55">
        <v>1195.0</v>
      </c>
      <c r="GT46" s="59">
        <v>0.0</v>
      </c>
      <c r="GU46" s="59">
        <v>0.0</v>
      </c>
      <c r="GV46" s="59">
        <v>0.0</v>
      </c>
      <c r="GW46" s="55">
        <v>0.0</v>
      </c>
      <c r="GX46" s="55">
        <v>0.0</v>
      </c>
      <c r="GY46" s="55">
        <v>1.6384871E7</v>
      </c>
      <c r="GZ46" s="58">
        <v>1.6386066E7</v>
      </c>
    </row>
    <row r="47" ht="15.75" customHeight="1">
      <c r="A47" s="60">
        <v>42.0</v>
      </c>
      <c r="B47" s="61" t="s">
        <v>87</v>
      </c>
      <c r="C47" s="62">
        <v>0.0</v>
      </c>
      <c r="D47" s="62">
        <v>0.0</v>
      </c>
      <c r="E47" s="62">
        <v>0.0</v>
      </c>
      <c r="F47" s="62">
        <v>0.0</v>
      </c>
      <c r="G47" s="62">
        <v>0.0</v>
      </c>
      <c r="H47" s="62">
        <v>0.0</v>
      </c>
      <c r="I47" s="62">
        <v>0.0</v>
      </c>
      <c r="J47" s="62">
        <v>0.0</v>
      </c>
      <c r="K47" s="62">
        <v>0.0</v>
      </c>
      <c r="L47" s="62">
        <v>0.0</v>
      </c>
      <c r="M47" s="62">
        <v>0.0</v>
      </c>
      <c r="N47" s="62">
        <v>0.0</v>
      </c>
      <c r="O47" s="62">
        <v>0.0</v>
      </c>
      <c r="P47" s="62">
        <v>0.0</v>
      </c>
      <c r="Q47" s="62">
        <v>0.0</v>
      </c>
      <c r="R47" s="62">
        <v>0.0</v>
      </c>
      <c r="S47" s="62">
        <v>0.0</v>
      </c>
      <c r="T47" s="62">
        <v>0.0</v>
      </c>
      <c r="U47" s="62">
        <v>0.0</v>
      </c>
      <c r="V47" s="62">
        <v>0.0</v>
      </c>
      <c r="W47" s="62">
        <v>0.0</v>
      </c>
      <c r="X47" s="62">
        <v>0.0</v>
      </c>
      <c r="Y47" s="62">
        <v>0.0</v>
      </c>
      <c r="Z47" s="62">
        <v>0.0</v>
      </c>
      <c r="AA47" s="62">
        <v>0.0</v>
      </c>
      <c r="AB47" s="62">
        <v>0.0</v>
      </c>
      <c r="AC47" s="62">
        <v>0.0</v>
      </c>
      <c r="AD47" s="62">
        <v>0.0</v>
      </c>
      <c r="AE47" s="62">
        <v>0.0</v>
      </c>
      <c r="AF47" s="62">
        <v>0.0</v>
      </c>
      <c r="AG47" s="62">
        <v>0.0</v>
      </c>
      <c r="AH47" s="62">
        <v>0.0</v>
      </c>
      <c r="AI47" s="62">
        <v>0.0</v>
      </c>
      <c r="AJ47" s="62">
        <v>0.0</v>
      </c>
      <c r="AK47" s="62">
        <v>0.0</v>
      </c>
      <c r="AL47" s="62">
        <v>0.0</v>
      </c>
      <c r="AM47" s="62">
        <v>0.0</v>
      </c>
      <c r="AN47" s="62">
        <v>0.0</v>
      </c>
      <c r="AO47" s="62">
        <v>0.0</v>
      </c>
      <c r="AP47" s="62">
        <v>0.0</v>
      </c>
      <c r="AQ47" s="62">
        <v>0.0</v>
      </c>
      <c r="AR47" s="62">
        <v>26482.0</v>
      </c>
      <c r="AS47" s="62">
        <v>0.0</v>
      </c>
      <c r="AT47" s="62">
        <v>0.0</v>
      </c>
      <c r="AU47" s="62">
        <v>0.0</v>
      </c>
      <c r="AV47" s="62">
        <v>0.0</v>
      </c>
      <c r="AW47" s="62">
        <v>0.0</v>
      </c>
      <c r="AX47" s="62">
        <v>0.0</v>
      </c>
      <c r="AY47" s="62">
        <v>0.0</v>
      </c>
      <c r="AZ47" s="62">
        <v>0.0</v>
      </c>
      <c r="BA47" s="62">
        <v>0.0</v>
      </c>
      <c r="BB47" s="62">
        <v>0.0</v>
      </c>
      <c r="BC47" s="62">
        <v>0.0</v>
      </c>
      <c r="BD47" s="62">
        <v>0.0</v>
      </c>
      <c r="BE47" s="62">
        <v>0.0</v>
      </c>
      <c r="BF47" s="62">
        <v>0.0</v>
      </c>
      <c r="BG47" s="62">
        <v>0.0</v>
      </c>
      <c r="BH47" s="62">
        <v>0.0</v>
      </c>
      <c r="BI47" s="62">
        <v>0.0</v>
      </c>
      <c r="BJ47" s="62">
        <v>0.0</v>
      </c>
      <c r="BK47" s="62">
        <v>0.0</v>
      </c>
      <c r="BL47" s="62">
        <v>0.0</v>
      </c>
      <c r="BM47" s="62">
        <v>0.0</v>
      </c>
      <c r="BN47" s="62">
        <v>0.0</v>
      </c>
      <c r="BO47" s="62">
        <v>0.0</v>
      </c>
      <c r="BP47" s="62">
        <v>0.0</v>
      </c>
      <c r="BQ47" s="62">
        <v>0.0</v>
      </c>
      <c r="BR47" s="62">
        <v>0.0</v>
      </c>
      <c r="BS47" s="62">
        <v>0.0</v>
      </c>
      <c r="BT47" s="62">
        <v>0.0</v>
      </c>
      <c r="BU47" s="62">
        <v>0.0</v>
      </c>
      <c r="BV47" s="62">
        <v>0.0</v>
      </c>
      <c r="BW47" s="62">
        <v>0.0</v>
      </c>
      <c r="BX47" s="62">
        <v>0.0</v>
      </c>
      <c r="BY47" s="62">
        <v>0.0</v>
      </c>
      <c r="BZ47" s="62">
        <v>0.0</v>
      </c>
      <c r="CA47" s="62">
        <v>0.0</v>
      </c>
      <c r="CB47" s="62">
        <v>0.0</v>
      </c>
      <c r="CC47" s="62">
        <v>0.0</v>
      </c>
      <c r="CD47" s="62">
        <v>0.0</v>
      </c>
      <c r="CE47" s="62">
        <v>0.0</v>
      </c>
      <c r="CF47" s="62">
        <v>0.0</v>
      </c>
      <c r="CG47" s="62">
        <v>0.0</v>
      </c>
      <c r="CH47" s="62">
        <v>0.0</v>
      </c>
      <c r="CI47" s="62">
        <v>0.0</v>
      </c>
      <c r="CJ47" s="62">
        <v>0.0</v>
      </c>
      <c r="CK47" s="62">
        <v>0.0</v>
      </c>
      <c r="CL47" s="62">
        <v>0.0</v>
      </c>
      <c r="CM47" s="62">
        <v>0.0</v>
      </c>
      <c r="CN47" s="62">
        <v>0.0</v>
      </c>
      <c r="CO47" s="62">
        <v>0.0</v>
      </c>
      <c r="CP47" s="62">
        <v>0.0</v>
      </c>
      <c r="CQ47" s="62">
        <v>0.0</v>
      </c>
      <c r="CR47" s="62">
        <v>0.0</v>
      </c>
      <c r="CS47" s="62">
        <v>0.0</v>
      </c>
      <c r="CT47" s="62">
        <v>0.0</v>
      </c>
      <c r="CU47" s="62">
        <v>0.0</v>
      </c>
      <c r="CV47" s="62">
        <v>0.0</v>
      </c>
      <c r="CW47" s="62">
        <v>0.0</v>
      </c>
      <c r="CX47" s="62">
        <v>0.0</v>
      </c>
      <c r="CY47" s="62">
        <v>0.0</v>
      </c>
      <c r="CZ47" s="62">
        <v>0.0</v>
      </c>
      <c r="DA47" s="62">
        <v>0.0</v>
      </c>
      <c r="DB47" s="62">
        <v>0.0</v>
      </c>
      <c r="DC47" s="62">
        <v>0.0</v>
      </c>
      <c r="DD47" s="62">
        <v>0.0</v>
      </c>
      <c r="DE47" s="62">
        <v>0.0</v>
      </c>
      <c r="DF47" s="62">
        <v>0.0</v>
      </c>
      <c r="DG47" s="62">
        <v>0.0</v>
      </c>
      <c r="DH47" s="62">
        <v>0.0</v>
      </c>
      <c r="DI47" s="62">
        <v>0.0</v>
      </c>
      <c r="DJ47" s="62">
        <v>0.0</v>
      </c>
      <c r="DK47" s="62">
        <v>0.0</v>
      </c>
      <c r="DL47" s="62">
        <v>778492.0</v>
      </c>
      <c r="DM47" s="62">
        <v>475899.0</v>
      </c>
      <c r="DN47" s="62">
        <v>20628.0</v>
      </c>
      <c r="DO47" s="62">
        <v>0.0</v>
      </c>
      <c r="DP47" s="62">
        <v>0.0</v>
      </c>
      <c r="DQ47" s="62">
        <v>0.0</v>
      </c>
      <c r="DR47" s="62">
        <v>0.0</v>
      </c>
      <c r="DS47" s="62">
        <v>0.0</v>
      </c>
      <c r="DT47" s="62">
        <v>0.0</v>
      </c>
      <c r="DU47" s="62">
        <v>0.0</v>
      </c>
      <c r="DV47" s="62">
        <v>0.0</v>
      </c>
      <c r="DW47" s="62">
        <v>0.0</v>
      </c>
      <c r="DX47" s="62">
        <v>0.0</v>
      </c>
      <c r="DY47" s="62">
        <v>0.0</v>
      </c>
      <c r="DZ47" s="62">
        <v>0.0</v>
      </c>
      <c r="EA47" s="62">
        <v>0.0</v>
      </c>
      <c r="EB47" s="62">
        <v>0.0</v>
      </c>
      <c r="EC47" s="62">
        <v>0.0</v>
      </c>
      <c r="ED47" s="62">
        <v>0.0</v>
      </c>
      <c r="EE47" s="62">
        <v>0.0</v>
      </c>
      <c r="EF47" s="62">
        <v>0.0</v>
      </c>
      <c r="EG47" s="62">
        <v>0.0</v>
      </c>
      <c r="EH47" s="62">
        <v>0.0</v>
      </c>
      <c r="EI47" s="62">
        <v>0.0</v>
      </c>
      <c r="EJ47" s="62">
        <v>0.0</v>
      </c>
      <c r="EK47" s="62">
        <v>0.0</v>
      </c>
      <c r="EL47" s="62">
        <v>0.0</v>
      </c>
      <c r="EM47" s="62">
        <v>0.0</v>
      </c>
      <c r="EN47" s="62">
        <v>0.0</v>
      </c>
      <c r="EO47" s="62">
        <v>0.0</v>
      </c>
      <c r="EP47" s="62">
        <v>0.0</v>
      </c>
      <c r="EQ47" s="62">
        <v>0.0</v>
      </c>
      <c r="ER47" s="62">
        <v>0.0</v>
      </c>
      <c r="ES47" s="62">
        <v>0.0</v>
      </c>
      <c r="ET47" s="62">
        <v>0.0</v>
      </c>
      <c r="EU47" s="62">
        <v>0.0</v>
      </c>
      <c r="EV47" s="62">
        <v>0.0</v>
      </c>
      <c r="EW47" s="62">
        <v>0.0</v>
      </c>
      <c r="EX47" s="62">
        <v>0.0</v>
      </c>
      <c r="EY47" s="62">
        <v>0.0</v>
      </c>
      <c r="EZ47" s="62">
        <v>0.0</v>
      </c>
      <c r="FA47" s="62">
        <v>0.0</v>
      </c>
      <c r="FB47" s="62">
        <v>0.0</v>
      </c>
      <c r="FC47" s="62">
        <v>0.0</v>
      </c>
      <c r="FD47" s="62">
        <v>0.0</v>
      </c>
      <c r="FE47" s="62">
        <v>0.0</v>
      </c>
      <c r="FF47" s="62">
        <v>0.0</v>
      </c>
      <c r="FG47" s="62">
        <v>0.0</v>
      </c>
      <c r="FH47" s="62">
        <v>0.0</v>
      </c>
      <c r="FI47" s="62">
        <v>0.0</v>
      </c>
      <c r="FJ47" s="62">
        <v>0.0</v>
      </c>
      <c r="FK47" s="62">
        <v>0.0</v>
      </c>
      <c r="FL47" s="62">
        <v>0.0</v>
      </c>
      <c r="FM47" s="62">
        <v>0.0</v>
      </c>
      <c r="FN47" s="62">
        <v>0.0</v>
      </c>
      <c r="FO47" s="62">
        <v>0.0</v>
      </c>
      <c r="FP47" s="62">
        <v>0.0</v>
      </c>
      <c r="FQ47" s="62">
        <v>0.0</v>
      </c>
      <c r="FR47" s="62">
        <v>0.0</v>
      </c>
      <c r="FS47" s="62">
        <v>0.0</v>
      </c>
      <c r="FT47" s="62">
        <v>0.0</v>
      </c>
      <c r="FU47" s="62">
        <v>0.0</v>
      </c>
      <c r="FV47" s="62">
        <v>0.0</v>
      </c>
      <c r="FW47" s="62">
        <v>0.0</v>
      </c>
      <c r="FX47" s="62">
        <v>0.0</v>
      </c>
      <c r="FY47" s="62">
        <v>0.0</v>
      </c>
      <c r="FZ47" s="62">
        <v>0.0</v>
      </c>
      <c r="GA47" s="62">
        <v>0.0</v>
      </c>
      <c r="GB47" s="62">
        <v>0.0</v>
      </c>
      <c r="GC47" s="62">
        <v>0.0</v>
      </c>
      <c r="GD47" s="62">
        <v>0.0</v>
      </c>
      <c r="GE47" s="62">
        <v>0.0</v>
      </c>
      <c r="GF47" s="63">
        <v>1301501.0</v>
      </c>
      <c r="GG47" s="64">
        <v>0.0</v>
      </c>
      <c r="GH47" s="65">
        <v>0.0</v>
      </c>
      <c r="GI47" s="64">
        <v>0.0</v>
      </c>
      <c r="GJ47" s="64">
        <v>0.0</v>
      </c>
      <c r="GK47" s="64">
        <v>48751.0</v>
      </c>
      <c r="GL47" s="64">
        <v>8132236.0</v>
      </c>
      <c r="GM47" s="64">
        <v>0.0</v>
      </c>
      <c r="GN47" s="63">
        <v>8180987.0</v>
      </c>
      <c r="GO47" s="66">
        <v>9482488.0</v>
      </c>
      <c r="GP47" s="64">
        <v>13065.0</v>
      </c>
      <c r="GQ47" s="64">
        <v>0.0</v>
      </c>
      <c r="GR47" s="65">
        <v>0.0</v>
      </c>
      <c r="GS47" s="63">
        <v>13065.0</v>
      </c>
      <c r="GT47" s="67">
        <v>0.0</v>
      </c>
      <c r="GU47" s="67">
        <v>0.0</v>
      </c>
      <c r="GV47" s="67">
        <v>0.0</v>
      </c>
      <c r="GW47" s="63">
        <v>0.0</v>
      </c>
      <c r="GX47" s="63">
        <v>1076.0</v>
      </c>
      <c r="GY47" s="63">
        <v>9468347.0</v>
      </c>
      <c r="GZ47" s="66">
        <v>9482488.0</v>
      </c>
    </row>
    <row r="48" ht="15.75" customHeight="1">
      <c r="A48" s="60">
        <v>43.0</v>
      </c>
      <c r="B48" s="61" t="s">
        <v>88</v>
      </c>
      <c r="C48" s="62">
        <v>0.0</v>
      </c>
      <c r="D48" s="62">
        <v>0.0</v>
      </c>
      <c r="E48" s="62">
        <v>0.0</v>
      </c>
      <c r="F48" s="62">
        <v>0.0</v>
      </c>
      <c r="G48" s="62">
        <v>0.0</v>
      </c>
      <c r="H48" s="62">
        <v>0.0</v>
      </c>
      <c r="I48" s="62">
        <v>0.0</v>
      </c>
      <c r="J48" s="62">
        <v>0.0</v>
      </c>
      <c r="K48" s="62">
        <v>0.0</v>
      </c>
      <c r="L48" s="62">
        <v>0.0</v>
      </c>
      <c r="M48" s="62">
        <v>0.0</v>
      </c>
      <c r="N48" s="62">
        <v>0.0</v>
      </c>
      <c r="O48" s="62">
        <v>0.0</v>
      </c>
      <c r="P48" s="62">
        <v>0.0</v>
      </c>
      <c r="Q48" s="62">
        <v>0.0</v>
      </c>
      <c r="R48" s="62">
        <v>0.0</v>
      </c>
      <c r="S48" s="62">
        <v>0.0</v>
      </c>
      <c r="T48" s="62">
        <v>0.0</v>
      </c>
      <c r="U48" s="62">
        <v>0.0</v>
      </c>
      <c r="V48" s="62">
        <v>0.0</v>
      </c>
      <c r="W48" s="62">
        <v>0.0</v>
      </c>
      <c r="X48" s="62">
        <v>0.0</v>
      </c>
      <c r="Y48" s="62">
        <v>0.0</v>
      </c>
      <c r="Z48" s="62">
        <v>0.0</v>
      </c>
      <c r="AA48" s="62">
        <v>0.0</v>
      </c>
      <c r="AB48" s="62">
        <v>0.0</v>
      </c>
      <c r="AC48" s="62">
        <v>0.0</v>
      </c>
      <c r="AD48" s="62">
        <v>0.0</v>
      </c>
      <c r="AE48" s="62">
        <v>0.0</v>
      </c>
      <c r="AF48" s="62">
        <v>0.0</v>
      </c>
      <c r="AG48" s="62">
        <v>0.0</v>
      </c>
      <c r="AH48" s="62">
        <v>0.0</v>
      </c>
      <c r="AI48" s="62">
        <v>0.0</v>
      </c>
      <c r="AJ48" s="62">
        <v>0.0</v>
      </c>
      <c r="AK48" s="62">
        <v>0.0</v>
      </c>
      <c r="AL48" s="62">
        <v>0.0</v>
      </c>
      <c r="AM48" s="62">
        <v>0.0</v>
      </c>
      <c r="AN48" s="62">
        <v>0.0</v>
      </c>
      <c r="AO48" s="62">
        <v>0.0</v>
      </c>
      <c r="AP48" s="62">
        <v>0.0</v>
      </c>
      <c r="AQ48" s="62">
        <v>0.0</v>
      </c>
      <c r="AR48" s="62">
        <v>0.0</v>
      </c>
      <c r="AS48" s="62">
        <v>288187.0</v>
      </c>
      <c r="AT48" s="62">
        <v>0.0</v>
      </c>
      <c r="AU48" s="62">
        <v>0.0</v>
      </c>
      <c r="AV48" s="62">
        <v>0.0</v>
      </c>
      <c r="AW48" s="62">
        <v>0.0</v>
      </c>
      <c r="AX48" s="62">
        <v>0.0</v>
      </c>
      <c r="AY48" s="62">
        <v>0.0</v>
      </c>
      <c r="AZ48" s="62">
        <v>0.0</v>
      </c>
      <c r="BA48" s="62">
        <v>0.0</v>
      </c>
      <c r="BB48" s="62">
        <v>0.0</v>
      </c>
      <c r="BC48" s="62">
        <v>0.0</v>
      </c>
      <c r="BD48" s="62">
        <v>0.0</v>
      </c>
      <c r="BE48" s="62">
        <v>0.0</v>
      </c>
      <c r="BF48" s="62">
        <v>0.0</v>
      </c>
      <c r="BG48" s="62">
        <v>0.0</v>
      </c>
      <c r="BH48" s="62">
        <v>0.0</v>
      </c>
      <c r="BI48" s="62">
        <v>0.0</v>
      </c>
      <c r="BJ48" s="62">
        <v>0.0</v>
      </c>
      <c r="BK48" s="62">
        <v>0.0</v>
      </c>
      <c r="BL48" s="62">
        <v>0.0</v>
      </c>
      <c r="BM48" s="62">
        <v>0.0</v>
      </c>
      <c r="BN48" s="62">
        <v>0.0</v>
      </c>
      <c r="BO48" s="62">
        <v>0.0</v>
      </c>
      <c r="BP48" s="62">
        <v>0.0</v>
      </c>
      <c r="BQ48" s="62">
        <v>0.0</v>
      </c>
      <c r="BR48" s="62">
        <v>0.0</v>
      </c>
      <c r="BS48" s="62">
        <v>0.0</v>
      </c>
      <c r="BT48" s="62">
        <v>0.0</v>
      </c>
      <c r="BU48" s="62">
        <v>0.0</v>
      </c>
      <c r="BV48" s="62">
        <v>0.0</v>
      </c>
      <c r="BW48" s="62">
        <v>0.0</v>
      </c>
      <c r="BX48" s="62">
        <v>0.0</v>
      </c>
      <c r="BY48" s="62">
        <v>0.0</v>
      </c>
      <c r="BZ48" s="62">
        <v>0.0</v>
      </c>
      <c r="CA48" s="62">
        <v>0.0</v>
      </c>
      <c r="CB48" s="62">
        <v>0.0</v>
      </c>
      <c r="CC48" s="62">
        <v>0.0</v>
      </c>
      <c r="CD48" s="62">
        <v>0.0</v>
      </c>
      <c r="CE48" s="62">
        <v>0.0</v>
      </c>
      <c r="CF48" s="62">
        <v>0.0</v>
      </c>
      <c r="CG48" s="62">
        <v>0.0</v>
      </c>
      <c r="CH48" s="62">
        <v>0.0</v>
      </c>
      <c r="CI48" s="62">
        <v>0.0</v>
      </c>
      <c r="CJ48" s="62">
        <v>0.0</v>
      </c>
      <c r="CK48" s="62">
        <v>0.0</v>
      </c>
      <c r="CL48" s="62">
        <v>0.0</v>
      </c>
      <c r="CM48" s="62">
        <v>0.0</v>
      </c>
      <c r="CN48" s="62">
        <v>0.0</v>
      </c>
      <c r="CO48" s="62">
        <v>0.0</v>
      </c>
      <c r="CP48" s="62">
        <v>0.0</v>
      </c>
      <c r="CQ48" s="62">
        <v>0.0</v>
      </c>
      <c r="CR48" s="62">
        <v>0.0</v>
      </c>
      <c r="CS48" s="62">
        <v>0.0</v>
      </c>
      <c r="CT48" s="62">
        <v>0.0</v>
      </c>
      <c r="CU48" s="62">
        <v>0.0</v>
      </c>
      <c r="CV48" s="62">
        <v>0.0</v>
      </c>
      <c r="CW48" s="62">
        <v>0.0</v>
      </c>
      <c r="CX48" s="62">
        <v>0.0</v>
      </c>
      <c r="CY48" s="62">
        <v>0.0</v>
      </c>
      <c r="CZ48" s="62">
        <v>0.0</v>
      </c>
      <c r="DA48" s="62">
        <v>0.0</v>
      </c>
      <c r="DB48" s="62">
        <v>0.0</v>
      </c>
      <c r="DC48" s="62">
        <v>0.0</v>
      </c>
      <c r="DD48" s="62">
        <v>0.0</v>
      </c>
      <c r="DE48" s="62">
        <v>0.0</v>
      </c>
      <c r="DF48" s="62">
        <v>0.0</v>
      </c>
      <c r="DG48" s="62">
        <v>0.0</v>
      </c>
      <c r="DH48" s="62">
        <v>0.0</v>
      </c>
      <c r="DI48" s="62">
        <v>0.0</v>
      </c>
      <c r="DJ48" s="62">
        <v>0.0</v>
      </c>
      <c r="DK48" s="62">
        <v>0.0</v>
      </c>
      <c r="DL48" s="62">
        <v>4450188.0</v>
      </c>
      <c r="DM48" s="62">
        <v>1.9271638E7</v>
      </c>
      <c r="DN48" s="62">
        <v>920270.0</v>
      </c>
      <c r="DO48" s="62">
        <v>0.0</v>
      </c>
      <c r="DP48" s="62">
        <v>0.0</v>
      </c>
      <c r="DQ48" s="62">
        <v>0.0</v>
      </c>
      <c r="DR48" s="62">
        <v>0.0</v>
      </c>
      <c r="DS48" s="62">
        <v>0.0</v>
      </c>
      <c r="DT48" s="62">
        <v>0.0</v>
      </c>
      <c r="DU48" s="62">
        <v>0.0</v>
      </c>
      <c r="DV48" s="62">
        <v>0.0</v>
      </c>
      <c r="DW48" s="62">
        <v>0.0</v>
      </c>
      <c r="DX48" s="62">
        <v>0.0</v>
      </c>
      <c r="DY48" s="62">
        <v>0.0</v>
      </c>
      <c r="DZ48" s="62">
        <v>0.0</v>
      </c>
      <c r="EA48" s="62">
        <v>0.0</v>
      </c>
      <c r="EB48" s="62">
        <v>0.0</v>
      </c>
      <c r="EC48" s="62">
        <v>0.0</v>
      </c>
      <c r="ED48" s="62">
        <v>0.0</v>
      </c>
      <c r="EE48" s="62">
        <v>0.0</v>
      </c>
      <c r="EF48" s="62">
        <v>0.0</v>
      </c>
      <c r="EG48" s="62">
        <v>0.0</v>
      </c>
      <c r="EH48" s="62">
        <v>0.0</v>
      </c>
      <c r="EI48" s="62">
        <v>0.0</v>
      </c>
      <c r="EJ48" s="62">
        <v>776.0</v>
      </c>
      <c r="EK48" s="62">
        <v>0.0</v>
      </c>
      <c r="EL48" s="62">
        <v>0.0</v>
      </c>
      <c r="EM48" s="62">
        <v>0.0</v>
      </c>
      <c r="EN48" s="62">
        <v>0.0</v>
      </c>
      <c r="EO48" s="62">
        <v>0.0</v>
      </c>
      <c r="EP48" s="62">
        <v>0.0</v>
      </c>
      <c r="EQ48" s="62">
        <v>0.0</v>
      </c>
      <c r="ER48" s="62">
        <v>0.0</v>
      </c>
      <c r="ES48" s="62">
        <v>0.0</v>
      </c>
      <c r="ET48" s="62">
        <v>0.0</v>
      </c>
      <c r="EU48" s="62">
        <v>0.0</v>
      </c>
      <c r="EV48" s="62">
        <v>0.0</v>
      </c>
      <c r="EW48" s="62">
        <v>0.0</v>
      </c>
      <c r="EX48" s="62">
        <v>0.0</v>
      </c>
      <c r="EY48" s="62">
        <v>0.0</v>
      </c>
      <c r="EZ48" s="62">
        <v>0.0</v>
      </c>
      <c r="FA48" s="62">
        <v>0.0</v>
      </c>
      <c r="FB48" s="62">
        <v>0.0</v>
      </c>
      <c r="FC48" s="62">
        <v>0.0</v>
      </c>
      <c r="FD48" s="62">
        <v>0.0</v>
      </c>
      <c r="FE48" s="62">
        <v>0.0</v>
      </c>
      <c r="FF48" s="62">
        <v>0.0</v>
      </c>
      <c r="FG48" s="62">
        <v>0.0</v>
      </c>
      <c r="FH48" s="62">
        <v>0.0</v>
      </c>
      <c r="FI48" s="62">
        <v>0.0</v>
      </c>
      <c r="FJ48" s="62">
        <v>0.0</v>
      </c>
      <c r="FK48" s="62">
        <v>0.0</v>
      </c>
      <c r="FL48" s="62">
        <v>0.0</v>
      </c>
      <c r="FM48" s="62">
        <v>0.0</v>
      </c>
      <c r="FN48" s="62">
        <v>0.0</v>
      </c>
      <c r="FO48" s="62">
        <v>0.0</v>
      </c>
      <c r="FP48" s="62">
        <v>0.0</v>
      </c>
      <c r="FQ48" s="62">
        <v>0.0</v>
      </c>
      <c r="FR48" s="62">
        <v>0.0</v>
      </c>
      <c r="FS48" s="62">
        <v>0.0</v>
      </c>
      <c r="FT48" s="62">
        <v>0.0</v>
      </c>
      <c r="FU48" s="62">
        <v>0.0</v>
      </c>
      <c r="FV48" s="62">
        <v>0.0</v>
      </c>
      <c r="FW48" s="62">
        <v>0.0</v>
      </c>
      <c r="FX48" s="62">
        <v>0.0</v>
      </c>
      <c r="FY48" s="62">
        <v>0.0</v>
      </c>
      <c r="FZ48" s="62">
        <v>0.0</v>
      </c>
      <c r="GA48" s="62">
        <v>0.0</v>
      </c>
      <c r="GB48" s="62">
        <v>0.0</v>
      </c>
      <c r="GC48" s="62">
        <v>0.0</v>
      </c>
      <c r="GD48" s="62">
        <v>0.0</v>
      </c>
      <c r="GE48" s="62">
        <v>0.0</v>
      </c>
      <c r="GF48" s="63">
        <v>2.4931059E7</v>
      </c>
      <c r="GG48" s="64">
        <v>0.0</v>
      </c>
      <c r="GH48" s="65">
        <v>0.0</v>
      </c>
      <c r="GI48" s="64">
        <v>0.0</v>
      </c>
      <c r="GJ48" s="64">
        <v>0.0</v>
      </c>
      <c r="GK48" s="64">
        <v>6.0</v>
      </c>
      <c r="GL48" s="64">
        <v>3.4985135E7</v>
      </c>
      <c r="GM48" s="64">
        <v>0.0</v>
      </c>
      <c r="GN48" s="63">
        <v>3.4985141E7</v>
      </c>
      <c r="GO48" s="66">
        <v>5.99162E7</v>
      </c>
      <c r="GP48" s="64">
        <v>5623.0</v>
      </c>
      <c r="GQ48" s="64">
        <v>0.0</v>
      </c>
      <c r="GR48" s="65">
        <v>0.0</v>
      </c>
      <c r="GS48" s="63">
        <v>5623.0</v>
      </c>
      <c r="GT48" s="67">
        <v>0.0</v>
      </c>
      <c r="GU48" s="67">
        <v>0.0</v>
      </c>
      <c r="GV48" s="67">
        <v>0.0</v>
      </c>
      <c r="GW48" s="63">
        <v>0.0</v>
      </c>
      <c r="GX48" s="63">
        <v>261135.0</v>
      </c>
      <c r="GY48" s="63">
        <v>5.9649442E7</v>
      </c>
      <c r="GZ48" s="66">
        <v>5.99162E7</v>
      </c>
    </row>
    <row r="49" ht="15.75" customHeight="1">
      <c r="A49" s="60">
        <v>44.0</v>
      </c>
      <c r="B49" s="61" t="s">
        <v>89</v>
      </c>
      <c r="C49" s="62">
        <v>0.0</v>
      </c>
      <c r="D49" s="62">
        <v>0.0</v>
      </c>
      <c r="E49" s="62">
        <v>0.0</v>
      </c>
      <c r="F49" s="62">
        <v>0.0</v>
      </c>
      <c r="G49" s="62">
        <v>0.0</v>
      </c>
      <c r="H49" s="62">
        <v>0.0</v>
      </c>
      <c r="I49" s="62">
        <v>0.0</v>
      </c>
      <c r="J49" s="62">
        <v>0.0</v>
      </c>
      <c r="K49" s="62">
        <v>0.0</v>
      </c>
      <c r="L49" s="62">
        <v>0.0</v>
      </c>
      <c r="M49" s="62">
        <v>0.0</v>
      </c>
      <c r="N49" s="62">
        <v>0.0</v>
      </c>
      <c r="O49" s="62">
        <v>0.0</v>
      </c>
      <c r="P49" s="62">
        <v>0.0</v>
      </c>
      <c r="Q49" s="62">
        <v>0.0</v>
      </c>
      <c r="R49" s="62">
        <v>0.0</v>
      </c>
      <c r="S49" s="62">
        <v>0.0</v>
      </c>
      <c r="T49" s="62">
        <v>0.0</v>
      </c>
      <c r="U49" s="62">
        <v>0.0</v>
      </c>
      <c r="V49" s="62">
        <v>0.0</v>
      </c>
      <c r="W49" s="62">
        <v>0.0</v>
      </c>
      <c r="X49" s="62">
        <v>0.0</v>
      </c>
      <c r="Y49" s="62">
        <v>0.0</v>
      </c>
      <c r="Z49" s="62">
        <v>0.0</v>
      </c>
      <c r="AA49" s="62">
        <v>0.0</v>
      </c>
      <c r="AB49" s="62">
        <v>0.0</v>
      </c>
      <c r="AC49" s="62">
        <v>0.0</v>
      </c>
      <c r="AD49" s="62">
        <v>0.0</v>
      </c>
      <c r="AE49" s="62">
        <v>0.0</v>
      </c>
      <c r="AF49" s="62">
        <v>0.0</v>
      </c>
      <c r="AG49" s="62">
        <v>0.0</v>
      </c>
      <c r="AH49" s="62">
        <v>0.0</v>
      </c>
      <c r="AI49" s="62">
        <v>0.0</v>
      </c>
      <c r="AJ49" s="62">
        <v>0.0</v>
      </c>
      <c r="AK49" s="62">
        <v>0.0</v>
      </c>
      <c r="AL49" s="62">
        <v>0.0</v>
      </c>
      <c r="AM49" s="62">
        <v>0.0</v>
      </c>
      <c r="AN49" s="62">
        <v>0.0</v>
      </c>
      <c r="AO49" s="62">
        <v>0.0</v>
      </c>
      <c r="AP49" s="62">
        <v>0.0</v>
      </c>
      <c r="AQ49" s="62">
        <v>0.0</v>
      </c>
      <c r="AR49" s="62">
        <v>0.0</v>
      </c>
      <c r="AS49" s="62">
        <v>0.0</v>
      </c>
      <c r="AT49" s="62">
        <v>1139.0</v>
      </c>
      <c r="AU49" s="62">
        <v>0.0</v>
      </c>
      <c r="AV49" s="62">
        <v>0.0</v>
      </c>
      <c r="AW49" s="62">
        <v>0.0</v>
      </c>
      <c r="AX49" s="62">
        <v>0.0</v>
      </c>
      <c r="AY49" s="62">
        <v>0.0</v>
      </c>
      <c r="AZ49" s="62">
        <v>0.0</v>
      </c>
      <c r="BA49" s="62">
        <v>0.0</v>
      </c>
      <c r="BB49" s="62">
        <v>0.0</v>
      </c>
      <c r="BC49" s="62">
        <v>0.0</v>
      </c>
      <c r="BD49" s="62">
        <v>0.0</v>
      </c>
      <c r="BE49" s="62">
        <v>0.0</v>
      </c>
      <c r="BF49" s="62">
        <v>0.0</v>
      </c>
      <c r="BG49" s="62">
        <v>0.0</v>
      </c>
      <c r="BH49" s="62">
        <v>0.0</v>
      </c>
      <c r="BI49" s="62">
        <v>0.0</v>
      </c>
      <c r="BJ49" s="62">
        <v>0.0</v>
      </c>
      <c r="BK49" s="62">
        <v>0.0</v>
      </c>
      <c r="BL49" s="62">
        <v>0.0</v>
      </c>
      <c r="BM49" s="62">
        <v>0.0</v>
      </c>
      <c r="BN49" s="62">
        <v>0.0</v>
      </c>
      <c r="BO49" s="62">
        <v>0.0</v>
      </c>
      <c r="BP49" s="62">
        <v>0.0</v>
      </c>
      <c r="BQ49" s="62">
        <v>0.0</v>
      </c>
      <c r="BR49" s="62">
        <v>0.0</v>
      </c>
      <c r="BS49" s="62">
        <v>0.0</v>
      </c>
      <c r="BT49" s="62">
        <v>0.0</v>
      </c>
      <c r="BU49" s="62">
        <v>0.0</v>
      </c>
      <c r="BV49" s="62">
        <v>0.0</v>
      </c>
      <c r="BW49" s="62">
        <v>0.0</v>
      </c>
      <c r="BX49" s="62">
        <v>0.0</v>
      </c>
      <c r="BY49" s="62">
        <v>0.0</v>
      </c>
      <c r="BZ49" s="62">
        <v>0.0</v>
      </c>
      <c r="CA49" s="62">
        <v>0.0</v>
      </c>
      <c r="CB49" s="62">
        <v>0.0</v>
      </c>
      <c r="CC49" s="62">
        <v>0.0</v>
      </c>
      <c r="CD49" s="62">
        <v>0.0</v>
      </c>
      <c r="CE49" s="62">
        <v>0.0</v>
      </c>
      <c r="CF49" s="62">
        <v>0.0</v>
      </c>
      <c r="CG49" s="62">
        <v>0.0</v>
      </c>
      <c r="CH49" s="62">
        <v>0.0</v>
      </c>
      <c r="CI49" s="62">
        <v>0.0</v>
      </c>
      <c r="CJ49" s="62">
        <v>0.0</v>
      </c>
      <c r="CK49" s="62">
        <v>0.0</v>
      </c>
      <c r="CL49" s="62">
        <v>0.0</v>
      </c>
      <c r="CM49" s="62">
        <v>0.0</v>
      </c>
      <c r="CN49" s="62">
        <v>0.0</v>
      </c>
      <c r="CO49" s="62">
        <v>0.0</v>
      </c>
      <c r="CP49" s="62">
        <v>0.0</v>
      </c>
      <c r="CQ49" s="62">
        <v>0.0</v>
      </c>
      <c r="CR49" s="62">
        <v>0.0</v>
      </c>
      <c r="CS49" s="62">
        <v>0.0</v>
      </c>
      <c r="CT49" s="62">
        <v>0.0</v>
      </c>
      <c r="CU49" s="62">
        <v>0.0</v>
      </c>
      <c r="CV49" s="62">
        <v>0.0</v>
      </c>
      <c r="CW49" s="62">
        <v>0.0</v>
      </c>
      <c r="CX49" s="62">
        <v>0.0</v>
      </c>
      <c r="CY49" s="62">
        <v>0.0</v>
      </c>
      <c r="CZ49" s="62">
        <v>0.0</v>
      </c>
      <c r="DA49" s="62">
        <v>0.0</v>
      </c>
      <c r="DB49" s="62">
        <v>0.0</v>
      </c>
      <c r="DC49" s="62">
        <v>0.0</v>
      </c>
      <c r="DD49" s="62">
        <v>0.0</v>
      </c>
      <c r="DE49" s="62">
        <v>0.0</v>
      </c>
      <c r="DF49" s="62">
        <v>0.0</v>
      </c>
      <c r="DG49" s="62">
        <v>0.0</v>
      </c>
      <c r="DH49" s="62">
        <v>0.0</v>
      </c>
      <c r="DI49" s="62">
        <v>0.0</v>
      </c>
      <c r="DJ49" s="62">
        <v>0.0</v>
      </c>
      <c r="DK49" s="62">
        <v>0.0</v>
      </c>
      <c r="DL49" s="62">
        <v>3823749.0</v>
      </c>
      <c r="DM49" s="62">
        <v>2534696.0</v>
      </c>
      <c r="DN49" s="62">
        <v>95389.0</v>
      </c>
      <c r="DO49" s="62">
        <v>0.0</v>
      </c>
      <c r="DP49" s="62">
        <v>0.0</v>
      </c>
      <c r="DQ49" s="62">
        <v>0.0</v>
      </c>
      <c r="DR49" s="62">
        <v>0.0</v>
      </c>
      <c r="DS49" s="62">
        <v>0.0</v>
      </c>
      <c r="DT49" s="62">
        <v>0.0</v>
      </c>
      <c r="DU49" s="62">
        <v>0.0</v>
      </c>
      <c r="DV49" s="62">
        <v>0.0</v>
      </c>
      <c r="DW49" s="62">
        <v>0.0</v>
      </c>
      <c r="DX49" s="62">
        <v>0.0</v>
      </c>
      <c r="DY49" s="62">
        <v>0.0</v>
      </c>
      <c r="DZ49" s="62">
        <v>0.0</v>
      </c>
      <c r="EA49" s="62">
        <v>0.0</v>
      </c>
      <c r="EB49" s="62">
        <v>0.0</v>
      </c>
      <c r="EC49" s="62">
        <v>0.0</v>
      </c>
      <c r="ED49" s="62">
        <v>0.0</v>
      </c>
      <c r="EE49" s="62">
        <v>0.0</v>
      </c>
      <c r="EF49" s="62">
        <v>0.0</v>
      </c>
      <c r="EG49" s="62">
        <v>0.0</v>
      </c>
      <c r="EH49" s="62">
        <v>0.0</v>
      </c>
      <c r="EI49" s="62">
        <v>0.0</v>
      </c>
      <c r="EJ49" s="62">
        <v>0.0</v>
      </c>
      <c r="EK49" s="62">
        <v>0.0</v>
      </c>
      <c r="EL49" s="62">
        <v>0.0</v>
      </c>
      <c r="EM49" s="62">
        <v>0.0</v>
      </c>
      <c r="EN49" s="62">
        <v>0.0</v>
      </c>
      <c r="EO49" s="62">
        <v>0.0</v>
      </c>
      <c r="EP49" s="62">
        <v>0.0</v>
      </c>
      <c r="EQ49" s="62">
        <v>0.0</v>
      </c>
      <c r="ER49" s="62">
        <v>0.0</v>
      </c>
      <c r="ES49" s="62">
        <v>0.0</v>
      </c>
      <c r="ET49" s="62">
        <v>0.0</v>
      </c>
      <c r="EU49" s="62">
        <v>0.0</v>
      </c>
      <c r="EV49" s="62">
        <v>0.0</v>
      </c>
      <c r="EW49" s="62">
        <v>0.0</v>
      </c>
      <c r="EX49" s="62">
        <v>0.0</v>
      </c>
      <c r="EY49" s="62">
        <v>0.0</v>
      </c>
      <c r="EZ49" s="62">
        <v>0.0</v>
      </c>
      <c r="FA49" s="62">
        <v>0.0</v>
      </c>
      <c r="FB49" s="62">
        <v>0.0</v>
      </c>
      <c r="FC49" s="62">
        <v>0.0</v>
      </c>
      <c r="FD49" s="62">
        <v>0.0</v>
      </c>
      <c r="FE49" s="62">
        <v>0.0</v>
      </c>
      <c r="FF49" s="62">
        <v>0.0</v>
      </c>
      <c r="FG49" s="62">
        <v>0.0</v>
      </c>
      <c r="FH49" s="62">
        <v>0.0</v>
      </c>
      <c r="FI49" s="62">
        <v>0.0</v>
      </c>
      <c r="FJ49" s="62">
        <v>0.0</v>
      </c>
      <c r="FK49" s="62">
        <v>0.0</v>
      </c>
      <c r="FL49" s="62">
        <v>0.0</v>
      </c>
      <c r="FM49" s="62">
        <v>0.0</v>
      </c>
      <c r="FN49" s="62">
        <v>0.0</v>
      </c>
      <c r="FO49" s="62">
        <v>0.0</v>
      </c>
      <c r="FP49" s="62">
        <v>0.0</v>
      </c>
      <c r="FQ49" s="62">
        <v>0.0</v>
      </c>
      <c r="FR49" s="62">
        <v>0.0</v>
      </c>
      <c r="FS49" s="62">
        <v>0.0</v>
      </c>
      <c r="FT49" s="62">
        <v>0.0</v>
      </c>
      <c r="FU49" s="62">
        <v>0.0</v>
      </c>
      <c r="FV49" s="62">
        <v>0.0</v>
      </c>
      <c r="FW49" s="62">
        <v>0.0</v>
      </c>
      <c r="FX49" s="62">
        <v>0.0</v>
      </c>
      <c r="FY49" s="62">
        <v>0.0</v>
      </c>
      <c r="FZ49" s="62">
        <v>0.0</v>
      </c>
      <c r="GA49" s="62">
        <v>0.0</v>
      </c>
      <c r="GB49" s="62">
        <v>0.0</v>
      </c>
      <c r="GC49" s="62">
        <v>0.0</v>
      </c>
      <c r="GD49" s="62">
        <v>0.0</v>
      </c>
      <c r="GE49" s="62">
        <v>0.0</v>
      </c>
      <c r="GF49" s="63">
        <v>6454973.0</v>
      </c>
      <c r="GG49" s="64">
        <v>0.0</v>
      </c>
      <c r="GH49" s="65">
        <v>0.0</v>
      </c>
      <c r="GI49" s="64">
        <v>0.0</v>
      </c>
      <c r="GJ49" s="64">
        <v>0.0</v>
      </c>
      <c r="GK49" s="64">
        <v>-21.0</v>
      </c>
      <c r="GL49" s="64">
        <v>2.0</v>
      </c>
      <c r="GM49" s="64">
        <v>0.0</v>
      </c>
      <c r="GN49" s="63">
        <v>-19.0</v>
      </c>
      <c r="GO49" s="66">
        <v>6454954.0</v>
      </c>
      <c r="GP49" s="64">
        <v>348.0</v>
      </c>
      <c r="GQ49" s="64">
        <v>0.0</v>
      </c>
      <c r="GR49" s="65">
        <v>0.0</v>
      </c>
      <c r="GS49" s="63">
        <v>348.0</v>
      </c>
      <c r="GT49" s="67">
        <v>0.0</v>
      </c>
      <c r="GU49" s="67">
        <v>0.0</v>
      </c>
      <c r="GV49" s="67">
        <v>0.0</v>
      </c>
      <c r="GW49" s="63">
        <v>0.0</v>
      </c>
      <c r="GX49" s="63">
        <v>0.0</v>
      </c>
      <c r="GY49" s="63">
        <v>6454606.0</v>
      </c>
      <c r="GZ49" s="66">
        <v>6454954.0</v>
      </c>
    </row>
    <row r="50" ht="15.75" customHeight="1">
      <c r="A50" s="68">
        <v>45.0</v>
      </c>
      <c r="B50" s="69" t="s">
        <v>90</v>
      </c>
      <c r="C50" s="70">
        <v>0.0</v>
      </c>
      <c r="D50" s="70">
        <v>0.0</v>
      </c>
      <c r="E50" s="70">
        <v>0.0</v>
      </c>
      <c r="F50" s="70">
        <v>0.0</v>
      </c>
      <c r="G50" s="70">
        <v>0.0</v>
      </c>
      <c r="H50" s="70">
        <v>0.0</v>
      </c>
      <c r="I50" s="70">
        <v>0.0</v>
      </c>
      <c r="J50" s="70">
        <v>0.0</v>
      </c>
      <c r="K50" s="70">
        <v>0.0</v>
      </c>
      <c r="L50" s="70">
        <v>0.0</v>
      </c>
      <c r="M50" s="70">
        <v>0.0</v>
      </c>
      <c r="N50" s="70">
        <v>0.0</v>
      </c>
      <c r="O50" s="70">
        <v>0.0</v>
      </c>
      <c r="P50" s="70">
        <v>0.0</v>
      </c>
      <c r="Q50" s="70">
        <v>0.0</v>
      </c>
      <c r="R50" s="70">
        <v>0.0</v>
      </c>
      <c r="S50" s="70">
        <v>0.0</v>
      </c>
      <c r="T50" s="70">
        <v>0.0</v>
      </c>
      <c r="U50" s="70">
        <v>0.0</v>
      </c>
      <c r="V50" s="70">
        <v>0.0</v>
      </c>
      <c r="W50" s="70">
        <v>0.0</v>
      </c>
      <c r="X50" s="70">
        <v>0.0</v>
      </c>
      <c r="Y50" s="70">
        <v>0.0</v>
      </c>
      <c r="Z50" s="70">
        <v>0.0</v>
      </c>
      <c r="AA50" s="70">
        <v>0.0</v>
      </c>
      <c r="AB50" s="70">
        <v>0.0</v>
      </c>
      <c r="AC50" s="70">
        <v>0.0</v>
      </c>
      <c r="AD50" s="70">
        <v>0.0</v>
      </c>
      <c r="AE50" s="70">
        <v>0.0</v>
      </c>
      <c r="AF50" s="70">
        <v>0.0</v>
      </c>
      <c r="AG50" s="70">
        <v>0.0</v>
      </c>
      <c r="AH50" s="70">
        <v>0.0</v>
      </c>
      <c r="AI50" s="70">
        <v>0.0</v>
      </c>
      <c r="AJ50" s="70">
        <v>0.0</v>
      </c>
      <c r="AK50" s="70">
        <v>0.0</v>
      </c>
      <c r="AL50" s="70">
        <v>0.0</v>
      </c>
      <c r="AM50" s="70">
        <v>0.0</v>
      </c>
      <c r="AN50" s="70">
        <v>0.0</v>
      </c>
      <c r="AO50" s="70">
        <v>0.0</v>
      </c>
      <c r="AP50" s="70">
        <v>0.0</v>
      </c>
      <c r="AQ50" s="70">
        <v>0.0</v>
      </c>
      <c r="AR50" s="70">
        <v>0.0</v>
      </c>
      <c r="AS50" s="70">
        <v>0.0</v>
      </c>
      <c r="AT50" s="70">
        <v>0.0</v>
      </c>
      <c r="AU50" s="70">
        <v>8890.0</v>
      </c>
      <c r="AV50" s="70">
        <v>0.0</v>
      </c>
      <c r="AW50" s="70">
        <v>0.0</v>
      </c>
      <c r="AX50" s="70">
        <v>0.0</v>
      </c>
      <c r="AY50" s="70">
        <v>0.0</v>
      </c>
      <c r="AZ50" s="70">
        <v>0.0</v>
      </c>
      <c r="BA50" s="70">
        <v>0.0</v>
      </c>
      <c r="BB50" s="70">
        <v>0.0</v>
      </c>
      <c r="BC50" s="70">
        <v>0.0</v>
      </c>
      <c r="BD50" s="70">
        <v>0.0</v>
      </c>
      <c r="BE50" s="70">
        <v>0.0</v>
      </c>
      <c r="BF50" s="70">
        <v>0.0</v>
      </c>
      <c r="BG50" s="70">
        <v>0.0</v>
      </c>
      <c r="BH50" s="70">
        <v>0.0</v>
      </c>
      <c r="BI50" s="70">
        <v>0.0</v>
      </c>
      <c r="BJ50" s="70">
        <v>0.0</v>
      </c>
      <c r="BK50" s="70">
        <v>0.0</v>
      </c>
      <c r="BL50" s="70">
        <v>0.0</v>
      </c>
      <c r="BM50" s="70">
        <v>0.0</v>
      </c>
      <c r="BN50" s="70">
        <v>0.0</v>
      </c>
      <c r="BO50" s="70">
        <v>0.0</v>
      </c>
      <c r="BP50" s="70">
        <v>0.0</v>
      </c>
      <c r="BQ50" s="70">
        <v>0.0</v>
      </c>
      <c r="BR50" s="70">
        <v>0.0</v>
      </c>
      <c r="BS50" s="70">
        <v>0.0</v>
      </c>
      <c r="BT50" s="70">
        <v>0.0</v>
      </c>
      <c r="BU50" s="70">
        <v>0.0</v>
      </c>
      <c r="BV50" s="70">
        <v>0.0</v>
      </c>
      <c r="BW50" s="70">
        <v>0.0</v>
      </c>
      <c r="BX50" s="70">
        <v>0.0</v>
      </c>
      <c r="BY50" s="70">
        <v>0.0</v>
      </c>
      <c r="BZ50" s="70">
        <v>0.0</v>
      </c>
      <c r="CA50" s="70">
        <v>0.0</v>
      </c>
      <c r="CB50" s="70">
        <v>0.0</v>
      </c>
      <c r="CC50" s="70">
        <v>0.0</v>
      </c>
      <c r="CD50" s="70">
        <v>0.0</v>
      </c>
      <c r="CE50" s="70">
        <v>0.0</v>
      </c>
      <c r="CF50" s="70">
        <v>0.0</v>
      </c>
      <c r="CG50" s="70">
        <v>0.0</v>
      </c>
      <c r="CH50" s="70">
        <v>0.0</v>
      </c>
      <c r="CI50" s="70">
        <v>0.0</v>
      </c>
      <c r="CJ50" s="70">
        <v>0.0</v>
      </c>
      <c r="CK50" s="70">
        <v>0.0</v>
      </c>
      <c r="CL50" s="70">
        <v>0.0</v>
      </c>
      <c r="CM50" s="70">
        <v>0.0</v>
      </c>
      <c r="CN50" s="70">
        <v>0.0</v>
      </c>
      <c r="CO50" s="70">
        <v>0.0</v>
      </c>
      <c r="CP50" s="70">
        <v>0.0</v>
      </c>
      <c r="CQ50" s="70">
        <v>0.0</v>
      </c>
      <c r="CR50" s="70">
        <v>0.0</v>
      </c>
      <c r="CS50" s="70">
        <v>367.0</v>
      </c>
      <c r="CT50" s="70">
        <v>0.0</v>
      </c>
      <c r="CU50" s="70">
        <v>0.0</v>
      </c>
      <c r="CV50" s="70">
        <v>0.0</v>
      </c>
      <c r="CW50" s="70">
        <v>0.0</v>
      </c>
      <c r="CX50" s="70">
        <v>0.0</v>
      </c>
      <c r="CY50" s="70">
        <v>0.0</v>
      </c>
      <c r="CZ50" s="70">
        <v>0.0</v>
      </c>
      <c r="DA50" s="70">
        <v>0.0</v>
      </c>
      <c r="DB50" s="70">
        <v>0.0</v>
      </c>
      <c r="DC50" s="70">
        <v>0.0</v>
      </c>
      <c r="DD50" s="70">
        <v>0.0</v>
      </c>
      <c r="DE50" s="70">
        <v>0.0</v>
      </c>
      <c r="DF50" s="70">
        <v>0.0</v>
      </c>
      <c r="DG50" s="70">
        <v>0.0</v>
      </c>
      <c r="DH50" s="70">
        <v>0.0</v>
      </c>
      <c r="DI50" s="70">
        <v>0.0</v>
      </c>
      <c r="DJ50" s="70">
        <v>0.0</v>
      </c>
      <c r="DK50" s="70">
        <v>0.0</v>
      </c>
      <c r="DL50" s="70">
        <v>2698836.0</v>
      </c>
      <c r="DM50" s="70">
        <v>3098154.0</v>
      </c>
      <c r="DN50" s="70">
        <v>277559.0</v>
      </c>
      <c r="DO50" s="70">
        <v>0.0</v>
      </c>
      <c r="DP50" s="70">
        <v>0.0</v>
      </c>
      <c r="DQ50" s="70">
        <v>0.0</v>
      </c>
      <c r="DR50" s="70">
        <v>0.0</v>
      </c>
      <c r="DS50" s="70">
        <v>0.0</v>
      </c>
      <c r="DT50" s="70">
        <v>0.0</v>
      </c>
      <c r="DU50" s="70">
        <v>0.0</v>
      </c>
      <c r="DV50" s="70">
        <v>0.0</v>
      </c>
      <c r="DW50" s="70">
        <v>0.0</v>
      </c>
      <c r="DX50" s="70">
        <v>0.0</v>
      </c>
      <c r="DY50" s="70">
        <v>0.0</v>
      </c>
      <c r="DZ50" s="70">
        <v>0.0</v>
      </c>
      <c r="EA50" s="70">
        <v>0.0</v>
      </c>
      <c r="EB50" s="70">
        <v>0.0</v>
      </c>
      <c r="EC50" s="70">
        <v>0.0</v>
      </c>
      <c r="ED50" s="70">
        <v>0.0</v>
      </c>
      <c r="EE50" s="70">
        <v>0.0</v>
      </c>
      <c r="EF50" s="70">
        <v>0.0</v>
      </c>
      <c r="EG50" s="70">
        <v>0.0</v>
      </c>
      <c r="EH50" s="70">
        <v>0.0</v>
      </c>
      <c r="EI50" s="70">
        <v>0.0</v>
      </c>
      <c r="EJ50" s="70">
        <v>0.0</v>
      </c>
      <c r="EK50" s="70">
        <v>0.0</v>
      </c>
      <c r="EL50" s="70">
        <v>0.0</v>
      </c>
      <c r="EM50" s="70">
        <v>0.0</v>
      </c>
      <c r="EN50" s="70">
        <v>0.0</v>
      </c>
      <c r="EO50" s="70">
        <v>0.0</v>
      </c>
      <c r="EP50" s="70">
        <v>0.0</v>
      </c>
      <c r="EQ50" s="70">
        <v>0.0</v>
      </c>
      <c r="ER50" s="70">
        <v>0.0</v>
      </c>
      <c r="ES50" s="70">
        <v>0.0</v>
      </c>
      <c r="ET50" s="70">
        <v>0.0</v>
      </c>
      <c r="EU50" s="70">
        <v>0.0</v>
      </c>
      <c r="EV50" s="70">
        <v>0.0</v>
      </c>
      <c r="EW50" s="70">
        <v>0.0</v>
      </c>
      <c r="EX50" s="70">
        <v>0.0</v>
      </c>
      <c r="EY50" s="70">
        <v>0.0</v>
      </c>
      <c r="EZ50" s="70">
        <v>0.0</v>
      </c>
      <c r="FA50" s="70">
        <v>0.0</v>
      </c>
      <c r="FB50" s="70">
        <v>0.0</v>
      </c>
      <c r="FC50" s="70">
        <v>0.0</v>
      </c>
      <c r="FD50" s="70">
        <v>0.0</v>
      </c>
      <c r="FE50" s="70">
        <v>0.0</v>
      </c>
      <c r="FF50" s="70">
        <v>0.0</v>
      </c>
      <c r="FG50" s="70">
        <v>0.0</v>
      </c>
      <c r="FH50" s="70">
        <v>0.0</v>
      </c>
      <c r="FI50" s="70">
        <v>0.0</v>
      </c>
      <c r="FJ50" s="70">
        <v>0.0</v>
      </c>
      <c r="FK50" s="70">
        <v>0.0</v>
      </c>
      <c r="FL50" s="70">
        <v>0.0</v>
      </c>
      <c r="FM50" s="70">
        <v>0.0</v>
      </c>
      <c r="FN50" s="70">
        <v>0.0</v>
      </c>
      <c r="FO50" s="70">
        <v>0.0</v>
      </c>
      <c r="FP50" s="70">
        <v>0.0</v>
      </c>
      <c r="FQ50" s="70">
        <v>0.0</v>
      </c>
      <c r="FR50" s="70">
        <v>0.0</v>
      </c>
      <c r="FS50" s="70">
        <v>0.0</v>
      </c>
      <c r="FT50" s="70">
        <v>0.0</v>
      </c>
      <c r="FU50" s="70">
        <v>0.0</v>
      </c>
      <c r="FV50" s="70">
        <v>0.0</v>
      </c>
      <c r="FW50" s="70">
        <v>0.0</v>
      </c>
      <c r="FX50" s="70">
        <v>0.0</v>
      </c>
      <c r="FY50" s="70">
        <v>0.0</v>
      </c>
      <c r="FZ50" s="70">
        <v>0.0</v>
      </c>
      <c r="GA50" s="70">
        <v>0.0</v>
      </c>
      <c r="GB50" s="70">
        <v>0.0</v>
      </c>
      <c r="GC50" s="70">
        <v>0.0</v>
      </c>
      <c r="GD50" s="70">
        <v>0.0</v>
      </c>
      <c r="GE50" s="70">
        <v>0.0</v>
      </c>
      <c r="GF50" s="71">
        <v>6083806.0</v>
      </c>
      <c r="GG50" s="72">
        <v>0.0</v>
      </c>
      <c r="GH50" s="73">
        <v>0.0</v>
      </c>
      <c r="GI50" s="72">
        <v>0.0</v>
      </c>
      <c r="GJ50" s="72">
        <v>0.0</v>
      </c>
      <c r="GK50" s="72">
        <v>103496.0</v>
      </c>
      <c r="GL50" s="72">
        <v>1852525.0</v>
      </c>
      <c r="GM50" s="72">
        <v>0.0</v>
      </c>
      <c r="GN50" s="71">
        <v>1956021.0</v>
      </c>
      <c r="GO50" s="74">
        <v>8039827.0</v>
      </c>
      <c r="GP50" s="72">
        <v>1435723.0</v>
      </c>
      <c r="GQ50" s="72">
        <v>0.0</v>
      </c>
      <c r="GR50" s="73">
        <v>0.0</v>
      </c>
      <c r="GS50" s="71">
        <v>1435723.0</v>
      </c>
      <c r="GT50" s="75">
        <v>0.0</v>
      </c>
      <c r="GU50" s="75">
        <v>0.0</v>
      </c>
      <c r="GV50" s="75">
        <v>0.0</v>
      </c>
      <c r="GW50" s="71">
        <v>0.0</v>
      </c>
      <c r="GX50" s="71">
        <v>42372.0</v>
      </c>
      <c r="GY50" s="71">
        <v>6561732.0</v>
      </c>
      <c r="GZ50" s="74">
        <v>8039827.0</v>
      </c>
    </row>
    <row r="51" ht="15.75" customHeight="1">
      <c r="A51" s="52">
        <v>46.0</v>
      </c>
      <c r="B51" s="53" t="s">
        <v>91</v>
      </c>
      <c r="C51" s="54">
        <v>0.0</v>
      </c>
      <c r="D51" s="54">
        <v>0.0</v>
      </c>
      <c r="E51" s="54">
        <v>0.0</v>
      </c>
      <c r="F51" s="54">
        <v>0.0</v>
      </c>
      <c r="G51" s="54">
        <v>0.0</v>
      </c>
      <c r="H51" s="54">
        <v>0.0</v>
      </c>
      <c r="I51" s="54">
        <v>0.0</v>
      </c>
      <c r="J51" s="54">
        <v>0.0</v>
      </c>
      <c r="K51" s="54">
        <v>0.0</v>
      </c>
      <c r="L51" s="54">
        <v>0.0</v>
      </c>
      <c r="M51" s="54">
        <v>0.0</v>
      </c>
      <c r="N51" s="54">
        <v>0.0</v>
      </c>
      <c r="O51" s="54">
        <v>0.0</v>
      </c>
      <c r="P51" s="54">
        <v>0.0</v>
      </c>
      <c r="Q51" s="54">
        <v>0.0</v>
      </c>
      <c r="R51" s="54">
        <v>0.0</v>
      </c>
      <c r="S51" s="54">
        <v>0.0</v>
      </c>
      <c r="T51" s="54">
        <v>0.0</v>
      </c>
      <c r="U51" s="54">
        <v>0.0</v>
      </c>
      <c r="V51" s="54">
        <v>0.0</v>
      </c>
      <c r="W51" s="54">
        <v>0.0</v>
      </c>
      <c r="X51" s="54">
        <v>0.0</v>
      </c>
      <c r="Y51" s="54">
        <v>0.0</v>
      </c>
      <c r="Z51" s="54">
        <v>0.0</v>
      </c>
      <c r="AA51" s="54">
        <v>0.0</v>
      </c>
      <c r="AB51" s="54">
        <v>0.0</v>
      </c>
      <c r="AC51" s="54">
        <v>0.0</v>
      </c>
      <c r="AD51" s="54">
        <v>0.0</v>
      </c>
      <c r="AE51" s="54">
        <v>0.0</v>
      </c>
      <c r="AF51" s="54">
        <v>0.0</v>
      </c>
      <c r="AG51" s="54">
        <v>0.0</v>
      </c>
      <c r="AH51" s="54">
        <v>0.0</v>
      </c>
      <c r="AI51" s="54">
        <v>0.0</v>
      </c>
      <c r="AJ51" s="54">
        <v>0.0</v>
      </c>
      <c r="AK51" s="54">
        <v>0.0</v>
      </c>
      <c r="AL51" s="54">
        <v>0.0</v>
      </c>
      <c r="AM51" s="54">
        <v>0.0</v>
      </c>
      <c r="AN51" s="54">
        <v>0.0</v>
      </c>
      <c r="AO51" s="54">
        <v>0.0</v>
      </c>
      <c r="AP51" s="54">
        <v>0.0</v>
      </c>
      <c r="AQ51" s="54">
        <v>0.0</v>
      </c>
      <c r="AR51" s="54">
        <v>0.0</v>
      </c>
      <c r="AS51" s="54">
        <v>0.0</v>
      </c>
      <c r="AT51" s="54">
        <v>0.0</v>
      </c>
      <c r="AU51" s="54">
        <v>0.0</v>
      </c>
      <c r="AV51" s="54">
        <v>802100.0</v>
      </c>
      <c r="AW51" s="54">
        <v>0.0</v>
      </c>
      <c r="AX51" s="54">
        <v>0.0</v>
      </c>
      <c r="AY51" s="54">
        <v>0.0</v>
      </c>
      <c r="AZ51" s="54">
        <v>0.0</v>
      </c>
      <c r="BA51" s="54">
        <v>0.0</v>
      </c>
      <c r="BB51" s="54">
        <v>0.0</v>
      </c>
      <c r="BC51" s="54">
        <v>0.0</v>
      </c>
      <c r="BD51" s="54">
        <v>0.0</v>
      </c>
      <c r="BE51" s="54">
        <v>0.0</v>
      </c>
      <c r="BF51" s="54">
        <v>0.0</v>
      </c>
      <c r="BG51" s="54">
        <v>0.0</v>
      </c>
      <c r="BH51" s="54">
        <v>0.0</v>
      </c>
      <c r="BI51" s="54">
        <v>0.0</v>
      </c>
      <c r="BJ51" s="54">
        <v>0.0</v>
      </c>
      <c r="BK51" s="54">
        <v>0.0</v>
      </c>
      <c r="BL51" s="54">
        <v>0.0</v>
      </c>
      <c r="BM51" s="54">
        <v>0.0</v>
      </c>
      <c r="BN51" s="54">
        <v>0.0</v>
      </c>
      <c r="BO51" s="54">
        <v>0.0</v>
      </c>
      <c r="BP51" s="54">
        <v>0.0</v>
      </c>
      <c r="BQ51" s="54">
        <v>0.0</v>
      </c>
      <c r="BR51" s="54">
        <v>0.0</v>
      </c>
      <c r="BS51" s="54">
        <v>0.0</v>
      </c>
      <c r="BT51" s="54">
        <v>0.0</v>
      </c>
      <c r="BU51" s="54">
        <v>0.0</v>
      </c>
      <c r="BV51" s="54">
        <v>0.0</v>
      </c>
      <c r="BW51" s="54">
        <v>0.0</v>
      </c>
      <c r="BX51" s="54">
        <v>0.0</v>
      </c>
      <c r="BY51" s="54">
        <v>0.0</v>
      </c>
      <c r="BZ51" s="54">
        <v>0.0</v>
      </c>
      <c r="CA51" s="54">
        <v>0.0</v>
      </c>
      <c r="CB51" s="54">
        <v>0.0</v>
      </c>
      <c r="CC51" s="54">
        <v>0.0</v>
      </c>
      <c r="CD51" s="54">
        <v>0.0</v>
      </c>
      <c r="CE51" s="54">
        <v>0.0</v>
      </c>
      <c r="CF51" s="54">
        <v>0.0</v>
      </c>
      <c r="CG51" s="54">
        <v>0.0</v>
      </c>
      <c r="CH51" s="54">
        <v>0.0</v>
      </c>
      <c r="CI51" s="54">
        <v>0.0</v>
      </c>
      <c r="CJ51" s="54">
        <v>0.0</v>
      </c>
      <c r="CK51" s="54">
        <v>0.0</v>
      </c>
      <c r="CL51" s="54">
        <v>0.0</v>
      </c>
      <c r="CM51" s="54">
        <v>0.0</v>
      </c>
      <c r="CN51" s="54">
        <v>0.0</v>
      </c>
      <c r="CO51" s="54">
        <v>0.0</v>
      </c>
      <c r="CP51" s="54">
        <v>0.0</v>
      </c>
      <c r="CQ51" s="54">
        <v>0.0</v>
      </c>
      <c r="CR51" s="54">
        <v>0.0</v>
      </c>
      <c r="CS51" s="54">
        <v>0.0</v>
      </c>
      <c r="CT51" s="54">
        <v>0.0</v>
      </c>
      <c r="CU51" s="54">
        <v>0.0</v>
      </c>
      <c r="CV51" s="54">
        <v>0.0</v>
      </c>
      <c r="CW51" s="54">
        <v>0.0</v>
      </c>
      <c r="CX51" s="54">
        <v>0.0</v>
      </c>
      <c r="CY51" s="54">
        <v>0.0</v>
      </c>
      <c r="CZ51" s="54">
        <v>0.0</v>
      </c>
      <c r="DA51" s="54">
        <v>0.0</v>
      </c>
      <c r="DB51" s="54">
        <v>0.0</v>
      </c>
      <c r="DC51" s="54">
        <v>0.0</v>
      </c>
      <c r="DD51" s="54">
        <v>0.0</v>
      </c>
      <c r="DE51" s="54">
        <v>0.0</v>
      </c>
      <c r="DF51" s="54">
        <v>0.0</v>
      </c>
      <c r="DG51" s="54">
        <v>0.0</v>
      </c>
      <c r="DH51" s="54">
        <v>0.0</v>
      </c>
      <c r="DI51" s="54">
        <v>0.0</v>
      </c>
      <c r="DJ51" s="54">
        <v>0.0</v>
      </c>
      <c r="DK51" s="54">
        <v>0.0</v>
      </c>
      <c r="DL51" s="54">
        <v>7055741.0</v>
      </c>
      <c r="DM51" s="54">
        <v>7.5145589E7</v>
      </c>
      <c r="DN51" s="54">
        <v>268442.0</v>
      </c>
      <c r="DO51" s="54">
        <v>0.0</v>
      </c>
      <c r="DP51" s="54">
        <v>0.0</v>
      </c>
      <c r="DQ51" s="54">
        <v>0.0</v>
      </c>
      <c r="DR51" s="54">
        <v>0.0</v>
      </c>
      <c r="DS51" s="54">
        <v>0.0</v>
      </c>
      <c r="DT51" s="54">
        <v>0.0</v>
      </c>
      <c r="DU51" s="54">
        <v>0.0</v>
      </c>
      <c r="DV51" s="54">
        <v>0.0</v>
      </c>
      <c r="DW51" s="54">
        <v>0.0</v>
      </c>
      <c r="DX51" s="54">
        <v>0.0</v>
      </c>
      <c r="DY51" s="54">
        <v>0.0</v>
      </c>
      <c r="DZ51" s="54">
        <v>0.0</v>
      </c>
      <c r="EA51" s="54">
        <v>0.0</v>
      </c>
      <c r="EB51" s="54">
        <v>0.0</v>
      </c>
      <c r="EC51" s="54">
        <v>0.0</v>
      </c>
      <c r="ED51" s="54">
        <v>0.0</v>
      </c>
      <c r="EE51" s="54">
        <v>0.0</v>
      </c>
      <c r="EF51" s="54">
        <v>0.0</v>
      </c>
      <c r="EG51" s="54">
        <v>0.0</v>
      </c>
      <c r="EH51" s="54">
        <v>0.0</v>
      </c>
      <c r="EI51" s="54">
        <v>0.0</v>
      </c>
      <c r="EJ51" s="54">
        <v>2862284.0</v>
      </c>
      <c r="EK51" s="54">
        <v>0.0</v>
      </c>
      <c r="EL51" s="54">
        <v>0.0</v>
      </c>
      <c r="EM51" s="54">
        <v>0.0</v>
      </c>
      <c r="EN51" s="54">
        <v>0.0</v>
      </c>
      <c r="EO51" s="54">
        <v>0.0</v>
      </c>
      <c r="EP51" s="54">
        <v>0.0</v>
      </c>
      <c r="EQ51" s="54">
        <v>0.0</v>
      </c>
      <c r="ER51" s="54">
        <v>0.0</v>
      </c>
      <c r="ES51" s="54">
        <v>0.0</v>
      </c>
      <c r="ET51" s="54">
        <v>0.0</v>
      </c>
      <c r="EU51" s="54">
        <v>0.0</v>
      </c>
      <c r="EV51" s="54">
        <v>0.0</v>
      </c>
      <c r="EW51" s="54">
        <v>0.0</v>
      </c>
      <c r="EX51" s="54">
        <v>0.0</v>
      </c>
      <c r="EY51" s="54">
        <v>0.0</v>
      </c>
      <c r="EZ51" s="54">
        <v>0.0</v>
      </c>
      <c r="FA51" s="54">
        <v>0.0</v>
      </c>
      <c r="FB51" s="54">
        <v>0.0</v>
      </c>
      <c r="FC51" s="54">
        <v>0.0</v>
      </c>
      <c r="FD51" s="54">
        <v>0.0</v>
      </c>
      <c r="FE51" s="54">
        <v>0.0</v>
      </c>
      <c r="FF51" s="54">
        <v>0.0</v>
      </c>
      <c r="FG51" s="54">
        <v>0.0</v>
      </c>
      <c r="FH51" s="54">
        <v>0.0</v>
      </c>
      <c r="FI51" s="54">
        <v>0.0</v>
      </c>
      <c r="FJ51" s="54">
        <v>0.0</v>
      </c>
      <c r="FK51" s="54">
        <v>0.0</v>
      </c>
      <c r="FL51" s="54">
        <v>0.0</v>
      </c>
      <c r="FM51" s="54">
        <v>0.0</v>
      </c>
      <c r="FN51" s="54">
        <v>0.0</v>
      </c>
      <c r="FO51" s="54">
        <v>0.0</v>
      </c>
      <c r="FP51" s="54">
        <v>0.0</v>
      </c>
      <c r="FQ51" s="54">
        <v>0.0</v>
      </c>
      <c r="FR51" s="54">
        <v>0.0</v>
      </c>
      <c r="FS51" s="54">
        <v>0.0</v>
      </c>
      <c r="FT51" s="54">
        <v>0.0</v>
      </c>
      <c r="FU51" s="54">
        <v>0.0</v>
      </c>
      <c r="FV51" s="54">
        <v>0.0</v>
      </c>
      <c r="FW51" s="54">
        <v>0.0</v>
      </c>
      <c r="FX51" s="54">
        <v>0.0</v>
      </c>
      <c r="FY51" s="54">
        <v>0.0</v>
      </c>
      <c r="FZ51" s="54">
        <v>0.0</v>
      </c>
      <c r="GA51" s="54">
        <v>0.0</v>
      </c>
      <c r="GB51" s="54">
        <v>0.0</v>
      </c>
      <c r="GC51" s="54">
        <v>0.0</v>
      </c>
      <c r="GD51" s="54">
        <v>0.0</v>
      </c>
      <c r="GE51" s="54">
        <v>0.0</v>
      </c>
      <c r="GF51" s="55">
        <v>8.6134156E7</v>
      </c>
      <c r="GG51" s="56">
        <v>0.0</v>
      </c>
      <c r="GH51" s="57">
        <v>0.0</v>
      </c>
      <c r="GI51" s="56">
        <v>0.0</v>
      </c>
      <c r="GJ51" s="56">
        <v>0.0</v>
      </c>
      <c r="GK51" s="56">
        <v>10.0</v>
      </c>
      <c r="GL51" s="56">
        <v>73.0</v>
      </c>
      <c r="GM51" s="56">
        <v>0.0</v>
      </c>
      <c r="GN51" s="55">
        <v>83.0</v>
      </c>
      <c r="GO51" s="58">
        <v>8.6134239E7</v>
      </c>
      <c r="GP51" s="56">
        <v>53.0</v>
      </c>
      <c r="GQ51" s="56">
        <v>0.0</v>
      </c>
      <c r="GR51" s="57">
        <v>0.0</v>
      </c>
      <c r="GS51" s="55">
        <v>53.0</v>
      </c>
      <c r="GT51" s="59">
        <v>87618.0</v>
      </c>
      <c r="GU51" s="59">
        <v>0.0</v>
      </c>
      <c r="GV51" s="59">
        <v>26751.0</v>
      </c>
      <c r="GW51" s="55">
        <v>114369.0</v>
      </c>
      <c r="GX51" s="55">
        <v>2.0</v>
      </c>
      <c r="GY51" s="55">
        <v>8.6019815E7</v>
      </c>
      <c r="GZ51" s="58">
        <v>8.6134239E7</v>
      </c>
    </row>
    <row r="52" ht="15.75" customHeight="1">
      <c r="A52" s="60">
        <v>47.0</v>
      </c>
      <c r="B52" s="61" t="s">
        <v>92</v>
      </c>
      <c r="C52" s="62">
        <v>0.0</v>
      </c>
      <c r="D52" s="62">
        <v>0.0</v>
      </c>
      <c r="E52" s="62">
        <v>0.0</v>
      </c>
      <c r="F52" s="62">
        <v>0.0</v>
      </c>
      <c r="G52" s="62">
        <v>0.0</v>
      </c>
      <c r="H52" s="62">
        <v>0.0</v>
      </c>
      <c r="I52" s="62">
        <v>0.0</v>
      </c>
      <c r="J52" s="62">
        <v>0.0</v>
      </c>
      <c r="K52" s="62">
        <v>0.0</v>
      </c>
      <c r="L52" s="62">
        <v>0.0</v>
      </c>
      <c r="M52" s="62">
        <v>0.0</v>
      </c>
      <c r="N52" s="62">
        <v>0.0</v>
      </c>
      <c r="O52" s="62">
        <v>0.0</v>
      </c>
      <c r="P52" s="62">
        <v>0.0</v>
      </c>
      <c r="Q52" s="62">
        <v>0.0</v>
      </c>
      <c r="R52" s="62">
        <v>0.0</v>
      </c>
      <c r="S52" s="62">
        <v>0.0</v>
      </c>
      <c r="T52" s="62">
        <v>0.0</v>
      </c>
      <c r="U52" s="62">
        <v>0.0</v>
      </c>
      <c r="V52" s="62">
        <v>0.0</v>
      </c>
      <c r="W52" s="62">
        <v>0.0</v>
      </c>
      <c r="X52" s="62">
        <v>0.0</v>
      </c>
      <c r="Y52" s="62">
        <v>0.0</v>
      </c>
      <c r="Z52" s="62">
        <v>0.0</v>
      </c>
      <c r="AA52" s="62">
        <v>0.0</v>
      </c>
      <c r="AB52" s="62">
        <v>0.0</v>
      </c>
      <c r="AC52" s="62">
        <v>0.0</v>
      </c>
      <c r="AD52" s="62">
        <v>0.0</v>
      </c>
      <c r="AE52" s="62">
        <v>0.0</v>
      </c>
      <c r="AF52" s="62">
        <v>0.0</v>
      </c>
      <c r="AG52" s="62">
        <v>0.0</v>
      </c>
      <c r="AH52" s="62">
        <v>0.0</v>
      </c>
      <c r="AI52" s="62">
        <v>0.0</v>
      </c>
      <c r="AJ52" s="62">
        <v>0.0</v>
      </c>
      <c r="AK52" s="62">
        <v>0.0</v>
      </c>
      <c r="AL52" s="62">
        <v>0.0</v>
      </c>
      <c r="AM52" s="62">
        <v>0.0</v>
      </c>
      <c r="AN52" s="62">
        <v>0.0</v>
      </c>
      <c r="AO52" s="62">
        <v>0.0</v>
      </c>
      <c r="AP52" s="62">
        <v>0.0</v>
      </c>
      <c r="AQ52" s="62">
        <v>0.0</v>
      </c>
      <c r="AR52" s="62">
        <v>0.0</v>
      </c>
      <c r="AS52" s="62">
        <v>0.0</v>
      </c>
      <c r="AT52" s="62">
        <v>0.0</v>
      </c>
      <c r="AU52" s="62">
        <v>0.0</v>
      </c>
      <c r="AV52" s="62">
        <v>0.0</v>
      </c>
      <c r="AW52" s="62">
        <v>3597.0</v>
      </c>
      <c r="AX52" s="62">
        <v>0.0</v>
      </c>
      <c r="AY52" s="62">
        <v>0.0</v>
      </c>
      <c r="AZ52" s="62">
        <v>0.0</v>
      </c>
      <c r="BA52" s="62">
        <v>0.0</v>
      </c>
      <c r="BB52" s="62">
        <v>0.0</v>
      </c>
      <c r="BC52" s="62">
        <v>0.0</v>
      </c>
      <c r="BD52" s="62">
        <v>0.0</v>
      </c>
      <c r="BE52" s="62">
        <v>0.0</v>
      </c>
      <c r="BF52" s="62">
        <v>0.0</v>
      </c>
      <c r="BG52" s="62">
        <v>0.0</v>
      </c>
      <c r="BH52" s="62">
        <v>0.0</v>
      </c>
      <c r="BI52" s="62">
        <v>0.0</v>
      </c>
      <c r="BJ52" s="62">
        <v>0.0</v>
      </c>
      <c r="BK52" s="62">
        <v>0.0</v>
      </c>
      <c r="BL52" s="62">
        <v>0.0</v>
      </c>
      <c r="BM52" s="62">
        <v>0.0</v>
      </c>
      <c r="BN52" s="62">
        <v>0.0</v>
      </c>
      <c r="BO52" s="62">
        <v>0.0</v>
      </c>
      <c r="BP52" s="62">
        <v>0.0</v>
      </c>
      <c r="BQ52" s="62">
        <v>0.0</v>
      </c>
      <c r="BR52" s="62">
        <v>0.0</v>
      </c>
      <c r="BS52" s="62">
        <v>0.0</v>
      </c>
      <c r="BT52" s="62">
        <v>0.0</v>
      </c>
      <c r="BU52" s="62">
        <v>0.0</v>
      </c>
      <c r="BV52" s="62">
        <v>0.0</v>
      </c>
      <c r="BW52" s="62">
        <v>0.0</v>
      </c>
      <c r="BX52" s="62">
        <v>0.0</v>
      </c>
      <c r="BY52" s="62">
        <v>0.0</v>
      </c>
      <c r="BZ52" s="62">
        <v>0.0</v>
      </c>
      <c r="CA52" s="62">
        <v>0.0</v>
      </c>
      <c r="CB52" s="62">
        <v>0.0</v>
      </c>
      <c r="CC52" s="62">
        <v>0.0</v>
      </c>
      <c r="CD52" s="62">
        <v>0.0</v>
      </c>
      <c r="CE52" s="62">
        <v>0.0</v>
      </c>
      <c r="CF52" s="62">
        <v>0.0</v>
      </c>
      <c r="CG52" s="62">
        <v>0.0</v>
      </c>
      <c r="CH52" s="62">
        <v>0.0</v>
      </c>
      <c r="CI52" s="62">
        <v>0.0</v>
      </c>
      <c r="CJ52" s="62">
        <v>0.0</v>
      </c>
      <c r="CK52" s="62">
        <v>0.0</v>
      </c>
      <c r="CL52" s="62">
        <v>0.0</v>
      </c>
      <c r="CM52" s="62">
        <v>0.0</v>
      </c>
      <c r="CN52" s="62">
        <v>0.0</v>
      </c>
      <c r="CO52" s="62">
        <v>0.0</v>
      </c>
      <c r="CP52" s="62">
        <v>0.0</v>
      </c>
      <c r="CQ52" s="62">
        <v>0.0</v>
      </c>
      <c r="CR52" s="62">
        <v>0.0</v>
      </c>
      <c r="CS52" s="62">
        <v>0.0</v>
      </c>
      <c r="CT52" s="62">
        <v>0.0</v>
      </c>
      <c r="CU52" s="62">
        <v>0.0</v>
      </c>
      <c r="CV52" s="62">
        <v>0.0</v>
      </c>
      <c r="CW52" s="62">
        <v>0.0</v>
      </c>
      <c r="CX52" s="62">
        <v>0.0</v>
      </c>
      <c r="CY52" s="62">
        <v>0.0</v>
      </c>
      <c r="CZ52" s="62">
        <v>0.0</v>
      </c>
      <c r="DA52" s="62">
        <v>0.0</v>
      </c>
      <c r="DB52" s="62">
        <v>0.0</v>
      </c>
      <c r="DC52" s="62">
        <v>0.0</v>
      </c>
      <c r="DD52" s="62">
        <v>0.0</v>
      </c>
      <c r="DE52" s="62">
        <v>0.0</v>
      </c>
      <c r="DF52" s="62">
        <v>0.0</v>
      </c>
      <c r="DG52" s="62">
        <v>0.0</v>
      </c>
      <c r="DH52" s="62">
        <v>0.0</v>
      </c>
      <c r="DI52" s="62">
        <v>0.0</v>
      </c>
      <c r="DJ52" s="62">
        <v>0.0</v>
      </c>
      <c r="DK52" s="62">
        <v>0.0</v>
      </c>
      <c r="DL52" s="62">
        <v>202733.0</v>
      </c>
      <c r="DM52" s="62">
        <v>1239750.0</v>
      </c>
      <c r="DN52" s="62">
        <v>126313.0</v>
      </c>
      <c r="DO52" s="62">
        <v>0.0</v>
      </c>
      <c r="DP52" s="62">
        <v>0.0</v>
      </c>
      <c r="DQ52" s="62">
        <v>0.0</v>
      </c>
      <c r="DR52" s="62">
        <v>0.0</v>
      </c>
      <c r="DS52" s="62">
        <v>0.0</v>
      </c>
      <c r="DT52" s="62">
        <v>0.0</v>
      </c>
      <c r="DU52" s="62">
        <v>0.0</v>
      </c>
      <c r="DV52" s="62">
        <v>0.0</v>
      </c>
      <c r="DW52" s="62">
        <v>0.0</v>
      </c>
      <c r="DX52" s="62">
        <v>0.0</v>
      </c>
      <c r="DY52" s="62">
        <v>0.0</v>
      </c>
      <c r="DZ52" s="62">
        <v>0.0</v>
      </c>
      <c r="EA52" s="62">
        <v>0.0</v>
      </c>
      <c r="EB52" s="62">
        <v>0.0</v>
      </c>
      <c r="EC52" s="62">
        <v>0.0</v>
      </c>
      <c r="ED52" s="62">
        <v>0.0</v>
      </c>
      <c r="EE52" s="62">
        <v>0.0</v>
      </c>
      <c r="EF52" s="62">
        <v>0.0</v>
      </c>
      <c r="EG52" s="62">
        <v>0.0</v>
      </c>
      <c r="EH52" s="62">
        <v>0.0</v>
      </c>
      <c r="EI52" s="62">
        <v>0.0</v>
      </c>
      <c r="EJ52" s="62">
        <v>568985.0</v>
      </c>
      <c r="EK52" s="62">
        <v>0.0</v>
      </c>
      <c r="EL52" s="62">
        <v>0.0</v>
      </c>
      <c r="EM52" s="62">
        <v>0.0</v>
      </c>
      <c r="EN52" s="62">
        <v>0.0</v>
      </c>
      <c r="EO52" s="62">
        <v>0.0</v>
      </c>
      <c r="EP52" s="62">
        <v>0.0</v>
      </c>
      <c r="EQ52" s="62">
        <v>0.0</v>
      </c>
      <c r="ER52" s="62">
        <v>0.0</v>
      </c>
      <c r="ES52" s="62">
        <v>0.0</v>
      </c>
      <c r="ET52" s="62">
        <v>0.0</v>
      </c>
      <c r="EU52" s="62">
        <v>0.0</v>
      </c>
      <c r="EV52" s="62">
        <v>0.0</v>
      </c>
      <c r="EW52" s="62">
        <v>0.0</v>
      </c>
      <c r="EX52" s="62">
        <v>0.0</v>
      </c>
      <c r="EY52" s="62">
        <v>0.0</v>
      </c>
      <c r="EZ52" s="62">
        <v>0.0</v>
      </c>
      <c r="FA52" s="62">
        <v>0.0</v>
      </c>
      <c r="FB52" s="62">
        <v>0.0</v>
      </c>
      <c r="FC52" s="62">
        <v>0.0</v>
      </c>
      <c r="FD52" s="62">
        <v>0.0</v>
      </c>
      <c r="FE52" s="62">
        <v>0.0</v>
      </c>
      <c r="FF52" s="62">
        <v>0.0</v>
      </c>
      <c r="FG52" s="62">
        <v>0.0</v>
      </c>
      <c r="FH52" s="62">
        <v>0.0</v>
      </c>
      <c r="FI52" s="62">
        <v>0.0</v>
      </c>
      <c r="FJ52" s="62">
        <v>0.0</v>
      </c>
      <c r="FK52" s="62">
        <v>0.0</v>
      </c>
      <c r="FL52" s="62">
        <v>0.0</v>
      </c>
      <c r="FM52" s="62">
        <v>0.0</v>
      </c>
      <c r="FN52" s="62">
        <v>0.0</v>
      </c>
      <c r="FO52" s="62">
        <v>0.0</v>
      </c>
      <c r="FP52" s="62">
        <v>0.0</v>
      </c>
      <c r="FQ52" s="62">
        <v>0.0</v>
      </c>
      <c r="FR52" s="62">
        <v>0.0</v>
      </c>
      <c r="FS52" s="62">
        <v>0.0</v>
      </c>
      <c r="FT52" s="62">
        <v>0.0</v>
      </c>
      <c r="FU52" s="62">
        <v>0.0</v>
      </c>
      <c r="FV52" s="62">
        <v>0.0</v>
      </c>
      <c r="FW52" s="62">
        <v>0.0</v>
      </c>
      <c r="FX52" s="62">
        <v>0.0</v>
      </c>
      <c r="FY52" s="62">
        <v>0.0</v>
      </c>
      <c r="FZ52" s="62">
        <v>0.0</v>
      </c>
      <c r="GA52" s="62">
        <v>0.0</v>
      </c>
      <c r="GB52" s="62">
        <v>0.0</v>
      </c>
      <c r="GC52" s="62">
        <v>0.0</v>
      </c>
      <c r="GD52" s="62">
        <v>0.0</v>
      </c>
      <c r="GE52" s="62">
        <v>0.0</v>
      </c>
      <c r="GF52" s="63">
        <v>2141378.0</v>
      </c>
      <c r="GG52" s="64">
        <v>0.0</v>
      </c>
      <c r="GH52" s="65">
        <v>0.0</v>
      </c>
      <c r="GI52" s="64">
        <v>0.0</v>
      </c>
      <c r="GJ52" s="64">
        <v>0.0</v>
      </c>
      <c r="GK52" s="64">
        <v>21.0</v>
      </c>
      <c r="GL52" s="64">
        <v>0.0</v>
      </c>
      <c r="GM52" s="64">
        <v>0.0</v>
      </c>
      <c r="GN52" s="63">
        <v>21.0</v>
      </c>
      <c r="GO52" s="66">
        <v>2141399.0</v>
      </c>
      <c r="GP52" s="64">
        <v>1895.0</v>
      </c>
      <c r="GQ52" s="64">
        <v>0.0</v>
      </c>
      <c r="GR52" s="65">
        <v>0.0</v>
      </c>
      <c r="GS52" s="63">
        <v>1895.0</v>
      </c>
      <c r="GT52" s="67">
        <v>309153.0</v>
      </c>
      <c r="GU52" s="67">
        <v>0.0</v>
      </c>
      <c r="GV52" s="67">
        <v>481.0</v>
      </c>
      <c r="GW52" s="63">
        <v>309634.0</v>
      </c>
      <c r="GX52" s="63">
        <v>0.0</v>
      </c>
      <c r="GY52" s="63">
        <v>1829870.0</v>
      </c>
      <c r="GZ52" s="66">
        <v>2141399.0</v>
      </c>
    </row>
    <row r="53" ht="15.75" customHeight="1">
      <c r="A53" s="60">
        <v>48.0</v>
      </c>
      <c r="B53" s="61" t="s">
        <v>93</v>
      </c>
      <c r="C53" s="62">
        <v>0.0</v>
      </c>
      <c r="D53" s="62">
        <v>0.0</v>
      </c>
      <c r="E53" s="62">
        <v>0.0</v>
      </c>
      <c r="F53" s="62">
        <v>0.0</v>
      </c>
      <c r="G53" s="62">
        <v>0.0</v>
      </c>
      <c r="H53" s="62">
        <v>0.0</v>
      </c>
      <c r="I53" s="62">
        <v>0.0</v>
      </c>
      <c r="J53" s="62">
        <v>0.0</v>
      </c>
      <c r="K53" s="62">
        <v>0.0</v>
      </c>
      <c r="L53" s="62">
        <v>0.0</v>
      </c>
      <c r="M53" s="62">
        <v>0.0</v>
      </c>
      <c r="N53" s="62">
        <v>0.0</v>
      </c>
      <c r="O53" s="62">
        <v>0.0</v>
      </c>
      <c r="P53" s="62">
        <v>0.0</v>
      </c>
      <c r="Q53" s="62">
        <v>122.0</v>
      </c>
      <c r="R53" s="62">
        <v>0.0</v>
      </c>
      <c r="S53" s="62">
        <v>0.0</v>
      </c>
      <c r="T53" s="62">
        <v>72615.0</v>
      </c>
      <c r="U53" s="62">
        <v>219.0</v>
      </c>
      <c r="V53" s="62">
        <v>2778.0</v>
      </c>
      <c r="W53" s="62">
        <v>40.0</v>
      </c>
      <c r="X53" s="62">
        <v>147.0</v>
      </c>
      <c r="Y53" s="62">
        <v>104.0</v>
      </c>
      <c r="Z53" s="62">
        <v>149.0</v>
      </c>
      <c r="AA53" s="62">
        <v>281.0</v>
      </c>
      <c r="AB53" s="62">
        <v>0.0</v>
      </c>
      <c r="AC53" s="62">
        <v>0.0</v>
      </c>
      <c r="AD53" s="62">
        <v>0.0</v>
      </c>
      <c r="AE53" s="62">
        <v>0.0</v>
      </c>
      <c r="AF53" s="62">
        <v>0.0</v>
      </c>
      <c r="AG53" s="62">
        <v>0.0</v>
      </c>
      <c r="AH53" s="62">
        <v>0.0</v>
      </c>
      <c r="AI53" s="62">
        <v>8390.0</v>
      </c>
      <c r="AJ53" s="62">
        <v>0.0</v>
      </c>
      <c r="AK53" s="62">
        <v>0.0</v>
      </c>
      <c r="AL53" s="62">
        <v>0.0</v>
      </c>
      <c r="AM53" s="62">
        <v>0.0</v>
      </c>
      <c r="AN53" s="62">
        <v>0.0</v>
      </c>
      <c r="AO53" s="62">
        <v>0.0</v>
      </c>
      <c r="AP53" s="62">
        <v>0.0</v>
      </c>
      <c r="AQ53" s="62">
        <v>0.0</v>
      </c>
      <c r="AR53" s="62">
        <v>0.0</v>
      </c>
      <c r="AS53" s="62">
        <v>0.0</v>
      </c>
      <c r="AT53" s="62">
        <v>0.0</v>
      </c>
      <c r="AU53" s="62">
        <v>0.0</v>
      </c>
      <c r="AV53" s="62">
        <v>0.0</v>
      </c>
      <c r="AW53" s="62">
        <v>0.0</v>
      </c>
      <c r="AX53" s="62">
        <v>1564930.0</v>
      </c>
      <c r="AY53" s="62">
        <v>0.0</v>
      </c>
      <c r="AZ53" s="62">
        <v>0.0</v>
      </c>
      <c r="BA53" s="62">
        <v>0.0</v>
      </c>
      <c r="BB53" s="62">
        <v>0.0</v>
      </c>
      <c r="BC53" s="62">
        <v>0.0</v>
      </c>
      <c r="BD53" s="62">
        <v>0.0</v>
      </c>
      <c r="BE53" s="62">
        <v>0.0</v>
      </c>
      <c r="BF53" s="62">
        <v>0.0</v>
      </c>
      <c r="BG53" s="62">
        <v>0.0</v>
      </c>
      <c r="BH53" s="62">
        <v>0.0</v>
      </c>
      <c r="BI53" s="62">
        <v>0.0</v>
      </c>
      <c r="BJ53" s="62">
        <v>0.0</v>
      </c>
      <c r="BK53" s="62">
        <v>0.0</v>
      </c>
      <c r="BL53" s="62">
        <v>0.0</v>
      </c>
      <c r="BM53" s="62">
        <v>0.0</v>
      </c>
      <c r="BN53" s="62">
        <v>0.0</v>
      </c>
      <c r="BO53" s="62">
        <v>0.0</v>
      </c>
      <c r="BP53" s="62">
        <v>0.0</v>
      </c>
      <c r="BQ53" s="62">
        <v>0.0</v>
      </c>
      <c r="BR53" s="62">
        <v>0.0</v>
      </c>
      <c r="BS53" s="62">
        <v>0.0</v>
      </c>
      <c r="BT53" s="62">
        <v>0.0</v>
      </c>
      <c r="BU53" s="62">
        <v>0.0</v>
      </c>
      <c r="BV53" s="62">
        <v>0.0</v>
      </c>
      <c r="BW53" s="62">
        <v>0.0</v>
      </c>
      <c r="BX53" s="62">
        <v>0.0</v>
      </c>
      <c r="BY53" s="62">
        <v>0.0</v>
      </c>
      <c r="BZ53" s="62">
        <v>0.0</v>
      </c>
      <c r="CA53" s="62">
        <v>0.0</v>
      </c>
      <c r="CB53" s="62">
        <v>0.0</v>
      </c>
      <c r="CC53" s="62">
        <v>0.0</v>
      </c>
      <c r="CD53" s="62">
        <v>0.0</v>
      </c>
      <c r="CE53" s="62">
        <v>0.0</v>
      </c>
      <c r="CF53" s="62">
        <v>0.0</v>
      </c>
      <c r="CG53" s="62">
        <v>0.0</v>
      </c>
      <c r="CH53" s="62">
        <v>0.0</v>
      </c>
      <c r="CI53" s="62">
        <v>0.0</v>
      </c>
      <c r="CJ53" s="62">
        <v>0.0</v>
      </c>
      <c r="CK53" s="62">
        <v>0.0</v>
      </c>
      <c r="CL53" s="62">
        <v>0.0</v>
      </c>
      <c r="CM53" s="62">
        <v>0.0</v>
      </c>
      <c r="CN53" s="62">
        <v>0.0</v>
      </c>
      <c r="CO53" s="62">
        <v>0.0</v>
      </c>
      <c r="CP53" s="62">
        <v>0.0</v>
      </c>
      <c r="CQ53" s="62">
        <v>0.0</v>
      </c>
      <c r="CR53" s="62">
        <v>1.8902224E7</v>
      </c>
      <c r="CS53" s="62">
        <v>2277.0</v>
      </c>
      <c r="CT53" s="62">
        <v>16603.0</v>
      </c>
      <c r="CU53" s="62">
        <v>1699663.0</v>
      </c>
      <c r="CV53" s="62">
        <v>1334.0</v>
      </c>
      <c r="CW53" s="62">
        <v>20983.0</v>
      </c>
      <c r="CX53" s="62">
        <v>4987.0</v>
      </c>
      <c r="CY53" s="62">
        <v>145.0</v>
      </c>
      <c r="CZ53" s="62">
        <v>0.0</v>
      </c>
      <c r="DA53" s="62">
        <v>0.0</v>
      </c>
      <c r="DB53" s="62">
        <v>295.0</v>
      </c>
      <c r="DC53" s="62">
        <v>0.0</v>
      </c>
      <c r="DD53" s="62">
        <v>0.0</v>
      </c>
      <c r="DE53" s="62">
        <v>0.0</v>
      </c>
      <c r="DF53" s="62">
        <v>0.0</v>
      </c>
      <c r="DG53" s="62">
        <v>0.0</v>
      </c>
      <c r="DH53" s="62">
        <v>0.0</v>
      </c>
      <c r="DI53" s="62">
        <v>7694503.0</v>
      </c>
      <c r="DJ53" s="62">
        <v>9232385.0</v>
      </c>
      <c r="DK53" s="62">
        <v>8885940.0</v>
      </c>
      <c r="DL53" s="62">
        <v>1539457.0</v>
      </c>
      <c r="DM53" s="62">
        <v>3986.0</v>
      </c>
      <c r="DN53" s="62">
        <v>119161.0</v>
      </c>
      <c r="DO53" s="62">
        <v>167936.0</v>
      </c>
      <c r="DP53" s="62">
        <v>16166.0</v>
      </c>
      <c r="DQ53" s="62">
        <v>64603.0</v>
      </c>
      <c r="DR53" s="62">
        <v>253831.0</v>
      </c>
      <c r="DS53" s="62">
        <v>0.0</v>
      </c>
      <c r="DT53" s="62">
        <v>0.0</v>
      </c>
      <c r="DU53" s="62">
        <v>0.0</v>
      </c>
      <c r="DV53" s="62">
        <v>0.0</v>
      </c>
      <c r="DW53" s="62">
        <v>0.0</v>
      </c>
      <c r="DX53" s="62">
        <v>0.0</v>
      </c>
      <c r="DY53" s="62">
        <v>0.0</v>
      </c>
      <c r="DZ53" s="62">
        <v>2266.0</v>
      </c>
      <c r="EA53" s="62">
        <v>0.0</v>
      </c>
      <c r="EB53" s="62">
        <v>0.0</v>
      </c>
      <c r="EC53" s="62">
        <v>0.0</v>
      </c>
      <c r="ED53" s="62">
        <v>0.0</v>
      </c>
      <c r="EE53" s="62">
        <v>0.0</v>
      </c>
      <c r="EF53" s="62">
        <v>0.0</v>
      </c>
      <c r="EG53" s="62">
        <v>0.0</v>
      </c>
      <c r="EH53" s="62">
        <v>0.0</v>
      </c>
      <c r="EI53" s="62">
        <v>1395.0</v>
      </c>
      <c r="EJ53" s="62">
        <v>3408934.0</v>
      </c>
      <c r="EK53" s="62">
        <v>0.0</v>
      </c>
      <c r="EL53" s="62">
        <v>0.0</v>
      </c>
      <c r="EM53" s="62">
        <v>0.0</v>
      </c>
      <c r="EN53" s="62">
        <v>0.0</v>
      </c>
      <c r="EO53" s="62">
        <v>0.0</v>
      </c>
      <c r="EP53" s="62">
        <v>0.0</v>
      </c>
      <c r="EQ53" s="62">
        <v>0.0</v>
      </c>
      <c r="ER53" s="62">
        <v>0.0</v>
      </c>
      <c r="ES53" s="62">
        <v>0.0</v>
      </c>
      <c r="ET53" s="62">
        <v>315.0</v>
      </c>
      <c r="EU53" s="62">
        <v>1.7382471E8</v>
      </c>
      <c r="EV53" s="62">
        <v>1.0174654E7</v>
      </c>
      <c r="EW53" s="62">
        <v>4091681.0</v>
      </c>
      <c r="EX53" s="62">
        <v>2.0103042E7</v>
      </c>
      <c r="EY53" s="62">
        <v>7.3245642E7</v>
      </c>
      <c r="EZ53" s="62">
        <v>0.0</v>
      </c>
      <c r="FA53" s="62">
        <v>0.0</v>
      </c>
      <c r="FB53" s="62">
        <v>0.0</v>
      </c>
      <c r="FC53" s="62">
        <v>0.0</v>
      </c>
      <c r="FD53" s="62">
        <v>0.0</v>
      </c>
      <c r="FE53" s="62">
        <v>0.0</v>
      </c>
      <c r="FF53" s="62">
        <v>0.0</v>
      </c>
      <c r="FG53" s="62">
        <v>0.0</v>
      </c>
      <c r="FH53" s="62">
        <v>0.0</v>
      </c>
      <c r="FI53" s="62">
        <v>0.0</v>
      </c>
      <c r="FJ53" s="62">
        <v>0.0</v>
      </c>
      <c r="FK53" s="62">
        <v>0.0</v>
      </c>
      <c r="FL53" s="62">
        <v>0.0</v>
      </c>
      <c r="FM53" s="62">
        <v>0.0</v>
      </c>
      <c r="FN53" s="62">
        <v>0.0</v>
      </c>
      <c r="FO53" s="62">
        <v>0.0</v>
      </c>
      <c r="FP53" s="62">
        <v>0.0</v>
      </c>
      <c r="FQ53" s="62">
        <v>0.0</v>
      </c>
      <c r="FR53" s="62">
        <v>0.0</v>
      </c>
      <c r="FS53" s="62">
        <v>0.0</v>
      </c>
      <c r="FT53" s="62">
        <v>0.0</v>
      </c>
      <c r="FU53" s="62">
        <v>0.0</v>
      </c>
      <c r="FV53" s="62">
        <v>7176.0</v>
      </c>
      <c r="FW53" s="62">
        <v>0.0</v>
      </c>
      <c r="FX53" s="62">
        <v>0.0</v>
      </c>
      <c r="FY53" s="62">
        <v>0.0</v>
      </c>
      <c r="FZ53" s="62">
        <v>0.0</v>
      </c>
      <c r="GA53" s="62">
        <v>132.0</v>
      </c>
      <c r="GB53" s="62">
        <v>0.0</v>
      </c>
      <c r="GC53" s="62">
        <v>0.0</v>
      </c>
      <c r="GD53" s="62">
        <v>0.0</v>
      </c>
      <c r="GE53" s="62">
        <v>0.0</v>
      </c>
      <c r="GF53" s="63">
        <v>3.35136201E8</v>
      </c>
      <c r="GG53" s="64">
        <v>565549.0</v>
      </c>
      <c r="GH53" s="65">
        <v>0.0</v>
      </c>
      <c r="GI53" s="64">
        <v>0.0</v>
      </c>
      <c r="GJ53" s="64">
        <v>0.0</v>
      </c>
      <c r="GK53" s="64">
        <v>4.0236949E7</v>
      </c>
      <c r="GL53" s="64">
        <v>1114983.0</v>
      </c>
      <c r="GM53" s="64">
        <v>0.0</v>
      </c>
      <c r="GN53" s="63">
        <v>4.1917481E7</v>
      </c>
      <c r="GO53" s="66">
        <v>3.77053682E8</v>
      </c>
      <c r="GP53" s="64">
        <v>5317468.0</v>
      </c>
      <c r="GQ53" s="64">
        <v>0.0</v>
      </c>
      <c r="GR53" s="65">
        <v>0.0</v>
      </c>
      <c r="GS53" s="63">
        <v>5317468.0</v>
      </c>
      <c r="GT53" s="67">
        <v>3.5557983E7</v>
      </c>
      <c r="GU53" s="67">
        <v>1.4132744E7</v>
      </c>
      <c r="GV53" s="67">
        <v>1.0077336E7</v>
      </c>
      <c r="GW53" s="63">
        <v>5.9768063E7</v>
      </c>
      <c r="GX53" s="63">
        <v>2047697.0</v>
      </c>
      <c r="GY53" s="63">
        <v>3.09920454E8</v>
      </c>
      <c r="GZ53" s="66">
        <v>3.77053682E8</v>
      </c>
    </row>
    <row r="54" ht="15.75" customHeight="1">
      <c r="A54" s="60">
        <v>49.0</v>
      </c>
      <c r="B54" s="61" t="s">
        <v>94</v>
      </c>
      <c r="C54" s="62">
        <v>0.0</v>
      </c>
      <c r="D54" s="62">
        <v>0.0</v>
      </c>
      <c r="E54" s="62">
        <v>0.0</v>
      </c>
      <c r="F54" s="62">
        <v>0.0</v>
      </c>
      <c r="G54" s="62">
        <v>0.0</v>
      </c>
      <c r="H54" s="62">
        <v>0.0</v>
      </c>
      <c r="I54" s="62">
        <v>0.0</v>
      </c>
      <c r="J54" s="62">
        <v>0.0</v>
      </c>
      <c r="K54" s="62">
        <v>0.0</v>
      </c>
      <c r="L54" s="62">
        <v>0.0</v>
      </c>
      <c r="M54" s="62">
        <v>0.0</v>
      </c>
      <c r="N54" s="62">
        <v>0.0</v>
      </c>
      <c r="O54" s="62">
        <v>0.0</v>
      </c>
      <c r="P54" s="62">
        <v>0.0</v>
      </c>
      <c r="Q54" s="62">
        <v>0.0</v>
      </c>
      <c r="R54" s="62">
        <v>0.0</v>
      </c>
      <c r="S54" s="62">
        <v>0.0</v>
      </c>
      <c r="T54" s="62">
        <v>0.0</v>
      </c>
      <c r="U54" s="62">
        <v>0.0</v>
      </c>
      <c r="V54" s="62">
        <v>0.0</v>
      </c>
      <c r="W54" s="62">
        <v>0.0</v>
      </c>
      <c r="X54" s="62">
        <v>0.0</v>
      </c>
      <c r="Y54" s="62">
        <v>0.0</v>
      </c>
      <c r="Z54" s="62">
        <v>0.0</v>
      </c>
      <c r="AA54" s="62">
        <v>0.0</v>
      </c>
      <c r="AB54" s="62">
        <v>0.0</v>
      </c>
      <c r="AC54" s="62">
        <v>0.0</v>
      </c>
      <c r="AD54" s="62">
        <v>0.0</v>
      </c>
      <c r="AE54" s="62">
        <v>0.0</v>
      </c>
      <c r="AF54" s="62">
        <v>0.0</v>
      </c>
      <c r="AG54" s="62">
        <v>0.0</v>
      </c>
      <c r="AH54" s="62">
        <v>0.0</v>
      </c>
      <c r="AI54" s="62">
        <v>0.0</v>
      </c>
      <c r="AJ54" s="62">
        <v>0.0</v>
      </c>
      <c r="AK54" s="62">
        <v>0.0</v>
      </c>
      <c r="AL54" s="62">
        <v>0.0</v>
      </c>
      <c r="AM54" s="62">
        <v>0.0</v>
      </c>
      <c r="AN54" s="62">
        <v>0.0</v>
      </c>
      <c r="AO54" s="62">
        <v>0.0</v>
      </c>
      <c r="AP54" s="62">
        <v>0.0</v>
      </c>
      <c r="AQ54" s="62">
        <v>0.0</v>
      </c>
      <c r="AR54" s="62">
        <v>0.0</v>
      </c>
      <c r="AS54" s="62">
        <v>0.0</v>
      </c>
      <c r="AT54" s="62">
        <v>0.0</v>
      </c>
      <c r="AU54" s="62">
        <v>0.0</v>
      </c>
      <c r="AV54" s="62">
        <v>0.0</v>
      </c>
      <c r="AW54" s="62">
        <v>0.0</v>
      </c>
      <c r="AX54" s="62">
        <v>0.0</v>
      </c>
      <c r="AY54" s="62">
        <v>117.0</v>
      </c>
      <c r="AZ54" s="62">
        <v>0.0</v>
      </c>
      <c r="BA54" s="62">
        <v>0.0</v>
      </c>
      <c r="BB54" s="62">
        <v>0.0</v>
      </c>
      <c r="BC54" s="62">
        <v>0.0</v>
      </c>
      <c r="BD54" s="62">
        <v>0.0</v>
      </c>
      <c r="BE54" s="62">
        <v>0.0</v>
      </c>
      <c r="BF54" s="62">
        <v>0.0</v>
      </c>
      <c r="BG54" s="62">
        <v>0.0</v>
      </c>
      <c r="BH54" s="62">
        <v>0.0</v>
      </c>
      <c r="BI54" s="62">
        <v>0.0</v>
      </c>
      <c r="BJ54" s="62">
        <v>0.0</v>
      </c>
      <c r="BK54" s="62">
        <v>0.0</v>
      </c>
      <c r="BL54" s="62">
        <v>0.0</v>
      </c>
      <c r="BM54" s="62">
        <v>0.0</v>
      </c>
      <c r="BN54" s="62">
        <v>0.0</v>
      </c>
      <c r="BO54" s="62">
        <v>0.0</v>
      </c>
      <c r="BP54" s="62">
        <v>0.0</v>
      </c>
      <c r="BQ54" s="62">
        <v>0.0</v>
      </c>
      <c r="BR54" s="62">
        <v>0.0</v>
      </c>
      <c r="BS54" s="62">
        <v>0.0</v>
      </c>
      <c r="BT54" s="62">
        <v>0.0</v>
      </c>
      <c r="BU54" s="62">
        <v>0.0</v>
      </c>
      <c r="BV54" s="62">
        <v>0.0</v>
      </c>
      <c r="BW54" s="62">
        <v>0.0</v>
      </c>
      <c r="BX54" s="62">
        <v>0.0</v>
      </c>
      <c r="BY54" s="62">
        <v>0.0</v>
      </c>
      <c r="BZ54" s="62">
        <v>0.0</v>
      </c>
      <c r="CA54" s="62">
        <v>0.0</v>
      </c>
      <c r="CB54" s="62">
        <v>0.0</v>
      </c>
      <c r="CC54" s="62">
        <v>0.0</v>
      </c>
      <c r="CD54" s="62">
        <v>0.0</v>
      </c>
      <c r="CE54" s="62">
        <v>0.0</v>
      </c>
      <c r="CF54" s="62">
        <v>0.0</v>
      </c>
      <c r="CG54" s="62">
        <v>0.0</v>
      </c>
      <c r="CH54" s="62">
        <v>0.0</v>
      </c>
      <c r="CI54" s="62">
        <v>0.0</v>
      </c>
      <c r="CJ54" s="62">
        <v>0.0</v>
      </c>
      <c r="CK54" s="62">
        <v>0.0</v>
      </c>
      <c r="CL54" s="62">
        <v>0.0</v>
      </c>
      <c r="CM54" s="62">
        <v>0.0</v>
      </c>
      <c r="CN54" s="62">
        <v>0.0</v>
      </c>
      <c r="CO54" s="62">
        <v>0.0</v>
      </c>
      <c r="CP54" s="62">
        <v>0.0</v>
      </c>
      <c r="CQ54" s="62">
        <v>0.0</v>
      </c>
      <c r="CR54" s="62">
        <v>17757.0</v>
      </c>
      <c r="CS54" s="62">
        <v>118805.0</v>
      </c>
      <c r="CT54" s="62">
        <v>1.3423765E7</v>
      </c>
      <c r="CU54" s="62">
        <v>1.6961462E7</v>
      </c>
      <c r="CV54" s="62">
        <v>3518492.0</v>
      </c>
      <c r="CW54" s="62">
        <v>130663.0</v>
      </c>
      <c r="CX54" s="62">
        <v>0.0</v>
      </c>
      <c r="CY54" s="62">
        <v>0.0</v>
      </c>
      <c r="CZ54" s="62">
        <v>0.0</v>
      </c>
      <c r="DA54" s="62">
        <v>806.0</v>
      </c>
      <c r="DB54" s="62">
        <v>1577155.0</v>
      </c>
      <c r="DC54" s="62">
        <v>278631.0</v>
      </c>
      <c r="DD54" s="62">
        <v>28.0</v>
      </c>
      <c r="DE54" s="62">
        <v>0.0</v>
      </c>
      <c r="DF54" s="62">
        <v>0.0</v>
      </c>
      <c r="DG54" s="62">
        <v>0.0</v>
      </c>
      <c r="DH54" s="62">
        <v>0.0</v>
      </c>
      <c r="DI54" s="62">
        <v>0.0</v>
      </c>
      <c r="DJ54" s="62">
        <v>282077.0</v>
      </c>
      <c r="DK54" s="62">
        <v>35777.0</v>
      </c>
      <c r="DL54" s="62">
        <v>736972.0</v>
      </c>
      <c r="DM54" s="62">
        <v>4764.0</v>
      </c>
      <c r="DN54" s="62">
        <v>15041.0</v>
      </c>
      <c r="DO54" s="62">
        <v>16140.0</v>
      </c>
      <c r="DP54" s="62">
        <v>244.0</v>
      </c>
      <c r="DQ54" s="62">
        <v>25497.0</v>
      </c>
      <c r="DR54" s="62">
        <v>10514.0</v>
      </c>
      <c r="DS54" s="62">
        <v>0.0</v>
      </c>
      <c r="DT54" s="62">
        <v>0.0</v>
      </c>
      <c r="DU54" s="62">
        <v>0.0</v>
      </c>
      <c r="DV54" s="62">
        <v>0.0</v>
      </c>
      <c r="DW54" s="62">
        <v>0.0</v>
      </c>
      <c r="DX54" s="62">
        <v>0.0</v>
      </c>
      <c r="DY54" s="62">
        <v>0.0</v>
      </c>
      <c r="DZ54" s="62">
        <v>0.0</v>
      </c>
      <c r="EA54" s="62">
        <v>0.0</v>
      </c>
      <c r="EB54" s="62">
        <v>0.0</v>
      </c>
      <c r="EC54" s="62">
        <v>0.0</v>
      </c>
      <c r="ED54" s="62">
        <v>0.0</v>
      </c>
      <c r="EE54" s="62">
        <v>0.0</v>
      </c>
      <c r="EF54" s="62">
        <v>0.0</v>
      </c>
      <c r="EG54" s="62">
        <v>0.0</v>
      </c>
      <c r="EH54" s="62">
        <v>0.0</v>
      </c>
      <c r="EI54" s="62">
        <v>0.0</v>
      </c>
      <c r="EJ54" s="62">
        <v>0.0</v>
      </c>
      <c r="EK54" s="62">
        <v>0.0</v>
      </c>
      <c r="EL54" s="62">
        <v>0.0</v>
      </c>
      <c r="EM54" s="62">
        <v>0.0</v>
      </c>
      <c r="EN54" s="62">
        <v>0.0</v>
      </c>
      <c r="EO54" s="62">
        <v>0.0</v>
      </c>
      <c r="EP54" s="62">
        <v>0.0</v>
      </c>
      <c r="EQ54" s="62">
        <v>0.0</v>
      </c>
      <c r="ER54" s="62">
        <v>0.0</v>
      </c>
      <c r="ES54" s="62">
        <v>0.0</v>
      </c>
      <c r="ET54" s="62">
        <v>0.0</v>
      </c>
      <c r="EU54" s="62">
        <v>0.0</v>
      </c>
      <c r="EV54" s="62">
        <v>0.0</v>
      </c>
      <c r="EW54" s="62">
        <v>0.0</v>
      </c>
      <c r="EX54" s="62">
        <v>0.0</v>
      </c>
      <c r="EY54" s="62">
        <v>0.0</v>
      </c>
      <c r="EZ54" s="62">
        <v>0.0</v>
      </c>
      <c r="FA54" s="62">
        <v>0.0</v>
      </c>
      <c r="FB54" s="62">
        <v>0.0</v>
      </c>
      <c r="FC54" s="62">
        <v>0.0</v>
      </c>
      <c r="FD54" s="62">
        <v>0.0</v>
      </c>
      <c r="FE54" s="62">
        <v>0.0</v>
      </c>
      <c r="FF54" s="62">
        <v>0.0</v>
      </c>
      <c r="FG54" s="62">
        <v>0.0</v>
      </c>
      <c r="FH54" s="62">
        <v>0.0</v>
      </c>
      <c r="FI54" s="62">
        <v>0.0</v>
      </c>
      <c r="FJ54" s="62">
        <v>0.0</v>
      </c>
      <c r="FK54" s="62">
        <v>0.0</v>
      </c>
      <c r="FL54" s="62">
        <v>0.0</v>
      </c>
      <c r="FM54" s="62">
        <v>0.0</v>
      </c>
      <c r="FN54" s="62">
        <v>0.0</v>
      </c>
      <c r="FO54" s="62">
        <v>0.0</v>
      </c>
      <c r="FP54" s="62">
        <v>0.0</v>
      </c>
      <c r="FQ54" s="62">
        <v>0.0</v>
      </c>
      <c r="FR54" s="62">
        <v>0.0</v>
      </c>
      <c r="FS54" s="62">
        <v>0.0</v>
      </c>
      <c r="FT54" s="62">
        <v>0.0</v>
      </c>
      <c r="FU54" s="62">
        <v>0.0</v>
      </c>
      <c r="FV54" s="62">
        <v>0.0</v>
      </c>
      <c r="FW54" s="62">
        <v>0.0</v>
      </c>
      <c r="FX54" s="62">
        <v>0.0</v>
      </c>
      <c r="FY54" s="62">
        <v>0.0</v>
      </c>
      <c r="FZ54" s="62">
        <v>0.0</v>
      </c>
      <c r="GA54" s="62">
        <v>0.0</v>
      </c>
      <c r="GB54" s="62">
        <v>0.0</v>
      </c>
      <c r="GC54" s="62">
        <v>0.0</v>
      </c>
      <c r="GD54" s="62">
        <v>0.0</v>
      </c>
      <c r="GE54" s="62">
        <v>0.0</v>
      </c>
      <c r="GF54" s="63">
        <v>3.7154707E7</v>
      </c>
      <c r="GG54" s="64">
        <v>0.0</v>
      </c>
      <c r="GH54" s="65">
        <v>0.0</v>
      </c>
      <c r="GI54" s="64">
        <v>0.0</v>
      </c>
      <c r="GJ54" s="64">
        <v>0.0</v>
      </c>
      <c r="GK54" s="64">
        <v>300464.0</v>
      </c>
      <c r="GL54" s="64">
        <v>113252.0</v>
      </c>
      <c r="GM54" s="64">
        <v>0.0</v>
      </c>
      <c r="GN54" s="63">
        <v>413716.0</v>
      </c>
      <c r="GO54" s="66">
        <v>3.7568423E7</v>
      </c>
      <c r="GP54" s="64">
        <v>3774451.0</v>
      </c>
      <c r="GQ54" s="64">
        <v>0.0</v>
      </c>
      <c r="GR54" s="65">
        <v>0.0</v>
      </c>
      <c r="GS54" s="63">
        <v>3774451.0</v>
      </c>
      <c r="GT54" s="67">
        <v>1427979.0</v>
      </c>
      <c r="GU54" s="67">
        <v>0.0</v>
      </c>
      <c r="GV54" s="67">
        <v>869460.0</v>
      </c>
      <c r="GW54" s="63">
        <v>2297439.0</v>
      </c>
      <c r="GX54" s="63">
        <v>376756.0</v>
      </c>
      <c r="GY54" s="63">
        <v>3.1119777E7</v>
      </c>
      <c r="GZ54" s="66">
        <v>3.7568423E7</v>
      </c>
    </row>
    <row r="55" ht="15.75" customHeight="1">
      <c r="A55" s="68">
        <v>50.0</v>
      </c>
      <c r="B55" s="69" t="s">
        <v>95</v>
      </c>
      <c r="C55" s="70">
        <v>0.0</v>
      </c>
      <c r="D55" s="70">
        <v>0.0</v>
      </c>
      <c r="E55" s="70">
        <v>0.0</v>
      </c>
      <c r="F55" s="70">
        <v>0.0</v>
      </c>
      <c r="G55" s="70">
        <v>0.0</v>
      </c>
      <c r="H55" s="70">
        <v>0.0</v>
      </c>
      <c r="I55" s="70">
        <v>0.0</v>
      </c>
      <c r="J55" s="70">
        <v>0.0</v>
      </c>
      <c r="K55" s="70">
        <v>0.0</v>
      </c>
      <c r="L55" s="70">
        <v>0.0</v>
      </c>
      <c r="M55" s="70">
        <v>0.0</v>
      </c>
      <c r="N55" s="70">
        <v>0.0</v>
      </c>
      <c r="O55" s="70">
        <v>0.0</v>
      </c>
      <c r="P55" s="70">
        <v>0.0</v>
      </c>
      <c r="Q55" s="70">
        <v>0.0</v>
      </c>
      <c r="R55" s="70">
        <v>0.0</v>
      </c>
      <c r="S55" s="70">
        <v>0.0</v>
      </c>
      <c r="T55" s="70">
        <v>0.0</v>
      </c>
      <c r="U55" s="70">
        <v>0.0</v>
      </c>
      <c r="V55" s="70">
        <v>0.0</v>
      </c>
      <c r="W55" s="70">
        <v>0.0</v>
      </c>
      <c r="X55" s="70">
        <v>0.0</v>
      </c>
      <c r="Y55" s="70">
        <v>0.0</v>
      </c>
      <c r="Z55" s="70">
        <v>0.0</v>
      </c>
      <c r="AA55" s="70">
        <v>0.0</v>
      </c>
      <c r="AB55" s="70">
        <v>0.0</v>
      </c>
      <c r="AC55" s="70">
        <v>0.0</v>
      </c>
      <c r="AD55" s="70">
        <v>0.0</v>
      </c>
      <c r="AE55" s="70">
        <v>0.0</v>
      </c>
      <c r="AF55" s="70">
        <v>0.0</v>
      </c>
      <c r="AG55" s="70">
        <v>0.0</v>
      </c>
      <c r="AH55" s="70">
        <v>0.0</v>
      </c>
      <c r="AI55" s="70">
        <v>53323.0</v>
      </c>
      <c r="AJ55" s="70">
        <v>0.0</v>
      </c>
      <c r="AK55" s="70">
        <v>0.0</v>
      </c>
      <c r="AL55" s="70">
        <v>0.0</v>
      </c>
      <c r="AM55" s="70">
        <v>0.0</v>
      </c>
      <c r="AN55" s="70">
        <v>0.0</v>
      </c>
      <c r="AO55" s="70">
        <v>0.0</v>
      </c>
      <c r="AP55" s="70">
        <v>0.0</v>
      </c>
      <c r="AQ55" s="70">
        <v>0.0</v>
      </c>
      <c r="AR55" s="70">
        <v>0.0</v>
      </c>
      <c r="AS55" s="70">
        <v>0.0</v>
      </c>
      <c r="AT55" s="70">
        <v>0.0</v>
      </c>
      <c r="AU55" s="70">
        <v>0.0</v>
      </c>
      <c r="AV55" s="70">
        <v>0.0</v>
      </c>
      <c r="AW55" s="70">
        <v>0.0</v>
      </c>
      <c r="AX55" s="70">
        <v>0.0</v>
      </c>
      <c r="AY55" s="70">
        <v>0.0</v>
      </c>
      <c r="AZ55" s="70">
        <v>55199.0</v>
      </c>
      <c r="BA55" s="70">
        <v>0.0</v>
      </c>
      <c r="BB55" s="70">
        <v>0.0</v>
      </c>
      <c r="BC55" s="70">
        <v>0.0</v>
      </c>
      <c r="BD55" s="70">
        <v>0.0</v>
      </c>
      <c r="BE55" s="70">
        <v>1785102.0</v>
      </c>
      <c r="BF55" s="70">
        <v>238891.0</v>
      </c>
      <c r="BG55" s="70">
        <v>0.0</v>
      </c>
      <c r="BH55" s="70">
        <v>363.0</v>
      </c>
      <c r="BI55" s="70">
        <v>813.0</v>
      </c>
      <c r="BJ55" s="70">
        <v>0.0</v>
      </c>
      <c r="BK55" s="70">
        <v>0.0</v>
      </c>
      <c r="BL55" s="70">
        <v>0.0</v>
      </c>
      <c r="BM55" s="70">
        <v>0.0</v>
      </c>
      <c r="BN55" s="70">
        <v>0.0</v>
      </c>
      <c r="BO55" s="70">
        <v>0.0</v>
      </c>
      <c r="BP55" s="70">
        <v>0.0</v>
      </c>
      <c r="BQ55" s="70">
        <v>0.0</v>
      </c>
      <c r="BR55" s="70">
        <v>0.0</v>
      </c>
      <c r="BS55" s="70">
        <v>0.0</v>
      </c>
      <c r="BT55" s="70">
        <v>0.0</v>
      </c>
      <c r="BU55" s="70">
        <v>0.0</v>
      </c>
      <c r="BV55" s="70">
        <v>0.0</v>
      </c>
      <c r="BW55" s="70">
        <v>0.0</v>
      </c>
      <c r="BX55" s="70">
        <v>0.0</v>
      </c>
      <c r="BY55" s="70">
        <v>0.0</v>
      </c>
      <c r="BZ55" s="70">
        <v>0.0</v>
      </c>
      <c r="CA55" s="70">
        <v>0.0</v>
      </c>
      <c r="CB55" s="70">
        <v>0.0</v>
      </c>
      <c r="CC55" s="70">
        <v>0.0</v>
      </c>
      <c r="CD55" s="70">
        <v>0.0</v>
      </c>
      <c r="CE55" s="70">
        <v>0.0</v>
      </c>
      <c r="CF55" s="70">
        <v>0.0</v>
      </c>
      <c r="CG55" s="70">
        <v>0.0</v>
      </c>
      <c r="CH55" s="70">
        <v>0.0</v>
      </c>
      <c r="CI55" s="70">
        <v>0.0</v>
      </c>
      <c r="CJ55" s="70">
        <v>0.0</v>
      </c>
      <c r="CK55" s="70">
        <v>0.0</v>
      </c>
      <c r="CL55" s="70">
        <v>0.0</v>
      </c>
      <c r="CM55" s="70">
        <v>0.0</v>
      </c>
      <c r="CN55" s="70">
        <v>34347.0</v>
      </c>
      <c r="CO55" s="70">
        <v>0.0</v>
      </c>
      <c r="CP55" s="70">
        <v>0.0</v>
      </c>
      <c r="CQ55" s="70">
        <v>0.0</v>
      </c>
      <c r="CR55" s="70">
        <v>0.0</v>
      </c>
      <c r="CS55" s="70">
        <v>0.0</v>
      </c>
      <c r="CT55" s="70">
        <v>2172254.0</v>
      </c>
      <c r="CU55" s="70">
        <v>2385.0</v>
      </c>
      <c r="CV55" s="70">
        <v>0.0</v>
      </c>
      <c r="CW55" s="70">
        <v>0.0</v>
      </c>
      <c r="CX55" s="70">
        <v>0.0</v>
      </c>
      <c r="CY55" s="70">
        <v>0.0</v>
      </c>
      <c r="CZ55" s="70">
        <v>0.0</v>
      </c>
      <c r="DA55" s="70">
        <v>184898.0</v>
      </c>
      <c r="DB55" s="70">
        <v>0.0</v>
      </c>
      <c r="DC55" s="70">
        <v>0.0</v>
      </c>
      <c r="DD55" s="70">
        <v>74997.0</v>
      </c>
      <c r="DE55" s="70">
        <v>0.0</v>
      </c>
      <c r="DF55" s="70">
        <v>0.0</v>
      </c>
      <c r="DG55" s="70">
        <v>0.0</v>
      </c>
      <c r="DH55" s="70">
        <v>0.0</v>
      </c>
      <c r="DI55" s="70">
        <v>0.0</v>
      </c>
      <c r="DJ55" s="70">
        <v>0.0</v>
      </c>
      <c r="DK55" s="70">
        <v>0.0</v>
      </c>
      <c r="DL55" s="70">
        <v>0.0</v>
      </c>
      <c r="DM55" s="70">
        <v>0.0</v>
      </c>
      <c r="DN55" s="70">
        <v>0.0</v>
      </c>
      <c r="DO55" s="70">
        <v>0.0</v>
      </c>
      <c r="DP55" s="70">
        <v>0.0</v>
      </c>
      <c r="DQ55" s="70">
        <v>0.0</v>
      </c>
      <c r="DR55" s="70">
        <v>0.0</v>
      </c>
      <c r="DS55" s="70">
        <v>0.0</v>
      </c>
      <c r="DT55" s="70">
        <v>0.0</v>
      </c>
      <c r="DU55" s="70">
        <v>0.0</v>
      </c>
      <c r="DV55" s="70">
        <v>0.0</v>
      </c>
      <c r="DW55" s="70">
        <v>0.0</v>
      </c>
      <c r="DX55" s="70">
        <v>0.0</v>
      </c>
      <c r="DY55" s="70">
        <v>0.0</v>
      </c>
      <c r="DZ55" s="70">
        <v>0.0</v>
      </c>
      <c r="EA55" s="70">
        <v>0.0</v>
      </c>
      <c r="EB55" s="70">
        <v>0.0</v>
      </c>
      <c r="EC55" s="70">
        <v>0.0</v>
      </c>
      <c r="ED55" s="70">
        <v>0.0</v>
      </c>
      <c r="EE55" s="70">
        <v>0.0</v>
      </c>
      <c r="EF55" s="70">
        <v>0.0</v>
      </c>
      <c r="EG55" s="70">
        <v>0.0</v>
      </c>
      <c r="EH55" s="70">
        <v>0.0</v>
      </c>
      <c r="EI55" s="70">
        <v>0.0</v>
      </c>
      <c r="EJ55" s="70">
        <v>0.0</v>
      </c>
      <c r="EK55" s="70">
        <v>0.0</v>
      </c>
      <c r="EL55" s="70">
        <v>0.0</v>
      </c>
      <c r="EM55" s="70">
        <v>0.0</v>
      </c>
      <c r="EN55" s="70">
        <v>0.0</v>
      </c>
      <c r="EO55" s="70">
        <v>0.0</v>
      </c>
      <c r="EP55" s="70">
        <v>0.0</v>
      </c>
      <c r="EQ55" s="70">
        <v>0.0</v>
      </c>
      <c r="ER55" s="70">
        <v>0.0</v>
      </c>
      <c r="ES55" s="70">
        <v>0.0</v>
      </c>
      <c r="ET55" s="70">
        <v>0.0</v>
      </c>
      <c r="EU55" s="70">
        <v>0.0</v>
      </c>
      <c r="EV55" s="70">
        <v>0.0</v>
      </c>
      <c r="EW55" s="70">
        <v>0.0</v>
      </c>
      <c r="EX55" s="70">
        <v>0.0</v>
      </c>
      <c r="EY55" s="70">
        <v>0.0</v>
      </c>
      <c r="EZ55" s="70">
        <v>0.0</v>
      </c>
      <c r="FA55" s="70">
        <v>0.0</v>
      </c>
      <c r="FB55" s="70">
        <v>60310.0</v>
      </c>
      <c r="FC55" s="70">
        <v>0.0</v>
      </c>
      <c r="FD55" s="70">
        <v>0.0</v>
      </c>
      <c r="FE55" s="70">
        <v>0.0</v>
      </c>
      <c r="FF55" s="70">
        <v>0.0</v>
      </c>
      <c r="FG55" s="70">
        <v>0.0</v>
      </c>
      <c r="FH55" s="70">
        <v>0.0</v>
      </c>
      <c r="FI55" s="70">
        <v>0.0</v>
      </c>
      <c r="FJ55" s="70">
        <v>0.0</v>
      </c>
      <c r="FK55" s="70">
        <v>0.0</v>
      </c>
      <c r="FL55" s="70">
        <v>0.0</v>
      </c>
      <c r="FM55" s="70">
        <v>0.0</v>
      </c>
      <c r="FN55" s="70">
        <v>0.0</v>
      </c>
      <c r="FO55" s="70">
        <v>0.0</v>
      </c>
      <c r="FP55" s="70">
        <v>0.0</v>
      </c>
      <c r="FQ55" s="70">
        <v>0.0</v>
      </c>
      <c r="FR55" s="70">
        <v>0.0</v>
      </c>
      <c r="FS55" s="70">
        <v>0.0</v>
      </c>
      <c r="FT55" s="70">
        <v>0.0</v>
      </c>
      <c r="FU55" s="70">
        <v>0.0</v>
      </c>
      <c r="FV55" s="70">
        <v>0.0</v>
      </c>
      <c r="FW55" s="70">
        <v>3731.0</v>
      </c>
      <c r="FX55" s="70">
        <v>0.0</v>
      </c>
      <c r="FY55" s="70">
        <v>19969.0</v>
      </c>
      <c r="FZ55" s="70">
        <v>0.0</v>
      </c>
      <c r="GA55" s="70">
        <v>370.0</v>
      </c>
      <c r="GB55" s="70">
        <v>1577.0</v>
      </c>
      <c r="GC55" s="70">
        <v>0.0</v>
      </c>
      <c r="GD55" s="70">
        <v>0.0</v>
      </c>
      <c r="GE55" s="70">
        <v>0.0</v>
      </c>
      <c r="GF55" s="71">
        <v>4688529.0</v>
      </c>
      <c r="GG55" s="72">
        <v>0.0</v>
      </c>
      <c r="GH55" s="73">
        <v>0.0</v>
      </c>
      <c r="GI55" s="72">
        <v>0.0</v>
      </c>
      <c r="GJ55" s="72">
        <v>0.0</v>
      </c>
      <c r="GK55" s="72">
        <v>201.0</v>
      </c>
      <c r="GL55" s="72">
        <v>365.0</v>
      </c>
      <c r="GM55" s="72">
        <v>0.0</v>
      </c>
      <c r="GN55" s="71">
        <v>566.0</v>
      </c>
      <c r="GO55" s="74">
        <v>4689095.0</v>
      </c>
      <c r="GP55" s="72">
        <v>1456122.0</v>
      </c>
      <c r="GQ55" s="72">
        <v>0.0</v>
      </c>
      <c r="GR55" s="73">
        <v>0.0</v>
      </c>
      <c r="GS55" s="71">
        <v>1456122.0</v>
      </c>
      <c r="GT55" s="75">
        <v>256152.0</v>
      </c>
      <c r="GU55" s="75">
        <v>0.0</v>
      </c>
      <c r="GV55" s="75">
        <v>210295.0</v>
      </c>
      <c r="GW55" s="71">
        <v>466447.0</v>
      </c>
      <c r="GX55" s="71">
        <v>122556.0</v>
      </c>
      <c r="GY55" s="71">
        <v>2643970.0</v>
      </c>
      <c r="GZ55" s="74">
        <v>4689095.0</v>
      </c>
    </row>
    <row r="56" ht="15.75" customHeight="1">
      <c r="A56" s="52">
        <v>51.0</v>
      </c>
      <c r="B56" s="53" t="s">
        <v>96</v>
      </c>
      <c r="C56" s="54">
        <v>0.0</v>
      </c>
      <c r="D56" s="54">
        <v>0.0</v>
      </c>
      <c r="E56" s="54">
        <v>0.0</v>
      </c>
      <c r="F56" s="54">
        <v>0.0</v>
      </c>
      <c r="G56" s="54">
        <v>0.0</v>
      </c>
      <c r="H56" s="54">
        <v>0.0</v>
      </c>
      <c r="I56" s="54">
        <v>0.0</v>
      </c>
      <c r="J56" s="54">
        <v>0.0</v>
      </c>
      <c r="K56" s="54">
        <v>0.0</v>
      </c>
      <c r="L56" s="54">
        <v>0.0</v>
      </c>
      <c r="M56" s="54">
        <v>0.0</v>
      </c>
      <c r="N56" s="54">
        <v>0.0</v>
      </c>
      <c r="O56" s="54">
        <v>0.0</v>
      </c>
      <c r="P56" s="54">
        <v>0.0</v>
      </c>
      <c r="Q56" s="54">
        <v>0.0</v>
      </c>
      <c r="R56" s="54">
        <v>0.0</v>
      </c>
      <c r="S56" s="54">
        <v>0.0</v>
      </c>
      <c r="T56" s="54">
        <v>0.0</v>
      </c>
      <c r="U56" s="54">
        <v>0.0</v>
      </c>
      <c r="V56" s="54">
        <v>0.0</v>
      </c>
      <c r="W56" s="54">
        <v>0.0</v>
      </c>
      <c r="X56" s="54">
        <v>0.0</v>
      </c>
      <c r="Y56" s="54">
        <v>0.0</v>
      </c>
      <c r="Z56" s="54">
        <v>0.0</v>
      </c>
      <c r="AA56" s="54">
        <v>0.0</v>
      </c>
      <c r="AB56" s="54">
        <v>0.0</v>
      </c>
      <c r="AC56" s="54">
        <v>0.0</v>
      </c>
      <c r="AD56" s="54">
        <v>0.0</v>
      </c>
      <c r="AE56" s="54">
        <v>0.0</v>
      </c>
      <c r="AF56" s="54">
        <v>0.0</v>
      </c>
      <c r="AG56" s="54">
        <v>0.0</v>
      </c>
      <c r="AH56" s="54">
        <v>0.0</v>
      </c>
      <c r="AI56" s="54">
        <v>0.0</v>
      </c>
      <c r="AJ56" s="54">
        <v>0.0</v>
      </c>
      <c r="AK56" s="54">
        <v>0.0</v>
      </c>
      <c r="AL56" s="54">
        <v>0.0</v>
      </c>
      <c r="AM56" s="54">
        <v>0.0</v>
      </c>
      <c r="AN56" s="54">
        <v>1.8983097E7</v>
      </c>
      <c r="AO56" s="54">
        <v>1.5501223E7</v>
      </c>
      <c r="AP56" s="54">
        <v>0.0</v>
      </c>
      <c r="AQ56" s="54">
        <v>0.0</v>
      </c>
      <c r="AR56" s="54">
        <v>0.0</v>
      </c>
      <c r="AS56" s="54">
        <v>0.0</v>
      </c>
      <c r="AT56" s="54">
        <v>0.0</v>
      </c>
      <c r="AU56" s="54">
        <v>0.0</v>
      </c>
      <c r="AV56" s="54">
        <v>0.0</v>
      </c>
      <c r="AW56" s="54">
        <v>0.0</v>
      </c>
      <c r="AX56" s="54">
        <v>0.0</v>
      </c>
      <c r="AY56" s="54">
        <v>0.0</v>
      </c>
      <c r="AZ56" s="54">
        <v>0.0</v>
      </c>
      <c r="BA56" s="54">
        <v>176910.0</v>
      </c>
      <c r="BB56" s="54">
        <v>0.0</v>
      </c>
      <c r="BC56" s="54">
        <v>0.0</v>
      </c>
      <c r="BD56" s="54">
        <v>0.0</v>
      </c>
      <c r="BE56" s="54">
        <v>0.0</v>
      </c>
      <c r="BF56" s="54">
        <v>0.0</v>
      </c>
      <c r="BG56" s="54">
        <v>0.0</v>
      </c>
      <c r="BH56" s="54">
        <v>0.0</v>
      </c>
      <c r="BI56" s="54">
        <v>0.0</v>
      </c>
      <c r="BJ56" s="54">
        <v>0.0</v>
      </c>
      <c r="BK56" s="54">
        <v>0.0</v>
      </c>
      <c r="BL56" s="54">
        <v>0.0</v>
      </c>
      <c r="BM56" s="54">
        <v>0.0</v>
      </c>
      <c r="BN56" s="54">
        <v>0.0</v>
      </c>
      <c r="BO56" s="54">
        <v>0.0</v>
      </c>
      <c r="BP56" s="54">
        <v>0.0</v>
      </c>
      <c r="BQ56" s="54">
        <v>0.0</v>
      </c>
      <c r="BR56" s="54">
        <v>0.0</v>
      </c>
      <c r="BS56" s="54">
        <v>0.0</v>
      </c>
      <c r="BT56" s="54">
        <v>0.0</v>
      </c>
      <c r="BU56" s="54">
        <v>0.0</v>
      </c>
      <c r="BV56" s="54">
        <v>0.0</v>
      </c>
      <c r="BW56" s="54">
        <v>0.0</v>
      </c>
      <c r="BX56" s="54">
        <v>0.0</v>
      </c>
      <c r="BY56" s="54">
        <v>0.0</v>
      </c>
      <c r="BZ56" s="54">
        <v>0.0</v>
      </c>
      <c r="CA56" s="54">
        <v>0.0</v>
      </c>
      <c r="CB56" s="54">
        <v>0.0</v>
      </c>
      <c r="CC56" s="54">
        <v>0.0</v>
      </c>
      <c r="CD56" s="54">
        <v>0.0</v>
      </c>
      <c r="CE56" s="54">
        <v>0.0</v>
      </c>
      <c r="CF56" s="54">
        <v>0.0</v>
      </c>
      <c r="CG56" s="54">
        <v>0.0</v>
      </c>
      <c r="CH56" s="54">
        <v>0.0</v>
      </c>
      <c r="CI56" s="54">
        <v>0.0</v>
      </c>
      <c r="CJ56" s="54">
        <v>0.0</v>
      </c>
      <c r="CK56" s="54">
        <v>0.0</v>
      </c>
      <c r="CL56" s="54">
        <v>0.0</v>
      </c>
      <c r="CM56" s="54">
        <v>0.0</v>
      </c>
      <c r="CN56" s="54">
        <v>0.0</v>
      </c>
      <c r="CO56" s="54">
        <v>0.0</v>
      </c>
      <c r="CP56" s="54">
        <v>0.0</v>
      </c>
      <c r="CQ56" s="54">
        <v>0.0</v>
      </c>
      <c r="CR56" s="54">
        <v>0.0</v>
      </c>
      <c r="CS56" s="54">
        <v>0.0</v>
      </c>
      <c r="CT56" s="54">
        <v>0.0</v>
      </c>
      <c r="CU56" s="54">
        <v>0.0</v>
      </c>
      <c r="CV56" s="54">
        <v>0.0</v>
      </c>
      <c r="CW56" s="54">
        <v>0.0</v>
      </c>
      <c r="CX56" s="54">
        <v>0.0</v>
      </c>
      <c r="CY56" s="54">
        <v>0.0</v>
      </c>
      <c r="CZ56" s="54">
        <v>0.0</v>
      </c>
      <c r="DA56" s="54">
        <v>0.0</v>
      </c>
      <c r="DB56" s="54">
        <v>0.0</v>
      </c>
      <c r="DC56" s="54">
        <v>0.0</v>
      </c>
      <c r="DD56" s="54">
        <v>0.0</v>
      </c>
      <c r="DE56" s="54">
        <v>0.0</v>
      </c>
      <c r="DF56" s="54">
        <v>0.0</v>
      </c>
      <c r="DG56" s="54">
        <v>0.0</v>
      </c>
      <c r="DH56" s="54">
        <v>0.0</v>
      </c>
      <c r="DI56" s="54">
        <v>0.0</v>
      </c>
      <c r="DJ56" s="54">
        <v>0.0</v>
      </c>
      <c r="DK56" s="54">
        <v>0.0</v>
      </c>
      <c r="DL56" s="54">
        <v>0.0</v>
      </c>
      <c r="DM56" s="54">
        <v>0.0</v>
      </c>
      <c r="DN56" s="54">
        <v>0.0</v>
      </c>
      <c r="DO56" s="54">
        <v>0.0</v>
      </c>
      <c r="DP56" s="54">
        <v>0.0</v>
      </c>
      <c r="DQ56" s="54">
        <v>0.0</v>
      </c>
      <c r="DR56" s="54">
        <v>0.0</v>
      </c>
      <c r="DS56" s="54">
        <v>0.0</v>
      </c>
      <c r="DT56" s="54">
        <v>0.0</v>
      </c>
      <c r="DU56" s="54">
        <v>0.0</v>
      </c>
      <c r="DV56" s="54">
        <v>0.0</v>
      </c>
      <c r="DW56" s="54">
        <v>0.0</v>
      </c>
      <c r="DX56" s="54">
        <v>0.0</v>
      </c>
      <c r="DY56" s="54">
        <v>0.0</v>
      </c>
      <c r="DZ56" s="54">
        <v>0.0</v>
      </c>
      <c r="EA56" s="54">
        <v>0.0</v>
      </c>
      <c r="EB56" s="54">
        <v>0.0</v>
      </c>
      <c r="EC56" s="54">
        <v>0.0</v>
      </c>
      <c r="ED56" s="54">
        <v>0.0</v>
      </c>
      <c r="EE56" s="54">
        <v>0.0</v>
      </c>
      <c r="EF56" s="54">
        <v>0.0</v>
      </c>
      <c r="EG56" s="54">
        <v>0.0</v>
      </c>
      <c r="EH56" s="54">
        <v>0.0</v>
      </c>
      <c r="EI56" s="54">
        <v>0.0</v>
      </c>
      <c r="EJ56" s="54">
        <v>0.0</v>
      </c>
      <c r="EK56" s="54">
        <v>0.0</v>
      </c>
      <c r="EL56" s="54">
        <v>0.0</v>
      </c>
      <c r="EM56" s="54">
        <v>0.0</v>
      </c>
      <c r="EN56" s="54">
        <v>0.0</v>
      </c>
      <c r="EO56" s="54">
        <v>0.0</v>
      </c>
      <c r="EP56" s="54">
        <v>0.0</v>
      </c>
      <c r="EQ56" s="54">
        <v>0.0</v>
      </c>
      <c r="ER56" s="54">
        <v>0.0</v>
      </c>
      <c r="ES56" s="54">
        <v>0.0</v>
      </c>
      <c r="ET56" s="54">
        <v>0.0</v>
      </c>
      <c r="EU56" s="54">
        <v>0.0</v>
      </c>
      <c r="EV56" s="54">
        <v>0.0</v>
      </c>
      <c r="EW56" s="54">
        <v>0.0</v>
      </c>
      <c r="EX56" s="54">
        <v>0.0</v>
      </c>
      <c r="EY56" s="54">
        <v>0.0</v>
      </c>
      <c r="EZ56" s="54">
        <v>0.0</v>
      </c>
      <c r="FA56" s="54">
        <v>0.0</v>
      </c>
      <c r="FB56" s="54">
        <v>0.0</v>
      </c>
      <c r="FC56" s="54">
        <v>0.0</v>
      </c>
      <c r="FD56" s="54">
        <v>0.0</v>
      </c>
      <c r="FE56" s="54">
        <v>0.0</v>
      </c>
      <c r="FF56" s="54">
        <v>0.0</v>
      </c>
      <c r="FG56" s="54">
        <v>0.0</v>
      </c>
      <c r="FH56" s="54">
        <v>0.0</v>
      </c>
      <c r="FI56" s="54">
        <v>0.0</v>
      </c>
      <c r="FJ56" s="54">
        <v>0.0</v>
      </c>
      <c r="FK56" s="54">
        <v>0.0</v>
      </c>
      <c r="FL56" s="54">
        <v>0.0</v>
      </c>
      <c r="FM56" s="54">
        <v>0.0</v>
      </c>
      <c r="FN56" s="54">
        <v>0.0</v>
      </c>
      <c r="FO56" s="54">
        <v>0.0</v>
      </c>
      <c r="FP56" s="54">
        <v>0.0</v>
      </c>
      <c r="FQ56" s="54">
        <v>0.0</v>
      </c>
      <c r="FR56" s="54">
        <v>0.0</v>
      </c>
      <c r="FS56" s="54">
        <v>0.0</v>
      </c>
      <c r="FT56" s="54">
        <v>0.0</v>
      </c>
      <c r="FU56" s="54">
        <v>0.0</v>
      </c>
      <c r="FV56" s="54">
        <v>0.0</v>
      </c>
      <c r="FW56" s="54">
        <v>0.0</v>
      </c>
      <c r="FX56" s="54">
        <v>0.0</v>
      </c>
      <c r="FY56" s="54">
        <v>0.0</v>
      </c>
      <c r="FZ56" s="54">
        <v>0.0</v>
      </c>
      <c r="GA56" s="54">
        <v>0.0</v>
      </c>
      <c r="GB56" s="54">
        <v>0.0</v>
      </c>
      <c r="GC56" s="54">
        <v>0.0</v>
      </c>
      <c r="GD56" s="54">
        <v>0.0</v>
      </c>
      <c r="GE56" s="54">
        <v>0.0</v>
      </c>
      <c r="GF56" s="55">
        <v>3.466123E7</v>
      </c>
      <c r="GG56" s="56">
        <v>0.0</v>
      </c>
      <c r="GH56" s="57">
        <v>0.0</v>
      </c>
      <c r="GI56" s="56">
        <v>0.0</v>
      </c>
      <c r="GJ56" s="56">
        <v>8231844.0</v>
      </c>
      <c r="GK56" s="56">
        <v>0.0</v>
      </c>
      <c r="GL56" s="56">
        <v>0.0</v>
      </c>
      <c r="GM56" s="56">
        <v>0.0</v>
      </c>
      <c r="GN56" s="55">
        <v>8231844.0</v>
      </c>
      <c r="GO56" s="58">
        <v>4.2893074E7</v>
      </c>
      <c r="GP56" s="56">
        <v>0.0</v>
      </c>
      <c r="GQ56" s="56">
        <v>0.0</v>
      </c>
      <c r="GR56" s="57">
        <v>0.0</v>
      </c>
      <c r="GS56" s="55">
        <v>0.0</v>
      </c>
      <c r="GT56" s="59">
        <v>0.0</v>
      </c>
      <c r="GU56" s="59">
        <v>0.0</v>
      </c>
      <c r="GV56" s="59">
        <v>0.0</v>
      </c>
      <c r="GW56" s="55">
        <v>0.0</v>
      </c>
      <c r="GX56" s="55">
        <v>334765.0</v>
      </c>
      <c r="GY56" s="55">
        <v>4.2558309E7</v>
      </c>
      <c r="GZ56" s="58">
        <v>4.2893074E7</v>
      </c>
    </row>
    <row r="57" ht="15.75" customHeight="1">
      <c r="A57" s="60">
        <v>52.0</v>
      </c>
      <c r="B57" s="61" t="s">
        <v>97</v>
      </c>
      <c r="C57" s="62">
        <v>0.0</v>
      </c>
      <c r="D57" s="62">
        <v>0.0</v>
      </c>
      <c r="E57" s="62">
        <v>0.0</v>
      </c>
      <c r="F57" s="62">
        <v>0.0</v>
      </c>
      <c r="G57" s="62">
        <v>0.0</v>
      </c>
      <c r="H57" s="62">
        <v>0.0</v>
      </c>
      <c r="I57" s="62">
        <v>0.0</v>
      </c>
      <c r="J57" s="62">
        <v>0.0</v>
      </c>
      <c r="K57" s="62">
        <v>0.0</v>
      </c>
      <c r="L57" s="62">
        <v>0.0</v>
      </c>
      <c r="M57" s="62">
        <v>0.0</v>
      </c>
      <c r="N57" s="62">
        <v>0.0</v>
      </c>
      <c r="O57" s="62">
        <v>0.0</v>
      </c>
      <c r="P57" s="62">
        <v>0.0</v>
      </c>
      <c r="Q57" s="62">
        <v>0.0</v>
      </c>
      <c r="R57" s="62">
        <v>0.0</v>
      </c>
      <c r="S57" s="62">
        <v>0.0</v>
      </c>
      <c r="T57" s="62">
        <v>0.0</v>
      </c>
      <c r="U57" s="62">
        <v>0.0</v>
      </c>
      <c r="V57" s="62">
        <v>0.0</v>
      </c>
      <c r="W57" s="62">
        <v>0.0</v>
      </c>
      <c r="X57" s="62">
        <v>0.0</v>
      </c>
      <c r="Y57" s="62">
        <v>0.0</v>
      </c>
      <c r="Z57" s="62">
        <v>0.0</v>
      </c>
      <c r="AA57" s="62">
        <v>0.0</v>
      </c>
      <c r="AB57" s="62">
        <v>0.0</v>
      </c>
      <c r="AC57" s="62">
        <v>0.0</v>
      </c>
      <c r="AD57" s="62">
        <v>0.0</v>
      </c>
      <c r="AE57" s="62">
        <v>0.0</v>
      </c>
      <c r="AF57" s="62">
        <v>0.0</v>
      </c>
      <c r="AG57" s="62">
        <v>0.0</v>
      </c>
      <c r="AH57" s="62">
        <v>0.0</v>
      </c>
      <c r="AI57" s="62">
        <v>0.0</v>
      </c>
      <c r="AJ57" s="62">
        <v>0.0</v>
      </c>
      <c r="AK57" s="62">
        <v>0.0</v>
      </c>
      <c r="AL57" s="62">
        <v>0.0</v>
      </c>
      <c r="AM57" s="62">
        <v>3.196876E7</v>
      </c>
      <c r="AN57" s="62">
        <v>0.0</v>
      </c>
      <c r="AO57" s="62">
        <v>79525.0</v>
      </c>
      <c r="AP57" s="62">
        <v>573839.0</v>
      </c>
      <c r="AQ57" s="62">
        <v>1244299.0</v>
      </c>
      <c r="AR57" s="62">
        <v>1129382.0</v>
      </c>
      <c r="AS57" s="62">
        <v>1937908.0</v>
      </c>
      <c r="AT57" s="62">
        <v>429055.0</v>
      </c>
      <c r="AU57" s="62">
        <v>217547.0</v>
      </c>
      <c r="AV57" s="62">
        <v>2558436.0</v>
      </c>
      <c r="AW57" s="62">
        <v>81072.0</v>
      </c>
      <c r="AX57" s="62">
        <v>3749205.0</v>
      </c>
      <c r="AY57" s="62">
        <v>1838269.0</v>
      </c>
      <c r="AZ57" s="62">
        <v>208503.0</v>
      </c>
      <c r="BA57" s="62">
        <v>0.0</v>
      </c>
      <c r="BB57" s="62">
        <v>312209.0</v>
      </c>
      <c r="BC57" s="62">
        <v>0.0</v>
      </c>
      <c r="BD57" s="62">
        <v>0.0</v>
      </c>
      <c r="BE57" s="62">
        <v>0.0</v>
      </c>
      <c r="BF57" s="62">
        <v>0.0</v>
      </c>
      <c r="BG57" s="62">
        <v>0.0</v>
      </c>
      <c r="BH57" s="62">
        <v>0.0</v>
      </c>
      <c r="BI57" s="62">
        <v>0.0</v>
      </c>
      <c r="BJ57" s="62">
        <v>0.0</v>
      </c>
      <c r="BK57" s="62">
        <v>0.0</v>
      </c>
      <c r="BL57" s="62">
        <v>0.0</v>
      </c>
      <c r="BM57" s="62">
        <v>0.0</v>
      </c>
      <c r="BN57" s="62">
        <v>0.0</v>
      </c>
      <c r="BO57" s="62">
        <v>0.0</v>
      </c>
      <c r="BP57" s="62">
        <v>0.0</v>
      </c>
      <c r="BQ57" s="62">
        <v>0.0</v>
      </c>
      <c r="BR57" s="62">
        <v>0.0</v>
      </c>
      <c r="BS57" s="62">
        <v>0.0</v>
      </c>
      <c r="BT57" s="62">
        <v>0.0</v>
      </c>
      <c r="BU57" s="62">
        <v>0.0</v>
      </c>
      <c r="BV57" s="62">
        <v>0.0</v>
      </c>
      <c r="BW57" s="62">
        <v>0.0</v>
      </c>
      <c r="BX57" s="62">
        <v>0.0</v>
      </c>
      <c r="BY57" s="62">
        <v>0.0</v>
      </c>
      <c r="BZ57" s="62">
        <v>0.0</v>
      </c>
      <c r="CA57" s="62">
        <v>0.0</v>
      </c>
      <c r="CB57" s="62">
        <v>0.0</v>
      </c>
      <c r="CC57" s="62">
        <v>0.0</v>
      </c>
      <c r="CD57" s="62">
        <v>0.0</v>
      </c>
      <c r="CE57" s="62">
        <v>0.0</v>
      </c>
      <c r="CF57" s="62">
        <v>0.0</v>
      </c>
      <c r="CG57" s="62">
        <v>0.0</v>
      </c>
      <c r="CH57" s="62">
        <v>0.0</v>
      </c>
      <c r="CI57" s="62">
        <v>0.0</v>
      </c>
      <c r="CJ57" s="62">
        <v>0.0</v>
      </c>
      <c r="CK57" s="62">
        <v>0.0</v>
      </c>
      <c r="CL57" s="62">
        <v>0.0</v>
      </c>
      <c r="CM57" s="62">
        <v>0.0</v>
      </c>
      <c r="CN57" s="62">
        <v>0.0</v>
      </c>
      <c r="CO57" s="62">
        <v>0.0</v>
      </c>
      <c r="CP57" s="62">
        <v>0.0</v>
      </c>
      <c r="CQ57" s="62">
        <v>0.0</v>
      </c>
      <c r="CR57" s="62">
        <v>0.0</v>
      </c>
      <c r="CS57" s="62">
        <v>0.0</v>
      </c>
      <c r="CT57" s="62">
        <v>0.0</v>
      </c>
      <c r="CU57" s="62">
        <v>0.0</v>
      </c>
      <c r="CV57" s="62">
        <v>0.0</v>
      </c>
      <c r="CW57" s="62">
        <v>0.0</v>
      </c>
      <c r="CX57" s="62">
        <v>0.0</v>
      </c>
      <c r="CY57" s="62">
        <v>0.0</v>
      </c>
      <c r="CZ57" s="62">
        <v>0.0</v>
      </c>
      <c r="DA57" s="62">
        <v>0.0</v>
      </c>
      <c r="DB57" s="62">
        <v>0.0</v>
      </c>
      <c r="DC57" s="62">
        <v>0.0</v>
      </c>
      <c r="DD57" s="62">
        <v>0.0</v>
      </c>
      <c r="DE57" s="62">
        <v>0.0</v>
      </c>
      <c r="DF57" s="62">
        <v>0.0</v>
      </c>
      <c r="DG57" s="62">
        <v>0.0</v>
      </c>
      <c r="DH57" s="62">
        <v>0.0</v>
      </c>
      <c r="DI57" s="62">
        <v>0.0</v>
      </c>
      <c r="DJ57" s="62">
        <v>0.0</v>
      </c>
      <c r="DK57" s="62">
        <v>0.0</v>
      </c>
      <c r="DL57" s="62">
        <v>0.0</v>
      </c>
      <c r="DM57" s="62">
        <v>0.0</v>
      </c>
      <c r="DN57" s="62">
        <v>0.0</v>
      </c>
      <c r="DO57" s="62">
        <v>0.0</v>
      </c>
      <c r="DP57" s="62">
        <v>0.0</v>
      </c>
      <c r="DQ57" s="62">
        <v>0.0</v>
      </c>
      <c r="DR57" s="62">
        <v>0.0</v>
      </c>
      <c r="DS57" s="62">
        <v>0.0</v>
      </c>
      <c r="DT57" s="62">
        <v>0.0</v>
      </c>
      <c r="DU57" s="62">
        <v>0.0</v>
      </c>
      <c r="DV57" s="62">
        <v>0.0</v>
      </c>
      <c r="DW57" s="62">
        <v>0.0</v>
      </c>
      <c r="DX57" s="62">
        <v>0.0</v>
      </c>
      <c r="DY57" s="62">
        <v>0.0</v>
      </c>
      <c r="DZ57" s="62">
        <v>0.0</v>
      </c>
      <c r="EA57" s="62">
        <v>0.0</v>
      </c>
      <c r="EB57" s="62">
        <v>0.0</v>
      </c>
      <c r="EC57" s="62">
        <v>0.0</v>
      </c>
      <c r="ED57" s="62">
        <v>0.0</v>
      </c>
      <c r="EE57" s="62">
        <v>0.0</v>
      </c>
      <c r="EF57" s="62">
        <v>0.0</v>
      </c>
      <c r="EG57" s="62">
        <v>0.0</v>
      </c>
      <c r="EH57" s="62">
        <v>0.0</v>
      </c>
      <c r="EI57" s="62">
        <v>0.0</v>
      </c>
      <c r="EJ57" s="62">
        <v>0.0</v>
      </c>
      <c r="EK57" s="62">
        <v>0.0</v>
      </c>
      <c r="EL57" s="62">
        <v>0.0</v>
      </c>
      <c r="EM57" s="62">
        <v>0.0</v>
      </c>
      <c r="EN57" s="62">
        <v>0.0</v>
      </c>
      <c r="EO57" s="62">
        <v>0.0</v>
      </c>
      <c r="EP57" s="62">
        <v>0.0</v>
      </c>
      <c r="EQ57" s="62">
        <v>0.0</v>
      </c>
      <c r="ER57" s="62">
        <v>0.0</v>
      </c>
      <c r="ES57" s="62">
        <v>0.0</v>
      </c>
      <c r="ET57" s="62">
        <v>0.0</v>
      </c>
      <c r="EU57" s="62">
        <v>0.0</v>
      </c>
      <c r="EV57" s="62">
        <v>0.0</v>
      </c>
      <c r="EW57" s="62">
        <v>0.0</v>
      </c>
      <c r="EX57" s="62">
        <v>0.0</v>
      </c>
      <c r="EY57" s="62">
        <v>0.0</v>
      </c>
      <c r="EZ57" s="62">
        <v>0.0</v>
      </c>
      <c r="FA57" s="62">
        <v>0.0</v>
      </c>
      <c r="FB57" s="62">
        <v>0.0</v>
      </c>
      <c r="FC57" s="62">
        <v>0.0</v>
      </c>
      <c r="FD57" s="62">
        <v>0.0</v>
      </c>
      <c r="FE57" s="62">
        <v>0.0</v>
      </c>
      <c r="FF57" s="62">
        <v>0.0</v>
      </c>
      <c r="FG57" s="62">
        <v>0.0</v>
      </c>
      <c r="FH57" s="62">
        <v>0.0</v>
      </c>
      <c r="FI57" s="62">
        <v>0.0</v>
      </c>
      <c r="FJ57" s="62">
        <v>0.0</v>
      </c>
      <c r="FK57" s="62">
        <v>0.0</v>
      </c>
      <c r="FL57" s="62">
        <v>0.0</v>
      </c>
      <c r="FM57" s="62">
        <v>0.0</v>
      </c>
      <c r="FN57" s="62">
        <v>0.0</v>
      </c>
      <c r="FO57" s="62">
        <v>0.0</v>
      </c>
      <c r="FP57" s="62">
        <v>0.0</v>
      </c>
      <c r="FQ57" s="62">
        <v>0.0</v>
      </c>
      <c r="FR57" s="62">
        <v>0.0</v>
      </c>
      <c r="FS57" s="62">
        <v>0.0</v>
      </c>
      <c r="FT57" s="62">
        <v>0.0</v>
      </c>
      <c r="FU57" s="62">
        <v>0.0</v>
      </c>
      <c r="FV57" s="62">
        <v>0.0</v>
      </c>
      <c r="FW57" s="62">
        <v>0.0</v>
      </c>
      <c r="FX57" s="62">
        <v>0.0</v>
      </c>
      <c r="FY57" s="62">
        <v>0.0</v>
      </c>
      <c r="FZ57" s="62">
        <v>0.0</v>
      </c>
      <c r="GA57" s="62">
        <v>0.0</v>
      </c>
      <c r="GB57" s="62">
        <v>0.0</v>
      </c>
      <c r="GC57" s="62">
        <v>0.0</v>
      </c>
      <c r="GD57" s="62">
        <v>0.0</v>
      </c>
      <c r="GE57" s="62">
        <v>0.0</v>
      </c>
      <c r="GF57" s="63">
        <v>4.6328009E7</v>
      </c>
      <c r="GG57" s="64">
        <v>0.0</v>
      </c>
      <c r="GH57" s="65">
        <v>0.0</v>
      </c>
      <c r="GI57" s="64">
        <v>0.0</v>
      </c>
      <c r="GJ57" s="64">
        <v>8527816.0</v>
      </c>
      <c r="GK57" s="64">
        <v>0.0</v>
      </c>
      <c r="GL57" s="64">
        <v>0.0</v>
      </c>
      <c r="GM57" s="64">
        <v>0.0</v>
      </c>
      <c r="GN57" s="63">
        <v>8527816.0</v>
      </c>
      <c r="GO57" s="66">
        <v>5.4855825E7</v>
      </c>
      <c r="GP57" s="64">
        <v>0.0</v>
      </c>
      <c r="GQ57" s="64">
        <v>0.0</v>
      </c>
      <c r="GR57" s="65">
        <v>0.0</v>
      </c>
      <c r="GS57" s="63">
        <v>0.0</v>
      </c>
      <c r="GT57" s="67">
        <v>0.0</v>
      </c>
      <c r="GU57" s="67">
        <v>0.0</v>
      </c>
      <c r="GV57" s="67">
        <v>0.0</v>
      </c>
      <c r="GW57" s="63">
        <v>0.0</v>
      </c>
      <c r="GX57" s="63">
        <v>346801.0</v>
      </c>
      <c r="GY57" s="63">
        <v>5.4509024E7</v>
      </c>
      <c r="GZ57" s="66">
        <v>5.4855825E7</v>
      </c>
    </row>
    <row r="58" ht="15.75" customHeight="1">
      <c r="A58" s="60">
        <v>53.0</v>
      </c>
      <c r="B58" s="61" t="s">
        <v>98</v>
      </c>
      <c r="C58" s="62">
        <v>0.0</v>
      </c>
      <c r="D58" s="62">
        <v>0.0</v>
      </c>
      <c r="E58" s="62">
        <v>0.0</v>
      </c>
      <c r="F58" s="62">
        <v>0.0</v>
      </c>
      <c r="G58" s="62">
        <v>0.0</v>
      </c>
      <c r="H58" s="62">
        <v>0.0</v>
      </c>
      <c r="I58" s="62">
        <v>0.0</v>
      </c>
      <c r="J58" s="62">
        <v>0.0</v>
      </c>
      <c r="K58" s="62">
        <v>0.0</v>
      </c>
      <c r="L58" s="62">
        <v>0.0</v>
      </c>
      <c r="M58" s="62">
        <v>0.0</v>
      </c>
      <c r="N58" s="62">
        <v>0.0</v>
      </c>
      <c r="O58" s="62">
        <v>0.0</v>
      </c>
      <c r="P58" s="62">
        <v>0.0</v>
      </c>
      <c r="Q58" s="62">
        <v>0.0</v>
      </c>
      <c r="R58" s="62">
        <v>0.0</v>
      </c>
      <c r="S58" s="62">
        <v>0.0</v>
      </c>
      <c r="T58" s="62">
        <v>0.0</v>
      </c>
      <c r="U58" s="62">
        <v>0.0</v>
      </c>
      <c r="V58" s="62">
        <v>0.0</v>
      </c>
      <c r="W58" s="62">
        <v>0.0</v>
      </c>
      <c r="X58" s="62">
        <v>0.0</v>
      </c>
      <c r="Y58" s="62">
        <v>0.0</v>
      </c>
      <c r="Z58" s="62">
        <v>0.0</v>
      </c>
      <c r="AA58" s="62">
        <v>0.0</v>
      </c>
      <c r="AB58" s="62">
        <v>0.0</v>
      </c>
      <c r="AC58" s="62">
        <v>0.0</v>
      </c>
      <c r="AD58" s="62">
        <v>0.0</v>
      </c>
      <c r="AE58" s="62">
        <v>0.0</v>
      </c>
      <c r="AF58" s="62">
        <v>0.0</v>
      </c>
      <c r="AG58" s="62">
        <v>0.0</v>
      </c>
      <c r="AH58" s="62">
        <v>0.0</v>
      </c>
      <c r="AI58" s="62">
        <v>0.0</v>
      </c>
      <c r="AJ58" s="62">
        <v>0.0</v>
      </c>
      <c r="AK58" s="62">
        <v>0.0</v>
      </c>
      <c r="AL58" s="62">
        <v>0.0</v>
      </c>
      <c r="AM58" s="62">
        <v>0.0</v>
      </c>
      <c r="AN58" s="62">
        <v>0.0</v>
      </c>
      <c r="AO58" s="62">
        <v>0.0</v>
      </c>
      <c r="AP58" s="62">
        <v>0.0</v>
      </c>
      <c r="AQ58" s="62">
        <v>0.0</v>
      </c>
      <c r="AR58" s="62">
        <v>0.0</v>
      </c>
      <c r="AS58" s="62">
        <v>0.0</v>
      </c>
      <c r="AT58" s="62">
        <v>0.0</v>
      </c>
      <c r="AU58" s="62">
        <v>0.0</v>
      </c>
      <c r="AV58" s="62">
        <v>0.0</v>
      </c>
      <c r="AW58" s="62">
        <v>0.0</v>
      </c>
      <c r="AX58" s="62">
        <v>0.0</v>
      </c>
      <c r="AY58" s="62">
        <v>0.0</v>
      </c>
      <c r="AZ58" s="62">
        <v>0.0</v>
      </c>
      <c r="BA58" s="62">
        <v>0.0</v>
      </c>
      <c r="BB58" s="62">
        <v>0.0</v>
      </c>
      <c r="BC58" s="62">
        <v>2665889.0</v>
      </c>
      <c r="BD58" s="62">
        <v>3.3715969E7</v>
      </c>
      <c r="BE58" s="62">
        <v>0.0</v>
      </c>
      <c r="BF58" s="62">
        <v>0.0</v>
      </c>
      <c r="BG58" s="62">
        <v>0.0</v>
      </c>
      <c r="BH58" s="62">
        <v>0.0</v>
      </c>
      <c r="BI58" s="62">
        <v>0.0</v>
      </c>
      <c r="BJ58" s="62">
        <v>0.0</v>
      </c>
      <c r="BK58" s="62">
        <v>0.0</v>
      </c>
      <c r="BL58" s="62">
        <v>0.0</v>
      </c>
      <c r="BM58" s="62">
        <v>0.0</v>
      </c>
      <c r="BN58" s="62">
        <v>0.0</v>
      </c>
      <c r="BO58" s="62">
        <v>0.0</v>
      </c>
      <c r="BP58" s="62">
        <v>0.0</v>
      </c>
      <c r="BQ58" s="62">
        <v>3746.0</v>
      </c>
      <c r="BR58" s="62">
        <v>0.0</v>
      </c>
      <c r="BS58" s="62">
        <v>0.0</v>
      </c>
      <c r="BT58" s="62">
        <v>0.0</v>
      </c>
      <c r="BU58" s="62">
        <v>8983327.0</v>
      </c>
      <c r="BV58" s="62">
        <v>253043.0</v>
      </c>
      <c r="BW58" s="62">
        <v>0.0</v>
      </c>
      <c r="BX58" s="62">
        <v>0.0</v>
      </c>
      <c r="BY58" s="62">
        <v>0.0</v>
      </c>
      <c r="BZ58" s="62">
        <v>0.0</v>
      </c>
      <c r="CA58" s="62">
        <v>0.0</v>
      </c>
      <c r="CB58" s="62">
        <v>0.0</v>
      </c>
      <c r="CC58" s="62">
        <v>0.0</v>
      </c>
      <c r="CD58" s="62">
        <v>0.0</v>
      </c>
      <c r="CE58" s="62">
        <v>0.0</v>
      </c>
      <c r="CF58" s="62">
        <v>0.0</v>
      </c>
      <c r="CG58" s="62">
        <v>5014553.0</v>
      </c>
      <c r="CH58" s="62">
        <v>752347.0</v>
      </c>
      <c r="CI58" s="62">
        <v>366397.0</v>
      </c>
      <c r="CJ58" s="62">
        <v>0.0</v>
      </c>
      <c r="CK58" s="62">
        <v>0.0</v>
      </c>
      <c r="CL58" s="62">
        <v>0.0</v>
      </c>
      <c r="CM58" s="62">
        <v>0.0</v>
      </c>
      <c r="CN58" s="62">
        <v>0.0</v>
      </c>
      <c r="CO58" s="62">
        <v>0.0</v>
      </c>
      <c r="CP58" s="62">
        <v>0.0</v>
      </c>
      <c r="CQ58" s="62">
        <v>0.0</v>
      </c>
      <c r="CR58" s="62">
        <v>0.0</v>
      </c>
      <c r="CS58" s="62">
        <v>0.0</v>
      </c>
      <c r="CT58" s="62">
        <v>0.0</v>
      </c>
      <c r="CU58" s="62">
        <v>0.0</v>
      </c>
      <c r="CV58" s="62">
        <v>0.0</v>
      </c>
      <c r="CW58" s="62">
        <v>0.0</v>
      </c>
      <c r="CX58" s="62">
        <v>0.0</v>
      </c>
      <c r="CY58" s="62">
        <v>0.0</v>
      </c>
      <c r="CZ58" s="62">
        <v>0.0</v>
      </c>
      <c r="DA58" s="62">
        <v>0.0</v>
      </c>
      <c r="DB58" s="62">
        <v>0.0</v>
      </c>
      <c r="DC58" s="62">
        <v>0.0</v>
      </c>
      <c r="DD58" s="62">
        <v>0.0</v>
      </c>
      <c r="DE58" s="62">
        <v>0.0</v>
      </c>
      <c r="DF58" s="62">
        <v>0.0</v>
      </c>
      <c r="DG58" s="62">
        <v>0.0</v>
      </c>
      <c r="DH58" s="62">
        <v>0.0</v>
      </c>
      <c r="DI58" s="62">
        <v>0.0</v>
      </c>
      <c r="DJ58" s="62">
        <v>0.0</v>
      </c>
      <c r="DK58" s="62">
        <v>0.0</v>
      </c>
      <c r="DL58" s="62">
        <v>0.0</v>
      </c>
      <c r="DM58" s="62">
        <v>0.0</v>
      </c>
      <c r="DN58" s="62">
        <v>0.0</v>
      </c>
      <c r="DO58" s="62">
        <v>0.0</v>
      </c>
      <c r="DP58" s="62">
        <v>0.0</v>
      </c>
      <c r="DQ58" s="62">
        <v>0.0</v>
      </c>
      <c r="DR58" s="62">
        <v>0.0</v>
      </c>
      <c r="DS58" s="62">
        <v>0.0</v>
      </c>
      <c r="DT58" s="62">
        <v>0.0</v>
      </c>
      <c r="DU58" s="62">
        <v>0.0</v>
      </c>
      <c r="DV58" s="62">
        <v>0.0</v>
      </c>
      <c r="DW58" s="62">
        <v>0.0</v>
      </c>
      <c r="DX58" s="62">
        <v>0.0</v>
      </c>
      <c r="DY58" s="62">
        <v>0.0</v>
      </c>
      <c r="DZ58" s="62">
        <v>0.0</v>
      </c>
      <c r="EA58" s="62">
        <v>0.0</v>
      </c>
      <c r="EB58" s="62">
        <v>0.0</v>
      </c>
      <c r="EC58" s="62">
        <v>0.0</v>
      </c>
      <c r="ED58" s="62">
        <v>0.0</v>
      </c>
      <c r="EE58" s="62">
        <v>0.0</v>
      </c>
      <c r="EF58" s="62">
        <v>0.0</v>
      </c>
      <c r="EG58" s="62">
        <v>0.0</v>
      </c>
      <c r="EH58" s="62">
        <v>0.0</v>
      </c>
      <c r="EI58" s="62">
        <v>0.0</v>
      </c>
      <c r="EJ58" s="62">
        <v>0.0</v>
      </c>
      <c r="EK58" s="62">
        <v>0.0</v>
      </c>
      <c r="EL58" s="62">
        <v>0.0</v>
      </c>
      <c r="EM58" s="62">
        <v>0.0</v>
      </c>
      <c r="EN58" s="62">
        <v>0.0</v>
      </c>
      <c r="EO58" s="62">
        <v>0.0</v>
      </c>
      <c r="EP58" s="62">
        <v>0.0</v>
      </c>
      <c r="EQ58" s="62">
        <v>0.0</v>
      </c>
      <c r="ER58" s="62">
        <v>0.0</v>
      </c>
      <c r="ES58" s="62">
        <v>0.0</v>
      </c>
      <c r="ET58" s="62">
        <v>0.0</v>
      </c>
      <c r="EU58" s="62">
        <v>0.0</v>
      </c>
      <c r="EV58" s="62">
        <v>0.0</v>
      </c>
      <c r="EW58" s="62">
        <v>0.0</v>
      </c>
      <c r="EX58" s="62">
        <v>0.0</v>
      </c>
      <c r="EY58" s="62">
        <v>0.0</v>
      </c>
      <c r="EZ58" s="62">
        <v>0.0</v>
      </c>
      <c r="FA58" s="62">
        <v>0.0</v>
      </c>
      <c r="FB58" s="62">
        <v>0.0</v>
      </c>
      <c r="FC58" s="62">
        <v>0.0</v>
      </c>
      <c r="FD58" s="62">
        <v>0.0</v>
      </c>
      <c r="FE58" s="62">
        <v>579209.0</v>
      </c>
      <c r="FF58" s="62">
        <v>0.0</v>
      </c>
      <c r="FG58" s="62">
        <v>0.0</v>
      </c>
      <c r="FH58" s="62">
        <v>0.0</v>
      </c>
      <c r="FI58" s="62">
        <v>0.0</v>
      </c>
      <c r="FJ58" s="62">
        <v>5444216.0</v>
      </c>
      <c r="FK58" s="62">
        <v>6.9167681E7</v>
      </c>
      <c r="FL58" s="62">
        <v>0.0</v>
      </c>
      <c r="FM58" s="62">
        <v>0.0</v>
      </c>
      <c r="FN58" s="62">
        <v>0.0</v>
      </c>
      <c r="FO58" s="62">
        <v>0.0</v>
      </c>
      <c r="FP58" s="62">
        <v>0.0</v>
      </c>
      <c r="FQ58" s="62">
        <v>0.0</v>
      </c>
      <c r="FR58" s="62">
        <v>0.0</v>
      </c>
      <c r="FS58" s="62">
        <v>0.0</v>
      </c>
      <c r="FT58" s="62">
        <v>0.0</v>
      </c>
      <c r="FU58" s="62">
        <v>0.0</v>
      </c>
      <c r="FV58" s="62">
        <v>0.0</v>
      </c>
      <c r="FW58" s="62">
        <v>64958.0</v>
      </c>
      <c r="FX58" s="62">
        <v>12489.0</v>
      </c>
      <c r="FY58" s="62">
        <v>938020.0</v>
      </c>
      <c r="FZ58" s="62">
        <v>0.0</v>
      </c>
      <c r="GA58" s="62">
        <v>1855636.0</v>
      </c>
      <c r="GB58" s="62">
        <v>9694527.0</v>
      </c>
      <c r="GC58" s="62">
        <v>919000.0</v>
      </c>
      <c r="GD58" s="62">
        <v>0.0</v>
      </c>
      <c r="GE58" s="62">
        <v>1.1393711E7</v>
      </c>
      <c r="GF58" s="63">
        <v>1.51824718E8</v>
      </c>
      <c r="GG58" s="64">
        <v>2.20242878E8</v>
      </c>
      <c r="GH58" s="65">
        <v>0.0</v>
      </c>
      <c r="GI58" s="64">
        <v>0.0</v>
      </c>
      <c r="GJ58" s="64">
        <v>0.0</v>
      </c>
      <c r="GK58" s="64">
        <v>-2547949.0</v>
      </c>
      <c r="GL58" s="64">
        <v>268129.0</v>
      </c>
      <c r="GM58" s="64">
        <v>0.0</v>
      </c>
      <c r="GN58" s="63">
        <v>2.17963058E8</v>
      </c>
      <c r="GO58" s="66">
        <v>3.69787776E8</v>
      </c>
      <c r="GP58" s="64">
        <v>7966087.0</v>
      </c>
      <c r="GQ58" s="64">
        <v>0.0</v>
      </c>
      <c r="GR58" s="65">
        <v>0.0</v>
      </c>
      <c r="GS58" s="63">
        <v>7966087.0</v>
      </c>
      <c r="GT58" s="67">
        <v>4.5044848E7</v>
      </c>
      <c r="GU58" s="67">
        <v>4.4132654E7</v>
      </c>
      <c r="GV58" s="67">
        <v>1.4073383E7</v>
      </c>
      <c r="GW58" s="63">
        <v>1.03250885E8</v>
      </c>
      <c r="GX58" s="63">
        <v>1024771.0</v>
      </c>
      <c r="GY58" s="63">
        <v>2.57546033E8</v>
      </c>
      <c r="GZ58" s="66">
        <v>3.69787776E8</v>
      </c>
    </row>
    <row r="59" ht="15.75" customHeight="1">
      <c r="A59" s="60">
        <v>54.0</v>
      </c>
      <c r="B59" s="61" t="s">
        <v>99</v>
      </c>
      <c r="C59" s="62">
        <v>0.0</v>
      </c>
      <c r="D59" s="62">
        <v>0.0</v>
      </c>
      <c r="E59" s="62">
        <v>0.0</v>
      </c>
      <c r="F59" s="62">
        <v>0.0</v>
      </c>
      <c r="G59" s="62">
        <v>0.0</v>
      </c>
      <c r="H59" s="62">
        <v>0.0</v>
      </c>
      <c r="I59" s="62">
        <v>0.0</v>
      </c>
      <c r="J59" s="62">
        <v>0.0</v>
      </c>
      <c r="K59" s="62">
        <v>0.0</v>
      </c>
      <c r="L59" s="62">
        <v>0.0</v>
      </c>
      <c r="M59" s="62">
        <v>0.0</v>
      </c>
      <c r="N59" s="62">
        <v>0.0</v>
      </c>
      <c r="O59" s="62">
        <v>0.0</v>
      </c>
      <c r="P59" s="62">
        <v>0.0</v>
      </c>
      <c r="Q59" s="62">
        <v>0.0</v>
      </c>
      <c r="R59" s="62">
        <v>0.0</v>
      </c>
      <c r="S59" s="62">
        <v>0.0</v>
      </c>
      <c r="T59" s="62">
        <v>0.0</v>
      </c>
      <c r="U59" s="62">
        <v>0.0</v>
      </c>
      <c r="V59" s="62">
        <v>0.0</v>
      </c>
      <c r="W59" s="62">
        <v>0.0</v>
      </c>
      <c r="X59" s="62">
        <v>0.0</v>
      </c>
      <c r="Y59" s="62">
        <v>0.0</v>
      </c>
      <c r="Z59" s="62">
        <v>0.0</v>
      </c>
      <c r="AA59" s="62">
        <v>0.0</v>
      </c>
      <c r="AB59" s="62">
        <v>0.0</v>
      </c>
      <c r="AC59" s="62">
        <v>0.0</v>
      </c>
      <c r="AD59" s="62">
        <v>0.0</v>
      </c>
      <c r="AE59" s="62">
        <v>0.0</v>
      </c>
      <c r="AF59" s="62">
        <v>0.0</v>
      </c>
      <c r="AG59" s="62">
        <v>0.0</v>
      </c>
      <c r="AH59" s="62">
        <v>0.0</v>
      </c>
      <c r="AI59" s="62">
        <v>0.0</v>
      </c>
      <c r="AJ59" s="62">
        <v>0.0</v>
      </c>
      <c r="AK59" s="62">
        <v>0.0</v>
      </c>
      <c r="AL59" s="62">
        <v>0.0</v>
      </c>
      <c r="AM59" s="62">
        <v>0.0</v>
      </c>
      <c r="AN59" s="62">
        <v>0.0</v>
      </c>
      <c r="AO59" s="62">
        <v>0.0</v>
      </c>
      <c r="AP59" s="62">
        <v>0.0</v>
      </c>
      <c r="AQ59" s="62">
        <v>0.0</v>
      </c>
      <c r="AR59" s="62">
        <v>0.0</v>
      </c>
      <c r="AS59" s="62">
        <v>0.0</v>
      </c>
      <c r="AT59" s="62">
        <v>0.0</v>
      </c>
      <c r="AU59" s="62">
        <v>0.0</v>
      </c>
      <c r="AV59" s="62">
        <v>0.0</v>
      </c>
      <c r="AW59" s="62">
        <v>0.0</v>
      </c>
      <c r="AX59" s="62">
        <v>0.0</v>
      </c>
      <c r="AY59" s="62">
        <v>0.0</v>
      </c>
      <c r="AZ59" s="62">
        <v>0.0</v>
      </c>
      <c r="BA59" s="62">
        <v>0.0</v>
      </c>
      <c r="BB59" s="62">
        <v>0.0</v>
      </c>
      <c r="BC59" s="62">
        <v>3254.0</v>
      </c>
      <c r="BD59" s="62">
        <v>1755.0</v>
      </c>
      <c r="BE59" s="62">
        <v>0.0</v>
      </c>
      <c r="BF59" s="62">
        <v>0.0</v>
      </c>
      <c r="BG59" s="62">
        <v>0.0</v>
      </c>
      <c r="BH59" s="62">
        <v>0.0</v>
      </c>
      <c r="BI59" s="62">
        <v>0.0</v>
      </c>
      <c r="BJ59" s="62">
        <v>0.0</v>
      </c>
      <c r="BK59" s="62">
        <v>0.0</v>
      </c>
      <c r="BL59" s="62">
        <v>0.0</v>
      </c>
      <c r="BM59" s="62">
        <v>0.0</v>
      </c>
      <c r="BN59" s="62">
        <v>0.0</v>
      </c>
      <c r="BO59" s="62">
        <v>0.0</v>
      </c>
      <c r="BP59" s="62">
        <v>0.0</v>
      </c>
      <c r="BQ59" s="62">
        <v>1876.0</v>
      </c>
      <c r="BR59" s="62">
        <v>0.0</v>
      </c>
      <c r="BS59" s="62">
        <v>0.0</v>
      </c>
      <c r="BT59" s="62">
        <v>0.0</v>
      </c>
      <c r="BU59" s="62">
        <v>67865.0</v>
      </c>
      <c r="BV59" s="62">
        <v>8849.0</v>
      </c>
      <c r="BW59" s="62">
        <v>0.0</v>
      </c>
      <c r="BX59" s="62">
        <v>0.0</v>
      </c>
      <c r="BY59" s="62">
        <v>0.0</v>
      </c>
      <c r="BZ59" s="62">
        <v>0.0</v>
      </c>
      <c r="CA59" s="62">
        <v>0.0</v>
      </c>
      <c r="CB59" s="62">
        <v>0.0</v>
      </c>
      <c r="CC59" s="62">
        <v>0.0</v>
      </c>
      <c r="CD59" s="62">
        <v>0.0</v>
      </c>
      <c r="CE59" s="62">
        <v>0.0</v>
      </c>
      <c r="CF59" s="62">
        <v>0.0</v>
      </c>
      <c r="CG59" s="62">
        <v>0.0</v>
      </c>
      <c r="CH59" s="62">
        <v>0.0</v>
      </c>
      <c r="CI59" s="62">
        <v>0.0</v>
      </c>
      <c r="CJ59" s="62">
        <v>0.0</v>
      </c>
      <c r="CK59" s="62">
        <v>0.0</v>
      </c>
      <c r="CL59" s="62">
        <v>0.0</v>
      </c>
      <c r="CM59" s="62">
        <v>0.0</v>
      </c>
      <c r="CN59" s="62">
        <v>0.0</v>
      </c>
      <c r="CO59" s="62">
        <v>0.0</v>
      </c>
      <c r="CP59" s="62">
        <v>0.0</v>
      </c>
      <c r="CQ59" s="62">
        <v>0.0</v>
      </c>
      <c r="CR59" s="62">
        <v>0.0</v>
      </c>
      <c r="CS59" s="62">
        <v>0.0</v>
      </c>
      <c r="CT59" s="62">
        <v>0.0</v>
      </c>
      <c r="CU59" s="62">
        <v>0.0</v>
      </c>
      <c r="CV59" s="62">
        <v>0.0</v>
      </c>
      <c r="CW59" s="62">
        <v>0.0</v>
      </c>
      <c r="CX59" s="62">
        <v>0.0</v>
      </c>
      <c r="CY59" s="62">
        <v>0.0</v>
      </c>
      <c r="CZ59" s="62">
        <v>0.0</v>
      </c>
      <c r="DA59" s="62">
        <v>0.0</v>
      </c>
      <c r="DB59" s="62">
        <v>0.0</v>
      </c>
      <c r="DC59" s="62">
        <v>0.0</v>
      </c>
      <c r="DD59" s="62">
        <v>0.0</v>
      </c>
      <c r="DE59" s="62">
        <v>0.0</v>
      </c>
      <c r="DF59" s="62">
        <v>0.0</v>
      </c>
      <c r="DG59" s="62">
        <v>0.0</v>
      </c>
      <c r="DH59" s="62">
        <v>0.0</v>
      </c>
      <c r="DI59" s="62">
        <v>0.0</v>
      </c>
      <c r="DJ59" s="62">
        <v>0.0</v>
      </c>
      <c r="DK59" s="62">
        <v>0.0</v>
      </c>
      <c r="DL59" s="62">
        <v>0.0</v>
      </c>
      <c r="DM59" s="62">
        <v>0.0</v>
      </c>
      <c r="DN59" s="62">
        <v>0.0</v>
      </c>
      <c r="DO59" s="62">
        <v>0.0</v>
      </c>
      <c r="DP59" s="62">
        <v>0.0</v>
      </c>
      <c r="DQ59" s="62">
        <v>0.0</v>
      </c>
      <c r="DR59" s="62">
        <v>0.0</v>
      </c>
      <c r="DS59" s="62">
        <v>0.0</v>
      </c>
      <c r="DT59" s="62">
        <v>0.0</v>
      </c>
      <c r="DU59" s="62">
        <v>0.0</v>
      </c>
      <c r="DV59" s="62">
        <v>0.0</v>
      </c>
      <c r="DW59" s="62">
        <v>0.0</v>
      </c>
      <c r="DX59" s="62">
        <v>0.0</v>
      </c>
      <c r="DY59" s="62">
        <v>0.0</v>
      </c>
      <c r="DZ59" s="62">
        <v>0.0</v>
      </c>
      <c r="EA59" s="62">
        <v>0.0</v>
      </c>
      <c r="EB59" s="62">
        <v>0.0</v>
      </c>
      <c r="EC59" s="62">
        <v>0.0</v>
      </c>
      <c r="ED59" s="62">
        <v>0.0</v>
      </c>
      <c r="EE59" s="62">
        <v>0.0</v>
      </c>
      <c r="EF59" s="62">
        <v>0.0</v>
      </c>
      <c r="EG59" s="62">
        <v>0.0</v>
      </c>
      <c r="EH59" s="62">
        <v>0.0</v>
      </c>
      <c r="EI59" s="62">
        <v>0.0</v>
      </c>
      <c r="EJ59" s="62">
        <v>0.0</v>
      </c>
      <c r="EK59" s="62">
        <v>0.0</v>
      </c>
      <c r="EL59" s="62">
        <v>0.0</v>
      </c>
      <c r="EM59" s="62">
        <v>0.0</v>
      </c>
      <c r="EN59" s="62">
        <v>0.0</v>
      </c>
      <c r="EO59" s="62">
        <v>0.0</v>
      </c>
      <c r="EP59" s="62">
        <v>0.0</v>
      </c>
      <c r="EQ59" s="62">
        <v>0.0</v>
      </c>
      <c r="ER59" s="62">
        <v>0.0</v>
      </c>
      <c r="ES59" s="62">
        <v>0.0</v>
      </c>
      <c r="ET59" s="62">
        <v>0.0</v>
      </c>
      <c r="EU59" s="62">
        <v>0.0</v>
      </c>
      <c r="EV59" s="62">
        <v>0.0</v>
      </c>
      <c r="EW59" s="62">
        <v>0.0</v>
      </c>
      <c r="EX59" s="62">
        <v>0.0</v>
      </c>
      <c r="EY59" s="62">
        <v>0.0</v>
      </c>
      <c r="EZ59" s="62">
        <v>0.0</v>
      </c>
      <c r="FA59" s="62">
        <v>0.0</v>
      </c>
      <c r="FB59" s="62">
        <v>0.0</v>
      </c>
      <c r="FC59" s="62">
        <v>0.0</v>
      </c>
      <c r="FD59" s="62">
        <v>0.0</v>
      </c>
      <c r="FE59" s="62">
        <v>269546.0</v>
      </c>
      <c r="FF59" s="62">
        <v>0.0</v>
      </c>
      <c r="FG59" s="62">
        <v>0.0</v>
      </c>
      <c r="FH59" s="62">
        <v>0.0</v>
      </c>
      <c r="FI59" s="62">
        <v>0.0</v>
      </c>
      <c r="FJ59" s="62">
        <v>1702660.0</v>
      </c>
      <c r="FK59" s="62">
        <v>5497137.0</v>
      </c>
      <c r="FL59" s="62">
        <v>0.0</v>
      </c>
      <c r="FM59" s="62">
        <v>0.0</v>
      </c>
      <c r="FN59" s="62">
        <v>0.0</v>
      </c>
      <c r="FO59" s="62">
        <v>0.0</v>
      </c>
      <c r="FP59" s="62">
        <v>0.0</v>
      </c>
      <c r="FQ59" s="62">
        <v>0.0</v>
      </c>
      <c r="FR59" s="62">
        <v>0.0</v>
      </c>
      <c r="FS59" s="62">
        <v>0.0</v>
      </c>
      <c r="FT59" s="62">
        <v>0.0</v>
      </c>
      <c r="FU59" s="62">
        <v>0.0</v>
      </c>
      <c r="FV59" s="62">
        <v>0.0</v>
      </c>
      <c r="FW59" s="62">
        <v>10043.0</v>
      </c>
      <c r="FX59" s="62">
        <v>83097.0</v>
      </c>
      <c r="FY59" s="62">
        <v>8917468.0</v>
      </c>
      <c r="FZ59" s="62">
        <v>17642.0</v>
      </c>
      <c r="GA59" s="62">
        <v>261290.0</v>
      </c>
      <c r="GB59" s="62">
        <v>2888129.0</v>
      </c>
      <c r="GC59" s="62">
        <v>302309.0</v>
      </c>
      <c r="GD59" s="62">
        <v>0.0</v>
      </c>
      <c r="GE59" s="62">
        <v>1348724.0</v>
      </c>
      <c r="GF59" s="63">
        <v>2.1381644E7</v>
      </c>
      <c r="GG59" s="64">
        <v>6.3044111E7</v>
      </c>
      <c r="GH59" s="65">
        <v>0.0</v>
      </c>
      <c r="GI59" s="64">
        <v>0.0</v>
      </c>
      <c r="GJ59" s="64">
        <v>0.0</v>
      </c>
      <c r="GK59" s="64">
        <v>-684544.0</v>
      </c>
      <c r="GL59" s="64">
        <v>0.0</v>
      </c>
      <c r="GM59" s="64">
        <v>0.0</v>
      </c>
      <c r="GN59" s="63">
        <v>6.2359567E7</v>
      </c>
      <c r="GO59" s="66">
        <v>8.3741211E7</v>
      </c>
      <c r="GP59" s="64">
        <v>8673115.0</v>
      </c>
      <c r="GQ59" s="64">
        <v>0.0</v>
      </c>
      <c r="GR59" s="65">
        <v>0.0</v>
      </c>
      <c r="GS59" s="63">
        <v>8673115.0</v>
      </c>
      <c r="GT59" s="67">
        <v>6073625.0</v>
      </c>
      <c r="GU59" s="67">
        <v>4113959.0</v>
      </c>
      <c r="GV59" s="67">
        <v>1653204.0</v>
      </c>
      <c r="GW59" s="63">
        <v>1.1840788E7</v>
      </c>
      <c r="GX59" s="63">
        <v>344020.0</v>
      </c>
      <c r="GY59" s="63">
        <v>6.2883288E7</v>
      </c>
      <c r="GZ59" s="66">
        <v>8.3741211E7</v>
      </c>
    </row>
    <row r="60" ht="15.75" customHeight="1">
      <c r="A60" s="68">
        <v>55.0</v>
      </c>
      <c r="B60" s="69" t="s">
        <v>100</v>
      </c>
      <c r="C60" s="70">
        <v>0.0</v>
      </c>
      <c r="D60" s="70">
        <v>0.0</v>
      </c>
      <c r="E60" s="70">
        <v>0.0</v>
      </c>
      <c r="F60" s="70">
        <v>0.0</v>
      </c>
      <c r="G60" s="70">
        <v>0.0</v>
      </c>
      <c r="H60" s="70">
        <v>0.0</v>
      </c>
      <c r="I60" s="70">
        <v>0.0</v>
      </c>
      <c r="J60" s="70">
        <v>0.0</v>
      </c>
      <c r="K60" s="70">
        <v>0.0</v>
      </c>
      <c r="L60" s="70">
        <v>0.0</v>
      </c>
      <c r="M60" s="70">
        <v>0.0</v>
      </c>
      <c r="N60" s="70">
        <v>0.0</v>
      </c>
      <c r="O60" s="70">
        <v>0.0</v>
      </c>
      <c r="P60" s="70">
        <v>0.0</v>
      </c>
      <c r="Q60" s="70">
        <v>0.0</v>
      </c>
      <c r="R60" s="70">
        <v>0.0</v>
      </c>
      <c r="S60" s="70">
        <v>0.0</v>
      </c>
      <c r="T60" s="70">
        <v>0.0</v>
      </c>
      <c r="U60" s="70">
        <v>0.0</v>
      </c>
      <c r="V60" s="70">
        <v>0.0</v>
      </c>
      <c r="W60" s="70">
        <v>0.0</v>
      </c>
      <c r="X60" s="70">
        <v>0.0</v>
      </c>
      <c r="Y60" s="70">
        <v>0.0</v>
      </c>
      <c r="Z60" s="70">
        <v>0.0</v>
      </c>
      <c r="AA60" s="70">
        <v>0.0</v>
      </c>
      <c r="AB60" s="70">
        <v>0.0</v>
      </c>
      <c r="AC60" s="70">
        <v>0.0</v>
      </c>
      <c r="AD60" s="70">
        <v>0.0</v>
      </c>
      <c r="AE60" s="70">
        <v>0.0</v>
      </c>
      <c r="AF60" s="70">
        <v>0.0</v>
      </c>
      <c r="AG60" s="70">
        <v>0.0</v>
      </c>
      <c r="AH60" s="70">
        <v>0.0</v>
      </c>
      <c r="AI60" s="70">
        <v>0.0</v>
      </c>
      <c r="AJ60" s="70">
        <v>0.0</v>
      </c>
      <c r="AK60" s="70">
        <v>0.0</v>
      </c>
      <c r="AL60" s="70">
        <v>0.0</v>
      </c>
      <c r="AM60" s="70">
        <v>0.0</v>
      </c>
      <c r="AN60" s="70">
        <v>0.0</v>
      </c>
      <c r="AO60" s="70">
        <v>0.0</v>
      </c>
      <c r="AP60" s="70">
        <v>0.0</v>
      </c>
      <c r="AQ60" s="70">
        <v>0.0</v>
      </c>
      <c r="AR60" s="70">
        <v>0.0</v>
      </c>
      <c r="AS60" s="70">
        <v>0.0</v>
      </c>
      <c r="AT60" s="70">
        <v>0.0</v>
      </c>
      <c r="AU60" s="70">
        <v>0.0</v>
      </c>
      <c r="AV60" s="70">
        <v>0.0</v>
      </c>
      <c r="AW60" s="70">
        <v>0.0</v>
      </c>
      <c r="AX60" s="70">
        <v>0.0</v>
      </c>
      <c r="AY60" s="70">
        <v>0.0</v>
      </c>
      <c r="AZ60" s="70">
        <v>0.0</v>
      </c>
      <c r="BA60" s="70">
        <v>0.0</v>
      </c>
      <c r="BB60" s="70">
        <v>0.0</v>
      </c>
      <c r="BC60" s="70">
        <v>0.0</v>
      </c>
      <c r="BD60" s="70">
        <v>0.0</v>
      </c>
      <c r="BE60" s="70">
        <v>39245.0</v>
      </c>
      <c r="BF60" s="70">
        <v>7868.0</v>
      </c>
      <c r="BG60" s="70">
        <v>0.0</v>
      </c>
      <c r="BH60" s="70">
        <v>0.0</v>
      </c>
      <c r="BI60" s="70">
        <v>0.0</v>
      </c>
      <c r="BJ60" s="70">
        <v>0.0</v>
      </c>
      <c r="BK60" s="70">
        <v>0.0</v>
      </c>
      <c r="BL60" s="70">
        <v>0.0</v>
      </c>
      <c r="BM60" s="70">
        <v>0.0</v>
      </c>
      <c r="BN60" s="70">
        <v>0.0</v>
      </c>
      <c r="BO60" s="70">
        <v>0.0</v>
      </c>
      <c r="BP60" s="70">
        <v>0.0</v>
      </c>
      <c r="BQ60" s="70">
        <v>0.0</v>
      </c>
      <c r="BR60" s="70">
        <v>0.0</v>
      </c>
      <c r="BS60" s="70">
        <v>0.0</v>
      </c>
      <c r="BT60" s="70">
        <v>0.0</v>
      </c>
      <c r="BU60" s="70">
        <v>18618.0</v>
      </c>
      <c r="BV60" s="70">
        <v>0.0</v>
      </c>
      <c r="BW60" s="70">
        <v>0.0</v>
      </c>
      <c r="BX60" s="70">
        <v>0.0</v>
      </c>
      <c r="BY60" s="70">
        <v>0.0</v>
      </c>
      <c r="BZ60" s="70">
        <v>0.0</v>
      </c>
      <c r="CA60" s="70">
        <v>0.0</v>
      </c>
      <c r="CB60" s="70">
        <v>0.0</v>
      </c>
      <c r="CC60" s="70">
        <v>0.0</v>
      </c>
      <c r="CD60" s="70">
        <v>0.0</v>
      </c>
      <c r="CE60" s="70">
        <v>0.0</v>
      </c>
      <c r="CF60" s="70">
        <v>0.0</v>
      </c>
      <c r="CG60" s="70">
        <v>0.0</v>
      </c>
      <c r="CH60" s="70">
        <v>0.0</v>
      </c>
      <c r="CI60" s="70">
        <v>0.0</v>
      </c>
      <c r="CJ60" s="70">
        <v>0.0</v>
      </c>
      <c r="CK60" s="70">
        <v>0.0</v>
      </c>
      <c r="CL60" s="70">
        <v>0.0</v>
      </c>
      <c r="CM60" s="70">
        <v>0.0</v>
      </c>
      <c r="CN60" s="70">
        <v>0.0</v>
      </c>
      <c r="CO60" s="70">
        <v>0.0</v>
      </c>
      <c r="CP60" s="70">
        <v>0.0</v>
      </c>
      <c r="CQ60" s="70">
        <v>0.0</v>
      </c>
      <c r="CR60" s="70">
        <v>0.0</v>
      </c>
      <c r="CS60" s="70">
        <v>0.0</v>
      </c>
      <c r="CT60" s="70">
        <v>0.0</v>
      </c>
      <c r="CU60" s="70">
        <v>0.0</v>
      </c>
      <c r="CV60" s="70">
        <v>0.0</v>
      </c>
      <c r="CW60" s="70">
        <v>0.0</v>
      </c>
      <c r="CX60" s="70">
        <v>0.0</v>
      </c>
      <c r="CY60" s="70">
        <v>0.0</v>
      </c>
      <c r="CZ60" s="70">
        <v>0.0</v>
      </c>
      <c r="DA60" s="70">
        <v>0.0</v>
      </c>
      <c r="DB60" s="70">
        <v>0.0</v>
      </c>
      <c r="DC60" s="70">
        <v>0.0</v>
      </c>
      <c r="DD60" s="70">
        <v>0.0</v>
      </c>
      <c r="DE60" s="70">
        <v>0.0</v>
      </c>
      <c r="DF60" s="70">
        <v>0.0</v>
      </c>
      <c r="DG60" s="70">
        <v>0.0</v>
      </c>
      <c r="DH60" s="70">
        <v>0.0</v>
      </c>
      <c r="DI60" s="70">
        <v>0.0</v>
      </c>
      <c r="DJ60" s="70">
        <v>0.0</v>
      </c>
      <c r="DK60" s="70">
        <v>0.0</v>
      </c>
      <c r="DL60" s="70">
        <v>0.0</v>
      </c>
      <c r="DM60" s="70">
        <v>0.0</v>
      </c>
      <c r="DN60" s="70">
        <v>0.0</v>
      </c>
      <c r="DO60" s="70">
        <v>0.0</v>
      </c>
      <c r="DP60" s="70">
        <v>0.0</v>
      </c>
      <c r="DQ60" s="70">
        <v>0.0</v>
      </c>
      <c r="DR60" s="70">
        <v>0.0</v>
      </c>
      <c r="DS60" s="70">
        <v>0.0</v>
      </c>
      <c r="DT60" s="70">
        <v>0.0</v>
      </c>
      <c r="DU60" s="70">
        <v>0.0</v>
      </c>
      <c r="DV60" s="70">
        <v>0.0</v>
      </c>
      <c r="DW60" s="70">
        <v>0.0</v>
      </c>
      <c r="DX60" s="70">
        <v>0.0</v>
      </c>
      <c r="DY60" s="70">
        <v>0.0</v>
      </c>
      <c r="DZ60" s="70">
        <v>0.0</v>
      </c>
      <c r="EA60" s="70">
        <v>0.0</v>
      </c>
      <c r="EB60" s="70">
        <v>0.0</v>
      </c>
      <c r="EC60" s="70">
        <v>0.0</v>
      </c>
      <c r="ED60" s="70">
        <v>0.0</v>
      </c>
      <c r="EE60" s="70">
        <v>0.0</v>
      </c>
      <c r="EF60" s="70">
        <v>0.0</v>
      </c>
      <c r="EG60" s="70">
        <v>0.0</v>
      </c>
      <c r="EH60" s="70">
        <v>0.0</v>
      </c>
      <c r="EI60" s="70">
        <v>0.0</v>
      </c>
      <c r="EJ60" s="70">
        <v>0.0</v>
      </c>
      <c r="EK60" s="70">
        <v>0.0</v>
      </c>
      <c r="EL60" s="70">
        <v>0.0</v>
      </c>
      <c r="EM60" s="70">
        <v>0.0</v>
      </c>
      <c r="EN60" s="70">
        <v>0.0</v>
      </c>
      <c r="EO60" s="70">
        <v>0.0</v>
      </c>
      <c r="EP60" s="70">
        <v>0.0</v>
      </c>
      <c r="EQ60" s="70">
        <v>0.0</v>
      </c>
      <c r="ER60" s="70">
        <v>0.0</v>
      </c>
      <c r="ES60" s="70">
        <v>0.0</v>
      </c>
      <c r="ET60" s="70">
        <v>0.0</v>
      </c>
      <c r="EU60" s="70">
        <v>0.0</v>
      </c>
      <c r="EV60" s="70">
        <v>0.0</v>
      </c>
      <c r="EW60" s="70">
        <v>0.0</v>
      </c>
      <c r="EX60" s="70">
        <v>0.0</v>
      </c>
      <c r="EY60" s="70">
        <v>0.0</v>
      </c>
      <c r="EZ60" s="70">
        <v>0.0</v>
      </c>
      <c r="FA60" s="70">
        <v>0.0</v>
      </c>
      <c r="FB60" s="70">
        <v>0.0</v>
      </c>
      <c r="FC60" s="70">
        <v>0.0</v>
      </c>
      <c r="FD60" s="70">
        <v>0.0</v>
      </c>
      <c r="FE60" s="70">
        <v>212871.0</v>
      </c>
      <c r="FF60" s="70">
        <v>0.0</v>
      </c>
      <c r="FG60" s="70">
        <v>0.0</v>
      </c>
      <c r="FH60" s="70">
        <v>0.0</v>
      </c>
      <c r="FI60" s="70">
        <v>0.0</v>
      </c>
      <c r="FJ60" s="70">
        <v>391904.0</v>
      </c>
      <c r="FK60" s="70">
        <v>6138704.0</v>
      </c>
      <c r="FL60" s="70">
        <v>0.0</v>
      </c>
      <c r="FM60" s="70">
        <v>0.0</v>
      </c>
      <c r="FN60" s="70">
        <v>0.0</v>
      </c>
      <c r="FO60" s="70">
        <v>0.0</v>
      </c>
      <c r="FP60" s="70">
        <v>0.0</v>
      </c>
      <c r="FQ60" s="70">
        <v>0.0</v>
      </c>
      <c r="FR60" s="70">
        <v>0.0</v>
      </c>
      <c r="FS60" s="70">
        <v>0.0</v>
      </c>
      <c r="FT60" s="70">
        <v>0.0</v>
      </c>
      <c r="FU60" s="70">
        <v>0.0</v>
      </c>
      <c r="FV60" s="70">
        <v>0.0</v>
      </c>
      <c r="FW60" s="70">
        <v>185.0</v>
      </c>
      <c r="FX60" s="70">
        <v>10.0</v>
      </c>
      <c r="FY60" s="70">
        <v>1901.0</v>
      </c>
      <c r="FZ60" s="70">
        <v>0.0</v>
      </c>
      <c r="GA60" s="70">
        <v>11061.0</v>
      </c>
      <c r="GB60" s="70">
        <v>35100.0</v>
      </c>
      <c r="GC60" s="70">
        <v>40312.0</v>
      </c>
      <c r="GD60" s="70">
        <v>0.0</v>
      </c>
      <c r="GE60" s="70">
        <v>25476.0</v>
      </c>
      <c r="GF60" s="71">
        <v>6923255.0</v>
      </c>
      <c r="GG60" s="72">
        <v>3.478086E7</v>
      </c>
      <c r="GH60" s="73">
        <v>0.0</v>
      </c>
      <c r="GI60" s="72">
        <v>0.0</v>
      </c>
      <c r="GJ60" s="72">
        <v>0.0</v>
      </c>
      <c r="GK60" s="72">
        <v>39399.0</v>
      </c>
      <c r="GL60" s="72">
        <v>1.4469078E7</v>
      </c>
      <c r="GM60" s="72">
        <v>0.0</v>
      </c>
      <c r="GN60" s="71">
        <v>4.9289337E7</v>
      </c>
      <c r="GO60" s="74">
        <v>5.6212592E7</v>
      </c>
      <c r="GP60" s="72">
        <v>89492.0</v>
      </c>
      <c r="GQ60" s="72">
        <v>0.0</v>
      </c>
      <c r="GR60" s="73">
        <v>0.0</v>
      </c>
      <c r="GS60" s="71">
        <v>89492.0</v>
      </c>
      <c r="GT60" s="75">
        <v>2497542.0</v>
      </c>
      <c r="GU60" s="75">
        <v>2244083.0</v>
      </c>
      <c r="GV60" s="75">
        <v>667458.0</v>
      </c>
      <c r="GW60" s="71">
        <v>5409083.0</v>
      </c>
      <c r="GX60" s="71">
        <v>4357.0</v>
      </c>
      <c r="GY60" s="71">
        <v>5.070966E7</v>
      </c>
      <c r="GZ60" s="74">
        <v>5.6212592E7</v>
      </c>
    </row>
    <row r="61" ht="15.75" customHeight="1">
      <c r="A61" s="52">
        <v>56.0</v>
      </c>
      <c r="B61" s="53" t="s">
        <v>101</v>
      </c>
      <c r="C61" s="54">
        <v>0.0</v>
      </c>
      <c r="D61" s="54">
        <v>0.0</v>
      </c>
      <c r="E61" s="54">
        <v>0.0</v>
      </c>
      <c r="F61" s="54">
        <v>0.0</v>
      </c>
      <c r="G61" s="54">
        <v>0.0</v>
      </c>
      <c r="H61" s="54">
        <v>0.0</v>
      </c>
      <c r="I61" s="54">
        <v>0.0</v>
      </c>
      <c r="J61" s="54">
        <v>0.0</v>
      </c>
      <c r="K61" s="54">
        <v>0.0</v>
      </c>
      <c r="L61" s="54">
        <v>0.0</v>
      </c>
      <c r="M61" s="54">
        <v>0.0</v>
      </c>
      <c r="N61" s="54">
        <v>0.0</v>
      </c>
      <c r="O61" s="54">
        <v>0.0</v>
      </c>
      <c r="P61" s="54">
        <v>0.0</v>
      </c>
      <c r="Q61" s="54">
        <v>0.0</v>
      </c>
      <c r="R61" s="54">
        <v>0.0</v>
      </c>
      <c r="S61" s="54">
        <v>0.0</v>
      </c>
      <c r="T61" s="54">
        <v>0.0</v>
      </c>
      <c r="U61" s="54">
        <v>0.0</v>
      </c>
      <c r="V61" s="54">
        <v>0.0</v>
      </c>
      <c r="W61" s="54">
        <v>0.0</v>
      </c>
      <c r="X61" s="54">
        <v>0.0</v>
      </c>
      <c r="Y61" s="54">
        <v>0.0</v>
      </c>
      <c r="Z61" s="54">
        <v>0.0</v>
      </c>
      <c r="AA61" s="54">
        <v>0.0</v>
      </c>
      <c r="AB61" s="54">
        <v>0.0</v>
      </c>
      <c r="AC61" s="54">
        <v>0.0</v>
      </c>
      <c r="AD61" s="54">
        <v>0.0</v>
      </c>
      <c r="AE61" s="54">
        <v>0.0</v>
      </c>
      <c r="AF61" s="54">
        <v>0.0</v>
      </c>
      <c r="AG61" s="54">
        <v>0.0</v>
      </c>
      <c r="AH61" s="54">
        <v>0.0</v>
      </c>
      <c r="AI61" s="54">
        <v>0.0</v>
      </c>
      <c r="AJ61" s="54">
        <v>0.0</v>
      </c>
      <c r="AK61" s="54">
        <v>0.0</v>
      </c>
      <c r="AL61" s="54">
        <v>0.0</v>
      </c>
      <c r="AM61" s="54">
        <v>0.0</v>
      </c>
      <c r="AN61" s="54">
        <v>0.0</v>
      </c>
      <c r="AO61" s="54">
        <v>0.0</v>
      </c>
      <c r="AP61" s="54">
        <v>0.0</v>
      </c>
      <c r="AQ61" s="54">
        <v>0.0</v>
      </c>
      <c r="AR61" s="54">
        <v>0.0</v>
      </c>
      <c r="AS61" s="54">
        <v>0.0</v>
      </c>
      <c r="AT61" s="54">
        <v>0.0</v>
      </c>
      <c r="AU61" s="54">
        <v>0.0</v>
      </c>
      <c r="AV61" s="54">
        <v>0.0</v>
      </c>
      <c r="AW61" s="54">
        <v>0.0</v>
      </c>
      <c r="AX61" s="54">
        <v>0.0</v>
      </c>
      <c r="AY61" s="54">
        <v>0.0</v>
      </c>
      <c r="AZ61" s="54">
        <v>0.0</v>
      </c>
      <c r="BA61" s="54">
        <v>0.0</v>
      </c>
      <c r="BB61" s="54">
        <v>0.0</v>
      </c>
      <c r="BC61" s="54">
        <v>0.0</v>
      </c>
      <c r="BD61" s="54">
        <v>0.0</v>
      </c>
      <c r="BE61" s="54">
        <v>190602.0</v>
      </c>
      <c r="BF61" s="54">
        <v>738285.0</v>
      </c>
      <c r="BG61" s="54">
        <v>0.0</v>
      </c>
      <c r="BH61" s="54">
        <v>3503596.0</v>
      </c>
      <c r="BI61" s="54">
        <v>0.0</v>
      </c>
      <c r="BJ61" s="54">
        <v>0.0</v>
      </c>
      <c r="BK61" s="54">
        <v>0.0</v>
      </c>
      <c r="BL61" s="54">
        <v>0.0</v>
      </c>
      <c r="BM61" s="54">
        <v>0.0</v>
      </c>
      <c r="BN61" s="54">
        <v>0.0</v>
      </c>
      <c r="BO61" s="54">
        <v>0.0</v>
      </c>
      <c r="BP61" s="54">
        <v>0.0</v>
      </c>
      <c r="BQ61" s="54">
        <v>199.0</v>
      </c>
      <c r="BR61" s="54">
        <v>0.0</v>
      </c>
      <c r="BS61" s="54">
        <v>0.0</v>
      </c>
      <c r="BT61" s="54">
        <v>0.0</v>
      </c>
      <c r="BU61" s="54">
        <v>188620.0</v>
      </c>
      <c r="BV61" s="54">
        <v>0.0</v>
      </c>
      <c r="BW61" s="54">
        <v>0.0</v>
      </c>
      <c r="BX61" s="54">
        <v>0.0</v>
      </c>
      <c r="BY61" s="54">
        <v>0.0</v>
      </c>
      <c r="BZ61" s="54">
        <v>0.0</v>
      </c>
      <c r="CA61" s="54">
        <v>0.0</v>
      </c>
      <c r="CB61" s="54">
        <v>0.0</v>
      </c>
      <c r="CC61" s="54">
        <v>0.0</v>
      </c>
      <c r="CD61" s="54">
        <v>0.0</v>
      </c>
      <c r="CE61" s="54">
        <v>0.0</v>
      </c>
      <c r="CF61" s="54">
        <v>0.0</v>
      </c>
      <c r="CG61" s="54">
        <v>0.0</v>
      </c>
      <c r="CH61" s="54">
        <v>0.0</v>
      </c>
      <c r="CI61" s="54">
        <v>0.0</v>
      </c>
      <c r="CJ61" s="54">
        <v>0.0</v>
      </c>
      <c r="CK61" s="54">
        <v>0.0</v>
      </c>
      <c r="CL61" s="54">
        <v>0.0</v>
      </c>
      <c r="CM61" s="54">
        <v>0.0</v>
      </c>
      <c r="CN61" s="54">
        <v>0.0</v>
      </c>
      <c r="CO61" s="54">
        <v>0.0</v>
      </c>
      <c r="CP61" s="54">
        <v>0.0</v>
      </c>
      <c r="CQ61" s="54">
        <v>0.0</v>
      </c>
      <c r="CR61" s="54">
        <v>0.0</v>
      </c>
      <c r="CS61" s="54">
        <v>0.0</v>
      </c>
      <c r="CT61" s="54">
        <v>0.0</v>
      </c>
      <c r="CU61" s="54">
        <v>0.0</v>
      </c>
      <c r="CV61" s="54">
        <v>0.0</v>
      </c>
      <c r="CW61" s="54">
        <v>0.0</v>
      </c>
      <c r="CX61" s="54">
        <v>0.0</v>
      </c>
      <c r="CY61" s="54">
        <v>0.0</v>
      </c>
      <c r="CZ61" s="54">
        <v>0.0</v>
      </c>
      <c r="DA61" s="54">
        <v>0.0</v>
      </c>
      <c r="DB61" s="54">
        <v>0.0</v>
      </c>
      <c r="DC61" s="54">
        <v>0.0</v>
      </c>
      <c r="DD61" s="54">
        <v>0.0</v>
      </c>
      <c r="DE61" s="54">
        <v>0.0</v>
      </c>
      <c r="DF61" s="54">
        <v>0.0</v>
      </c>
      <c r="DG61" s="54">
        <v>0.0</v>
      </c>
      <c r="DH61" s="54">
        <v>0.0</v>
      </c>
      <c r="DI61" s="54">
        <v>0.0</v>
      </c>
      <c r="DJ61" s="54">
        <v>0.0</v>
      </c>
      <c r="DK61" s="54">
        <v>0.0</v>
      </c>
      <c r="DL61" s="54">
        <v>0.0</v>
      </c>
      <c r="DM61" s="54">
        <v>0.0</v>
      </c>
      <c r="DN61" s="54">
        <v>0.0</v>
      </c>
      <c r="DO61" s="54">
        <v>0.0</v>
      </c>
      <c r="DP61" s="54">
        <v>0.0</v>
      </c>
      <c r="DQ61" s="54">
        <v>0.0</v>
      </c>
      <c r="DR61" s="54">
        <v>0.0</v>
      </c>
      <c r="DS61" s="54">
        <v>0.0</v>
      </c>
      <c r="DT61" s="54">
        <v>0.0</v>
      </c>
      <c r="DU61" s="54">
        <v>0.0</v>
      </c>
      <c r="DV61" s="54">
        <v>0.0</v>
      </c>
      <c r="DW61" s="54">
        <v>0.0</v>
      </c>
      <c r="DX61" s="54">
        <v>0.0</v>
      </c>
      <c r="DY61" s="54">
        <v>0.0</v>
      </c>
      <c r="DZ61" s="54">
        <v>0.0</v>
      </c>
      <c r="EA61" s="54">
        <v>0.0</v>
      </c>
      <c r="EB61" s="54">
        <v>0.0</v>
      </c>
      <c r="EC61" s="54">
        <v>0.0</v>
      </c>
      <c r="ED61" s="54">
        <v>0.0</v>
      </c>
      <c r="EE61" s="54">
        <v>0.0</v>
      </c>
      <c r="EF61" s="54">
        <v>0.0</v>
      </c>
      <c r="EG61" s="54">
        <v>0.0</v>
      </c>
      <c r="EH61" s="54">
        <v>0.0</v>
      </c>
      <c r="EI61" s="54">
        <v>0.0</v>
      </c>
      <c r="EJ61" s="54">
        <v>0.0</v>
      </c>
      <c r="EK61" s="54">
        <v>0.0</v>
      </c>
      <c r="EL61" s="54">
        <v>0.0</v>
      </c>
      <c r="EM61" s="54">
        <v>0.0</v>
      </c>
      <c r="EN61" s="54">
        <v>0.0</v>
      </c>
      <c r="EO61" s="54">
        <v>0.0</v>
      </c>
      <c r="EP61" s="54">
        <v>0.0</v>
      </c>
      <c r="EQ61" s="54">
        <v>0.0</v>
      </c>
      <c r="ER61" s="54">
        <v>0.0</v>
      </c>
      <c r="ES61" s="54">
        <v>0.0</v>
      </c>
      <c r="ET61" s="54">
        <v>0.0</v>
      </c>
      <c r="EU61" s="54">
        <v>0.0</v>
      </c>
      <c r="EV61" s="54">
        <v>0.0</v>
      </c>
      <c r="EW61" s="54">
        <v>0.0</v>
      </c>
      <c r="EX61" s="54">
        <v>0.0</v>
      </c>
      <c r="EY61" s="54">
        <v>0.0</v>
      </c>
      <c r="EZ61" s="54">
        <v>0.0</v>
      </c>
      <c r="FA61" s="54">
        <v>0.0</v>
      </c>
      <c r="FB61" s="54">
        <v>0.0</v>
      </c>
      <c r="FC61" s="54">
        <v>0.0</v>
      </c>
      <c r="FD61" s="54">
        <v>0.0</v>
      </c>
      <c r="FE61" s="54">
        <v>259329.0</v>
      </c>
      <c r="FF61" s="54">
        <v>0.0</v>
      </c>
      <c r="FG61" s="54">
        <v>0.0</v>
      </c>
      <c r="FH61" s="54">
        <v>0.0</v>
      </c>
      <c r="FI61" s="54">
        <v>0.0</v>
      </c>
      <c r="FJ61" s="54">
        <v>2399156.0</v>
      </c>
      <c r="FK61" s="54">
        <v>2.3045264E7</v>
      </c>
      <c r="FL61" s="54">
        <v>0.0</v>
      </c>
      <c r="FM61" s="54">
        <v>0.0</v>
      </c>
      <c r="FN61" s="54">
        <v>0.0</v>
      </c>
      <c r="FO61" s="54">
        <v>0.0</v>
      </c>
      <c r="FP61" s="54">
        <v>0.0</v>
      </c>
      <c r="FQ61" s="54">
        <v>0.0</v>
      </c>
      <c r="FR61" s="54">
        <v>0.0</v>
      </c>
      <c r="FS61" s="54">
        <v>0.0</v>
      </c>
      <c r="FT61" s="54">
        <v>0.0</v>
      </c>
      <c r="FU61" s="54">
        <v>0.0</v>
      </c>
      <c r="FV61" s="54">
        <v>0.0</v>
      </c>
      <c r="FW61" s="54">
        <v>41212.0</v>
      </c>
      <c r="FX61" s="54">
        <v>2163.0</v>
      </c>
      <c r="FY61" s="54">
        <v>1965.0</v>
      </c>
      <c r="FZ61" s="54">
        <v>0.0</v>
      </c>
      <c r="GA61" s="54">
        <v>47246.0</v>
      </c>
      <c r="GB61" s="54">
        <v>16524.0</v>
      </c>
      <c r="GC61" s="54">
        <v>314800.0</v>
      </c>
      <c r="GD61" s="54">
        <v>0.0</v>
      </c>
      <c r="GE61" s="54">
        <v>14176.0</v>
      </c>
      <c r="GF61" s="55">
        <v>3.0763137E7</v>
      </c>
      <c r="GG61" s="56">
        <v>3.8246023E7</v>
      </c>
      <c r="GH61" s="57">
        <v>0.0</v>
      </c>
      <c r="GI61" s="56">
        <v>0.0</v>
      </c>
      <c r="GJ61" s="56">
        <v>0.0</v>
      </c>
      <c r="GK61" s="56">
        <v>-960912.0</v>
      </c>
      <c r="GL61" s="56">
        <v>6.4892098E7</v>
      </c>
      <c r="GM61" s="56">
        <v>0.0</v>
      </c>
      <c r="GN61" s="55">
        <v>1.02177209E8</v>
      </c>
      <c r="GO61" s="58">
        <v>1.32940346E8</v>
      </c>
      <c r="GP61" s="56">
        <v>4928302.0</v>
      </c>
      <c r="GQ61" s="56">
        <v>0.0</v>
      </c>
      <c r="GR61" s="57">
        <v>0.0</v>
      </c>
      <c r="GS61" s="55">
        <v>4928302.0</v>
      </c>
      <c r="GT61" s="59">
        <v>1.0308007E7</v>
      </c>
      <c r="GU61" s="59">
        <v>1.9918109E7</v>
      </c>
      <c r="GV61" s="59">
        <v>2873305.0</v>
      </c>
      <c r="GW61" s="55">
        <v>3.3099421E7</v>
      </c>
      <c r="GX61" s="55">
        <v>201423.0</v>
      </c>
      <c r="GY61" s="55">
        <v>9.47112E7</v>
      </c>
      <c r="GZ61" s="58">
        <v>1.32940346E8</v>
      </c>
    </row>
    <row r="62" ht="15.75" customHeight="1">
      <c r="A62" s="60">
        <v>57.0</v>
      </c>
      <c r="B62" s="61" t="s">
        <v>102</v>
      </c>
      <c r="C62" s="62">
        <v>0.0</v>
      </c>
      <c r="D62" s="62">
        <v>0.0</v>
      </c>
      <c r="E62" s="62">
        <v>0.0</v>
      </c>
      <c r="F62" s="62">
        <v>0.0</v>
      </c>
      <c r="G62" s="62">
        <v>0.0</v>
      </c>
      <c r="H62" s="62">
        <v>0.0</v>
      </c>
      <c r="I62" s="62">
        <v>0.0</v>
      </c>
      <c r="J62" s="62">
        <v>0.0</v>
      </c>
      <c r="K62" s="62">
        <v>0.0</v>
      </c>
      <c r="L62" s="62">
        <v>0.0</v>
      </c>
      <c r="M62" s="62">
        <v>0.0</v>
      </c>
      <c r="N62" s="62">
        <v>0.0</v>
      </c>
      <c r="O62" s="62">
        <v>0.0</v>
      </c>
      <c r="P62" s="62">
        <v>0.0</v>
      </c>
      <c r="Q62" s="62">
        <v>0.0</v>
      </c>
      <c r="R62" s="62">
        <v>0.0</v>
      </c>
      <c r="S62" s="62">
        <v>0.0</v>
      </c>
      <c r="T62" s="62">
        <v>0.0</v>
      </c>
      <c r="U62" s="62">
        <v>0.0</v>
      </c>
      <c r="V62" s="62">
        <v>0.0</v>
      </c>
      <c r="W62" s="62">
        <v>0.0</v>
      </c>
      <c r="X62" s="62">
        <v>0.0</v>
      </c>
      <c r="Y62" s="62">
        <v>0.0</v>
      </c>
      <c r="Z62" s="62">
        <v>0.0</v>
      </c>
      <c r="AA62" s="62">
        <v>0.0</v>
      </c>
      <c r="AB62" s="62">
        <v>0.0</v>
      </c>
      <c r="AC62" s="62">
        <v>0.0</v>
      </c>
      <c r="AD62" s="62">
        <v>0.0</v>
      </c>
      <c r="AE62" s="62">
        <v>0.0</v>
      </c>
      <c r="AF62" s="62">
        <v>0.0</v>
      </c>
      <c r="AG62" s="62">
        <v>0.0</v>
      </c>
      <c r="AH62" s="62">
        <v>0.0</v>
      </c>
      <c r="AI62" s="62">
        <v>0.0</v>
      </c>
      <c r="AJ62" s="62">
        <v>0.0</v>
      </c>
      <c r="AK62" s="62">
        <v>0.0</v>
      </c>
      <c r="AL62" s="62">
        <v>0.0</v>
      </c>
      <c r="AM62" s="62">
        <v>0.0</v>
      </c>
      <c r="AN62" s="62">
        <v>0.0</v>
      </c>
      <c r="AO62" s="62">
        <v>0.0</v>
      </c>
      <c r="AP62" s="62">
        <v>0.0</v>
      </c>
      <c r="AQ62" s="62">
        <v>0.0</v>
      </c>
      <c r="AR62" s="62">
        <v>0.0</v>
      </c>
      <c r="AS62" s="62">
        <v>0.0</v>
      </c>
      <c r="AT62" s="62">
        <v>0.0</v>
      </c>
      <c r="AU62" s="62">
        <v>0.0</v>
      </c>
      <c r="AV62" s="62">
        <v>0.0</v>
      </c>
      <c r="AW62" s="62">
        <v>0.0</v>
      </c>
      <c r="AX62" s="62">
        <v>0.0</v>
      </c>
      <c r="AY62" s="62">
        <v>0.0</v>
      </c>
      <c r="AZ62" s="62">
        <v>0.0</v>
      </c>
      <c r="BA62" s="62">
        <v>0.0</v>
      </c>
      <c r="BB62" s="62">
        <v>0.0</v>
      </c>
      <c r="BC62" s="62">
        <v>0.0</v>
      </c>
      <c r="BD62" s="62">
        <v>0.0</v>
      </c>
      <c r="BE62" s="62">
        <v>0.0</v>
      </c>
      <c r="BF62" s="62">
        <v>0.0</v>
      </c>
      <c r="BG62" s="62">
        <v>436964.0</v>
      </c>
      <c r="BH62" s="62">
        <v>1054187.0</v>
      </c>
      <c r="BI62" s="62">
        <v>0.0</v>
      </c>
      <c r="BJ62" s="62">
        <v>871338.0</v>
      </c>
      <c r="BK62" s="62">
        <v>15264.0</v>
      </c>
      <c r="BL62" s="62">
        <v>0.0</v>
      </c>
      <c r="BM62" s="62">
        <v>0.0</v>
      </c>
      <c r="BN62" s="62">
        <v>0.0</v>
      </c>
      <c r="BO62" s="62">
        <v>0.0</v>
      </c>
      <c r="BP62" s="62">
        <v>6558.0</v>
      </c>
      <c r="BQ62" s="62">
        <v>42651.0</v>
      </c>
      <c r="BR62" s="62">
        <v>0.0</v>
      </c>
      <c r="BS62" s="62">
        <v>0.0</v>
      </c>
      <c r="BT62" s="62">
        <v>7181581.0</v>
      </c>
      <c r="BU62" s="62">
        <v>183898.0</v>
      </c>
      <c r="BV62" s="62">
        <v>0.0</v>
      </c>
      <c r="BW62" s="62">
        <v>0.0</v>
      </c>
      <c r="BX62" s="62">
        <v>11328.0</v>
      </c>
      <c r="BY62" s="62">
        <v>0.0</v>
      </c>
      <c r="BZ62" s="62">
        <v>0.0</v>
      </c>
      <c r="CA62" s="62">
        <v>0.0</v>
      </c>
      <c r="CB62" s="62">
        <v>0.0</v>
      </c>
      <c r="CC62" s="62">
        <v>0.0</v>
      </c>
      <c r="CD62" s="62">
        <v>0.0</v>
      </c>
      <c r="CE62" s="62">
        <v>0.0</v>
      </c>
      <c r="CF62" s="62">
        <v>0.0</v>
      </c>
      <c r="CG62" s="62">
        <v>0.0</v>
      </c>
      <c r="CH62" s="62">
        <v>0.0</v>
      </c>
      <c r="CI62" s="62">
        <v>0.0</v>
      </c>
      <c r="CJ62" s="62">
        <v>0.0</v>
      </c>
      <c r="CK62" s="62">
        <v>0.0</v>
      </c>
      <c r="CL62" s="62">
        <v>0.0</v>
      </c>
      <c r="CM62" s="62">
        <v>0.0</v>
      </c>
      <c r="CN62" s="62">
        <v>0.0</v>
      </c>
      <c r="CO62" s="62">
        <v>0.0</v>
      </c>
      <c r="CP62" s="62">
        <v>0.0</v>
      </c>
      <c r="CQ62" s="62">
        <v>0.0</v>
      </c>
      <c r="CR62" s="62">
        <v>0.0</v>
      </c>
      <c r="CS62" s="62">
        <v>0.0</v>
      </c>
      <c r="CT62" s="62">
        <v>0.0</v>
      </c>
      <c r="CU62" s="62">
        <v>0.0</v>
      </c>
      <c r="CV62" s="62">
        <v>0.0</v>
      </c>
      <c r="CW62" s="62">
        <v>0.0</v>
      </c>
      <c r="CX62" s="62">
        <v>0.0</v>
      </c>
      <c r="CY62" s="62">
        <v>0.0</v>
      </c>
      <c r="CZ62" s="62">
        <v>0.0</v>
      </c>
      <c r="DA62" s="62">
        <v>0.0</v>
      </c>
      <c r="DB62" s="62">
        <v>0.0</v>
      </c>
      <c r="DC62" s="62">
        <v>23788.0</v>
      </c>
      <c r="DD62" s="62">
        <v>0.0</v>
      </c>
      <c r="DE62" s="62">
        <v>0.0</v>
      </c>
      <c r="DF62" s="62">
        <v>0.0</v>
      </c>
      <c r="DG62" s="62">
        <v>0.0</v>
      </c>
      <c r="DH62" s="62">
        <v>0.0</v>
      </c>
      <c r="DI62" s="62">
        <v>0.0</v>
      </c>
      <c r="DJ62" s="62">
        <v>0.0</v>
      </c>
      <c r="DK62" s="62">
        <v>0.0</v>
      </c>
      <c r="DL62" s="62">
        <v>0.0</v>
      </c>
      <c r="DM62" s="62">
        <v>0.0</v>
      </c>
      <c r="DN62" s="62">
        <v>0.0</v>
      </c>
      <c r="DO62" s="62">
        <v>0.0</v>
      </c>
      <c r="DP62" s="62">
        <v>0.0</v>
      </c>
      <c r="DQ62" s="62">
        <v>0.0</v>
      </c>
      <c r="DR62" s="62">
        <v>0.0</v>
      </c>
      <c r="DS62" s="62">
        <v>0.0</v>
      </c>
      <c r="DT62" s="62">
        <v>0.0</v>
      </c>
      <c r="DU62" s="62">
        <v>0.0</v>
      </c>
      <c r="DV62" s="62">
        <v>0.0</v>
      </c>
      <c r="DW62" s="62">
        <v>0.0</v>
      </c>
      <c r="DX62" s="62">
        <v>0.0</v>
      </c>
      <c r="DY62" s="62">
        <v>0.0</v>
      </c>
      <c r="DZ62" s="62">
        <v>0.0</v>
      </c>
      <c r="EA62" s="62">
        <v>0.0</v>
      </c>
      <c r="EB62" s="62">
        <v>0.0</v>
      </c>
      <c r="EC62" s="62">
        <v>0.0</v>
      </c>
      <c r="ED62" s="62">
        <v>0.0</v>
      </c>
      <c r="EE62" s="62">
        <v>0.0</v>
      </c>
      <c r="EF62" s="62">
        <v>0.0</v>
      </c>
      <c r="EG62" s="62">
        <v>0.0</v>
      </c>
      <c r="EH62" s="62">
        <v>0.0</v>
      </c>
      <c r="EI62" s="62">
        <v>0.0</v>
      </c>
      <c r="EJ62" s="62">
        <v>0.0</v>
      </c>
      <c r="EK62" s="62">
        <v>0.0</v>
      </c>
      <c r="EL62" s="62">
        <v>0.0</v>
      </c>
      <c r="EM62" s="62">
        <v>0.0</v>
      </c>
      <c r="EN62" s="62">
        <v>0.0</v>
      </c>
      <c r="EO62" s="62">
        <v>0.0</v>
      </c>
      <c r="EP62" s="62">
        <v>0.0</v>
      </c>
      <c r="EQ62" s="62">
        <v>0.0</v>
      </c>
      <c r="ER62" s="62">
        <v>0.0</v>
      </c>
      <c r="ES62" s="62">
        <v>0.0</v>
      </c>
      <c r="ET62" s="62">
        <v>0.0</v>
      </c>
      <c r="EU62" s="62">
        <v>0.0</v>
      </c>
      <c r="EV62" s="62">
        <v>0.0</v>
      </c>
      <c r="EW62" s="62">
        <v>0.0</v>
      </c>
      <c r="EX62" s="62">
        <v>0.0</v>
      </c>
      <c r="EY62" s="62">
        <v>0.0</v>
      </c>
      <c r="EZ62" s="62">
        <v>0.0</v>
      </c>
      <c r="FA62" s="62">
        <v>0.0</v>
      </c>
      <c r="FB62" s="62">
        <v>0.0</v>
      </c>
      <c r="FC62" s="62">
        <v>0.0</v>
      </c>
      <c r="FD62" s="62">
        <v>0.0</v>
      </c>
      <c r="FE62" s="62">
        <v>34982.0</v>
      </c>
      <c r="FF62" s="62">
        <v>0.0</v>
      </c>
      <c r="FG62" s="62">
        <v>0.0</v>
      </c>
      <c r="FH62" s="62">
        <v>0.0</v>
      </c>
      <c r="FI62" s="62">
        <v>0.0</v>
      </c>
      <c r="FJ62" s="62">
        <v>591625.0</v>
      </c>
      <c r="FK62" s="62">
        <v>7941935.0</v>
      </c>
      <c r="FL62" s="62">
        <v>0.0</v>
      </c>
      <c r="FM62" s="62">
        <v>0.0</v>
      </c>
      <c r="FN62" s="62">
        <v>0.0</v>
      </c>
      <c r="FO62" s="62">
        <v>0.0</v>
      </c>
      <c r="FP62" s="62">
        <v>0.0</v>
      </c>
      <c r="FQ62" s="62">
        <v>0.0</v>
      </c>
      <c r="FR62" s="62">
        <v>0.0</v>
      </c>
      <c r="FS62" s="62">
        <v>0.0</v>
      </c>
      <c r="FT62" s="62">
        <v>0.0</v>
      </c>
      <c r="FU62" s="62">
        <v>0.0</v>
      </c>
      <c r="FV62" s="62">
        <v>0.0</v>
      </c>
      <c r="FW62" s="62">
        <v>4055.0</v>
      </c>
      <c r="FX62" s="62">
        <v>213.0</v>
      </c>
      <c r="FY62" s="62">
        <v>88037.0</v>
      </c>
      <c r="FZ62" s="62">
        <v>0.0</v>
      </c>
      <c r="GA62" s="62">
        <v>82736.0</v>
      </c>
      <c r="GB62" s="62">
        <v>226929.0</v>
      </c>
      <c r="GC62" s="62">
        <v>61445.0</v>
      </c>
      <c r="GD62" s="62">
        <v>0.0</v>
      </c>
      <c r="GE62" s="62">
        <v>303902.0</v>
      </c>
      <c r="GF62" s="63">
        <v>1.9163416E7</v>
      </c>
      <c r="GG62" s="64">
        <v>2.61379E7</v>
      </c>
      <c r="GH62" s="65">
        <v>0.0</v>
      </c>
      <c r="GI62" s="64">
        <v>0.0</v>
      </c>
      <c r="GJ62" s="64">
        <v>0.0</v>
      </c>
      <c r="GK62" s="64">
        <v>-364488.0</v>
      </c>
      <c r="GL62" s="64">
        <v>1.0666312E7</v>
      </c>
      <c r="GM62" s="64">
        <v>0.0</v>
      </c>
      <c r="GN62" s="63">
        <v>3.6439724E7</v>
      </c>
      <c r="GO62" s="66">
        <v>5.560314E7</v>
      </c>
      <c r="GP62" s="64">
        <v>1.0739308E7</v>
      </c>
      <c r="GQ62" s="64">
        <v>0.0</v>
      </c>
      <c r="GR62" s="65">
        <v>0.0</v>
      </c>
      <c r="GS62" s="63">
        <v>1.0739308E7</v>
      </c>
      <c r="GT62" s="67">
        <v>3995811.0</v>
      </c>
      <c r="GU62" s="67">
        <v>6317328.0</v>
      </c>
      <c r="GV62" s="67">
        <v>655308.0</v>
      </c>
      <c r="GW62" s="63">
        <v>1.0968447E7</v>
      </c>
      <c r="GX62" s="63">
        <v>1730809.0</v>
      </c>
      <c r="GY62" s="63">
        <v>3.2164576E7</v>
      </c>
      <c r="GZ62" s="66">
        <v>5.560314E7</v>
      </c>
    </row>
    <row r="63" ht="15.75" customHeight="1">
      <c r="A63" s="60">
        <v>58.0</v>
      </c>
      <c r="B63" s="61" t="s">
        <v>103</v>
      </c>
      <c r="C63" s="62">
        <v>0.0</v>
      </c>
      <c r="D63" s="62">
        <v>0.0</v>
      </c>
      <c r="E63" s="62">
        <v>0.0</v>
      </c>
      <c r="F63" s="62">
        <v>0.0</v>
      </c>
      <c r="G63" s="62">
        <v>0.0</v>
      </c>
      <c r="H63" s="62">
        <v>0.0</v>
      </c>
      <c r="I63" s="62">
        <v>0.0</v>
      </c>
      <c r="J63" s="62">
        <v>0.0</v>
      </c>
      <c r="K63" s="62">
        <v>0.0</v>
      </c>
      <c r="L63" s="62">
        <v>0.0</v>
      </c>
      <c r="M63" s="62">
        <v>0.0</v>
      </c>
      <c r="N63" s="62">
        <v>0.0</v>
      </c>
      <c r="O63" s="62">
        <v>0.0</v>
      </c>
      <c r="P63" s="62">
        <v>0.0</v>
      </c>
      <c r="Q63" s="62">
        <v>0.0</v>
      </c>
      <c r="R63" s="62">
        <v>0.0</v>
      </c>
      <c r="S63" s="62">
        <v>0.0</v>
      </c>
      <c r="T63" s="62">
        <v>0.0</v>
      </c>
      <c r="U63" s="62">
        <v>0.0</v>
      </c>
      <c r="V63" s="62">
        <v>0.0</v>
      </c>
      <c r="W63" s="62">
        <v>0.0</v>
      </c>
      <c r="X63" s="62">
        <v>0.0</v>
      </c>
      <c r="Y63" s="62">
        <v>0.0</v>
      </c>
      <c r="Z63" s="62">
        <v>0.0</v>
      </c>
      <c r="AA63" s="62">
        <v>0.0</v>
      </c>
      <c r="AB63" s="62">
        <v>0.0</v>
      </c>
      <c r="AC63" s="62">
        <v>0.0</v>
      </c>
      <c r="AD63" s="62">
        <v>0.0</v>
      </c>
      <c r="AE63" s="62">
        <v>0.0</v>
      </c>
      <c r="AF63" s="62">
        <v>0.0</v>
      </c>
      <c r="AG63" s="62">
        <v>0.0</v>
      </c>
      <c r="AH63" s="62">
        <v>0.0</v>
      </c>
      <c r="AI63" s="62">
        <v>0.0</v>
      </c>
      <c r="AJ63" s="62">
        <v>0.0</v>
      </c>
      <c r="AK63" s="62">
        <v>0.0</v>
      </c>
      <c r="AL63" s="62">
        <v>0.0</v>
      </c>
      <c r="AM63" s="62">
        <v>0.0</v>
      </c>
      <c r="AN63" s="62">
        <v>0.0</v>
      </c>
      <c r="AO63" s="62">
        <v>0.0</v>
      </c>
      <c r="AP63" s="62">
        <v>0.0</v>
      </c>
      <c r="AQ63" s="62">
        <v>0.0</v>
      </c>
      <c r="AR63" s="62">
        <v>0.0</v>
      </c>
      <c r="AS63" s="62">
        <v>0.0</v>
      </c>
      <c r="AT63" s="62">
        <v>0.0</v>
      </c>
      <c r="AU63" s="62">
        <v>0.0</v>
      </c>
      <c r="AV63" s="62">
        <v>0.0</v>
      </c>
      <c r="AW63" s="62">
        <v>0.0</v>
      </c>
      <c r="AX63" s="62">
        <v>0.0</v>
      </c>
      <c r="AY63" s="62">
        <v>0.0</v>
      </c>
      <c r="AZ63" s="62">
        <v>0.0</v>
      </c>
      <c r="BA63" s="62">
        <v>0.0</v>
      </c>
      <c r="BB63" s="62">
        <v>0.0</v>
      </c>
      <c r="BC63" s="62">
        <v>61742.0</v>
      </c>
      <c r="BD63" s="62">
        <v>202314.0</v>
      </c>
      <c r="BE63" s="62">
        <v>0.0</v>
      </c>
      <c r="BF63" s="62">
        <v>0.0</v>
      </c>
      <c r="BG63" s="62">
        <v>75552.0</v>
      </c>
      <c r="BH63" s="62">
        <v>1.18684133E8</v>
      </c>
      <c r="BI63" s="62">
        <v>0.0</v>
      </c>
      <c r="BJ63" s="62">
        <v>8006788.0</v>
      </c>
      <c r="BK63" s="62">
        <v>0.0</v>
      </c>
      <c r="BL63" s="62">
        <v>0.0</v>
      </c>
      <c r="BM63" s="62">
        <v>0.0</v>
      </c>
      <c r="BN63" s="62">
        <v>1.194411E7</v>
      </c>
      <c r="BO63" s="62">
        <v>0.0</v>
      </c>
      <c r="BP63" s="62">
        <v>645941.0</v>
      </c>
      <c r="BQ63" s="62">
        <v>5306999.0</v>
      </c>
      <c r="BR63" s="62">
        <v>0.0</v>
      </c>
      <c r="BS63" s="62">
        <v>0.0</v>
      </c>
      <c r="BT63" s="62">
        <v>1097103.0</v>
      </c>
      <c r="BU63" s="62">
        <v>2144936.0</v>
      </c>
      <c r="BV63" s="62">
        <v>0.0</v>
      </c>
      <c r="BW63" s="62">
        <v>0.0</v>
      </c>
      <c r="BX63" s="62">
        <v>3915.0</v>
      </c>
      <c r="BY63" s="62">
        <v>0.0</v>
      </c>
      <c r="BZ63" s="62">
        <v>0.0</v>
      </c>
      <c r="CA63" s="62">
        <v>0.0</v>
      </c>
      <c r="CB63" s="62">
        <v>0.0</v>
      </c>
      <c r="CC63" s="62">
        <v>0.0</v>
      </c>
      <c r="CD63" s="62">
        <v>0.0</v>
      </c>
      <c r="CE63" s="62">
        <v>0.0</v>
      </c>
      <c r="CF63" s="62">
        <v>0.0</v>
      </c>
      <c r="CG63" s="62">
        <v>0.0</v>
      </c>
      <c r="CH63" s="62">
        <v>0.0</v>
      </c>
      <c r="CI63" s="62">
        <v>0.0</v>
      </c>
      <c r="CJ63" s="62">
        <v>0.0</v>
      </c>
      <c r="CK63" s="62">
        <v>0.0</v>
      </c>
      <c r="CL63" s="62">
        <v>0.0</v>
      </c>
      <c r="CM63" s="62">
        <v>0.0</v>
      </c>
      <c r="CN63" s="62">
        <v>0.0</v>
      </c>
      <c r="CO63" s="62">
        <v>0.0</v>
      </c>
      <c r="CP63" s="62">
        <v>0.0</v>
      </c>
      <c r="CQ63" s="62">
        <v>0.0</v>
      </c>
      <c r="CR63" s="62">
        <v>0.0</v>
      </c>
      <c r="CS63" s="62">
        <v>0.0</v>
      </c>
      <c r="CT63" s="62">
        <v>4.8731964E7</v>
      </c>
      <c r="CU63" s="62">
        <v>104517.0</v>
      </c>
      <c r="CV63" s="62">
        <v>69615.0</v>
      </c>
      <c r="CW63" s="62">
        <v>26621.0</v>
      </c>
      <c r="CX63" s="62">
        <v>7769752.0</v>
      </c>
      <c r="CY63" s="62">
        <v>662017.0</v>
      </c>
      <c r="CZ63" s="62">
        <v>3.1501328E7</v>
      </c>
      <c r="DA63" s="62">
        <v>1.5162192E7</v>
      </c>
      <c r="DB63" s="62">
        <v>2175806.0</v>
      </c>
      <c r="DC63" s="62">
        <v>806397.0</v>
      </c>
      <c r="DD63" s="62">
        <v>596989.0</v>
      </c>
      <c r="DE63" s="62">
        <v>0.0</v>
      </c>
      <c r="DF63" s="62">
        <v>0.0</v>
      </c>
      <c r="DG63" s="62">
        <v>0.0</v>
      </c>
      <c r="DH63" s="62">
        <v>0.0</v>
      </c>
      <c r="DI63" s="62">
        <v>0.0</v>
      </c>
      <c r="DJ63" s="62">
        <v>0.0</v>
      </c>
      <c r="DK63" s="62">
        <v>0.0</v>
      </c>
      <c r="DL63" s="62">
        <v>0.0</v>
      </c>
      <c r="DM63" s="62">
        <v>0.0</v>
      </c>
      <c r="DN63" s="62">
        <v>0.0</v>
      </c>
      <c r="DO63" s="62">
        <v>0.0</v>
      </c>
      <c r="DP63" s="62">
        <v>0.0</v>
      </c>
      <c r="DQ63" s="62">
        <v>0.0</v>
      </c>
      <c r="DR63" s="62">
        <v>0.0</v>
      </c>
      <c r="DS63" s="62">
        <v>0.0</v>
      </c>
      <c r="DT63" s="62">
        <v>0.0</v>
      </c>
      <c r="DU63" s="62">
        <v>0.0</v>
      </c>
      <c r="DV63" s="62">
        <v>0.0</v>
      </c>
      <c r="DW63" s="62">
        <v>0.0</v>
      </c>
      <c r="DX63" s="62">
        <v>0.0</v>
      </c>
      <c r="DY63" s="62">
        <v>0.0</v>
      </c>
      <c r="DZ63" s="62">
        <v>391.0</v>
      </c>
      <c r="EA63" s="62">
        <v>0.0</v>
      </c>
      <c r="EB63" s="62">
        <v>4.0</v>
      </c>
      <c r="EC63" s="62">
        <v>0.0</v>
      </c>
      <c r="ED63" s="62">
        <v>0.0</v>
      </c>
      <c r="EE63" s="62">
        <v>0.0</v>
      </c>
      <c r="EF63" s="62">
        <v>0.0</v>
      </c>
      <c r="EG63" s="62">
        <v>0.0</v>
      </c>
      <c r="EH63" s="62">
        <v>0.0</v>
      </c>
      <c r="EI63" s="62">
        <v>0.0</v>
      </c>
      <c r="EJ63" s="62">
        <v>0.0</v>
      </c>
      <c r="EK63" s="62">
        <v>0.0</v>
      </c>
      <c r="EL63" s="62">
        <v>0.0</v>
      </c>
      <c r="EM63" s="62">
        <v>0.0</v>
      </c>
      <c r="EN63" s="62">
        <v>0.0</v>
      </c>
      <c r="EO63" s="62">
        <v>0.0</v>
      </c>
      <c r="EP63" s="62">
        <v>0.0</v>
      </c>
      <c r="EQ63" s="62">
        <v>0.0</v>
      </c>
      <c r="ER63" s="62">
        <v>0.0</v>
      </c>
      <c r="ES63" s="62">
        <v>0.0</v>
      </c>
      <c r="ET63" s="62">
        <v>0.0</v>
      </c>
      <c r="EU63" s="62">
        <v>0.0</v>
      </c>
      <c r="EV63" s="62">
        <v>0.0</v>
      </c>
      <c r="EW63" s="62">
        <v>0.0</v>
      </c>
      <c r="EX63" s="62">
        <v>0.0</v>
      </c>
      <c r="EY63" s="62">
        <v>0.0</v>
      </c>
      <c r="EZ63" s="62">
        <v>0.0</v>
      </c>
      <c r="FA63" s="62">
        <v>0.0</v>
      </c>
      <c r="FB63" s="62">
        <v>0.0</v>
      </c>
      <c r="FC63" s="62">
        <v>0.0</v>
      </c>
      <c r="FD63" s="62">
        <v>0.0</v>
      </c>
      <c r="FE63" s="62">
        <v>765962.0</v>
      </c>
      <c r="FF63" s="62">
        <v>0.0</v>
      </c>
      <c r="FG63" s="62">
        <v>0.0</v>
      </c>
      <c r="FH63" s="62">
        <v>0.0</v>
      </c>
      <c r="FI63" s="62">
        <v>0.0</v>
      </c>
      <c r="FJ63" s="62">
        <v>3452388.0</v>
      </c>
      <c r="FK63" s="62">
        <v>5.8728127E7</v>
      </c>
      <c r="FL63" s="62">
        <v>0.0</v>
      </c>
      <c r="FM63" s="62">
        <v>0.0</v>
      </c>
      <c r="FN63" s="62">
        <v>0.0</v>
      </c>
      <c r="FO63" s="62">
        <v>0.0</v>
      </c>
      <c r="FP63" s="62">
        <v>0.0</v>
      </c>
      <c r="FQ63" s="62">
        <v>0.0</v>
      </c>
      <c r="FR63" s="62">
        <v>0.0</v>
      </c>
      <c r="FS63" s="62">
        <v>0.0</v>
      </c>
      <c r="FT63" s="62">
        <v>0.0</v>
      </c>
      <c r="FU63" s="62">
        <v>0.0</v>
      </c>
      <c r="FV63" s="62">
        <v>0.0</v>
      </c>
      <c r="FW63" s="62">
        <v>2043.0</v>
      </c>
      <c r="FX63" s="62">
        <v>5108.0</v>
      </c>
      <c r="FY63" s="62">
        <v>177316.0</v>
      </c>
      <c r="FZ63" s="62">
        <v>0.0</v>
      </c>
      <c r="GA63" s="62">
        <v>1358662.0</v>
      </c>
      <c r="GB63" s="62">
        <v>1071570.0</v>
      </c>
      <c r="GC63" s="62">
        <v>77506.0</v>
      </c>
      <c r="GD63" s="62">
        <v>0.0</v>
      </c>
      <c r="GE63" s="62">
        <v>232737.0</v>
      </c>
      <c r="GF63" s="63">
        <v>3.21652545E8</v>
      </c>
      <c r="GG63" s="64">
        <v>1.0222876E8</v>
      </c>
      <c r="GH63" s="65">
        <v>0.0</v>
      </c>
      <c r="GI63" s="64">
        <v>0.0</v>
      </c>
      <c r="GJ63" s="64">
        <v>0.0</v>
      </c>
      <c r="GK63" s="64">
        <v>1849592.0</v>
      </c>
      <c r="GL63" s="64">
        <v>3.03672343E8</v>
      </c>
      <c r="GM63" s="64">
        <v>0.0</v>
      </c>
      <c r="GN63" s="63">
        <v>4.07750695E8</v>
      </c>
      <c r="GO63" s="66">
        <v>7.2940324E8</v>
      </c>
      <c r="GP63" s="64">
        <v>3.2243773E7</v>
      </c>
      <c r="GQ63" s="64">
        <v>0.0</v>
      </c>
      <c r="GR63" s="65">
        <v>0.0</v>
      </c>
      <c r="GS63" s="63">
        <v>3.2243773E7</v>
      </c>
      <c r="GT63" s="67">
        <v>2.0253869E7</v>
      </c>
      <c r="GU63" s="67">
        <v>2.2159245E7</v>
      </c>
      <c r="GV63" s="67">
        <v>4719212.0</v>
      </c>
      <c r="GW63" s="63">
        <v>4.7132326E7</v>
      </c>
      <c r="GX63" s="63">
        <v>7344921.0</v>
      </c>
      <c r="GY63" s="63">
        <v>6.4268222E8</v>
      </c>
      <c r="GZ63" s="66">
        <v>7.2940324E8</v>
      </c>
    </row>
    <row r="64" ht="15.75" customHeight="1">
      <c r="A64" s="60">
        <v>59.0</v>
      </c>
      <c r="B64" s="61" t="s">
        <v>104</v>
      </c>
      <c r="C64" s="62">
        <v>0.0</v>
      </c>
      <c r="D64" s="62">
        <v>0.0</v>
      </c>
      <c r="E64" s="62">
        <v>0.0</v>
      </c>
      <c r="F64" s="62">
        <v>0.0</v>
      </c>
      <c r="G64" s="62">
        <v>0.0</v>
      </c>
      <c r="H64" s="62">
        <v>0.0</v>
      </c>
      <c r="I64" s="62">
        <v>0.0</v>
      </c>
      <c r="J64" s="62">
        <v>0.0</v>
      </c>
      <c r="K64" s="62">
        <v>0.0</v>
      </c>
      <c r="L64" s="62">
        <v>0.0</v>
      </c>
      <c r="M64" s="62">
        <v>0.0</v>
      </c>
      <c r="N64" s="62">
        <v>0.0</v>
      </c>
      <c r="O64" s="62">
        <v>0.0</v>
      </c>
      <c r="P64" s="62">
        <v>0.0</v>
      </c>
      <c r="Q64" s="62">
        <v>0.0</v>
      </c>
      <c r="R64" s="62">
        <v>0.0</v>
      </c>
      <c r="S64" s="62">
        <v>0.0</v>
      </c>
      <c r="T64" s="62">
        <v>0.0</v>
      </c>
      <c r="U64" s="62">
        <v>0.0</v>
      </c>
      <c r="V64" s="62">
        <v>0.0</v>
      </c>
      <c r="W64" s="62">
        <v>0.0</v>
      </c>
      <c r="X64" s="62">
        <v>0.0</v>
      </c>
      <c r="Y64" s="62">
        <v>0.0</v>
      </c>
      <c r="Z64" s="62">
        <v>0.0</v>
      </c>
      <c r="AA64" s="62">
        <v>0.0</v>
      </c>
      <c r="AB64" s="62">
        <v>540699.0</v>
      </c>
      <c r="AC64" s="62">
        <v>43176.0</v>
      </c>
      <c r="AD64" s="62">
        <v>37158.0</v>
      </c>
      <c r="AE64" s="62">
        <v>343.0</v>
      </c>
      <c r="AF64" s="62">
        <v>0.0</v>
      </c>
      <c r="AG64" s="62">
        <v>0.0</v>
      </c>
      <c r="AH64" s="62">
        <v>0.0</v>
      </c>
      <c r="AI64" s="62">
        <v>0.0</v>
      </c>
      <c r="AJ64" s="62">
        <v>0.0</v>
      </c>
      <c r="AK64" s="62">
        <v>0.0</v>
      </c>
      <c r="AL64" s="62">
        <v>0.0</v>
      </c>
      <c r="AM64" s="62">
        <v>0.0</v>
      </c>
      <c r="AN64" s="62">
        <v>0.0</v>
      </c>
      <c r="AO64" s="62">
        <v>0.0</v>
      </c>
      <c r="AP64" s="62">
        <v>0.0</v>
      </c>
      <c r="AQ64" s="62">
        <v>0.0</v>
      </c>
      <c r="AR64" s="62">
        <v>0.0</v>
      </c>
      <c r="AS64" s="62">
        <v>0.0</v>
      </c>
      <c r="AT64" s="62">
        <v>0.0</v>
      </c>
      <c r="AU64" s="62">
        <v>0.0</v>
      </c>
      <c r="AV64" s="62">
        <v>0.0</v>
      </c>
      <c r="AW64" s="62">
        <v>0.0</v>
      </c>
      <c r="AX64" s="62">
        <v>0.0</v>
      </c>
      <c r="AY64" s="62">
        <v>0.0</v>
      </c>
      <c r="AZ64" s="62">
        <v>0.0</v>
      </c>
      <c r="BA64" s="62">
        <v>0.0</v>
      </c>
      <c r="BB64" s="62">
        <v>0.0</v>
      </c>
      <c r="BC64" s="62">
        <v>9250.0</v>
      </c>
      <c r="BD64" s="62">
        <v>13343.0</v>
      </c>
      <c r="BE64" s="62">
        <v>0.0</v>
      </c>
      <c r="BF64" s="62">
        <v>14758.0</v>
      </c>
      <c r="BG64" s="62">
        <v>312.0</v>
      </c>
      <c r="BH64" s="62">
        <v>8190965.0</v>
      </c>
      <c r="BI64" s="62">
        <v>2861930.0</v>
      </c>
      <c r="BJ64" s="62">
        <v>0.0</v>
      </c>
      <c r="BK64" s="62">
        <v>0.0</v>
      </c>
      <c r="BL64" s="62">
        <v>0.0</v>
      </c>
      <c r="BM64" s="62">
        <v>0.0</v>
      </c>
      <c r="BN64" s="62">
        <v>29239.0</v>
      </c>
      <c r="BO64" s="62">
        <v>0.0</v>
      </c>
      <c r="BP64" s="62">
        <v>125.0</v>
      </c>
      <c r="BQ64" s="62">
        <v>0.0</v>
      </c>
      <c r="BR64" s="62">
        <v>0.0</v>
      </c>
      <c r="BS64" s="62">
        <v>0.0</v>
      </c>
      <c r="BT64" s="62">
        <v>4102.0</v>
      </c>
      <c r="BU64" s="62">
        <v>109414.0</v>
      </c>
      <c r="BV64" s="62">
        <v>0.0</v>
      </c>
      <c r="BW64" s="62">
        <v>0.0</v>
      </c>
      <c r="BX64" s="62">
        <v>3865.0</v>
      </c>
      <c r="BY64" s="62">
        <v>0.0</v>
      </c>
      <c r="BZ64" s="62">
        <v>0.0</v>
      </c>
      <c r="CA64" s="62">
        <v>0.0</v>
      </c>
      <c r="CB64" s="62">
        <v>0.0</v>
      </c>
      <c r="CC64" s="62">
        <v>0.0</v>
      </c>
      <c r="CD64" s="62">
        <v>0.0</v>
      </c>
      <c r="CE64" s="62">
        <v>0.0</v>
      </c>
      <c r="CF64" s="62">
        <v>0.0</v>
      </c>
      <c r="CG64" s="62">
        <v>7141.0</v>
      </c>
      <c r="CH64" s="62">
        <v>0.0</v>
      </c>
      <c r="CI64" s="62">
        <v>0.0</v>
      </c>
      <c r="CJ64" s="62">
        <v>0.0</v>
      </c>
      <c r="CK64" s="62">
        <v>0.0</v>
      </c>
      <c r="CL64" s="62">
        <v>0.0</v>
      </c>
      <c r="CM64" s="62">
        <v>0.0</v>
      </c>
      <c r="CN64" s="62">
        <v>0.0</v>
      </c>
      <c r="CO64" s="62">
        <v>0.0</v>
      </c>
      <c r="CP64" s="62">
        <v>0.0</v>
      </c>
      <c r="CQ64" s="62">
        <v>0.0</v>
      </c>
      <c r="CR64" s="62">
        <v>0.0</v>
      </c>
      <c r="CS64" s="62">
        <v>0.0</v>
      </c>
      <c r="CT64" s="62">
        <v>259.0</v>
      </c>
      <c r="CU64" s="62">
        <v>3532.0</v>
      </c>
      <c r="CV64" s="62">
        <v>0.0</v>
      </c>
      <c r="CW64" s="62">
        <v>0.0</v>
      </c>
      <c r="CX64" s="62">
        <v>765334.0</v>
      </c>
      <c r="CY64" s="62">
        <v>0.0</v>
      </c>
      <c r="CZ64" s="62">
        <v>203857.0</v>
      </c>
      <c r="DA64" s="62">
        <v>4910.0</v>
      </c>
      <c r="DB64" s="62">
        <v>12314.0</v>
      </c>
      <c r="DC64" s="62">
        <v>31413.0</v>
      </c>
      <c r="DD64" s="62">
        <v>44.0</v>
      </c>
      <c r="DE64" s="62">
        <v>0.0</v>
      </c>
      <c r="DF64" s="62">
        <v>0.0</v>
      </c>
      <c r="DG64" s="62">
        <v>0.0</v>
      </c>
      <c r="DH64" s="62">
        <v>0.0</v>
      </c>
      <c r="DI64" s="62">
        <v>0.0</v>
      </c>
      <c r="DJ64" s="62">
        <v>0.0</v>
      </c>
      <c r="DK64" s="62">
        <v>0.0</v>
      </c>
      <c r="DL64" s="62">
        <v>0.0</v>
      </c>
      <c r="DM64" s="62">
        <v>0.0</v>
      </c>
      <c r="DN64" s="62">
        <v>0.0</v>
      </c>
      <c r="DO64" s="62">
        <v>0.0</v>
      </c>
      <c r="DP64" s="62">
        <v>0.0</v>
      </c>
      <c r="DQ64" s="62">
        <v>0.0</v>
      </c>
      <c r="DR64" s="62">
        <v>0.0</v>
      </c>
      <c r="DS64" s="62">
        <v>0.0</v>
      </c>
      <c r="DT64" s="62">
        <v>0.0</v>
      </c>
      <c r="DU64" s="62">
        <v>0.0</v>
      </c>
      <c r="DV64" s="62">
        <v>0.0</v>
      </c>
      <c r="DW64" s="62">
        <v>0.0</v>
      </c>
      <c r="DX64" s="62">
        <v>0.0</v>
      </c>
      <c r="DY64" s="62">
        <v>0.0</v>
      </c>
      <c r="DZ64" s="62">
        <v>0.0</v>
      </c>
      <c r="EA64" s="62">
        <v>0.0</v>
      </c>
      <c r="EB64" s="62">
        <v>0.0</v>
      </c>
      <c r="EC64" s="62">
        <v>0.0</v>
      </c>
      <c r="ED64" s="62">
        <v>0.0</v>
      </c>
      <c r="EE64" s="62">
        <v>0.0</v>
      </c>
      <c r="EF64" s="62">
        <v>0.0</v>
      </c>
      <c r="EG64" s="62">
        <v>0.0</v>
      </c>
      <c r="EH64" s="62">
        <v>0.0</v>
      </c>
      <c r="EI64" s="62">
        <v>0.0</v>
      </c>
      <c r="EJ64" s="62">
        <v>0.0</v>
      </c>
      <c r="EK64" s="62">
        <v>0.0</v>
      </c>
      <c r="EL64" s="62">
        <v>0.0</v>
      </c>
      <c r="EM64" s="62">
        <v>0.0</v>
      </c>
      <c r="EN64" s="62">
        <v>0.0</v>
      </c>
      <c r="EO64" s="62">
        <v>0.0</v>
      </c>
      <c r="EP64" s="62">
        <v>0.0</v>
      </c>
      <c r="EQ64" s="62">
        <v>0.0</v>
      </c>
      <c r="ER64" s="62">
        <v>0.0</v>
      </c>
      <c r="ES64" s="62">
        <v>0.0</v>
      </c>
      <c r="ET64" s="62">
        <v>0.0</v>
      </c>
      <c r="EU64" s="62">
        <v>0.0</v>
      </c>
      <c r="EV64" s="62">
        <v>0.0</v>
      </c>
      <c r="EW64" s="62">
        <v>0.0</v>
      </c>
      <c r="EX64" s="62">
        <v>0.0</v>
      </c>
      <c r="EY64" s="62">
        <v>0.0</v>
      </c>
      <c r="EZ64" s="62">
        <v>0.0</v>
      </c>
      <c r="FA64" s="62">
        <v>0.0</v>
      </c>
      <c r="FB64" s="62">
        <v>0.0</v>
      </c>
      <c r="FC64" s="62">
        <v>0.0</v>
      </c>
      <c r="FD64" s="62">
        <v>0.0</v>
      </c>
      <c r="FE64" s="62">
        <v>0.0</v>
      </c>
      <c r="FF64" s="62">
        <v>0.0</v>
      </c>
      <c r="FG64" s="62">
        <v>0.0</v>
      </c>
      <c r="FH64" s="62">
        <v>0.0</v>
      </c>
      <c r="FI64" s="62">
        <v>0.0</v>
      </c>
      <c r="FJ64" s="62">
        <v>1037662.0</v>
      </c>
      <c r="FK64" s="62">
        <v>1.0545784E7</v>
      </c>
      <c r="FL64" s="62">
        <v>0.0</v>
      </c>
      <c r="FM64" s="62">
        <v>0.0</v>
      </c>
      <c r="FN64" s="62">
        <v>0.0</v>
      </c>
      <c r="FO64" s="62">
        <v>0.0</v>
      </c>
      <c r="FP64" s="62">
        <v>0.0</v>
      </c>
      <c r="FQ64" s="62">
        <v>0.0</v>
      </c>
      <c r="FR64" s="62">
        <v>0.0</v>
      </c>
      <c r="FS64" s="62">
        <v>0.0</v>
      </c>
      <c r="FT64" s="62">
        <v>0.0</v>
      </c>
      <c r="FU64" s="62">
        <v>0.0</v>
      </c>
      <c r="FV64" s="62">
        <v>0.0</v>
      </c>
      <c r="FW64" s="62">
        <v>2592.0</v>
      </c>
      <c r="FX64" s="62">
        <v>210.0</v>
      </c>
      <c r="FY64" s="62">
        <v>38029.0</v>
      </c>
      <c r="FZ64" s="62">
        <v>0.0</v>
      </c>
      <c r="GA64" s="62">
        <v>42143.0</v>
      </c>
      <c r="GB64" s="62">
        <v>138611.0</v>
      </c>
      <c r="GC64" s="62">
        <v>93542.0</v>
      </c>
      <c r="GD64" s="62">
        <v>0.0</v>
      </c>
      <c r="GE64" s="62">
        <v>110069.0</v>
      </c>
      <c r="GF64" s="63">
        <v>2.4896125E7</v>
      </c>
      <c r="GG64" s="64">
        <v>179319.0</v>
      </c>
      <c r="GH64" s="65">
        <v>0.0</v>
      </c>
      <c r="GI64" s="64">
        <v>0.0</v>
      </c>
      <c r="GJ64" s="64">
        <v>0.0</v>
      </c>
      <c r="GK64" s="64">
        <v>-471.0</v>
      </c>
      <c r="GL64" s="64">
        <v>8386567.0</v>
      </c>
      <c r="GM64" s="64">
        <v>0.0</v>
      </c>
      <c r="GN64" s="63">
        <v>8565415.0</v>
      </c>
      <c r="GO64" s="66">
        <v>3.346154E7</v>
      </c>
      <c r="GP64" s="64">
        <v>637342.0</v>
      </c>
      <c r="GQ64" s="64">
        <v>0.0</v>
      </c>
      <c r="GR64" s="65">
        <v>0.0</v>
      </c>
      <c r="GS64" s="63">
        <v>637342.0</v>
      </c>
      <c r="GT64" s="67">
        <v>4046990.0</v>
      </c>
      <c r="GU64" s="67">
        <v>3060655.0</v>
      </c>
      <c r="GV64" s="67">
        <v>804873.0</v>
      </c>
      <c r="GW64" s="63">
        <v>7912518.0</v>
      </c>
      <c r="GX64" s="63">
        <v>11418.0</v>
      </c>
      <c r="GY64" s="63">
        <v>2.4900262E7</v>
      </c>
      <c r="GZ64" s="66">
        <v>3.346154E7</v>
      </c>
    </row>
    <row r="65" ht="15.75" customHeight="1">
      <c r="A65" s="68">
        <v>60.0</v>
      </c>
      <c r="B65" s="69" t="s">
        <v>105</v>
      </c>
      <c r="C65" s="70">
        <v>0.0</v>
      </c>
      <c r="D65" s="70">
        <v>0.0</v>
      </c>
      <c r="E65" s="70">
        <v>0.0</v>
      </c>
      <c r="F65" s="70">
        <v>0.0</v>
      </c>
      <c r="G65" s="70">
        <v>0.0</v>
      </c>
      <c r="H65" s="70">
        <v>0.0</v>
      </c>
      <c r="I65" s="70">
        <v>0.0</v>
      </c>
      <c r="J65" s="70">
        <v>0.0</v>
      </c>
      <c r="K65" s="70">
        <v>0.0</v>
      </c>
      <c r="L65" s="70">
        <v>0.0</v>
      </c>
      <c r="M65" s="70">
        <v>0.0</v>
      </c>
      <c r="N65" s="70">
        <v>0.0</v>
      </c>
      <c r="O65" s="70">
        <v>0.0</v>
      </c>
      <c r="P65" s="70">
        <v>0.0</v>
      </c>
      <c r="Q65" s="70">
        <v>0.0</v>
      </c>
      <c r="R65" s="70">
        <v>0.0</v>
      </c>
      <c r="S65" s="70">
        <v>0.0</v>
      </c>
      <c r="T65" s="70">
        <v>0.0</v>
      </c>
      <c r="U65" s="70">
        <v>0.0</v>
      </c>
      <c r="V65" s="70">
        <v>0.0</v>
      </c>
      <c r="W65" s="70">
        <v>0.0</v>
      </c>
      <c r="X65" s="70">
        <v>0.0</v>
      </c>
      <c r="Y65" s="70">
        <v>0.0</v>
      </c>
      <c r="Z65" s="70">
        <v>0.0</v>
      </c>
      <c r="AA65" s="70">
        <v>0.0</v>
      </c>
      <c r="AB65" s="70">
        <v>0.0</v>
      </c>
      <c r="AC65" s="70">
        <v>0.0</v>
      </c>
      <c r="AD65" s="70">
        <v>0.0</v>
      </c>
      <c r="AE65" s="70">
        <v>0.0</v>
      </c>
      <c r="AF65" s="70">
        <v>0.0</v>
      </c>
      <c r="AG65" s="70">
        <v>0.0</v>
      </c>
      <c r="AH65" s="70">
        <v>0.0</v>
      </c>
      <c r="AI65" s="70">
        <v>0.0</v>
      </c>
      <c r="AJ65" s="70">
        <v>0.0</v>
      </c>
      <c r="AK65" s="70">
        <v>0.0</v>
      </c>
      <c r="AL65" s="70">
        <v>0.0</v>
      </c>
      <c r="AM65" s="70">
        <v>0.0</v>
      </c>
      <c r="AN65" s="70">
        <v>0.0</v>
      </c>
      <c r="AO65" s="70">
        <v>0.0</v>
      </c>
      <c r="AP65" s="70">
        <v>0.0</v>
      </c>
      <c r="AQ65" s="70">
        <v>0.0</v>
      </c>
      <c r="AR65" s="70">
        <v>0.0</v>
      </c>
      <c r="AS65" s="70">
        <v>0.0</v>
      </c>
      <c r="AT65" s="70">
        <v>0.0</v>
      </c>
      <c r="AU65" s="70">
        <v>0.0</v>
      </c>
      <c r="AV65" s="70">
        <v>0.0</v>
      </c>
      <c r="AW65" s="70">
        <v>0.0</v>
      </c>
      <c r="AX65" s="70">
        <v>0.0</v>
      </c>
      <c r="AY65" s="70">
        <v>0.0</v>
      </c>
      <c r="AZ65" s="70">
        <v>0.0</v>
      </c>
      <c r="BA65" s="70">
        <v>0.0</v>
      </c>
      <c r="BB65" s="70">
        <v>0.0</v>
      </c>
      <c r="BC65" s="70">
        <v>14317.0</v>
      </c>
      <c r="BD65" s="70">
        <v>0.0</v>
      </c>
      <c r="BE65" s="70">
        <v>0.0</v>
      </c>
      <c r="BF65" s="70">
        <v>0.0</v>
      </c>
      <c r="BG65" s="70">
        <v>1813.0</v>
      </c>
      <c r="BH65" s="70">
        <v>0.0</v>
      </c>
      <c r="BI65" s="70">
        <v>0.0</v>
      </c>
      <c r="BJ65" s="70">
        <v>1.3809933E7</v>
      </c>
      <c r="BK65" s="70">
        <v>228232.0</v>
      </c>
      <c r="BL65" s="70">
        <v>0.0</v>
      </c>
      <c r="BM65" s="70">
        <v>0.0</v>
      </c>
      <c r="BN65" s="70">
        <v>274712.0</v>
      </c>
      <c r="BO65" s="70">
        <v>0.0</v>
      </c>
      <c r="BP65" s="70">
        <v>515395.0</v>
      </c>
      <c r="BQ65" s="70">
        <v>2449318.0</v>
      </c>
      <c r="BR65" s="70">
        <v>10305.0</v>
      </c>
      <c r="BS65" s="70">
        <v>1258.0</v>
      </c>
      <c r="BT65" s="70">
        <v>0.0</v>
      </c>
      <c r="BU65" s="70">
        <v>600056.0</v>
      </c>
      <c r="BV65" s="70">
        <v>174683.0</v>
      </c>
      <c r="BW65" s="70">
        <v>223.0</v>
      </c>
      <c r="BX65" s="70">
        <v>2498.0</v>
      </c>
      <c r="BY65" s="70">
        <v>0.0</v>
      </c>
      <c r="BZ65" s="70">
        <v>0.0</v>
      </c>
      <c r="CA65" s="70">
        <v>0.0</v>
      </c>
      <c r="CB65" s="70">
        <v>0.0</v>
      </c>
      <c r="CC65" s="70">
        <v>0.0</v>
      </c>
      <c r="CD65" s="70">
        <v>0.0</v>
      </c>
      <c r="CE65" s="70">
        <v>0.0</v>
      </c>
      <c r="CF65" s="70">
        <v>0.0</v>
      </c>
      <c r="CG65" s="70">
        <v>0.0</v>
      </c>
      <c r="CH65" s="70">
        <v>0.0</v>
      </c>
      <c r="CI65" s="70">
        <v>0.0</v>
      </c>
      <c r="CJ65" s="70">
        <v>0.0</v>
      </c>
      <c r="CK65" s="70">
        <v>0.0</v>
      </c>
      <c r="CL65" s="70">
        <v>0.0</v>
      </c>
      <c r="CM65" s="70">
        <v>0.0</v>
      </c>
      <c r="CN65" s="70">
        <v>0.0</v>
      </c>
      <c r="CO65" s="70">
        <v>0.0</v>
      </c>
      <c r="CP65" s="70">
        <v>0.0</v>
      </c>
      <c r="CQ65" s="70">
        <v>0.0</v>
      </c>
      <c r="CR65" s="70">
        <v>0.0</v>
      </c>
      <c r="CS65" s="70">
        <v>0.0</v>
      </c>
      <c r="CT65" s="70">
        <v>0.0</v>
      </c>
      <c r="CU65" s="70">
        <v>0.0</v>
      </c>
      <c r="CV65" s="70">
        <v>0.0</v>
      </c>
      <c r="CW65" s="70">
        <v>0.0</v>
      </c>
      <c r="CX65" s="70">
        <v>0.0</v>
      </c>
      <c r="CY65" s="70">
        <v>0.0</v>
      </c>
      <c r="CZ65" s="70">
        <v>0.0</v>
      </c>
      <c r="DA65" s="70">
        <v>0.0</v>
      </c>
      <c r="DB65" s="70">
        <v>0.0</v>
      </c>
      <c r="DC65" s="70">
        <v>16459.0</v>
      </c>
      <c r="DD65" s="70">
        <v>22382.0</v>
      </c>
      <c r="DE65" s="70">
        <v>0.0</v>
      </c>
      <c r="DF65" s="70">
        <v>0.0</v>
      </c>
      <c r="DG65" s="70">
        <v>0.0</v>
      </c>
      <c r="DH65" s="70">
        <v>0.0</v>
      </c>
      <c r="DI65" s="70">
        <v>0.0</v>
      </c>
      <c r="DJ65" s="70">
        <v>0.0</v>
      </c>
      <c r="DK65" s="70">
        <v>0.0</v>
      </c>
      <c r="DL65" s="70">
        <v>0.0</v>
      </c>
      <c r="DM65" s="70">
        <v>0.0</v>
      </c>
      <c r="DN65" s="70">
        <v>0.0</v>
      </c>
      <c r="DO65" s="70">
        <v>0.0</v>
      </c>
      <c r="DP65" s="70">
        <v>0.0</v>
      </c>
      <c r="DQ65" s="70">
        <v>0.0</v>
      </c>
      <c r="DR65" s="70">
        <v>0.0</v>
      </c>
      <c r="DS65" s="70">
        <v>0.0</v>
      </c>
      <c r="DT65" s="70">
        <v>0.0</v>
      </c>
      <c r="DU65" s="70">
        <v>0.0</v>
      </c>
      <c r="DV65" s="70">
        <v>0.0</v>
      </c>
      <c r="DW65" s="70">
        <v>0.0</v>
      </c>
      <c r="DX65" s="70">
        <v>0.0</v>
      </c>
      <c r="DY65" s="70">
        <v>0.0</v>
      </c>
      <c r="DZ65" s="70">
        <v>0.0</v>
      </c>
      <c r="EA65" s="70">
        <v>0.0</v>
      </c>
      <c r="EB65" s="70">
        <v>0.0</v>
      </c>
      <c r="EC65" s="70">
        <v>0.0</v>
      </c>
      <c r="ED65" s="70">
        <v>0.0</v>
      </c>
      <c r="EE65" s="70">
        <v>0.0</v>
      </c>
      <c r="EF65" s="70">
        <v>0.0</v>
      </c>
      <c r="EG65" s="70">
        <v>0.0</v>
      </c>
      <c r="EH65" s="70">
        <v>0.0</v>
      </c>
      <c r="EI65" s="70">
        <v>0.0</v>
      </c>
      <c r="EJ65" s="70">
        <v>0.0</v>
      </c>
      <c r="EK65" s="70">
        <v>0.0</v>
      </c>
      <c r="EL65" s="70">
        <v>0.0</v>
      </c>
      <c r="EM65" s="70">
        <v>0.0</v>
      </c>
      <c r="EN65" s="70">
        <v>0.0</v>
      </c>
      <c r="EO65" s="70">
        <v>0.0</v>
      </c>
      <c r="EP65" s="70">
        <v>0.0</v>
      </c>
      <c r="EQ65" s="70">
        <v>0.0</v>
      </c>
      <c r="ER65" s="70">
        <v>0.0</v>
      </c>
      <c r="ES65" s="70">
        <v>0.0</v>
      </c>
      <c r="ET65" s="70">
        <v>0.0</v>
      </c>
      <c r="EU65" s="70">
        <v>0.0</v>
      </c>
      <c r="EV65" s="70">
        <v>0.0</v>
      </c>
      <c r="EW65" s="70">
        <v>0.0</v>
      </c>
      <c r="EX65" s="70">
        <v>0.0</v>
      </c>
      <c r="EY65" s="70">
        <v>0.0</v>
      </c>
      <c r="EZ65" s="70">
        <v>0.0</v>
      </c>
      <c r="FA65" s="70">
        <v>0.0</v>
      </c>
      <c r="FB65" s="70">
        <v>0.0</v>
      </c>
      <c r="FC65" s="70">
        <v>0.0</v>
      </c>
      <c r="FD65" s="70">
        <v>0.0</v>
      </c>
      <c r="FE65" s="70">
        <v>99973.0</v>
      </c>
      <c r="FF65" s="70">
        <v>0.0</v>
      </c>
      <c r="FG65" s="70">
        <v>0.0</v>
      </c>
      <c r="FH65" s="70">
        <v>0.0</v>
      </c>
      <c r="FI65" s="70">
        <v>0.0</v>
      </c>
      <c r="FJ65" s="70">
        <v>609119.0</v>
      </c>
      <c r="FK65" s="70">
        <v>5489281.0</v>
      </c>
      <c r="FL65" s="70">
        <v>0.0</v>
      </c>
      <c r="FM65" s="70">
        <v>0.0</v>
      </c>
      <c r="FN65" s="70">
        <v>0.0</v>
      </c>
      <c r="FO65" s="70">
        <v>0.0</v>
      </c>
      <c r="FP65" s="70">
        <v>0.0</v>
      </c>
      <c r="FQ65" s="70">
        <v>0.0</v>
      </c>
      <c r="FR65" s="70">
        <v>0.0</v>
      </c>
      <c r="FS65" s="70">
        <v>0.0</v>
      </c>
      <c r="FT65" s="70">
        <v>0.0</v>
      </c>
      <c r="FU65" s="70">
        <v>0.0</v>
      </c>
      <c r="FV65" s="70">
        <v>0.0</v>
      </c>
      <c r="FW65" s="70">
        <v>16701.0</v>
      </c>
      <c r="FX65" s="70">
        <v>877.0</v>
      </c>
      <c r="FY65" s="70">
        <v>404768.0</v>
      </c>
      <c r="FZ65" s="70">
        <v>0.0</v>
      </c>
      <c r="GA65" s="70">
        <v>228705.0</v>
      </c>
      <c r="GB65" s="70">
        <v>1586546.0</v>
      </c>
      <c r="GC65" s="70">
        <v>27301.0</v>
      </c>
      <c r="GD65" s="70">
        <v>0.0</v>
      </c>
      <c r="GE65" s="70">
        <v>1074251.0</v>
      </c>
      <c r="GF65" s="71">
        <v>2.7659106E7</v>
      </c>
      <c r="GG65" s="72">
        <v>1.36607359E8</v>
      </c>
      <c r="GH65" s="73">
        <v>0.0</v>
      </c>
      <c r="GI65" s="72">
        <v>0.0</v>
      </c>
      <c r="GJ65" s="72">
        <v>0.0</v>
      </c>
      <c r="GK65" s="72">
        <v>1443640.0</v>
      </c>
      <c r="GL65" s="72">
        <v>1033228.0</v>
      </c>
      <c r="GM65" s="72">
        <v>0.0</v>
      </c>
      <c r="GN65" s="71">
        <v>1.39084227E8</v>
      </c>
      <c r="GO65" s="74">
        <v>1.66743333E8</v>
      </c>
      <c r="GP65" s="72">
        <v>1.7774637E7</v>
      </c>
      <c r="GQ65" s="72">
        <v>0.0</v>
      </c>
      <c r="GR65" s="73">
        <v>0.0</v>
      </c>
      <c r="GS65" s="71">
        <v>1.7774637E7</v>
      </c>
      <c r="GT65" s="75">
        <v>1.0471795E7</v>
      </c>
      <c r="GU65" s="75">
        <v>1.1834406E7</v>
      </c>
      <c r="GV65" s="75">
        <v>1890555.0</v>
      </c>
      <c r="GW65" s="71">
        <v>2.4196756E7</v>
      </c>
      <c r="GX65" s="71">
        <v>4706703.0</v>
      </c>
      <c r="GY65" s="71">
        <v>1.20065237E8</v>
      </c>
      <c r="GZ65" s="74">
        <v>1.66743333E8</v>
      </c>
    </row>
    <row r="66" ht="15.75" customHeight="1">
      <c r="A66" s="52">
        <v>61.0</v>
      </c>
      <c r="B66" s="53" t="s">
        <v>106</v>
      </c>
      <c r="C66" s="54">
        <v>0.0</v>
      </c>
      <c r="D66" s="54">
        <v>0.0</v>
      </c>
      <c r="E66" s="54">
        <v>0.0</v>
      </c>
      <c r="F66" s="54">
        <v>0.0</v>
      </c>
      <c r="G66" s="54">
        <v>0.0</v>
      </c>
      <c r="H66" s="54">
        <v>0.0</v>
      </c>
      <c r="I66" s="54">
        <v>0.0</v>
      </c>
      <c r="J66" s="54">
        <v>0.0</v>
      </c>
      <c r="K66" s="54">
        <v>0.0</v>
      </c>
      <c r="L66" s="54">
        <v>0.0</v>
      </c>
      <c r="M66" s="54">
        <v>0.0</v>
      </c>
      <c r="N66" s="54">
        <v>0.0</v>
      </c>
      <c r="O66" s="54">
        <v>0.0</v>
      </c>
      <c r="P66" s="54">
        <v>0.0</v>
      </c>
      <c r="Q66" s="54">
        <v>0.0</v>
      </c>
      <c r="R66" s="54">
        <v>0.0</v>
      </c>
      <c r="S66" s="54">
        <v>0.0</v>
      </c>
      <c r="T66" s="54">
        <v>0.0</v>
      </c>
      <c r="U66" s="54">
        <v>0.0</v>
      </c>
      <c r="V66" s="54">
        <v>0.0</v>
      </c>
      <c r="W66" s="54">
        <v>0.0</v>
      </c>
      <c r="X66" s="54">
        <v>0.0</v>
      </c>
      <c r="Y66" s="54">
        <v>0.0</v>
      </c>
      <c r="Z66" s="54">
        <v>0.0</v>
      </c>
      <c r="AA66" s="54">
        <v>0.0</v>
      </c>
      <c r="AB66" s="54">
        <v>0.0</v>
      </c>
      <c r="AC66" s="54">
        <v>0.0</v>
      </c>
      <c r="AD66" s="54">
        <v>0.0</v>
      </c>
      <c r="AE66" s="54">
        <v>0.0</v>
      </c>
      <c r="AF66" s="54">
        <v>0.0</v>
      </c>
      <c r="AG66" s="54">
        <v>0.0</v>
      </c>
      <c r="AH66" s="54">
        <v>0.0</v>
      </c>
      <c r="AI66" s="54">
        <v>0.0</v>
      </c>
      <c r="AJ66" s="54">
        <v>0.0</v>
      </c>
      <c r="AK66" s="54">
        <v>0.0</v>
      </c>
      <c r="AL66" s="54">
        <v>0.0</v>
      </c>
      <c r="AM66" s="54">
        <v>0.0</v>
      </c>
      <c r="AN66" s="54">
        <v>0.0</v>
      </c>
      <c r="AO66" s="54">
        <v>0.0</v>
      </c>
      <c r="AP66" s="54">
        <v>0.0</v>
      </c>
      <c r="AQ66" s="54">
        <v>0.0</v>
      </c>
      <c r="AR66" s="54">
        <v>0.0</v>
      </c>
      <c r="AS66" s="54">
        <v>0.0</v>
      </c>
      <c r="AT66" s="54">
        <v>0.0</v>
      </c>
      <c r="AU66" s="54">
        <v>0.0</v>
      </c>
      <c r="AV66" s="54">
        <v>0.0</v>
      </c>
      <c r="AW66" s="54">
        <v>0.0</v>
      </c>
      <c r="AX66" s="54">
        <v>0.0</v>
      </c>
      <c r="AY66" s="54">
        <v>0.0</v>
      </c>
      <c r="AZ66" s="54">
        <v>0.0</v>
      </c>
      <c r="BA66" s="54">
        <v>0.0</v>
      </c>
      <c r="BB66" s="54">
        <v>0.0</v>
      </c>
      <c r="BC66" s="54">
        <v>135959.0</v>
      </c>
      <c r="BD66" s="54">
        <v>0.0</v>
      </c>
      <c r="BE66" s="54">
        <v>0.0</v>
      </c>
      <c r="BF66" s="54">
        <v>30625.0</v>
      </c>
      <c r="BG66" s="54">
        <v>201214.0</v>
      </c>
      <c r="BH66" s="54">
        <v>408972.0</v>
      </c>
      <c r="BI66" s="54">
        <v>0.0</v>
      </c>
      <c r="BJ66" s="54">
        <v>1110251.0</v>
      </c>
      <c r="BK66" s="54">
        <v>537522.0</v>
      </c>
      <c r="BL66" s="54">
        <v>20816.0</v>
      </c>
      <c r="BM66" s="54">
        <v>0.0</v>
      </c>
      <c r="BN66" s="54">
        <v>6905851.0</v>
      </c>
      <c r="BO66" s="54">
        <v>754104.0</v>
      </c>
      <c r="BP66" s="54">
        <v>210803.0</v>
      </c>
      <c r="BQ66" s="54">
        <v>1.2217533E7</v>
      </c>
      <c r="BR66" s="54">
        <v>0.0</v>
      </c>
      <c r="BS66" s="54">
        <v>0.0</v>
      </c>
      <c r="BT66" s="54">
        <v>435307.0</v>
      </c>
      <c r="BU66" s="54">
        <v>1927120.0</v>
      </c>
      <c r="BV66" s="54">
        <v>2265641.0</v>
      </c>
      <c r="BW66" s="54">
        <v>2882.0</v>
      </c>
      <c r="BX66" s="54">
        <v>18724.0</v>
      </c>
      <c r="BY66" s="54">
        <v>0.0</v>
      </c>
      <c r="BZ66" s="54">
        <v>0.0</v>
      </c>
      <c r="CA66" s="54">
        <v>0.0</v>
      </c>
      <c r="CB66" s="54">
        <v>0.0</v>
      </c>
      <c r="CC66" s="54">
        <v>0.0</v>
      </c>
      <c r="CD66" s="54">
        <v>0.0</v>
      </c>
      <c r="CE66" s="54">
        <v>0.0</v>
      </c>
      <c r="CF66" s="54">
        <v>0.0</v>
      </c>
      <c r="CG66" s="54">
        <v>1632.0</v>
      </c>
      <c r="CH66" s="54">
        <v>40227.0</v>
      </c>
      <c r="CI66" s="54">
        <v>496070.0</v>
      </c>
      <c r="CJ66" s="54">
        <v>28211.0</v>
      </c>
      <c r="CK66" s="54">
        <v>21554.0</v>
      </c>
      <c r="CL66" s="54">
        <v>455328.0</v>
      </c>
      <c r="CM66" s="54">
        <v>13557.0</v>
      </c>
      <c r="CN66" s="54">
        <v>0.0</v>
      </c>
      <c r="CO66" s="54">
        <v>0.0</v>
      </c>
      <c r="CP66" s="54">
        <v>595.0</v>
      </c>
      <c r="CQ66" s="54">
        <v>0.0</v>
      </c>
      <c r="CR66" s="54">
        <v>0.0</v>
      </c>
      <c r="CS66" s="54">
        <v>5601.0</v>
      </c>
      <c r="CT66" s="54">
        <v>0.0</v>
      </c>
      <c r="CU66" s="54">
        <v>0.0</v>
      </c>
      <c r="CV66" s="54">
        <v>0.0</v>
      </c>
      <c r="CW66" s="54">
        <v>0.0</v>
      </c>
      <c r="CX66" s="54">
        <v>0.0</v>
      </c>
      <c r="CY66" s="54">
        <v>0.0</v>
      </c>
      <c r="CZ66" s="54">
        <v>0.0</v>
      </c>
      <c r="DA66" s="54">
        <v>223472.0</v>
      </c>
      <c r="DB66" s="54">
        <v>0.0</v>
      </c>
      <c r="DC66" s="54">
        <v>110513.0</v>
      </c>
      <c r="DD66" s="54">
        <v>27903.0</v>
      </c>
      <c r="DE66" s="54">
        <v>0.0</v>
      </c>
      <c r="DF66" s="54">
        <v>0.0</v>
      </c>
      <c r="DG66" s="54">
        <v>0.0</v>
      </c>
      <c r="DH66" s="54">
        <v>0.0</v>
      </c>
      <c r="DI66" s="54">
        <v>0.0</v>
      </c>
      <c r="DJ66" s="54">
        <v>0.0</v>
      </c>
      <c r="DK66" s="54">
        <v>0.0</v>
      </c>
      <c r="DL66" s="54">
        <v>0.0</v>
      </c>
      <c r="DM66" s="54">
        <v>0.0</v>
      </c>
      <c r="DN66" s="54">
        <v>0.0</v>
      </c>
      <c r="DO66" s="54">
        <v>0.0</v>
      </c>
      <c r="DP66" s="54">
        <v>0.0</v>
      </c>
      <c r="DQ66" s="54">
        <v>0.0</v>
      </c>
      <c r="DR66" s="54">
        <v>0.0</v>
      </c>
      <c r="DS66" s="54">
        <v>0.0</v>
      </c>
      <c r="DT66" s="54">
        <v>0.0</v>
      </c>
      <c r="DU66" s="54">
        <v>0.0</v>
      </c>
      <c r="DV66" s="54">
        <v>0.0</v>
      </c>
      <c r="DW66" s="54">
        <v>0.0</v>
      </c>
      <c r="DX66" s="54">
        <v>0.0</v>
      </c>
      <c r="DY66" s="54">
        <v>0.0</v>
      </c>
      <c r="DZ66" s="54">
        <v>0.0</v>
      </c>
      <c r="EA66" s="54">
        <v>0.0</v>
      </c>
      <c r="EB66" s="54">
        <v>0.0</v>
      </c>
      <c r="EC66" s="54">
        <v>0.0</v>
      </c>
      <c r="ED66" s="54">
        <v>0.0</v>
      </c>
      <c r="EE66" s="54">
        <v>0.0</v>
      </c>
      <c r="EF66" s="54">
        <v>0.0</v>
      </c>
      <c r="EG66" s="54">
        <v>0.0</v>
      </c>
      <c r="EH66" s="54">
        <v>0.0</v>
      </c>
      <c r="EI66" s="54">
        <v>0.0</v>
      </c>
      <c r="EJ66" s="54">
        <v>0.0</v>
      </c>
      <c r="EK66" s="54">
        <v>0.0</v>
      </c>
      <c r="EL66" s="54">
        <v>0.0</v>
      </c>
      <c r="EM66" s="54">
        <v>18732.0</v>
      </c>
      <c r="EN66" s="54">
        <v>0.0</v>
      </c>
      <c r="EO66" s="54">
        <v>0.0</v>
      </c>
      <c r="EP66" s="54">
        <v>0.0</v>
      </c>
      <c r="EQ66" s="54">
        <v>0.0</v>
      </c>
      <c r="ER66" s="54">
        <v>0.0</v>
      </c>
      <c r="ES66" s="54">
        <v>0.0</v>
      </c>
      <c r="ET66" s="54">
        <v>0.0</v>
      </c>
      <c r="EU66" s="54">
        <v>0.0</v>
      </c>
      <c r="EV66" s="54">
        <v>0.0</v>
      </c>
      <c r="EW66" s="54">
        <v>0.0</v>
      </c>
      <c r="EX66" s="54">
        <v>0.0</v>
      </c>
      <c r="EY66" s="54">
        <v>0.0</v>
      </c>
      <c r="EZ66" s="54">
        <v>0.0</v>
      </c>
      <c r="FA66" s="54">
        <v>0.0</v>
      </c>
      <c r="FB66" s="54">
        <v>0.0</v>
      </c>
      <c r="FC66" s="54">
        <v>0.0</v>
      </c>
      <c r="FD66" s="54">
        <v>0.0</v>
      </c>
      <c r="FE66" s="54">
        <v>0.0</v>
      </c>
      <c r="FF66" s="54">
        <v>0.0</v>
      </c>
      <c r="FG66" s="54">
        <v>0.0</v>
      </c>
      <c r="FH66" s="54">
        <v>0.0</v>
      </c>
      <c r="FI66" s="54">
        <v>0.0</v>
      </c>
      <c r="FJ66" s="54">
        <v>1341344.0</v>
      </c>
      <c r="FK66" s="54">
        <v>1.8837795E7</v>
      </c>
      <c r="FL66" s="54">
        <v>0.0</v>
      </c>
      <c r="FM66" s="54">
        <v>0.0</v>
      </c>
      <c r="FN66" s="54">
        <v>0.0</v>
      </c>
      <c r="FO66" s="54">
        <v>0.0</v>
      </c>
      <c r="FP66" s="54">
        <v>0.0</v>
      </c>
      <c r="FQ66" s="54">
        <v>0.0</v>
      </c>
      <c r="FR66" s="54">
        <v>0.0</v>
      </c>
      <c r="FS66" s="54">
        <v>0.0</v>
      </c>
      <c r="FT66" s="54">
        <v>0.0</v>
      </c>
      <c r="FU66" s="54">
        <v>0.0</v>
      </c>
      <c r="FV66" s="54">
        <v>0.0</v>
      </c>
      <c r="FW66" s="54">
        <v>9194.0</v>
      </c>
      <c r="FX66" s="54">
        <v>491.0</v>
      </c>
      <c r="FY66" s="54">
        <v>142059.0</v>
      </c>
      <c r="FZ66" s="54">
        <v>0.0</v>
      </c>
      <c r="GA66" s="54">
        <v>112405.0</v>
      </c>
      <c r="GB66" s="54">
        <v>1112082.0</v>
      </c>
      <c r="GC66" s="54">
        <v>6597.0</v>
      </c>
      <c r="GD66" s="54">
        <v>0.0</v>
      </c>
      <c r="GE66" s="54">
        <v>257926.0</v>
      </c>
      <c r="GF66" s="55">
        <v>5.0446612E7</v>
      </c>
      <c r="GG66" s="56">
        <v>5444715.0</v>
      </c>
      <c r="GH66" s="57">
        <v>0.0</v>
      </c>
      <c r="GI66" s="56">
        <v>0.0</v>
      </c>
      <c r="GJ66" s="56">
        <v>0.0</v>
      </c>
      <c r="GK66" s="56">
        <v>2405420.0</v>
      </c>
      <c r="GL66" s="56">
        <v>2976724.0</v>
      </c>
      <c r="GM66" s="56">
        <v>0.0</v>
      </c>
      <c r="GN66" s="55">
        <v>1.0826859E7</v>
      </c>
      <c r="GO66" s="58">
        <v>6.1273471E7</v>
      </c>
      <c r="GP66" s="56">
        <v>1.2397759E7</v>
      </c>
      <c r="GQ66" s="56">
        <v>0.0</v>
      </c>
      <c r="GR66" s="57">
        <v>0.0</v>
      </c>
      <c r="GS66" s="55">
        <v>1.2397759E7</v>
      </c>
      <c r="GT66" s="59">
        <v>3301267.0</v>
      </c>
      <c r="GU66" s="59">
        <v>3814720.0</v>
      </c>
      <c r="GV66" s="59">
        <v>463895.0</v>
      </c>
      <c r="GW66" s="55">
        <v>7579882.0</v>
      </c>
      <c r="GX66" s="55">
        <v>1262242.0</v>
      </c>
      <c r="GY66" s="55">
        <v>4.0033588E7</v>
      </c>
      <c r="GZ66" s="58">
        <v>6.1273471E7</v>
      </c>
    </row>
    <row r="67" ht="15.75" customHeight="1">
      <c r="A67" s="60">
        <v>62.0</v>
      </c>
      <c r="B67" s="61" t="s">
        <v>107</v>
      </c>
      <c r="C67" s="62">
        <v>0.0</v>
      </c>
      <c r="D67" s="62">
        <v>0.0</v>
      </c>
      <c r="E67" s="62">
        <v>0.0</v>
      </c>
      <c r="F67" s="62">
        <v>0.0</v>
      </c>
      <c r="G67" s="62">
        <v>0.0</v>
      </c>
      <c r="H67" s="62">
        <v>0.0</v>
      </c>
      <c r="I67" s="62">
        <v>0.0</v>
      </c>
      <c r="J67" s="62">
        <v>0.0</v>
      </c>
      <c r="K67" s="62">
        <v>0.0</v>
      </c>
      <c r="L67" s="62">
        <v>0.0</v>
      </c>
      <c r="M67" s="62">
        <v>0.0</v>
      </c>
      <c r="N67" s="62">
        <v>0.0</v>
      </c>
      <c r="O67" s="62">
        <v>0.0</v>
      </c>
      <c r="P67" s="62">
        <v>0.0</v>
      </c>
      <c r="Q67" s="62">
        <v>0.0</v>
      </c>
      <c r="R67" s="62">
        <v>0.0</v>
      </c>
      <c r="S67" s="62">
        <v>0.0</v>
      </c>
      <c r="T67" s="62">
        <v>0.0</v>
      </c>
      <c r="U67" s="62">
        <v>0.0</v>
      </c>
      <c r="V67" s="62">
        <v>0.0</v>
      </c>
      <c r="W67" s="62">
        <v>0.0</v>
      </c>
      <c r="X67" s="62">
        <v>0.0</v>
      </c>
      <c r="Y67" s="62">
        <v>0.0</v>
      </c>
      <c r="Z67" s="62">
        <v>0.0</v>
      </c>
      <c r="AA67" s="62">
        <v>0.0</v>
      </c>
      <c r="AB67" s="62">
        <v>0.0</v>
      </c>
      <c r="AC67" s="62">
        <v>0.0</v>
      </c>
      <c r="AD67" s="62">
        <v>0.0</v>
      </c>
      <c r="AE67" s="62">
        <v>0.0</v>
      </c>
      <c r="AF67" s="62">
        <v>0.0</v>
      </c>
      <c r="AG67" s="62">
        <v>0.0</v>
      </c>
      <c r="AH67" s="62">
        <v>0.0</v>
      </c>
      <c r="AI67" s="62">
        <v>0.0</v>
      </c>
      <c r="AJ67" s="62">
        <v>0.0</v>
      </c>
      <c r="AK67" s="62">
        <v>0.0</v>
      </c>
      <c r="AL67" s="62">
        <v>0.0</v>
      </c>
      <c r="AM67" s="62">
        <v>0.0</v>
      </c>
      <c r="AN67" s="62">
        <v>0.0</v>
      </c>
      <c r="AO67" s="62">
        <v>0.0</v>
      </c>
      <c r="AP67" s="62">
        <v>0.0</v>
      </c>
      <c r="AQ67" s="62">
        <v>0.0</v>
      </c>
      <c r="AR67" s="62">
        <v>0.0</v>
      </c>
      <c r="AS67" s="62">
        <v>0.0</v>
      </c>
      <c r="AT67" s="62">
        <v>0.0</v>
      </c>
      <c r="AU67" s="62">
        <v>0.0</v>
      </c>
      <c r="AV67" s="62">
        <v>0.0</v>
      </c>
      <c r="AW67" s="62">
        <v>0.0</v>
      </c>
      <c r="AX67" s="62">
        <v>0.0</v>
      </c>
      <c r="AY67" s="62">
        <v>0.0</v>
      </c>
      <c r="AZ67" s="62">
        <v>0.0</v>
      </c>
      <c r="BA67" s="62">
        <v>0.0</v>
      </c>
      <c r="BB67" s="62">
        <v>0.0</v>
      </c>
      <c r="BC67" s="62">
        <v>58696.0</v>
      </c>
      <c r="BD67" s="62">
        <v>0.0</v>
      </c>
      <c r="BE67" s="62">
        <v>0.0</v>
      </c>
      <c r="BF67" s="62">
        <v>63468.0</v>
      </c>
      <c r="BG67" s="62">
        <v>452.0</v>
      </c>
      <c r="BH67" s="62">
        <v>0.0</v>
      </c>
      <c r="BI67" s="62">
        <v>0.0</v>
      </c>
      <c r="BJ67" s="62">
        <v>2119.0</v>
      </c>
      <c r="BK67" s="62">
        <v>11006.0</v>
      </c>
      <c r="BL67" s="62">
        <v>258426.0</v>
      </c>
      <c r="BM67" s="62">
        <v>0.0</v>
      </c>
      <c r="BN67" s="62">
        <v>8805078.0</v>
      </c>
      <c r="BO67" s="62">
        <v>0.0</v>
      </c>
      <c r="BP67" s="62">
        <v>8227.0</v>
      </c>
      <c r="BQ67" s="62">
        <v>4555737.0</v>
      </c>
      <c r="BR67" s="62">
        <v>0.0</v>
      </c>
      <c r="BS67" s="62">
        <v>0.0</v>
      </c>
      <c r="BT67" s="62">
        <v>1561783.0</v>
      </c>
      <c r="BU67" s="62">
        <v>901603.0</v>
      </c>
      <c r="BV67" s="62">
        <v>495948.0</v>
      </c>
      <c r="BW67" s="62">
        <v>568.0</v>
      </c>
      <c r="BX67" s="62">
        <v>2830.0</v>
      </c>
      <c r="BY67" s="62">
        <v>0.0</v>
      </c>
      <c r="BZ67" s="62">
        <v>0.0</v>
      </c>
      <c r="CA67" s="62">
        <v>0.0</v>
      </c>
      <c r="CB67" s="62">
        <v>0.0</v>
      </c>
      <c r="CC67" s="62">
        <v>0.0</v>
      </c>
      <c r="CD67" s="62">
        <v>0.0</v>
      </c>
      <c r="CE67" s="62">
        <v>0.0</v>
      </c>
      <c r="CF67" s="62">
        <v>0.0</v>
      </c>
      <c r="CG67" s="62">
        <v>0.0</v>
      </c>
      <c r="CH67" s="62">
        <v>0.0</v>
      </c>
      <c r="CI67" s="62">
        <v>0.0</v>
      </c>
      <c r="CJ67" s="62">
        <v>0.0</v>
      </c>
      <c r="CK67" s="62">
        <v>0.0</v>
      </c>
      <c r="CL67" s="62">
        <v>0.0</v>
      </c>
      <c r="CM67" s="62">
        <v>0.0</v>
      </c>
      <c r="CN67" s="62">
        <v>0.0</v>
      </c>
      <c r="CO67" s="62">
        <v>0.0</v>
      </c>
      <c r="CP67" s="62">
        <v>0.0</v>
      </c>
      <c r="CQ67" s="62">
        <v>0.0</v>
      </c>
      <c r="CR67" s="62">
        <v>0.0</v>
      </c>
      <c r="CS67" s="62">
        <v>0.0</v>
      </c>
      <c r="CT67" s="62">
        <v>0.0</v>
      </c>
      <c r="CU67" s="62">
        <v>0.0</v>
      </c>
      <c r="CV67" s="62">
        <v>0.0</v>
      </c>
      <c r="CW67" s="62">
        <v>0.0</v>
      </c>
      <c r="CX67" s="62">
        <v>0.0</v>
      </c>
      <c r="CY67" s="62">
        <v>0.0</v>
      </c>
      <c r="CZ67" s="62">
        <v>0.0</v>
      </c>
      <c r="DA67" s="62">
        <v>1019.0</v>
      </c>
      <c r="DB67" s="62">
        <v>0.0</v>
      </c>
      <c r="DC67" s="62">
        <v>0.0</v>
      </c>
      <c r="DD67" s="62">
        <v>0.0</v>
      </c>
      <c r="DE67" s="62">
        <v>0.0</v>
      </c>
      <c r="DF67" s="62">
        <v>0.0</v>
      </c>
      <c r="DG67" s="62">
        <v>0.0</v>
      </c>
      <c r="DH67" s="62">
        <v>0.0</v>
      </c>
      <c r="DI67" s="62">
        <v>0.0</v>
      </c>
      <c r="DJ67" s="62">
        <v>0.0</v>
      </c>
      <c r="DK67" s="62">
        <v>0.0</v>
      </c>
      <c r="DL67" s="62">
        <v>0.0</v>
      </c>
      <c r="DM67" s="62">
        <v>0.0</v>
      </c>
      <c r="DN67" s="62">
        <v>0.0</v>
      </c>
      <c r="DO67" s="62">
        <v>0.0</v>
      </c>
      <c r="DP67" s="62">
        <v>0.0</v>
      </c>
      <c r="DQ67" s="62">
        <v>0.0</v>
      </c>
      <c r="DR67" s="62">
        <v>0.0</v>
      </c>
      <c r="DS67" s="62">
        <v>0.0</v>
      </c>
      <c r="DT67" s="62">
        <v>0.0</v>
      </c>
      <c r="DU67" s="62">
        <v>0.0</v>
      </c>
      <c r="DV67" s="62">
        <v>0.0</v>
      </c>
      <c r="DW67" s="62">
        <v>0.0</v>
      </c>
      <c r="DX67" s="62">
        <v>0.0</v>
      </c>
      <c r="DY67" s="62">
        <v>0.0</v>
      </c>
      <c r="DZ67" s="62">
        <v>0.0</v>
      </c>
      <c r="EA67" s="62">
        <v>0.0</v>
      </c>
      <c r="EB67" s="62">
        <v>0.0</v>
      </c>
      <c r="EC67" s="62">
        <v>0.0</v>
      </c>
      <c r="ED67" s="62">
        <v>0.0</v>
      </c>
      <c r="EE67" s="62">
        <v>0.0</v>
      </c>
      <c r="EF67" s="62">
        <v>0.0</v>
      </c>
      <c r="EG67" s="62">
        <v>0.0</v>
      </c>
      <c r="EH67" s="62">
        <v>0.0</v>
      </c>
      <c r="EI67" s="62">
        <v>0.0</v>
      </c>
      <c r="EJ67" s="62">
        <v>0.0</v>
      </c>
      <c r="EK67" s="62">
        <v>0.0</v>
      </c>
      <c r="EL67" s="62">
        <v>0.0</v>
      </c>
      <c r="EM67" s="62">
        <v>3866.0</v>
      </c>
      <c r="EN67" s="62">
        <v>0.0</v>
      </c>
      <c r="EO67" s="62">
        <v>0.0</v>
      </c>
      <c r="EP67" s="62">
        <v>0.0</v>
      </c>
      <c r="EQ67" s="62">
        <v>0.0</v>
      </c>
      <c r="ER67" s="62">
        <v>0.0</v>
      </c>
      <c r="ES67" s="62">
        <v>0.0</v>
      </c>
      <c r="ET67" s="62">
        <v>0.0</v>
      </c>
      <c r="EU67" s="62">
        <v>0.0</v>
      </c>
      <c r="EV67" s="62">
        <v>0.0</v>
      </c>
      <c r="EW67" s="62">
        <v>0.0</v>
      </c>
      <c r="EX67" s="62">
        <v>0.0</v>
      </c>
      <c r="EY67" s="62">
        <v>0.0</v>
      </c>
      <c r="EZ67" s="62">
        <v>0.0</v>
      </c>
      <c r="FA67" s="62">
        <v>0.0</v>
      </c>
      <c r="FB67" s="62">
        <v>0.0</v>
      </c>
      <c r="FC67" s="62">
        <v>0.0</v>
      </c>
      <c r="FD67" s="62">
        <v>0.0</v>
      </c>
      <c r="FE67" s="62">
        <v>0.0</v>
      </c>
      <c r="FF67" s="62">
        <v>0.0</v>
      </c>
      <c r="FG67" s="62">
        <v>0.0</v>
      </c>
      <c r="FH67" s="62">
        <v>0.0</v>
      </c>
      <c r="FI67" s="62">
        <v>0.0</v>
      </c>
      <c r="FJ67" s="62">
        <v>1487933.0</v>
      </c>
      <c r="FK67" s="62">
        <v>1.5249526E7</v>
      </c>
      <c r="FL67" s="62">
        <v>0.0</v>
      </c>
      <c r="FM67" s="62">
        <v>0.0</v>
      </c>
      <c r="FN67" s="62">
        <v>0.0</v>
      </c>
      <c r="FO67" s="62">
        <v>0.0</v>
      </c>
      <c r="FP67" s="62">
        <v>0.0</v>
      </c>
      <c r="FQ67" s="62">
        <v>0.0</v>
      </c>
      <c r="FR67" s="62">
        <v>0.0</v>
      </c>
      <c r="FS67" s="62">
        <v>0.0</v>
      </c>
      <c r="FT67" s="62">
        <v>0.0</v>
      </c>
      <c r="FU67" s="62">
        <v>0.0</v>
      </c>
      <c r="FV67" s="62">
        <v>0.0</v>
      </c>
      <c r="FW67" s="62">
        <v>915517.0</v>
      </c>
      <c r="FX67" s="62">
        <v>23091.0</v>
      </c>
      <c r="FY67" s="62">
        <v>1320806.0</v>
      </c>
      <c r="FZ67" s="62">
        <v>32765.0</v>
      </c>
      <c r="GA67" s="62">
        <v>252234.0</v>
      </c>
      <c r="GB67" s="62">
        <v>276644.0</v>
      </c>
      <c r="GC67" s="62">
        <v>26558.0</v>
      </c>
      <c r="GD67" s="62">
        <v>0.0</v>
      </c>
      <c r="GE67" s="62">
        <v>1046064.0</v>
      </c>
      <c r="GF67" s="63">
        <v>3.7361964E7</v>
      </c>
      <c r="GG67" s="64">
        <v>1.5774995E7</v>
      </c>
      <c r="GH67" s="65">
        <v>0.0</v>
      </c>
      <c r="GI67" s="64">
        <v>0.0</v>
      </c>
      <c r="GJ67" s="64">
        <v>0.0</v>
      </c>
      <c r="GK67" s="64">
        <v>-964137.0</v>
      </c>
      <c r="GL67" s="64">
        <v>2360233.0</v>
      </c>
      <c r="GM67" s="64">
        <v>0.0</v>
      </c>
      <c r="GN67" s="63">
        <v>1.7171091E7</v>
      </c>
      <c r="GO67" s="66">
        <v>5.4533055E7</v>
      </c>
      <c r="GP67" s="64">
        <v>240008.0</v>
      </c>
      <c r="GQ67" s="64">
        <v>0.0</v>
      </c>
      <c r="GR67" s="65">
        <v>0.0</v>
      </c>
      <c r="GS67" s="63">
        <v>240008.0</v>
      </c>
      <c r="GT67" s="67">
        <v>6896479.0</v>
      </c>
      <c r="GU67" s="67">
        <v>5074078.0</v>
      </c>
      <c r="GV67" s="67">
        <v>1602845.0</v>
      </c>
      <c r="GW67" s="63">
        <v>1.3573402E7</v>
      </c>
      <c r="GX67" s="63">
        <v>667836.0</v>
      </c>
      <c r="GY67" s="63">
        <v>4.0051809E7</v>
      </c>
      <c r="GZ67" s="66">
        <v>5.4533055E7</v>
      </c>
    </row>
    <row r="68" ht="15.75" customHeight="1">
      <c r="A68" s="60">
        <v>63.0</v>
      </c>
      <c r="B68" s="61" t="s">
        <v>108</v>
      </c>
      <c r="C68" s="62">
        <v>0.0</v>
      </c>
      <c r="D68" s="62">
        <v>0.0</v>
      </c>
      <c r="E68" s="62">
        <v>0.0</v>
      </c>
      <c r="F68" s="62">
        <v>0.0</v>
      </c>
      <c r="G68" s="62">
        <v>0.0</v>
      </c>
      <c r="H68" s="62">
        <v>0.0</v>
      </c>
      <c r="I68" s="62">
        <v>0.0</v>
      </c>
      <c r="J68" s="62">
        <v>0.0</v>
      </c>
      <c r="K68" s="62">
        <v>0.0</v>
      </c>
      <c r="L68" s="62">
        <v>0.0</v>
      </c>
      <c r="M68" s="62">
        <v>0.0</v>
      </c>
      <c r="N68" s="62">
        <v>0.0</v>
      </c>
      <c r="O68" s="62">
        <v>0.0</v>
      </c>
      <c r="P68" s="62">
        <v>0.0</v>
      </c>
      <c r="Q68" s="62">
        <v>0.0</v>
      </c>
      <c r="R68" s="62">
        <v>0.0</v>
      </c>
      <c r="S68" s="62">
        <v>0.0</v>
      </c>
      <c r="T68" s="62">
        <v>0.0</v>
      </c>
      <c r="U68" s="62">
        <v>0.0</v>
      </c>
      <c r="V68" s="62">
        <v>0.0</v>
      </c>
      <c r="W68" s="62">
        <v>0.0</v>
      </c>
      <c r="X68" s="62">
        <v>0.0</v>
      </c>
      <c r="Y68" s="62">
        <v>0.0</v>
      </c>
      <c r="Z68" s="62">
        <v>0.0</v>
      </c>
      <c r="AA68" s="62">
        <v>0.0</v>
      </c>
      <c r="AB68" s="62">
        <v>146427.0</v>
      </c>
      <c r="AC68" s="62">
        <v>124767.0</v>
      </c>
      <c r="AD68" s="62">
        <v>1970948.0</v>
      </c>
      <c r="AE68" s="62">
        <v>738573.0</v>
      </c>
      <c r="AF68" s="62">
        <v>185960.0</v>
      </c>
      <c r="AG68" s="62">
        <v>0.0</v>
      </c>
      <c r="AH68" s="62">
        <v>0.0</v>
      </c>
      <c r="AI68" s="62">
        <v>14046.0</v>
      </c>
      <c r="AJ68" s="62">
        <v>38644.0</v>
      </c>
      <c r="AK68" s="62">
        <v>4561.0</v>
      </c>
      <c r="AL68" s="62">
        <v>0.0</v>
      </c>
      <c r="AM68" s="62">
        <v>0.0</v>
      </c>
      <c r="AN68" s="62">
        <v>0.0</v>
      </c>
      <c r="AO68" s="62">
        <v>0.0</v>
      </c>
      <c r="AP68" s="62">
        <v>0.0</v>
      </c>
      <c r="AQ68" s="62">
        <v>0.0</v>
      </c>
      <c r="AR68" s="62">
        <v>0.0</v>
      </c>
      <c r="AS68" s="62">
        <v>0.0</v>
      </c>
      <c r="AT68" s="62">
        <v>0.0</v>
      </c>
      <c r="AU68" s="62">
        <v>0.0</v>
      </c>
      <c r="AV68" s="62">
        <v>0.0</v>
      </c>
      <c r="AW68" s="62">
        <v>0.0</v>
      </c>
      <c r="AX68" s="62">
        <v>0.0</v>
      </c>
      <c r="AY68" s="62">
        <v>0.0</v>
      </c>
      <c r="AZ68" s="62">
        <v>0.0</v>
      </c>
      <c r="BA68" s="62">
        <v>0.0</v>
      </c>
      <c r="BB68" s="62">
        <v>0.0</v>
      </c>
      <c r="BC68" s="62">
        <v>0.0</v>
      </c>
      <c r="BD68" s="62">
        <v>0.0</v>
      </c>
      <c r="BE68" s="62">
        <v>0.0</v>
      </c>
      <c r="BF68" s="62">
        <v>0.0</v>
      </c>
      <c r="BG68" s="62">
        <v>0.0</v>
      </c>
      <c r="BH68" s="62">
        <v>0.0</v>
      </c>
      <c r="BI68" s="62">
        <v>0.0</v>
      </c>
      <c r="BJ68" s="62">
        <v>0.0</v>
      </c>
      <c r="BK68" s="62">
        <v>5354763.0</v>
      </c>
      <c r="BL68" s="62">
        <v>0.0</v>
      </c>
      <c r="BM68" s="62">
        <v>926031.0</v>
      </c>
      <c r="BN68" s="62">
        <v>0.0</v>
      </c>
      <c r="BO68" s="62">
        <v>178.0</v>
      </c>
      <c r="BP68" s="62">
        <v>0.0</v>
      </c>
      <c r="BQ68" s="62">
        <v>0.0</v>
      </c>
      <c r="BR68" s="62">
        <v>0.0</v>
      </c>
      <c r="BS68" s="62">
        <v>0.0</v>
      </c>
      <c r="BT68" s="62">
        <v>0.0</v>
      </c>
      <c r="BU68" s="62">
        <v>503606.0</v>
      </c>
      <c r="BV68" s="62">
        <v>999384.0</v>
      </c>
      <c r="BW68" s="62">
        <v>1359.0</v>
      </c>
      <c r="BX68" s="62">
        <v>7325.0</v>
      </c>
      <c r="BY68" s="62">
        <v>0.0</v>
      </c>
      <c r="BZ68" s="62">
        <v>0.0</v>
      </c>
      <c r="CA68" s="62">
        <v>0.0</v>
      </c>
      <c r="CB68" s="62">
        <v>0.0</v>
      </c>
      <c r="CC68" s="62">
        <v>0.0</v>
      </c>
      <c r="CD68" s="62">
        <v>0.0</v>
      </c>
      <c r="CE68" s="62">
        <v>0.0</v>
      </c>
      <c r="CF68" s="62">
        <v>0.0</v>
      </c>
      <c r="CG68" s="62">
        <v>0.0</v>
      </c>
      <c r="CH68" s="62">
        <v>0.0</v>
      </c>
      <c r="CI68" s="62">
        <v>0.0</v>
      </c>
      <c r="CJ68" s="62">
        <v>0.0</v>
      </c>
      <c r="CK68" s="62">
        <v>0.0</v>
      </c>
      <c r="CL68" s="62">
        <v>0.0</v>
      </c>
      <c r="CM68" s="62">
        <v>0.0</v>
      </c>
      <c r="CN68" s="62">
        <v>0.0</v>
      </c>
      <c r="CO68" s="62">
        <v>0.0</v>
      </c>
      <c r="CP68" s="62">
        <v>0.0</v>
      </c>
      <c r="CQ68" s="62">
        <v>0.0</v>
      </c>
      <c r="CR68" s="62">
        <v>0.0</v>
      </c>
      <c r="CS68" s="62">
        <v>0.0</v>
      </c>
      <c r="CT68" s="62">
        <v>0.0</v>
      </c>
      <c r="CU68" s="62">
        <v>0.0</v>
      </c>
      <c r="CV68" s="62">
        <v>0.0</v>
      </c>
      <c r="CW68" s="62">
        <v>0.0</v>
      </c>
      <c r="CX68" s="62">
        <v>0.0</v>
      </c>
      <c r="CY68" s="62">
        <v>0.0</v>
      </c>
      <c r="CZ68" s="62">
        <v>0.0</v>
      </c>
      <c r="DA68" s="62">
        <v>0.0</v>
      </c>
      <c r="DB68" s="62">
        <v>0.0</v>
      </c>
      <c r="DC68" s="62">
        <v>0.0</v>
      </c>
      <c r="DD68" s="62">
        <v>9061.0</v>
      </c>
      <c r="DE68" s="62">
        <v>0.0</v>
      </c>
      <c r="DF68" s="62">
        <v>0.0</v>
      </c>
      <c r="DG68" s="62">
        <v>0.0</v>
      </c>
      <c r="DH68" s="62">
        <v>0.0</v>
      </c>
      <c r="DI68" s="62">
        <v>0.0</v>
      </c>
      <c r="DJ68" s="62">
        <v>0.0</v>
      </c>
      <c r="DK68" s="62">
        <v>0.0</v>
      </c>
      <c r="DL68" s="62">
        <v>0.0</v>
      </c>
      <c r="DM68" s="62">
        <v>0.0</v>
      </c>
      <c r="DN68" s="62">
        <v>0.0</v>
      </c>
      <c r="DO68" s="62">
        <v>0.0</v>
      </c>
      <c r="DP68" s="62">
        <v>0.0</v>
      </c>
      <c r="DQ68" s="62">
        <v>0.0</v>
      </c>
      <c r="DR68" s="62">
        <v>0.0</v>
      </c>
      <c r="DS68" s="62">
        <v>0.0</v>
      </c>
      <c r="DT68" s="62">
        <v>0.0</v>
      </c>
      <c r="DU68" s="62">
        <v>0.0</v>
      </c>
      <c r="DV68" s="62">
        <v>0.0</v>
      </c>
      <c r="DW68" s="62">
        <v>0.0</v>
      </c>
      <c r="DX68" s="62">
        <v>0.0</v>
      </c>
      <c r="DY68" s="62">
        <v>0.0</v>
      </c>
      <c r="DZ68" s="62">
        <v>0.0</v>
      </c>
      <c r="EA68" s="62">
        <v>0.0</v>
      </c>
      <c r="EB68" s="62">
        <v>0.0</v>
      </c>
      <c r="EC68" s="62">
        <v>0.0</v>
      </c>
      <c r="ED68" s="62">
        <v>0.0</v>
      </c>
      <c r="EE68" s="62">
        <v>0.0</v>
      </c>
      <c r="EF68" s="62">
        <v>0.0</v>
      </c>
      <c r="EG68" s="62">
        <v>0.0</v>
      </c>
      <c r="EH68" s="62">
        <v>0.0</v>
      </c>
      <c r="EI68" s="62">
        <v>0.0</v>
      </c>
      <c r="EJ68" s="62">
        <v>0.0</v>
      </c>
      <c r="EK68" s="62">
        <v>0.0</v>
      </c>
      <c r="EL68" s="62">
        <v>0.0</v>
      </c>
      <c r="EM68" s="62">
        <v>1818.0</v>
      </c>
      <c r="EN68" s="62">
        <v>0.0</v>
      </c>
      <c r="EO68" s="62">
        <v>0.0</v>
      </c>
      <c r="EP68" s="62">
        <v>0.0</v>
      </c>
      <c r="EQ68" s="62">
        <v>0.0</v>
      </c>
      <c r="ER68" s="62">
        <v>0.0</v>
      </c>
      <c r="ES68" s="62">
        <v>0.0</v>
      </c>
      <c r="ET68" s="62">
        <v>0.0</v>
      </c>
      <c r="EU68" s="62">
        <v>0.0</v>
      </c>
      <c r="EV68" s="62">
        <v>0.0</v>
      </c>
      <c r="EW68" s="62">
        <v>0.0</v>
      </c>
      <c r="EX68" s="62">
        <v>0.0</v>
      </c>
      <c r="EY68" s="62">
        <v>0.0</v>
      </c>
      <c r="EZ68" s="62">
        <v>0.0</v>
      </c>
      <c r="FA68" s="62">
        <v>0.0</v>
      </c>
      <c r="FB68" s="62">
        <v>0.0</v>
      </c>
      <c r="FC68" s="62">
        <v>0.0</v>
      </c>
      <c r="FD68" s="62">
        <v>0.0</v>
      </c>
      <c r="FE68" s="62">
        <v>1206957.0</v>
      </c>
      <c r="FF68" s="62">
        <v>0.0</v>
      </c>
      <c r="FG68" s="62">
        <v>0.0</v>
      </c>
      <c r="FH68" s="62">
        <v>0.0</v>
      </c>
      <c r="FI68" s="62">
        <v>0.0</v>
      </c>
      <c r="FJ68" s="62">
        <v>5361615.0</v>
      </c>
      <c r="FK68" s="62">
        <v>1.06736677E8</v>
      </c>
      <c r="FL68" s="62">
        <v>0.0</v>
      </c>
      <c r="FM68" s="62">
        <v>0.0</v>
      </c>
      <c r="FN68" s="62">
        <v>0.0</v>
      </c>
      <c r="FO68" s="62">
        <v>0.0</v>
      </c>
      <c r="FP68" s="62">
        <v>0.0</v>
      </c>
      <c r="FQ68" s="62">
        <v>0.0</v>
      </c>
      <c r="FR68" s="62">
        <v>0.0</v>
      </c>
      <c r="FS68" s="62">
        <v>0.0</v>
      </c>
      <c r="FT68" s="62">
        <v>0.0</v>
      </c>
      <c r="FU68" s="62">
        <v>0.0</v>
      </c>
      <c r="FV68" s="62">
        <v>0.0</v>
      </c>
      <c r="FW68" s="62">
        <v>141060.0</v>
      </c>
      <c r="FX68" s="62">
        <v>8108.0</v>
      </c>
      <c r="FY68" s="62">
        <v>3885844.0</v>
      </c>
      <c r="FZ68" s="62">
        <v>11.0</v>
      </c>
      <c r="GA68" s="62">
        <v>798551.0</v>
      </c>
      <c r="GB68" s="62">
        <v>4584419.0</v>
      </c>
      <c r="GC68" s="62">
        <v>844817.0</v>
      </c>
      <c r="GD68" s="62">
        <v>0.0</v>
      </c>
      <c r="GE68" s="62">
        <v>5046066.0</v>
      </c>
      <c r="GF68" s="63">
        <v>1.39641576E8</v>
      </c>
      <c r="GG68" s="64">
        <v>2.98477969E8</v>
      </c>
      <c r="GH68" s="65">
        <v>0.0</v>
      </c>
      <c r="GI68" s="64">
        <v>4505850.0</v>
      </c>
      <c r="GJ68" s="64">
        <v>0.0</v>
      </c>
      <c r="GK68" s="64">
        <v>70952.0</v>
      </c>
      <c r="GL68" s="64">
        <v>8485.0</v>
      </c>
      <c r="GM68" s="64">
        <v>0.0</v>
      </c>
      <c r="GN68" s="63">
        <v>3.03063256E8</v>
      </c>
      <c r="GO68" s="66">
        <v>4.42704832E8</v>
      </c>
      <c r="GP68" s="64">
        <v>2858032.0</v>
      </c>
      <c r="GQ68" s="64">
        <v>0.0</v>
      </c>
      <c r="GR68" s="65">
        <v>0.0</v>
      </c>
      <c r="GS68" s="63">
        <v>2858032.0</v>
      </c>
      <c r="GT68" s="67">
        <v>2.1222407E7</v>
      </c>
      <c r="GU68" s="67">
        <v>3.4185823E7</v>
      </c>
      <c r="GV68" s="67">
        <v>3813582.0</v>
      </c>
      <c r="GW68" s="63">
        <v>5.9221812E7</v>
      </c>
      <c r="GX68" s="63">
        <v>-456885.0</v>
      </c>
      <c r="GY68" s="63">
        <v>3.81081873E8</v>
      </c>
      <c r="GZ68" s="66">
        <v>4.42704832E8</v>
      </c>
    </row>
    <row r="69" ht="15.75" customHeight="1">
      <c r="A69" s="60">
        <v>64.0</v>
      </c>
      <c r="B69" s="61" t="s">
        <v>109</v>
      </c>
      <c r="C69" s="62">
        <v>0.0</v>
      </c>
      <c r="D69" s="62">
        <v>0.0</v>
      </c>
      <c r="E69" s="62">
        <v>0.0</v>
      </c>
      <c r="F69" s="62">
        <v>0.0</v>
      </c>
      <c r="G69" s="62">
        <v>0.0</v>
      </c>
      <c r="H69" s="62">
        <v>0.0</v>
      </c>
      <c r="I69" s="62">
        <v>0.0</v>
      </c>
      <c r="J69" s="62">
        <v>0.0</v>
      </c>
      <c r="K69" s="62">
        <v>0.0</v>
      </c>
      <c r="L69" s="62">
        <v>0.0</v>
      </c>
      <c r="M69" s="62">
        <v>0.0</v>
      </c>
      <c r="N69" s="62">
        <v>0.0</v>
      </c>
      <c r="O69" s="62">
        <v>0.0</v>
      </c>
      <c r="P69" s="62">
        <v>0.0</v>
      </c>
      <c r="Q69" s="62">
        <v>0.0</v>
      </c>
      <c r="R69" s="62">
        <v>0.0</v>
      </c>
      <c r="S69" s="62">
        <v>0.0</v>
      </c>
      <c r="T69" s="62">
        <v>0.0</v>
      </c>
      <c r="U69" s="62">
        <v>0.0</v>
      </c>
      <c r="V69" s="62">
        <v>0.0</v>
      </c>
      <c r="W69" s="62">
        <v>0.0</v>
      </c>
      <c r="X69" s="62">
        <v>0.0</v>
      </c>
      <c r="Y69" s="62">
        <v>0.0</v>
      </c>
      <c r="Z69" s="62">
        <v>0.0</v>
      </c>
      <c r="AA69" s="62">
        <v>0.0</v>
      </c>
      <c r="AB69" s="62">
        <v>18607.0</v>
      </c>
      <c r="AC69" s="62">
        <v>5742.0</v>
      </c>
      <c r="AD69" s="62">
        <v>128529.0</v>
      </c>
      <c r="AE69" s="62">
        <v>4735.0</v>
      </c>
      <c r="AF69" s="62">
        <v>0.0</v>
      </c>
      <c r="AG69" s="62">
        <v>0.0</v>
      </c>
      <c r="AH69" s="62">
        <v>0.0</v>
      </c>
      <c r="AI69" s="62">
        <v>0.0</v>
      </c>
      <c r="AJ69" s="62">
        <v>0.0</v>
      </c>
      <c r="AK69" s="62">
        <v>0.0</v>
      </c>
      <c r="AL69" s="62">
        <v>0.0</v>
      </c>
      <c r="AM69" s="62">
        <v>0.0</v>
      </c>
      <c r="AN69" s="62">
        <v>0.0</v>
      </c>
      <c r="AO69" s="62">
        <v>0.0</v>
      </c>
      <c r="AP69" s="62">
        <v>0.0</v>
      </c>
      <c r="AQ69" s="62">
        <v>0.0</v>
      </c>
      <c r="AR69" s="62">
        <v>0.0</v>
      </c>
      <c r="AS69" s="62">
        <v>0.0</v>
      </c>
      <c r="AT69" s="62">
        <v>0.0</v>
      </c>
      <c r="AU69" s="62">
        <v>0.0</v>
      </c>
      <c r="AV69" s="62">
        <v>0.0</v>
      </c>
      <c r="AW69" s="62">
        <v>0.0</v>
      </c>
      <c r="AX69" s="62">
        <v>0.0</v>
      </c>
      <c r="AY69" s="62">
        <v>0.0</v>
      </c>
      <c r="AZ69" s="62">
        <v>0.0</v>
      </c>
      <c r="BA69" s="62">
        <v>0.0</v>
      </c>
      <c r="BB69" s="62">
        <v>0.0</v>
      </c>
      <c r="BC69" s="62">
        <v>0.0</v>
      </c>
      <c r="BD69" s="62">
        <v>0.0</v>
      </c>
      <c r="BE69" s="62">
        <v>0.0</v>
      </c>
      <c r="BF69" s="62">
        <v>0.0</v>
      </c>
      <c r="BG69" s="62">
        <v>0.0</v>
      </c>
      <c r="BH69" s="62">
        <v>0.0</v>
      </c>
      <c r="BI69" s="62">
        <v>0.0</v>
      </c>
      <c r="BJ69" s="62">
        <v>341796.0</v>
      </c>
      <c r="BK69" s="62">
        <v>76276.0</v>
      </c>
      <c r="BL69" s="62">
        <v>0.0</v>
      </c>
      <c r="BM69" s="62">
        <v>0.0</v>
      </c>
      <c r="BN69" s="62">
        <v>0.0</v>
      </c>
      <c r="BO69" s="62">
        <v>0.0</v>
      </c>
      <c r="BP69" s="62">
        <v>0.0</v>
      </c>
      <c r="BQ69" s="62">
        <v>0.0</v>
      </c>
      <c r="BR69" s="62">
        <v>0.0</v>
      </c>
      <c r="BS69" s="62">
        <v>0.0</v>
      </c>
      <c r="BT69" s="62">
        <v>0.0</v>
      </c>
      <c r="BU69" s="62">
        <v>5692.0</v>
      </c>
      <c r="BV69" s="62">
        <v>0.0</v>
      </c>
      <c r="BW69" s="62">
        <v>0.0</v>
      </c>
      <c r="BX69" s="62">
        <v>13162.0</v>
      </c>
      <c r="BY69" s="62">
        <v>0.0</v>
      </c>
      <c r="BZ69" s="62">
        <v>0.0</v>
      </c>
      <c r="CA69" s="62">
        <v>0.0</v>
      </c>
      <c r="CB69" s="62">
        <v>0.0</v>
      </c>
      <c r="CC69" s="62">
        <v>0.0</v>
      </c>
      <c r="CD69" s="62">
        <v>0.0</v>
      </c>
      <c r="CE69" s="62">
        <v>0.0</v>
      </c>
      <c r="CF69" s="62">
        <v>0.0</v>
      </c>
      <c r="CG69" s="62">
        <v>0.0</v>
      </c>
      <c r="CH69" s="62">
        <v>0.0</v>
      </c>
      <c r="CI69" s="62">
        <v>0.0</v>
      </c>
      <c r="CJ69" s="62">
        <v>0.0</v>
      </c>
      <c r="CK69" s="62">
        <v>0.0</v>
      </c>
      <c r="CL69" s="62">
        <v>0.0</v>
      </c>
      <c r="CM69" s="62">
        <v>0.0</v>
      </c>
      <c r="CN69" s="62">
        <v>0.0</v>
      </c>
      <c r="CO69" s="62">
        <v>0.0</v>
      </c>
      <c r="CP69" s="62">
        <v>0.0</v>
      </c>
      <c r="CQ69" s="62">
        <v>0.0</v>
      </c>
      <c r="CR69" s="62">
        <v>0.0</v>
      </c>
      <c r="CS69" s="62">
        <v>0.0</v>
      </c>
      <c r="CT69" s="62">
        <v>0.0</v>
      </c>
      <c r="CU69" s="62">
        <v>0.0</v>
      </c>
      <c r="CV69" s="62">
        <v>0.0</v>
      </c>
      <c r="CW69" s="62">
        <v>0.0</v>
      </c>
      <c r="CX69" s="62">
        <v>0.0</v>
      </c>
      <c r="CY69" s="62">
        <v>0.0</v>
      </c>
      <c r="CZ69" s="62">
        <v>0.0</v>
      </c>
      <c r="DA69" s="62">
        <v>0.0</v>
      </c>
      <c r="DB69" s="62">
        <v>0.0</v>
      </c>
      <c r="DC69" s="62">
        <v>0.0</v>
      </c>
      <c r="DD69" s="62">
        <v>132557.0</v>
      </c>
      <c r="DE69" s="62">
        <v>0.0</v>
      </c>
      <c r="DF69" s="62">
        <v>0.0</v>
      </c>
      <c r="DG69" s="62">
        <v>0.0</v>
      </c>
      <c r="DH69" s="62">
        <v>0.0</v>
      </c>
      <c r="DI69" s="62">
        <v>0.0</v>
      </c>
      <c r="DJ69" s="62">
        <v>0.0</v>
      </c>
      <c r="DK69" s="62">
        <v>0.0</v>
      </c>
      <c r="DL69" s="62">
        <v>0.0</v>
      </c>
      <c r="DM69" s="62">
        <v>0.0</v>
      </c>
      <c r="DN69" s="62">
        <v>0.0</v>
      </c>
      <c r="DO69" s="62">
        <v>0.0</v>
      </c>
      <c r="DP69" s="62">
        <v>0.0</v>
      </c>
      <c r="DQ69" s="62">
        <v>0.0</v>
      </c>
      <c r="DR69" s="62">
        <v>0.0</v>
      </c>
      <c r="DS69" s="62">
        <v>0.0</v>
      </c>
      <c r="DT69" s="62">
        <v>0.0</v>
      </c>
      <c r="DU69" s="62">
        <v>0.0</v>
      </c>
      <c r="DV69" s="62">
        <v>0.0</v>
      </c>
      <c r="DW69" s="62">
        <v>0.0</v>
      </c>
      <c r="DX69" s="62">
        <v>0.0</v>
      </c>
      <c r="DY69" s="62">
        <v>0.0</v>
      </c>
      <c r="DZ69" s="62">
        <v>0.0</v>
      </c>
      <c r="EA69" s="62">
        <v>0.0</v>
      </c>
      <c r="EB69" s="62">
        <v>0.0</v>
      </c>
      <c r="EC69" s="62">
        <v>0.0</v>
      </c>
      <c r="ED69" s="62">
        <v>0.0</v>
      </c>
      <c r="EE69" s="62">
        <v>0.0</v>
      </c>
      <c r="EF69" s="62">
        <v>0.0</v>
      </c>
      <c r="EG69" s="62">
        <v>0.0</v>
      </c>
      <c r="EH69" s="62">
        <v>0.0</v>
      </c>
      <c r="EI69" s="62">
        <v>0.0</v>
      </c>
      <c r="EJ69" s="62">
        <v>0.0</v>
      </c>
      <c r="EK69" s="62">
        <v>0.0</v>
      </c>
      <c r="EL69" s="62">
        <v>0.0</v>
      </c>
      <c r="EM69" s="62">
        <v>0.0</v>
      </c>
      <c r="EN69" s="62">
        <v>0.0</v>
      </c>
      <c r="EO69" s="62">
        <v>0.0</v>
      </c>
      <c r="EP69" s="62">
        <v>0.0</v>
      </c>
      <c r="EQ69" s="62">
        <v>0.0</v>
      </c>
      <c r="ER69" s="62">
        <v>0.0</v>
      </c>
      <c r="ES69" s="62">
        <v>0.0</v>
      </c>
      <c r="ET69" s="62">
        <v>0.0</v>
      </c>
      <c r="EU69" s="62">
        <v>0.0</v>
      </c>
      <c r="EV69" s="62">
        <v>0.0</v>
      </c>
      <c r="EW69" s="62">
        <v>0.0</v>
      </c>
      <c r="EX69" s="62">
        <v>0.0</v>
      </c>
      <c r="EY69" s="62">
        <v>0.0</v>
      </c>
      <c r="EZ69" s="62">
        <v>0.0</v>
      </c>
      <c r="FA69" s="62">
        <v>0.0</v>
      </c>
      <c r="FB69" s="62">
        <v>0.0</v>
      </c>
      <c r="FC69" s="62">
        <v>59320.0</v>
      </c>
      <c r="FD69" s="62">
        <v>0.0</v>
      </c>
      <c r="FE69" s="62">
        <v>1653461.0</v>
      </c>
      <c r="FF69" s="62">
        <v>250989.0</v>
      </c>
      <c r="FG69" s="62">
        <v>321033.0</v>
      </c>
      <c r="FH69" s="62">
        <v>0.0</v>
      </c>
      <c r="FI69" s="62">
        <v>0.0</v>
      </c>
      <c r="FJ69" s="62">
        <v>894955.0</v>
      </c>
      <c r="FK69" s="62">
        <v>8697637.0</v>
      </c>
      <c r="FL69" s="62">
        <v>0.0</v>
      </c>
      <c r="FM69" s="62">
        <v>0.0</v>
      </c>
      <c r="FN69" s="62">
        <v>0.0</v>
      </c>
      <c r="FO69" s="62">
        <v>0.0</v>
      </c>
      <c r="FP69" s="62">
        <v>0.0</v>
      </c>
      <c r="FQ69" s="62">
        <v>0.0</v>
      </c>
      <c r="FR69" s="62">
        <v>0.0</v>
      </c>
      <c r="FS69" s="62">
        <v>0.0</v>
      </c>
      <c r="FT69" s="62">
        <v>0.0</v>
      </c>
      <c r="FU69" s="62">
        <v>0.0</v>
      </c>
      <c r="FV69" s="62">
        <v>0.0</v>
      </c>
      <c r="FW69" s="62">
        <v>1540.0</v>
      </c>
      <c r="FX69" s="62">
        <v>119.0</v>
      </c>
      <c r="FY69" s="62">
        <v>4495.0</v>
      </c>
      <c r="FZ69" s="62">
        <v>304.0</v>
      </c>
      <c r="GA69" s="62">
        <v>287612.0</v>
      </c>
      <c r="GB69" s="62">
        <v>921336.0</v>
      </c>
      <c r="GC69" s="62">
        <v>19955.0</v>
      </c>
      <c r="GD69" s="62">
        <v>0.0</v>
      </c>
      <c r="GE69" s="62">
        <v>787237.0</v>
      </c>
      <c r="GF69" s="63">
        <v>1.4627089E7</v>
      </c>
      <c r="GG69" s="64">
        <v>7.4883861E7</v>
      </c>
      <c r="GH69" s="65">
        <v>0.0</v>
      </c>
      <c r="GI69" s="64">
        <v>0.0</v>
      </c>
      <c r="GJ69" s="64">
        <v>0.0</v>
      </c>
      <c r="GK69" s="64">
        <v>-315805.0</v>
      </c>
      <c r="GL69" s="64">
        <v>1.0071284E7</v>
      </c>
      <c r="GM69" s="64">
        <v>0.0</v>
      </c>
      <c r="GN69" s="63">
        <v>8.463934E7</v>
      </c>
      <c r="GO69" s="66">
        <v>9.9266429E7</v>
      </c>
      <c r="GP69" s="64">
        <v>1410186.0</v>
      </c>
      <c r="GQ69" s="64">
        <v>127044.0</v>
      </c>
      <c r="GR69" s="65">
        <v>0.0</v>
      </c>
      <c r="GS69" s="63">
        <v>1537230.0</v>
      </c>
      <c r="GT69" s="67">
        <v>9280500.0</v>
      </c>
      <c r="GU69" s="67">
        <v>6267026.0</v>
      </c>
      <c r="GV69" s="67">
        <v>1117569.0</v>
      </c>
      <c r="GW69" s="63">
        <v>1.6665095E7</v>
      </c>
      <c r="GX69" s="63">
        <v>3230088.0</v>
      </c>
      <c r="GY69" s="63">
        <v>7.7834016E7</v>
      </c>
      <c r="GZ69" s="66">
        <v>9.9266429E7</v>
      </c>
    </row>
    <row r="70" ht="15.75" customHeight="1">
      <c r="A70" s="68">
        <v>65.0</v>
      </c>
      <c r="B70" s="69" t="s">
        <v>110</v>
      </c>
      <c r="C70" s="70">
        <v>0.0</v>
      </c>
      <c r="D70" s="70">
        <v>0.0</v>
      </c>
      <c r="E70" s="70">
        <v>0.0</v>
      </c>
      <c r="F70" s="70">
        <v>0.0</v>
      </c>
      <c r="G70" s="70">
        <v>0.0</v>
      </c>
      <c r="H70" s="70">
        <v>0.0</v>
      </c>
      <c r="I70" s="70">
        <v>0.0</v>
      </c>
      <c r="J70" s="70">
        <v>0.0</v>
      </c>
      <c r="K70" s="70">
        <v>0.0</v>
      </c>
      <c r="L70" s="70">
        <v>0.0</v>
      </c>
      <c r="M70" s="70">
        <v>0.0</v>
      </c>
      <c r="N70" s="70">
        <v>0.0</v>
      </c>
      <c r="O70" s="70">
        <v>0.0</v>
      </c>
      <c r="P70" s="70">
        <v>0.0</v>
      </c>
      <c r="Q70" s="70">
        <v>0.0</v>
      </c>
      <c r="R70" s="70">
        <v>0.0</v>
      </c>
      <c r="S70" s="70">
        <v>0.0</v>
      </c>
      <c r="T70" s="70">
        <v>0.0</v>
      </c>
      <c r="U70" s="70">
        <v>0.0</v>
      </c>
      <c r="V70" s="70">
        <v>0.0</v>
      </c>
      <c r="W70" s="70">
        <v>0.0</v>
      </c>
      <c r="X70" s="70">
        <v>0.0</v>
      </c>
      <c r="Y70" s="70">
        <v>0.0</v>
      </c>
      <c r="Z70" s="70">
        <v>0.0</v>
      </c>
      <c r="AA70" s="70">
        <v>0.0</v>
      </c>
      <c r="AB70" s="70">
        <v>4729.0</v>
      </c>
      <c r="AC70" s="70">
        <v>4110.0</v>
      </c>
      <c r="AD70" s="70">
        <v>206336.0</v>
      </c>
      <c r="AE70" s="70">
        <v>9857.0</v>
      </c>
      <c r="AF70" s="70">
        <v>0.0</v>
      </c>
      <c r="AG70" s="70">
        <v>0.0</v>
      </c>
      <c r="AH70" s="70">
        <v>0.0</v>
      </c>
      <c r="AI70" s="70">
        <v>0.0</v>
      </c>
      <c r="AJ70" s="70">
        <v>0.0</v>
      </c>
      <c r="AK70" s="70">
        <v>0.0</v>
      </c>
      <c r="AL70" s="70">
        <v>0.0</v>
      </c>
      <c r="AM70" s="70">
        <v>0.0</v>
      </c>
      <c r="AN70" s="70">
        <v>0.0</v>
      </c>
      <c r="AO70" s="70">
        <v>0.0</v>
      </c>
      <c r="AP70" s="70">
        <v>0.0</v>
      </c>
      <c r="AQ70" s="70">
        <v>0.0</v>
      </c>
      <c r="AR70" s="70">
        <v>0.0</v>
      </c>
      <c r="AS70" s="70">
        <v>0.0</v>
      </c>
      <c r="AT70" s="70">
        <v>0.0</v>
      </c>
      <c r="AU70" s="70">
        <v>0.0</v>
      </c>
      <c r="AV70" s="70">
        <v>0.0</v>
      </c>
      <c r="AW70" s="70">
        <v>0.0</v>
      </c>
      <c r="AX70" s="70">
        <v>0.0</v>
      </c>
      <c r="AY70" s="70">
        <v>0.0</v>
      </c>
      <c r="AZ70" s="70">
        <v>0.0</v>
      </c>
      <c r="BA70" s="70">
        <v>0.0</v>
      </c>
      <c r="BB70" s="70">
        <v>0.0</v>
      </c>
      <c r="BC70" s="70">
        <v>17935.0</v>
      </c>
      <c r="BD70" s="70">
        <v>0.0</v>
      </c>
      <c r="BE70" s="70">
        <v>0.0</v>
      </c>
      <c r="BF70" s="70">
        <v>0.0</v>
      </c>
      <c r="BG70" s="70">
        <v>1777890.0</v>
      </c>
      <c r="BH70" s="70">
        <v>6221.0</v>
      </c>
      <c r="BI70" s="70">
        <v>108.0</v>
      </c>
      <c r="BJ70" s="70">
        <v>2421373.0</v>
      </c>
      <c r="BK70" s="70">
        <v>972815.0</v>
      </c>
      <c r="BL70" s="70">
        <v>0.0</v>
      </c>
      <c r="BM70" s="70">
        <v>0.0</v>
      </c>
      <c r="BN70" s="70">
        <v>8207325.0</v>
      </c>
      <c r="BO70" s="70">
        <v>2264389.0</v>
      </c>
      <c r="BP70" s="70">
        <v>5178197.0</v>
      </c>
      <c r="BQ70" s="70">
        <v>60039.0</v>
      </c>
      <c r="BR70" s="70">
        <v>953613.0</v>
      </c>
      <c r="BS70" s="70">
        <v>1660152.0</v>
      </c>
      <c r="BT70" s="70">
        <v>8324510.0</v>
      </c>
      <c r="BU70" s="70">
        <v>4672457.0</v>
      </c>
      <c r="BV70" s="70">
        <v>0.0</v>
      </c>
      <c r="BW70" s="70">
        <v>151299.0</v>
      </c>
      <c r="BX70" s="70">
        <v>1.5515249E7</v>
      </c>
      <c r="BY70" s="70">
        <v>429576.0</v>
      </c>
      <c r="BZ70" s="70">
        <v>55928.0</v>
      </c>
      <c r="CA70" s="70">
        <v>0.0</v>
      </c>
      <c r="CB70" s="70">
        <v>0.0</v>
      </c>
      <c r="CC70" s="70">
        <v>0.0</v>
      </c>
      <c r="CD70" s="70">
        <v>0.0</v>
      </c>
      <c r="CE70" s="70">
        <v>0.0</v>
      </c>
      <c r="CF70" s="70">
        <v>0.0</v>
      </c>
      <c r="CG70" s="70">
        <v>0.0</v>
      </c>
      <c r="CH70" s="70">
        <v>0.0</v>
      </c>
      <c r="CI70" s="70">
        <v>0.0</v>
      </c>
      <c r="CJ70" s="70">
        <v>0.0</v>
      </c>
      <c r="CK70" s="70">
        <v>0.0</v>
      </c>
      <c r="CL70" s="70">
        <v>0.0</v>
      </c>
      <c r="CM70" s="70">
        <v>0.0</v>
      </c>
      <c r="CN70" s="70">
        <v>0.0</v>
      </c>
      <c r="CO70" s="70">
        <v>0.0</v>
      </c>
      <c r="CP70" s="70">
        <v>0.0</v>
      </c>
      <c r="CQ70" s="70">
        <v>0.0</v>
      </c>
      <c r="CR70" s="70">
        <v>0.0</v>
      </c>
      <c r="CS70" s="70">
        <v>0.0</v>
      </c>
      <c r="CT70" s="70">
        <v>0.0</v>
      </c>
      <c r="CU70" s="70">
        <v>0.0</v>
      </c>
      <c r="CV70" s="70">
        <v>0.0</v>
      </c>
      <c r="CW70" s="70">
        <v>0.0</v>
      </c>
      <c r="CX70" s="70">
        <v>0.0</v>
      </c>
      <c r="CY70" s="70">
        <v>0.0</v>
      </c>
      <c r="CZ70" s="70">
        <v>10248.0</v>
      </c>
      <c r="DA70" s="70">
        <v>0.0</v>
      </c>
      <c r="DB70" s="70">
        <v>0.0</v>
      </c>
      <c r="DC70" s="70">
        <v>637040.0</v>
      </c>
      <c r="DD70" s="70">
        <v>11210.0</v>
      </c>
      <c r="DE70" s="70">
        <v>0.0</v>
      </c>
      <c r="DF70" s="70">
        <v>0.0</v>
      </c>
      <c r="DG70" s="70">
        <v>0.0</v>
      </c>
      <c r="DH70" s="70">
        <v>0.0</v>
      </c>
      <c r="DI70" s="70">
        <v>0.0</v>
      </c>
      <c r="DJ70" s="70">
        <v>0.0</v>
      </c>
      <c r="DK70" s="70">
        <v>0.0</v>
      </c>
      <c r="DL70" s="70">
        <v>0.0</v>
      </c>
      <c r="DM70" s="70">
        <v>0.0</v>
      </c>
      <c r="DN70" s="70">
        <v>0.0</v>
      </c>
      <c r="DO70" s="70">
        <v>0.0</v>
      </c>
      <c r="DP70" s="70">
        <v>0.0</v>
      </c>
      <c r="DQ70" s="70">
        <v>0.0</v>
      </c>
      <c r="DR70" s="70">
        <v>0.0</v>
      </c>
      <c r="DS70" s="70">
        <v>0.0</v>
      </c>
      <c r="DT70" s="70">
        <v>0.0</v>
      </c>
      <c r="DU70" s="70">
        <v>0.0</v>
      </c>
      <c r="DV70" s="70">
        <v>0.0</v>
      </c>
      <c r="DW70" s="70">
        <v>0.0</v>
      </c>
      <c r="DX70" s="70">
        <v>0.0</v>
      </c>
      <c r="DY70" s="70">
        <v>0.0</v>
      </c>
      <c r="DZ70" s="70">
        <v>0.0</v>
      </c>
      <c r="EA70" s="70">
        <v>0.0</v>
      </c>
      <c r="EB70" s="70">
        <v>0.0</v>
      </c>
      <c r="EC70" s="70">
        <v>0.0</v>
      </c>
      <c r="ED70" s="70">
        <v>0.0</v>
      </c>
      <c r="EE70" s="70">
        <v>0.0</v>
      </c>
      <c r="EF70" s="70">
        <v>0.0</v>
      </c>
      <c r="EG70" s="70">
        <v>0.0</v>
      </c>
      <c r="EH70" s="70">
        <v>0.0</v>
      </c>
      <c r="EI70" s="70">
        <v>0.0</v>
      </c>
      <c r="EJ70" s="70">
        <v>0.0</v>
      </c>
      <c r="EK70" s="70">
        <v>0.0</v>
      </c>
      <c r="EL70" s="70">
        <v>0.0</v>
      </c>
      <c r="EM70" s="70">
        <v>0.0</v>
      </c>
      <c r="EN70" s="70">
        <v>0.0</v>
      </c>
      <c r="EO70" s="70">
        <v>0.0</v>
      </c>
      <c r="EP70" s="70">
        <v>0.0</v>
      </c>
      <c r="EQ70" s="70">
        <v>0.0</v>
      </c>
      <c r="ER70" s="70">
        <v>0.0</v>
      </c>
      <c r="ES70" s="70">
        <v>0.0</v>
      </c>
      <c r="ET70" s="70">
        <v>0.0</v>
      </c>
      <c r="EU70" s="70">
        <v>0.0</v>
      </c>
      <c r="EV70" s="70">
        <v>0.0</v>
      </c>
      <c r="EW70" s="70">
        <v>0.0</v>
      </c>
      <c r="EX70" s="70">
        <v>0.0</v>
      </c>
      <c r="EY70" s="70">
        <v>0.0</v>
      </c>
      <c r="EZ70" s="70">
        <v>0.0</v>
      </c>
      <c r="FA70" s="70">
        <v>0.0</v>
      </c>
      <c r="FB70" s="70">
        <v>0.0</v>
      </c>
      <c r="FC70" s="70">
        <v>23052.0</v>
      </c>
      <c r="FD70" s="70">
        <v>0.0</v>
      </c>
      <c r="FE70" s="70">
        <v>1401016.0</v>
      </c>
      <c r="FF70" s="70">
        <v>0.0</v>
      </c>
      <c r="FG70" s="70">
        <v>505987.0</v>
      </c>
      <c r="FH70" s="70">
        <v>0.0</v>
      </c>
      <c r="FI70" s="70">
        <v>0.0</v>
      </c>
      <c r="FJ70" s="70">
        <v>1309196.0</v>
      </c>
      <c r="FK70" s="70">
        <v>2.0270449E7</v>
      </c>
      <c r="FL70" s="70">
        <v>0.0</v>
      </c>
      <c r="FM70" s="70">
        <v>0.0</v>
      </c>
      <c r="FN70" s="70">
        <v>0.0</v>
      </c>
      <c r="FO70" s="70">
        <v>0.0</v>
      </c>
      <c r="FP70" s="70">
        <v>0.0</v>
      </c>
      <c r="FQ70" s="70">
        <v>0.0</v>
      </c>
      <c r="FR70" s="70">
        <v>0.0</v>
      </c>
      <c r="FS70" s="70">
        <v>0.0</v>
      </c>
      <c r="FT70" s="70">
        <v>0.0</v>
      </c>
      <c r="FU70" s="70">
        <v>0.0</v>
      </c>
      <c r="FV70" s="70">
        <v>0.0</v>
      </c>
      <c r="FW70" s="70">
        <v>561947.0</v>
      </c>
      <c r="FX70" s="70">
        <v>603406.0</v>
      </c>
      <c r="FY70" s="70">
        <v>997014.0</v>
      </c>
      <c r="FZ70" s="70">
        <v>0.0</v>
      </c>
      <c r="GA70" s="70">
        <v>164110.0</v>
      </c>
      <c r="GB70" s="70">
        <v>712845.0</v>
      </c>
      <c r="GC70" s="70">
        <v>11960.0</v>
      </c>
      <c r="GD70" s="70">
        <v>0.0</v>
      </c>
      <c r="GE70" s="70">
        <v>471596.0</v>
      </c>
      <c r="GF70" s="71">
        <v>8.0585184E7</v>
      </c>
      <c r="GG70" s="72">
        <v>3.9839633E7</v>
      </c>
      <c r="GH70" s="73">
        <v>0.0</v>
      </c>
      <c r="GI70" s="72">
        <v>0.0</v>
      </c>
      <c r="GJ70" s="72">
        <v>0.0</v>
      </c>
      <c r="GK70" s="72">
        <v>3534012.0</v>
      </c>
      <c r="GL70" s="72">
        <v>1475002.0</v>
      </c>
      <c r="GM70" s="72">
        <v>0.0</v>
      </c>
      <c r="GN70" s="71">
        <v>4.4848647E7</v>
      </c>
      <c r="GO70" s="74">
        <v>1.25433831E8</v>
      </c>
      <c r="GP70" s="72">
        <v>3.0082101E7</v>
      </c>
      <c r="GQ70" s="72">
        <v>0.0</v>
      </c>
      <c r="GR70" s="73">
        <v>0.0</v>
      </c>
      <c r="GS70" s="71">
        <v>3.0082101E7</v>
      </c>
      <c r="GT70" s="75">
        <v>7220781.0</v>
      </c>
      <c r="GU70" s="75">
        <v>4790398.0</v>
      </c>
      <c r="GV70" s="75">
        <v>1494629.0</v>
      </c>
      <c r="GW70" s="71">
        <v>1.3505808E7</v>
      </c>
      <c r="GX70" s="71">
        <v>4631863.0</v>
      </c>
      <c r="GY70" s="71">
        <v>7.7214059E7</v>
      </c>
      <c r="GZ70" s="74">
        <v>1.25433831E8</v>
      </c>
    </row>
    <row r="71" ht="15.75" customHeight="1">
      <c r="A71" s="52">
        <v>66.0</v>
      </c>
      <c r="B71" s="53" t="s">
        <v>111</v>
      </c>
      <c r="C71" s="54">
        <v>0.0</v>
      </c>
      <c r="D71" s="54">
        <v>0.0</v>
      </c>
      <c r="E71" s="54">
        <v>0.0</v>
      </c>
      <c r="F71" s="54">
        <v>0.0</v>
      </c>
      <c r="G71" s="54">
        <v>0.0</v>
      </c>
      <c r="H71" s="54">
        <v>0.0</v>
      </c>
      <c r="I71" s="54">
        <v>0.0</v>
      </c>
      <c r="J71" s="54">
        <v>0.0</v>
      </c>
      <c r="K71" s="54">
        <v>0.0</v>
      </c>
      <c r="L71" s="54">
        <v>0.0</v>
      </c>
      <c r="M71" s="54">
        <v>0.0</v>
      </c>
      <c r="N71" s="54">
        <v>0.0</v>
      </c>
      <c r="O71" s="54">
        <v>0.0</v>
      </c>
      <c r="P71" s="54">
        <v>0.0</v>
      </c>
      <c r="Q71" s="54">
        <v>0.0</v>
      </c>
      <c r="R71" s="54">
        <v>0.0</v>
      </c>
      <c r="S71" s="54">
        <v>0.0</v>
      </c>
      <c r="T71" s="54">
        <v>0.0</v>
      </c>
      <c r="U71" s="54">
        <v>0.0</v>
      </c>
      <c r="V71" s="54">
        <v>0.0</v>
      </c>
      <c r="W71" s="54">
        <v>0.0</v>
      </c>
      <c r="X71" s="54">
        <v>0.0</v>
      </c>
      <c r="Y71" s="54">
        <v>0.0</v>
      </c>
      <c r="Z71" s="54">
        <v>0.0</v>
      </c>
      <c r="AA71" s="54">
        <v>0.0</v>
      </c>
      <c r="AB71" s="54">
        <v>0.0</v>
      </c>
      <c r="AC71" s="54">
        <v>0.0</v>
      </c>
      <c r="AD71" s="54">
        <v>0.0</v>
      </c>
      <c r="AE71" s="54">
        <v>0.0</v>
      </c>
      <c r="AF71" s="54">
        <v>0.0</v>
      </c>
      <c r="AG71" s="54">
        <v>0.0</v>
      </c>
      <c r="AH71" s="54">
        <v>0.0</v>
      </c>
      <c r="AI71" s="54">
        <v>0.0</v>
      </c>
      <c r="AJ71" s="54">
        <v>0.0</v>
      </c>
      <c r="AK71" s="54">
        <v>0.0</v>
      </c>
      <c r="AL71" s="54">
        <v>0.0</v>
      </c>
      <c r="AM71" s="54">
        <v>0.0</v>
      </c>
      <c r="AN71" s="54">
        <v>0.0</v>
      </c>
      <c r="AO71" s="54">
        <v>0.0</v>
      </c>
      <c r="AP71" s="54">
        <v>0.0</v>
      </c>
      <c r="AQ71" s="54">
        <v>0.0</v>
      </c>
      <c r="AR71" s="54">
        <v>0.0</v>
      </c>
      <c r="AS71" s="54">
        <v>0.0</v>
      </c>
      <c r="AT71" s="54">
        <v>0.0</v>
      </c>
      <c r="AU71" s="54">
        <v>0.0</v>
      </c>
      <c r="AV71" s="54">
        <v>0.0</v>
      </c>
      <c r="AW71" s="54">
        <v>0.0</v>
      </c>
      <c r="AX71" s="54">
        <v>0.0</v>
      </c>
      <c r="AY71" s="54">
        <v>0.0</v>
      </c>
      <c r="AZ71" s="54">
        <v>0.0</v>
      </c>
      <c r="BA71" s="54">
        <v>0.0</v>
      </c>
      <c r="BB71" s="54">
        <v>0.0</v>
      </c>
      <c r="BC71" s="54">
        <v>0.0</v>
      </c>
      <c r="BD71" s="54">
        <v>0.0</v>
      </c>
      <c r="BE71" s="54">
        <v>0.0</v>
      </c>
      <c r="BF71" s="54">
        <v>0.0</v>
      </c>
      <c r="BG71" s="54">
        <v>51125.0</v>
      </c>
      <c r="BH71" s="54">
        <v>0.0</v>
      </c>
      <c r="BI71" s="54">
        <v>0.0</v>
      </c>
      <c r="BJ71" s="54">
        <v>6320314.0</v>
      </c>
      <c r="BK71" s="54">
        <v>7293.0</v>
      </c>
      <c r="BL71" s="54">
        <v>0.0</v>
      </c>
      <c r="BM71" s="54">
        <v>0.0</v>
      </c>
      <c r="BN71" s="54">
        <v>286067.0</v>
      </c>
      <c r="BO71" s="54">
        <v>0.0</v>
      </c>
      <c r="BP71" s="54">
        <v>3039427.0</v>
      </c>
      <c r="BQ71" s="54">
        <v>0.0</v>
      </c>
      <c r="BR71" s="54">
        <v>141.0</v>
      </c>
      <c r="BS71" s="54">
        <v>23364.0</v>
      </c>
      <c r="BT71" s="54">
        <v>14397.0</v>
      </c>
      <c r="BU71" s="54">
        <v>825764.0</v>
      </c>
      <c r="BV71" s="54">
        <v>0.0</v>
      </c>
      <c r="BW71" s="54">
        <v>0.0</v>
      </c>
      <c r="BX71" s="54">
        <v>198485.0</v>
      </c>
      <c r="BY71" s="54">
        <v>0.0</v>
      </c>
      <c r="BZ71" s="54">
        <v>0.0</v>
      </c>
      <c r="CA71" s="54">
        <v>0.0</v>
      </c>
      <c r="CB71" s="54">
        <v>0.0</v>
      </c>
      <c r="CC71" s="54">
        <v>0.0</v>
      </c>
      <c r="CD71" s="54">
        <v>0.0</v>
      </c>
      <c r="CE71" s="54">
        <v>0.0</v>
      </c>
      <c r="CF71" s="54">
        <v>0.0</v>
      </c>
      <c r="CG71" s="54">
        <v>0.0</v>
      </c>
      <c r="CH71" s="54">
        <v>0.0</v>
      </c>
      <c r="CI71" s="54">
        <v>0.0</v>
      </c>
      <c r="CJ71" s="54">
        <v>0.0</v>
      </c>
      <c r="CK71" s="54">
        <v>0.0</v>
      </c>
      <c r="CL71" s="54">
        <v>0.0</v>
      </c>
      <c r="CM71" s="54">
        <v>0.0</v>
      </c>
      <c r="CN71" s="54">
        <v>0.0</v>
      </c>
      <c r="CO71" s="54">
        <v>0.0</v>
      </c>
      <c r="CP71" s="54">
        <v>0.0</v>
      </c>
      <c r="CQ71" s="54">
        <v>0.0</v>
      </c>
      <c r="CR71" s="54">
        <v>0.0</v>
      </c>
      <c r="CS71" s="54">
        <v>0.0</v>
      </c>
      <c r="CT71" s="54">
        <v>0.0</v>
      </c>
      <c r="CU71" s="54">
        <v>0.0</v>
      </c>
      <c r="CV71" s="54">
        <v>0.0</v>
      </c>
      <c r="CW71" s="54">
        <v>0.0</v>
      </c>
      <c r="CX71" s="54">
        <v>0.0</v>
      </c>
      <c r="CY71" s="54">
        <v>0.0</v>
      </c>
      <c r="CZ71" s="54">
        <v>0.0</v>
      </c>
      <c r="DA71" s="54">
        <v>13508.0</v>
      </c>
      <c r="DB71" s="54">
        <v>0.0</v>
      </c>
      <c r="DC71" s="54">
        <v>649726.0</v>
      </c>
      <c r="DD71" s="54">
        <v>9391.0</v>
      </c>
      <c r="DE71" s="54">
        <v>0.0</v>
      </c>
      <c r="DF71" s="54">
        <v>0.0</v>
      </c>
      <c r="DG71" s="54">
        <v>0.0</v>
      </c>
      <c r="DH71" s="54">
        <v>0.0</v>
      </c>
      <c r="DI71" s="54">
        <v>0.0</v>
      </c>
      <c r="DJ71" s="54">
        <v>0.0</v>
      </c>
      <c r="DK71" s="54">
        <v>0.0</v>
      </c>
      <c r="DL71" s="54">
        <v>0.0</v>
      </c>
      <c r="DM71" s="54">
        <v>0.0</v>
      </c>
      <c r="DN71" s="54">
        <v>0.0</v>
      </c>
      <c r="DO71" s="54">
        <v>0.0</v>
      </c>
      <c r="DP71" s="54">
        <v>0.0</v>
      </c>
      <c r="DQ71" s="54">
        <v>0.0</v>
      </c>
      <c r="DR71" s="54">
        <v>0.0</v>
      </c>
      <c r="DS71" s="54">
        <v>0.0</v>
      </c>
      <c r="DT71" s="54">
        <v>0.0</v>
      </c>
      <c r="DU71" s="54">
        <v>0.0</v>
      </c>
      <c r="DV71" s="54">
        <v>0.0</v>
      </c>
      <c r="DW71" s="54">
        <v>0.0</v>
      </c>
      <c r="DX71" s="54">
        <v>0.0</v>
      </c>
      <c r="DY71" s="54">
        <v>0.0</v>
      </c>
      <c r="DZ71" s="54">
        <v>0.0</v>
      </c>
      <c r="EA71" s="54">
        <v>0.0</v>
      </c>
      <c r="EB71" s="54">
        <v>0.0</v>
      </c>
      <c r="EC71" s="54">
        <v>0.0</v>
      </c>
      <c r="ED71" s="54">
        <v>0.0</v>
      </c>
      <c r="EE71" s="54">
        <v>0.0</v>
      </c>
      <c r="EF71" s="54">
        <v>0.0</v>
      </c>
      <c r="EG71" s="54">
        <v>0.0</v>
      </c>
      <c r="EH71" s="54">
        <v>0.0</v>
      </c>
      <c r="EI71" s="54">
        <v>0.0</v>
      </c>
      <c r="EJ71" s="54">
        <v>0.0</v>
      </c>
      <c r="EK71" s="54">
        <v>0.0</v>
      </c>
      <c r="EL71" s="54">
        <v>0.0</v>
      </c>
      <c r="EM71" s="54">
        <v>0.0</v>
      </c>
      <c r="EN71" s="54">
        <v>0.0</v>
      </c>
      <c r="EO71" s="54">
        <v>0.0</v>
      </c>
      <c r="EP71" s="54">
        <v>0.0</v>
      </c>
      <c r="EQ71" s="54">
        <v>0.0</v>
      </c>
      <c r="ER71" s="54">
        <v>0.0</v>
      </c>
      <c r="ES71" s="54">
        <v>0.0</v>
      </c>
      <c r="ET71" s="54">
        <v>0.0</v>
      </c>
      <c r="EU71" s="54">
        <v>0.0</v>
      </c>
      <c r="EV71" s="54">
        <v>0.0</v>
      </c>
      <c r="EW71" s="54">
        <v>0.0</v>
      </c>
      <c r="EX71" s="54">
        <v>0.0</v>
      </c>
      <c r="EY71" s="54">
        <v>0.0</v>
      </c>
      <c r="EZ71" s="54">
        <v>0.0</v>
      </c>
      <c r="FA71" s="54">
        <v>0.0</v>
      </c>
      <c r="FB71" s="54">
        <v>0.0</v>
      </c>
      <c r="FC71" s="54">
        <v>1343.0</v>
      </c>
      <c r="FD71" s="54">
        <v>0.0</v>
      </c>
      <c r="FE71" s="54">
        <v>745624.0</v>
      </c>
      <c r="FF71" s="54">
        <v>224329.0</v>
      </c>
      <c r="FG71" s="54">
        <v>184958.0</v>
      </c>
      <c r="FH71" s="54">
        <v>0.0</v>
      </c>
      <c r="FI71" s="54">
        <v>0.0</v>
      </c>
      <c r="FJ71" s="54">
        <v>263550.0</v>
      </c>
      <c r="FK71" s="54">
        <v>9040301.0</v>
      </c>
      <c r="FL71" s="54">
        <v>0.0</v>
      </c>
      <c r="FM71" s="54">
        <v>0.0</v>
      </c>
      <c r="FN71" s="54">
        <v>0.0</v>
      </c>
      <c r="FO71" s="54">
        <v>0.0</v>
      </c>
      <c r="FP71" s="54">
        <v>0.0</v>
      </c>
      <c r="FQ71" s="54">
        <v>0.0</v>
      </c>
      <c r="FR71" s="54">
        <v>0.0</v>
      </c>
      <c r="FS71" s="54">
        <v>0.0</v>
      </c>
      <c r="FT71" s="54">
        <v>0.0</v>
      </c>
      <c r="FU71" s="54">
        <v>0.0</v>
      </c>
      <c r="FV71" s="54">
        <v>0.0</v>
      </c>
      <c r="FW71" s="54">
        <v>72420.0</v>
      </c>
      <c r="FX71" s="54">
        <v>3801.0</v>
      </c>
      <c r="FY71" s="54">
        <v>45986.0</v>
      </c>
      <c r="FZ71" s="54">
        <v>0.0</v>
      </c>
      <c r="GA71" s="54">
        <v>119832.0</v>
      </c>
      <c r="GB71" s="54">
        <v>617700.0</v>
      </c>
      <c r="GC71" s="54">
        <v>9130.0</v>
      </c>
      <c r="GD71" s="54">
        <v>0.0</v>
      </c>
      <c r="GE71" s="54">
        <v>360687.0</v>
      </c>
      <c r="GF71" s="55">
        <v>2.3128663E7</v>
      </c>
      <c r="GG71" s="56">
        <v>7796636.0</v>
      </c>
      <c r="GH71" s="57">
        <v>0.0</v>
      </c>
      <c r="GI71" s="56">
        <v>0.0</v>
      </c>
      <c r="GJ71" s="56">
        <v>0.0</v>
      </c>
      <c r="GK71" s="56">
        <v>4708.0</v>
      </c>
      <c r="GL71" s="56">
        <v>1.8816233E7</v>
      </c>
      <c r="GM71" s="56">
        <v>0.0</v>
      </c>
      <c r="GN71" s="55">
        <v>2.6617577E7</v>
      </c>
      <c r="GO71" s="58">
        <v>4.974624E7</v>
      </c>
      <c r="GP71" s="56">
        <v>3136672.0</v>
      </c>
      <c r="GQ71" s="56">
        <v>65141.0</v>
      </c>
      <c r="GR71" s="57">
        <v>0.0</v>
      </c>
      <c r="GS71" s="55">
        <v>3201813.0</v>
      </c>
      <c r="GT71" s="59">
        <v>4113127.0</v>
      </c>
      <c r="GU71" s="59">
        <v>4382146.0</v>
      </c>
      <c r="GV71" s="59">
        <v>564128.0</v>
      </c>
      <c r="GW71" s="55">
        <v>9059401.0</v>
      </c>
      <c r="GX71" s="55">
        <v>755743.0</v>
      </c>
      <c r="GY71" s="55">
        <v>3.6729283E7</v>
      </c>
      <c r="GZ71" s="58">
        <v>4.974624E7</v>
      </c>
    </row>
    <row r="72" ht="15.75" customHeight="1">
      <c r="A72" s="60">
        <v>67.0</v>
      </c>
      <c r="B72" s="61" t="s">
        <v>112</v>
      </c>
      <c r="C72" s="62">
        <v>0.0</v>
      </c>
      <c r="D72" s="62">
        <v>0.0</v>
      </c>
      <c r="E72" s="62">
        <v>0.0</v>
      </c>
      <c r="F72" s="62">
        <v>0.0</v>
      </c>
      <c r="G72" s="62">
        <v>0.0</v>
      </c>
      <c r="H72" s="62">
        <v>0.0</v>
      </c>
      <c r="I72" s="62">
        <v>0.0</v>
      </c>
      <c r="J72" s="62">
        <v>0.0</v>
      </c>
      <c r="K72" s="62">
        <v>0.0</v>
      </c>
      <c r="L72" s="62">
        <v>0.0</v>
      </c>
      <c r="M72" s="62">
        <v>0.0</v>
      </c>
      <c r="N72" s="62">
        <v>0.0</v>
      </c>
      <c r="O72" s="62">
        <v>0.0</v>
      </c>
      <c r="P72" s="62">
        <v>0.0</v>
      </c>
      <c r="Q72" s="62">
        <v>0.0</v>
      </c>
      <c r="R72" s="62">
        <v>0.0</v>
      </c>
      <c r="S72" s="62">
        <v>0.0</v>
      </c>
      <c r="T72" s="62">
        <v>0.0</v>
      </c>
      <c r="U72" s="62">
        <v>0.0</v>
      </c>
      <c r="V72" s="62">
        <v>0.0</v>
      </c>
      <c r="W72" s="62">
        <v>0.0</v>
      </c>
      <c r="X72" s="62">
        <v>0.0</v>
      </c>
      <c r="Y72" s="62">
        <v>0.0</v>
      </c>
      <c r="Z72" s="62">
        <v>0.0</v>
      </c>
      <c r="AA72" s="62">
        <v>0.0</v>
      </c>
      <c r="AB72" s="62">
        <v>0.0</v>
      </c>
      <c r="AC72" s="62">
        <v>0.0</v>
      </c>
      <c r="AD72" s="62">
        <v>0.0</v>
      </c>
      <c r="AE72" s="62">
        <v>0.0</v>
      </c>
      <c r="AF72" s="62">
        <v>0.0</v>
      </c>
      <c r="AG72" s="62">
        <v>0.0</v>
      </c>
      <c r="AH72" s="62">
        <v>0.0</v>
      </c>
      <c r="AI72" s="62">
        <v>0.0</v>
      </c>
      <c r="AJ72" s="62">
        <v>0.0</v>
      </c>
      <c r="AK72" s="62">
        <v>0.0</v>
      </c>
      <c r="AL72" s="62">
        <v>0.0</v>
      </c>
      <c r="AM72" s="62">
        <v>0.0</v>
      </c>
      <c r="AN72" s="62">
        <v>0.0</v>
      </c>
      <c r="AO72" s="62">
        <v>0.0</v>
      </c>
      <c r="AP72" s="62">
        <v>0.0</v>
      </c>
      <c r="AQ72" s="62">
        <v>0.0</v>
      </c>
      <c r="AR72" s="62">
        <v>0.0</v>
      </c>
      <c r="AS72" s="62">
        <v>0.0</v>
      </c>
      <c r="AT72" s="62">
        <v>0.0</v>
      </c>
      <c r="AU72" s="62">
        <v>0.0</v>
      </c>
      <c r="AV72" s="62">
        <v>0.0</v>
      </c>
      <c r="AW72" s="62">
        <v>0.0</v>
      </c>
      <c r="AX72" s="62">
        <v>0.0</v>
      </c>
      <c r="AY72" s="62">
        <v>0.0</v>
      </c>
      <c r="AZ72" s="62">
        <v>0.0</v>
      </c>
      <c r="BA72" s="62">
        <v>0.0</v>
      </c>
      <c r="BB72" s="62">
        <v>0.0</v>
      </c>
      <c r="BC72" s="62">
        <v>0.0</v>
      </c>
      <c r="BD72" s="62">
        <v>0.0</v>
      </c>
      <c r="BE72" s="62">
        <v>0.0</v>
      </c>
      <c r="BF72" s="62">
        <v>0.0</v>
      </c>
      <c r="BG72" s="62">
        <v>20527.0</v>
      </c>
      <c r="BH72" s="62">
        <v>0.0</v>
      </c>
      <c r="BI72" s="62">
        <v>0.0</v>
      </c>
      <c r="BJ72" s="62">
        <v>0.0</v>
      </c>
      <c r="BK72" s="62">
        <v>0.0</v>
      </c>
      <c r="BL72" s="62">
        <v>0.0</v>
      </c>
      <c r="BM72" s="62">
        <v>0.0</v>
      </c>
      <c r="BN72" s="62">
        <v>1014.0</v>
      </c>
      <c r="BO72" s="62">
        <v>0.0</v>
      </c>
      <c r="BP72" s="62">
        <v>0.0</v>
      </c>
      <c r="BQ72" s="62">
        <v>20514.0</v>
      </c>
      <c r="BR72" s="62">
        <v>0.0</v>
      </c>
      <c r="BS72" s="62">
        <v>0.0</v>
      </c>
      <c r="BT72" s="62">
        <v>0.0</v>
      </c>
      <c r="BU72" s="62">
        <v>425716.0</v>
      </c>
      <c r="BV72" s="62">
        <v>0.0</v>
      </c>
      <c r="BW72" s="62">
        <v>0.0</v>
      </c>
      <c r="BX72" s="62">
        <v>0.0</v>
      </c>
      <c r="BY72" s="62">
        <v>0.0</v>
      </c>
      <c r="BZ72" s="62">
        <v>0.0</v>
      </c>
      <c r="CA72" s="62">
        <v>0.0</v>
      </c>
      <c r="CB72" s="62">
        <v>0.0</v>
      </c>
      <c r="CC72" s="62">
        <v>0.0</v>
      </c>
      <c r="CD72" s="62">
        <v>0.0</v>
      </c>
      <c r="CE72" s="62">
        <v>0.0</v>
      </c>
      <c r="CF72" s="62">
        <v>0.0</v>
      </c>
      <c r="CG72" s="62">
        <v>0.0</v>
      </c>
      <c r="CH72" s="62">
        <v>0.0</v>
      </c>
      <c r="CI72" s="62">
        <v>0.0</v>
      </c>
      <c r="CJ72" s="62">
        <v>0.0</v>
      </c>
      <c r="CK72" s="62">
        <v>0.0</v>
      </c>
      <c r="CL72" s="62">
        <v>0.0</v>
      </c>
      <c r="CM72" s="62">
        <v>0.0</v>
      </c>
      <c r="CN72" s="62">
        <v>0.0</v>
      </c>
      <c r="CO72" s="62">
        <v>0.0</v>
      </c>
      <c r="CP72" s="62">
        <v>0.0</v>
      </c>
      <c r="CQ72" s="62">
        <v>0.0</v>
      </c>
      <c r="CR72" s="62">
        <v>0.0</v>
      </c>
      <c r="CS72" s="62">
        <v>0.0</v>
      </c>
      <c r="CT72" s="62">
        <v>0.0</v>
      </c>
      <c r="CU72" s="62">
        <v>0.0</v>
      </c>
      <c r="CV72" s="62">
        <v>0.0</v>
      </c>
      <c r="CW72" s="62">
        <v>0.0</v>
      </c>
      <c r="CX72" s="62">
        <v>0.0</v>
      </c>
      <c r="CY72" s="62">
        <v>0.0</v>
      </c>
      <c r="CZ72" s="62">
        <v>0.0</v>
      </c>
      <c r="DA72" s="62">
        <v>0.0</v>
      </c>
      <c r="DB72" s="62">
        <v>0.0</v>
      </c>
      <c r="DC72" s="62">
        <v>0.0</v>
      </c>
      <c r="DD72" s="62">
        <v>0.0</v>
      </c>
      <c r="DE72" s="62">
        <v>0.0</v>
      </c>
      <c r="DF72" s="62">
        <v>0.0</v>
      </c>
      <c r="DG72" s="62">
        <v>0.0</v>
      </c>
      <c r="DH72" s="62">
        <v>0.0</v>
      </c>
      <c r="DI72" s="62">
        <v>0.0</v>
      </c>
      <c r="DJ72" s="62">
        <v>0.0</v>
      </c>
      <c r="DK72" s="62">
        <v>0.0</v>
      </c>
      <c r="DL72" s="62">
        <v>0.0</v>
      </c>
      <c r="DM72" s="62">
        <v>0.0</v>
      </c>
      <c r="DN72" s="62">
        <v>0.0</v>
      </c>
      <c r="DO72" s="62">
        <v>0.0</v>
      </c>
      <c r="DP72" s="62">
        <v>0.0</v>
      </c>
      <c r="DQ72" s="62">
        <v>0.0</v>
      </c>
      <c r="DR72" s="62">
        <v>0.0</v>
      </c>
      <c r="DS72" s="62">
        <v>0.0</v>
      </c>
      <c r="DT72" s="62">
        <v>0.0</v>
      </c>
      <c r="DU72" s="62">
        <v>0.0</v>
      </c>
      <c r="DV72" s="62">
        <v>0.0</v>
      </c>
      <c r="DW72" s="62">
        <v>0.0</v>
      </c>
      <c r="DX72" s="62">
        <v>0.0</v>
      </c>
      <c r="DY72" s="62">
        <v>0.0</v>
      </c>
      <c r="DZ72" s="62">
        <v>0.0</v>
      </c>
      <c r="EA72" s="62">
        <v>0.0</v>
      </c>
      <c r="EB72" s="62">
        <v>0.0</v>
      </c>
      <c r="EC72" s="62">
        <v>0.0</v>
      </c>
      <c r="ED72" s="62">
        <v>0.0</v>
      </c>
      <c r="EE72" s="62">
        <v>0.0</v>
      </c>
      <c r="EF72" s="62">
        <v>0.0</v>
      </c>
      <c r="EG72" s="62">
        <v>0.0</v>
      </c>
      <c r="EH72" s="62">
        <v>0.0</v>
      </c>
      <c r="EI72" s="62">
        <v>0.0</v>
      </c>
      <c r="EJ72" s="62">
        <v>0.0</v>
      </c>
      <c r="EK72" s="62">
        <v>0.0</v>
      </c>
      <c r="EL72" s="62">
        <v>0.0</v>
      </c>
      <c r="EM72" s="62">
        <v>0.0</v>
      </c>
      <c r="EN72" s="62">
        <v>0.0</v>
      </c>
      <c r="EO72" s="62">
        <v>0.0</v>
      </c>
      <c r="EP72" s="62">
        <v>0.0</v>
      </c>
      <c r="EQ72" s="62">
        <v>0.0</v>
      </c>
      <c r="ER72" s="62">
        <v>0.0</v>
      </c>
      <c r="ES72" s="62">
        <v>0.0</v>
      </c>
      <c r="ET72" s="62">
        <v>0.0</v>
      </c>
      <c r="EU72" s="62">
        <v>0.0</v>
      </c>
      <c r="EV72" s="62">
        <v>0.0</v>
      </c>
      <c r="EW72" s="62">
        <v>0.0</v>
      </c>
      <c r="EX72" s="62">
        <v>0.0</v>
      </c>
      <c r="EY72" s="62">
        <v>0.0</v>
      </c>
      <c r="EZ72" s="62">
        <v>0.0</v>
      </c>
      <c r="FA72" s="62">
        <v>0.0</v>
      </c>
      <c r="FB72" s="62">
        <v>0.0</v>
      </c>
      <c r="FC72" s="62">
        <v>0.0</v>
      </c>
      <c r="FD72" s="62">
        <v>0.0</v>
      </c>
      <c r="FE72" s="62">
        <v>38656.0</v>
      </c>
      <c r="FF72" s="62">
        <v>0.0</v>
      </c>
      <c r="FG72" s="62">
        <v>0.0</v>
      </c>
      <c r="FH72" s="62">
        <v>0.0</v>
      </c>
      <c r="FI72" s="62">
        <v>0.0</v>
      </c>
      <c r="FJ72" s="62">
        <v>347403.0</v>
      </c>
      <c r="FK72" s="62">
        <v>1.2091045E7</v>
      </c>
      <c r="FL72" s="62">
        <v>0.0</v>
      </c>
      <c r="FM72" s="62">
        <v>0.0</v>
      </c>
      <c r="FN72" s="62">
        <v>0.0</v>
      </c>
      <c r="FO72" s="62">
        <v>0.0</v>
      </c>
      <c r="FP72" s="62">
        <v>0.0</v>
      </c>
      <c r="FQ72" s="62">
        <v>0.0</v>
      </c>
      <c r="FR72" s="62">
        <v>0.0</v>
      </c>
      <c r="FS72" s="62">
        <v>0.0</v>
      </c>
      <c r="FT72" s="62">
        <v>0.0</v>
      </c>
      <c r="FU72" s="62">
        <v>0.0</v>
      </c>
      <c r="FV72" s="62">
        <v>0.0</v>
      </c>
      <c r="FW72" s="62">
        <v>0.0</v>
      </c>
      <c r="FX72" s="62">
        <v>186.0</v>
      </c>
      <c r="FY72" s="62">
        <v>607152.0</v>
      </c>
      <c r="FZ72" s="62">
        <v>0.0</v>
      </c>
      <c r="GA72" s="62">
        <v>80665.0</v>
      </c>
      <c r="GB72" s="62">
        <v>9672.0</v>
      </c>
      <c r="GC72" s="62">
        <v>649.0</v>
      </c>
      <c r="GD72" s="62">
        <v>0.0</v>
      </c>
      <c r="GE72" s="62">
        <v>25748.0</v>
      </c>
      <c r="GF72" s="63">
        <v>1.3668947E7</v>
      </c>
      <c r="GG72" s="64">
        <v>4.4493462E7</v>
      </c>
      <c r="GH72" s="65">
        <v>0.0</v>
      </c>
      <c r="GI72" s="64">
        <v>0.0</v>
      </c>
      <c r="GJ72" s="64">
        <v>0.0</v>
      </c>
      <c r="GK72" s="64">
        <v>1347882.0</v>
      </c>
      <c r="GL72" s="64">
        <v>4270138.0</v>
      </c>
      <c r="GM72" s="64">
        <v>0.0</v>
      </c>
      <c r="GN72" s="63">
        <v>5.0111482E7</v>
      </c>
      <c r="GO72" s="66">
        <v>6.3780429E7</v>
      </c>
      <c r="GP72" s="64">
        <v>510195.0</v>
      </c>
      <c r="GQ72" s="64">
        <v>105673.0</v>
      </c>
      <c r="GR72" s="65">
        <v>0.0</v>
      </c>
      <c r="GS72" s="63">
        <v>615868.0</v>
      </c>
      <c r="GT72" s="67">
        <v>2847335.0</v>
      </c>
      <c r="GU72" s="67">
        <v>4081512.0</v>
      </c>
      <c r="GV72" s="67">
        <v>484437.0</v>
      </c>
      <c r="GW72" s="63">
        <v>7413284.0</v>
      </c>
      <c r="GX72" s="63">
        <v>1839361.0</v>
      </c>
      <c r="GY72" s="63">
        <v>5.3911916E7</v>
      </c>
      <c r="GZ72" s="66">
        <v>6.3780429E7</v>
      </c>
    </row>
    <row r="73" ht="15.75" customHeight="1">
      <c r="A73" s="60">
        <v>68.0</v>
      </c>
      <c r="B73" s="61" t="s">
        <v>113</v>
      </c>
      <c r="C73" s="62">
        <v>0.0</v>
      </c>
      <c r="D73" s="62">
        <v>0.0</v>
      </c>
      <c r="E73" s="62">
        <v>0.0</v>
      </c>
      <c r="F73" s="62">
        <v>0.0</v>
      </c>
      <c r="G73" s="62">
        <v>0.0</v>
      </c>
      <c r="H73" s="62">
        <v>0.0</v>
      </c>
      <c r="I73" s="62">
        <v>0.0</v>
      </c>
      <c r="J73" s="62">
        <v>0.0</v>
      </c>
      <c r="K73" s="62">
        <v>0.0</v>
      </c>
      <c r="L73" s="62">
        <v>0.0</v>
      </c>
      <c r="M73" s="62">
        <v>0.0</v>
      </c>
      <c r="N73" s="62">
        <v>0.0</v>
      </c>
      <c r="O73" s="62">
        <v>0.0</v>
      </c>
      <c r="P73" s="62">
        <v>0.0</v>
      </c>
      <c r="Q73" s="62">
        <v>0.0</v>
      </c>
      <c r="R73" s="62">
        <v>0.0</v>
      </c>
      <c r="S73" s="62">
        <v>0.0</v>
      </c>
      <c r="T73" s="62">
        <v>0.0</v>
      </c>
      <c r="U73" s="62">
        <v>0.0</v>
      </c>
      <c r="V73" s="62">
        <v>0.0</v>
      </c>
      <c r="W73" s="62">
        <v>0.0</v>
      </c>
      <c r="X73" s="62">
        <v>0.0</v>
      </c>
      <c r="Y73" s="62">
        <v>0.0</v>
      </c>
      <c r="Z73" s="62">
        <v>0.0</v>
      </c>
      <c r="AA73" s="62">
        <v>0.0</v>
      </c>
      <c r="AB73" s="62">
        <v>0.0</v>
      </c>
      <c r="AC73" s="62">
        <v>0.0</v>
      </c>
      <c r="AD73" s="62">
        <v>0.0</v>
      </c>
      <c r="AE73" s="62">
        <v>0.0</v>
      </c>
      <c r="AF73" s="62">
        <v>0.0</v>
      </c>
      <c r="AG73" s="62">
        <v>0.0</v>
      </c>
      <c r="AH73" s="62">
        <v>0.0</v>
      </c>
      <c r="AI73" s="62">
        <v>0.0</v>
      </c>
      <c r="AJ73" s="62">
        <v>0.0</v>
      </c>
      <c r="AK73" s="62">
        <v>0.0</v>
      </c>
      <c r="AL73" s="62">
        <v>0.0</v>
      </c>
      <c r="AM73" s="62">
        <v>0.0</v>
      </c>
      <c r="AN73" s="62">
        <v>0.0</v>
      </c>
      <c r="AO73" s="62">
        <v>0.0</v>
      </c>
      <c r="AP73" s="62">
        <v>0.0</v>
      </c>
      <c r="AQ73" s="62">
        <v>0.0</v>
      </c>
      <c r="AR73" s="62">
        <v>0.0</v>
      </c>
      <c r="AS73" s="62">
        <v>0.0</v>
      </c>
      <c r="AT73" s="62">
        <v>0.0</v>
      </c>
      <c r="AU73" s="62">
        <v>0.0</v>
      </c>
      <c r="AV73" s="62">
        <v>0.0</v>
      </c>
      <c r="AW73" s="62">
        <v>0.0</v>
      </c>
      <c r="AX73" s="62">
        <v>0.0</v>
      </c>
      <c r="AY73" s="62">
        <v>0.0</v>
      </c>
      <c r="AZ73" s="62">
        <v>0.0</v>
      </c>
      <c r="BA73" s="62">
        <v>0.0</v>
      </c>
      <c r="BB73" s="62">
        <v>0.0</v>
      </c>
      <c r="BC73" s="62">
        <v>0.0</v>
      </c>
      <c r="BD73" s="62">
        <v>0.0</v>
      </c>
      <c r="BE73" s="62">
        <v>0.0</v>
      </c>
      <c r="BF73" s="62">
        <v>0.0</v>
      </c>
      <c r="BG73" s="62">
        <v>0.0</v>
      </c>
      <c r="BH73" s="62">
        <v>0.0</v>
      </c>
      <c r="BI73" s="62">
        <v>0.0</v>
      </c>
      <c r="BJ73" s="62">
        <v>0.0</v>
      </c>
      <c r="BK73" s="62">
        <v>0.0</v>
      </c>
      <c r="BL73" s="62">
        <v>0.0</v>
      </c>
      <c r="BM73" s="62">
        <v>0.0</v>
      </c>
      <c r="BN73" s="62">
        <v>0.0</v>
      </c>
      <c r="BO73" s="62">
        <v>0.0</v>
      </c>
      <c r="BP73" s="62">
        <v>2667.0</v>
      </c>
      <c r="BQ73" s="62">
        <v>0.0</v>
      </c>
      <c r="BR73" s="62">
        <v>535.0</v>
      </c>
      <c r="BS73" s="62">
        <v>89591.0</v>
      </c>
      <c r="BT73" s="62">
        <v>0.0</v>
      </c>
      <c r="BU73" s="62">
        <v>14776.0</v>
      </c>
      <c r="BV73" s="62">
        <v>0.0</v>
      </c>
      <c r="BW73" s="62">
        <v>0.0</v>
      </c>
      <c r="BX73" s="62">
        <v>460648.0</v>
      </c>
      <c r="BY73" s="62">
        <v>1902778.0</v>
      </c>
      <c r="BZ73" s="62">
        <v>68138.0</v>
      </c>
      <c r="CA73" s="62">
        <v>0.0</v>
      </c>
      <c r="CB73" s="62">
        <v>0.0</v>
      </c>
      <c r="CC73" s="62">
        <v>0.0</v>
      </c>
      <c r="CD73" s="62">
        <v>0.0</v>
      </c>
      <c r="CE73" s="62">
        <v>0.0</v>
      </c>
      <c r="CF73" s="62">
        <v>0.0</v>
      </c>
      <c r="CG73" s="62">
        <v>0.0</v>
      </c>
      <c r="CH73" s="62">
        <v>0.0</v>
      </c>
      <c r="CI73" s="62">
        <v>0.0</v>
      </c>
      <c r="CJ73" s="62">
        <v>0.0</v>
      </c>
      <c r="CK73" s="62">
        <v>0.0</v>
      </c>
      <c r="CL73" s="62">
        <v>0.0</v>
      </c>
      <c r="CM73" s="62">
        <v>0.0</v>
      </c>
      <c r="CN73" s="62">
        <v>0.0</v>
      </c>
      <c r="CO73" s="62">
        <v>0.0</v>
      </c>
      <c r="CP73" s="62">
        <v>0.0</v>
      </c>
      <c r="CQ73" s="62">
        <v>0.0</v>
      </c>
      <c r="CR73" s="62">
        <v>0.0</v>
      </c>
      <c r="CS73" s="62">
        <v>0.0</v>
      </c>
      <c r="CT73" s="62">
        <v>0.0</v>
      </c>
      <c r="CU73" s="62">
        <v>0.0</v>
      </c>
      <c r="CV73" s="62">
        <v>0.0</v>
      </c>
      <c r="CW73" s="62">
        <v>0.0</v>
      </c>
      <c r="CX73" s="62">
        <v>0.0</v>
      </c>
      <c r="CY73" s="62">
        <v>0.0</v>
      </c>
      <c r="CZ73" s="62">
        <v>201.0</v>
      </c>
      <c r="DA73" s="62">
        <v>240.0</v>
      </c>
      <c r="DB73" s="62">
        <v>0.0</v>
      </c>
      <c r="DC73" s="62">
        <v>4530.0</v>
      </c>
      <c r="DD73" s="62">
        <v>7438.0</v>
      </c>
      <c r="DE73" s="62">
        <v>0.0</v>
      </c>
      <c r="DF73" s="62">
        <v>0.0</v>
      </c>
      <c r="DG73" s="62">
        <v>0.0</v>
      </c>
      <c r="DH73" s="62">
        <v>0.0</v>
      </c>
      <c r="DI73" s="62">
        <v>0.0</v>
      </c>
      <c r="DJ73" s="62">
        <v>0.0</v>
      </c>
      <c r="DK73" s="62">
        <v>0.0</v>
      </c>
      <c r="DL73" s="62">
        <v>0.0</v>
      </c>
      <c r="DM73" s="62">
        <v>0.0</v>
      </c>
      <c r="DN73" s="62">
        <v>0.0</v>
      </c>
      <c r="DO73" s="62">
        <v>0.0</v>
      </c>
      <c r="DP73" s="62">
        <v>0.0</v>
      </c>
      <c r="DQ73" s="62">
        <v>0.0</v>
      </c>
      <c r="DR73" s="62">
        <v>0.0</v>
      </c>
      <c r="DS73" s="62">
        <v>0.0</v>
      </c>
      <c r="DT73" s="62">
        <v>0.0</v>
      </c>
      <c r="DU73" s="62">
        <v>0.0</v>
      </c>
      <c r="DV73" s="62">
        <v>0.0</v>
      </c>
      <c r="DW73" s="62">
        <v>0.0</v>
      </c>
      <c r="DX73" s="62">
        <v>0.0</v>
      </c>
      <c r="DY73" s="62">
        <v>0.0</v>
      </c>
      <c r="DZ73" s="62">
        <v>0.0</v>
      </c>
      <c r="EA73" s="62">
        <v>0.0</v>
      </c>
      <c r="EB73" s="62">
        <v>0.0</v>
      </c>
      <c r="EC73" s="62">
        <v>0.0</v>
      </c>
      <c r="ED73" s="62">
        <v>0.0</v>
      </c>
      <c r="EE73" s="62">
        <v>0.0</v>
      </c>
      <c r="EF73" s="62">
        <v>0.0</v>
      </c>
      <c r="EG73" s="62">
        <v>0.0</v>
      </c>
      <c r="EH73" s="62">
        <v>0.0</v>
      </c>
      <c r="EI73" s="62">
        <v>0.0</v>
      </c>
      <c r="EJ73" s="62">
        <v>0.0</v>
      </c>
      <c r="EK73" s="62">
        <v>0.0</v>
      </c>
      <c r="EL73" s="62">
        <v>0.0</v>
      </c>
      <c r="EM73" s="62">
        <v>0.0</v>
      </c>
      <c r="EN73" s="62">
        <v>0.0</v>
      </c>
      <c r="EO73" s="62">
        <v>0.0</v>
      </c>
      <c r="EP73" s="62">
        <v>0.0</v>
      </c>
      <c r="EQ73" s="62">
        <v>0.0</v>
      </c>
      <c r="ER73" s="62">
        <v>0.0</v>
      </c>
      <c r="ES73" s="62">
        <v>0.0</v>
      </c>
      <c r="ET73" s="62">
        <v>0.0</v>
      </c>
      <c r="EU73" s="62">
        <v>0.0</v>
      </c>
      <c r="EV73" s="62">
        <v>0.0</v>
      </c>
      <c r="EW73" s="62">
        <v>0.0</v>
      </c>
      <c r="EX73" s="62">
        <v>0.0</v>
      </c>
      <c r="EY73" s="62">
        <v>0.0</v>
      </c>
      <c r="EZ73" s="62">
        <v>0.0</v>
      </c>
      <c r="FA73" s="62">
        <v>0.0</v>
      </c>
      <c r="FB73" s="62">
        <v>0.0</v>
      </c>
      <c r="FC73" s="62">
        <v>15196.0</v>
      </c>
      <c r="FD73" s="62">
        <v>0.0</v>
      </c>
      <c r="FE73" s="62">
        <v>2027637.0</v>
      </c>
      <c r="FF73" s="62">
        <v>378384.0</v>
      </c>
      <c r="FG73" s="62">
        <v>231697.0</v>
      </c>
      <c r="FH73" s="62">
        <v>0.0</v>
      </c>
      <c r="FI73" s="62">
        <v>0.0</v>
      </c>
      <c r="FJ73" s="62">
        <v>962937.0</v>
      </c>
      <c r="FK73" s="62">
        <v>1.2279411E7</v>
      </c>
      <c r="FL73" s="62">
        <v>0.0</v>
      </c>
      <c r="FM73" s="62">
        <v>0.0</v>
      </c>
      <c r="FN73" s="62">
        <v>0.0</v>
      </c>
      <c r="FO73" s="62">
        <v>0.0</v>
      </c>
      <c r="FP73" s="62">
        <v>0.0</v>
      </c>
      <c r="FQ73" s="62">
        <v>0.0</v>
      </c>
      <c r="FR73" s="62">
        <v>0.0</v>
      </c>
      <c r="FS73" s="62">
        <v>0.0</v>
      </c>
      <c r="FT73" s="62">
        <v>0.0</v>
      </c>
      <c r="FU73" s="62">
        <v>0.0</v>
      </c>
      <c r="FV73" s="62">
        <v>0.0</v>
      </c>
      <c r="FW73" s="62">
        <v>626.0</v>
      </c>
      <c r="FX73" s="62">
        <v>95.0</v>
      </c>
      <c r="FY73" s="62">
        <v>21906.0</v>
      </c>
      <c r="FZ73" s="62">
        <v>0.0</v>
      </c>
      <c r="GA73" s="62">
        <v>40927.0</v>
      </c>
      <c r="GB73" s="62">
        <v>6028.0</v>
      </c>
      <c r="GC73" s="62">
        <v>69.0</v>
      </c>
      <c r="GD73" s="62">
        <v>0.0</v>
      </c>
      <c r="GE73" s="62">
        <v>2746.0</v>
      </c>
      <c r="GF73" s="63">
        <v>1.8519201E7</v>
      </c>
      <c r="GG73" s="64">
        <v>3.8286963E7</v>
      </c>
      <c r="GH73" s="65">
        <v>0.0</v>
      </c>
      <c r="GI73" s="64">
        <v>0.0</v>
      </c>
      <c r="GJ73" s="64">
        <v>0.0</v>
      </c>
      <c r="GK73" s="64">
        <v>268956.0</v>
      </c>
      <c r="GL73" s="64">
        <v>7857538.0</v>
      </c>
      <c r="GM73" s="64">
        <v>0.0</v>
      </c>
      <c r="GN73" s="63">
        <v>4.6413457E7</v>
      </c>
      <c r="GO73" s="66">
        <v>6.4932658E7</v>
      </c>
      <c r="GP73" s="64">
        <v>1416169.0</v>
      </c>
      <c r="GQ73" s="64">
        <v>94167.0</v>
      </c>
      <c r="GR73" s="65">
        <v>0.0</v>
      </c>
      <c r="GS73" s="63">
        <v>1510336.0</v>
      </c>
      <c r="GT73" s="67">
        <v>3691501.0</v>
      </c>
      <c r="GU73" s="67">
        <v>5995001.0</v>
      </c>
      <c r="GV73" s="67">
        <v>475823.0</v>
      </c>
      <c r="GW73" s="63">
        <v>1.0162325E7</v>
      </c>
      <c r="GX73" s="63">
        <v>1723588.0</v>
      </c>
      <c r="GY73" s="63">
        <v>5.1536409E7</v>
      </c>
      <c r="GZ73" s="66">
        <v>6.4932658E7</v>
      </c>
    </row>
    <row r="74" ht="15.75" customHeight="1">
      <c r="A74" s="60">
        <v>69.0</v>
      </c>
      <c r="B74" s="61" t="s">
        <v>114</v>
      </c>
      <c r="C74" s="62">
        <v>0.0</v>
      </c>
      <c r="D74" s="62">
        <v>0.0</v>
      </c>
      <c r="E74" s="62">
        <v>0.0</v>
      </c>
      <c r="F74" s="62">
        <v>0.0</v>
      </c>
      <c r="G74" s="62">
        <v>0.0</v>
      </c>
      <c r="H74" s="62">
        <v>0.0</v>
      </c>
      <c r="I74" s="62">
        <v>0.0</v>
      </c>
      <c r="J74" s="62">
        <v>0.0</v>
      </c>
      <c r="K74" s="62">
        <v>0.0</v>
      </c>
      <c r="L74" s="62">
        <v>0.0</v>
      </c>
      <c r="M74" s="62">
        <v>0.0</v>
      </c>
      <c r="N74" s="62">
        <v>0.0</v>
      </c>
      <c r="O74" s="62">
        <v>0.0</v>
      </c>
      <c r="P74" s="62">
        <v>0.0</v>
      </c>
      <c r="Q74" s="62">
        <v>0.0</v>
      </c>
      <c r="R74" s="62">
        <v>0.0</v>
      </c>
      <c r="S74" s="62">
        <v>0.0</v>
      </c>
      <c r="T74" s="62">
        <v>0.0</v>
      </c>
      <c r="U74" s="62">
        <v>0.0</v>
      </c>
      <c r="V74" s="62">
        <v>0.0</v>
      </c>
      <c r="W74" s="62">
        <v>0.0</v>
      </c>
      <c r="X74" s="62">
        <v>0.0</v>
      </c>
      <c r="Y74" s="62">
        <v>0.0</v>
      </c>
      <c r="Z74" s="62">
        <v>0.0</v>
      </c>
      <c r="AA74" s="62">
        <v>0.0</v>
      </c>
      <c r="AB74" s="62">
        <v>0.0</v>
      </c>
      <c r="AC74" s="62">
        <v>0.0</v>
      </c>
      <c r="AD74" s="62">
        <v>0.0</v>
      </c>
      <c r="AE74" s="62">
        <v>0.0</v>
      </c>
      <c r="AF74" s="62">
        <v>0.0</v>
      </c>
      <c r="AG74" s="62">
        <v>0.0</v>
      </c>
      <c r="AH74" s="62">
        <v>0.0</v>
      </c>
      <c r="AI74" s="62">
        <v>0.0</v>
      </c>
      <c r="AJ74" s="62">
        <v>0.0</v>
      </c>
      <c r="AK74" s="62">
        <v>0.0</v>
      </c>
      <c r="AL74" s="62">
        <v>0.0</v>
      </c>
      <c r="AM74" s="62">
        <v>0.0</v>
      </c>
      <c r="AN74" s="62">
        <v>0.0</v>
      </c>
      <c r="AO74" s="62">
        <v>0.0</v>
      </c>
      <c r="AP74" s="62">
        <v>0.0</v>
      </c>
      <c r="AQ74" s="62">
        <v>0.0</v>
      </c>
      <c r="AR74" s="62">
        <v>0.0</v>
      </c>
      <c r="AS74" s="62">
        <v>0.0</v>
      </c>
      <c r="AT74" s="62">
        <v>0.0</v>
      </c>
      <c r="AU74" s="62">
        <v>0.0</v>
      </c>
      <c r="AV74" s="62">
        <v>0.0</v>
      </c>
      <c r="AW74" s="62">
        <v>0.0</v>
      </c>
      <c r="AX74" s="62">
        <v>0.0</v>
      </c>
      <c r="AY74" s="62">
        <v>0.0</v>
      </c>
      <c r="AZ74" s="62">
        <v>0.0</v>
      </c>
      <c r="BA74" s="62">
        <v>0.0</v>
      </c>
      <c r="BB74" s="62">
        <v>0.0</v>
      </c>
      <c r="BC74" s="62">
        <v>0.0</v>
      </c>
      <c r="BD74" s="62">
        <v>0.0</v>
      </c>
      <c r="BE74" s="62">
        <v>0.0</v>
      </c>
      <c r="BF74" s="62">
        <v>0.0</v>
      </c>
      <c r="BG74" s="62">
        <v>0.0</v>
      </c>
      <c r="BH74" s="62">
        <v>0.0</v>
      </c>
      <c r="BI74" s="62">
        <v>0.0</v>
      </c>
      <c r="BJ74" s="62">
        <v>0.0</v>
      </c>
      <c r="BK74" s="62">
        <v>0.0</v>
      </c>
      <c r="BL74" s="62">
        <v>0.0</v>
      </c>
      <c r="BM74" s="62">
        <v>0.0</v>
      </c>
      <c r="BN74" s="62">
        <v>0.0</v>
      </c>
      <c r="BO74" s="62">
        <v>0.0</v>
      </c>
      <c r="BP74" s="62">
        <v>0.0</v>
      </c>
      <c r="BQ74" s="62">
        <v>0.0</v>
      </c>
      <c r="BR74" s="62">
        <v>1228.0</v>
      </c>
      <c r="BS74" s="62">
        <v>655200.0</v>
      </c>
      <c r="BT74" s="62">
        <v>0.0</v>
      </c>
      <c r="BU74" s="62">
        <v>7233.0</v>
      </c>
      <c r="BV74" s="62">
        <v>0.0</v>
      </c>
      <c r="BW74" s="62">
        <v>0.0</v>
      </c>
      <c r="BX74" s="62">
        <v>1068488.0</v>
      </c>
      <c r="BY74" s="62">
        <v>440217.0</v>
      </c>
      <c r="BZ74" s="62">
        <v>30240.0</v>
      </c>
      <c r="CA74" s="62">
        <v>0.0</v>
      </c>
      <c r="CB74" s="62">
        <v>0.0</v>
      </c>
      <c r="CC74" s="62">
        <v>0.0</v>
      </c>
      <c r="CD74" s="62">
        <v>0.0</v>
      </c>
      <c r="CE74" s="62">
        <v>0.0</v>
      </c>
      <c r="CF74" s="62">
        <v>0.0</v>
      </c>
      <c r="CG74" s="62">
        <v>0.0</v>
      </c>
      <c r="CH74" s="62">
        <v>0.0</v>
      </c>
      <c r="CI74" s="62">
        <v>0.0</v>
      </c>
      <c r="CJ74" s="62">
        <v>0.0</v>
      </c>
      <c r="CK74" s="62">
        <v>0.0</v>
      </c>
      <c r="CL74" s="62">
        <v>0.0</v>
      </c>
      <c r="CM74" s="62">
        <v>0.0</v>
      </c>
      <c r="CN74" s="62">
        <v>0.0</v>
      </c>
      <c r="CO74" s="62">
        <v>0.0</v>
      </c>
      <c r="CP74" s="62">
        <v>0.0</v>
      </c>
      <c r="CQ74" s="62">
        <v>0.0</v>
      </c>
      <c r="CR74" s="62">
        <v>0.0</v>
      </c>
      <c r="CS74" s="62">
        <v>0.0</v>
      </c>
      <c r="CT74" s="62">
        <v>0.0</v>
      </c>
      <c r="CU74" s="62">
        <v>0.0</v>
      </c>
      <c r="CV74" s="62">
        <v>0.0</v>
      </c>
      <c r="CW74" s="62">
        <v>0.0</v>
      </c>
      <c r="CX74" s="62">
        <v>0.0</v>
      </c>
      <c r="CY74" s="62">
        <v>0.0</v>
      </c>
      <c r="CZ74" s="62">
        <v>1344.0</v>
      </c>
      <c r="DA74" s="62">
        <v>0.0</v>
      </c>
      <c r="DB74" s="62">
        <v>0.0</v>
      </c>
      <c r="DC74" s="62">
        <v>22853.0</v>
      </c>
      <c r="DD74" s="62">
        <v>10658.0</v>
      </c>
      <c r="DE74" s="62">
        <v>0.0</v>
      </c>
      <c r="DF74" s="62">
        <v>0.0</v>
      </c>
      <c r="DG74" s="62">
        <v>0.0</v>
      </c>
      <c r="DH74" s="62">
        <v>0.0</v>
      </c>
      <c r="DI74" s="62">
        <v>0.0</v>
      </c>
      <c r="DJ74" s="62">
        <v>0.0</v>
      </c>
      <c r="DK74" s="62">
        <v>0.0</v>
      </c>
      <c r="DL74" s="62">
        <v>0.0</v>
      </c>
      <c r="DM74" s="62">
        <v>0.0</v>
      </c>
      <c r="DN74" s="62">
        <v>0.0</v>
      </c>
      <c r="DO74" s="62">
        <v>0.0</v>
      </c>
      <c r="DP74" s="62">
        <v>0.0</v>
      </c>
      <c r="DQ74" s="62">
        <v>0.0</v>
      </c>
      <c r="DR74" s="62">
        <v>0.0</v>
      </c>
      <c r="DS74" s="62">
        <v>0.0</v>
      </c>
      <c r="DT74" s="62">
        <v>0.0</v>
      </c>
      <c r="DU74" s="62">
        <v>0.0</v>
      </c>
      <c r="DV74" s="62">
        <v>0.0</v>
      </c>
      <c r="DW74" s="62">
        <v>0.0</v>
      </c>
      <c r="DX74" s="62">
        <v>0.0</v>
      </c>
      <c r="DY74" s="62">
        <v>0.0</v>
      </c>
      <c r="DZ74" s="62">
        <v>0.0</v>
      </c>
      <c r="EA74" s="62">
        <v>0.0</v>
      </c>
      <c r="EB74" s="62">
        <v>0.0</v>
      </c>
      <c r="EC74" s="62">
        <v>0.0</v>
      </c>
      <c r="ED74" s="62">
        <v>0.0</v>
      </c>
      <c r="EE74" s="62">
        <v>0.0</v>
      </c>
      <c r="EF74" s="62">
        <v>0.0</v>
      </c>
      <c r="EG74" s="62">
        <v>0.0</v>
      </c>
      <c r="EH74" s="62">
        <v>0.0</v>
      </c>
      <c r="EI74" s="62">
        <v>0.0</v>
      </c>
      <c r="EJ74" s="62">
        <v>0.0</v>
      </c>
      <c r="EK74" s="62">
        <v>0.0</v>
      </c>
      <c r="EL74" s="62">
        <v>0.0</v>
      </c>
      <c r="EM74" s="62">
        <v>0.0</v>
      </c>
      <c r="EN74" s="62">
        <v>0.0</v>
      </c>
      <c r="EO74" s="62">
        <v>0.0</v>
      </c>
      <c r="EP74" s="62">
        <v>0.0</v>
      </c>
      <c r="EQ74" s="62">
        <v>0.0</v>
      </c>
      <c r="ER74" s="62">
        <v>0.0</v>
      </c>
      <c r="ES74" s="62">
        <v>0.0</v>
      </c>
      <c r="ET74" s="62">
        <v>0.0</v>
      </c>
      <c r="EU74" s="62">
        <v>0.0</v>
      </c>
      <c r="EV74" s="62">
        <v>0.0</v>
      </c>
      <c r="EW74" s="62">
        <v>0.0</v>
      </c>
      <c r="EX74" s="62">
        <v>0.0</v>
      </c>
      <c r="EY74" s="62">
        <v>0.0</v>
      </c>
      <c r="EZ74" s="62">
        <v>0.0</v>
      </c>
      <c r="FA74" s="62">
        <v>0.0</v>
      </c>
      <c r="FB74" s="62">
        <v>0.0</v>
      </c>
      <c r="FC74" s="62">
        <v>2388.0</v>
      </c>
      <c r="FD74" s="62">
        <v>0.0</v>
      </c>
      <c r="FE74" s="62">
        <v>539491.0</v>
      </c>
      <c r="FF74" s="62">
        <v>170970.0</v>
      </c>
      <c r="FG74" s="62">
        <v>111243.0</v>
      </c>
      <c r="FH74" s="62">
        <v>0.0</v>
      </c>
      <c r="FI74" s="62">
        <v>0.0</v>
      </c>
      <c r="FJ74" s="62">
        <v>559391.0</v>
      </c>
      <c r="FK74" s="62">
        <v>6598299.0</v>
      </c>
      <c r="FL74" s="62">
        <v>0.0</v>
      </c>
      <c r="FM74" s="62">
        <v>0.0</v>
      </c>
      <c r="FN74" s="62">
        <v>0.0</v>
      </c>
      <c r="FO74" s="62">
        <v>0.0</v>
      </c>
      <c r="FP74" s="62">
        <v>0.0</v>
      </c>
      <c r="FQ74" s="62">
        <v>0.0</v>
      </c>
      <c r="FR74" s="62">
        <v>0.0</v>
      </c>
      <c r="FS74" s="62">
        <v>0.0</v>
      </c>
      <c r="FT74" s="62">
        <v>0.0</v>
      </c>
      <c r="FU74" s="62">
        <v>0.0</v>
      </c>
      <c r="FV74" s="62">
        <v>0.0</v>
      </c>
      <c r="FW74" s="62">
        <v>16974.0</v>
      </c>
      <c r="FX74" s="62">
        <v>891.0</v>
      </c>
      <c r="FY74" s="62">
        <v>157410.0</v>
      </c>
      <c r="FZ74" s="62">
        <v>0.0</v>
      </c>
      <c r="GA74" s="62">
        <v>79066.0</v>
      </c>
      <c r="GB74" s="62">
        <v>147430.0</v>
      </c>
      <c r="GC74" s="62">
        <v>2712.0</v>
      </c>
      <c r="GD74" s="62">
        <v>0.0</v>
      </c>
      <c r="GE74" s="62">
        <v>106979.0</v>
      </c>
      <c r="GF74" s="63">
        <v>1.0730705E7</v>
      </c>
      <c r="GG74" s="64">
        <v>2.3542497E7</v>
      </c>
      <c r="GH74" s="65">
        <v>0.0</v>
      </c>
      <c r="GI74" s="64">
        <v>0.0</v>
      </c>
      <c r="GJ74" s="64">
        <v>0.0</v>
      </c>
      <c r="GK74" s="64">
        <v>-40636.0</v>
      </c>
      <c r="GL74" s="64">
        <v>1195065.0</v>
      </c>
      <c r="GM74" s="64">
        <v>0.0</v>
      </c>
      <c r="GN74" s="63">
        <v>2.4696926E7</v>
      </c>
      <c r="GO74" s="66">
        <v>3.5427631E7</v>
      </c>
      <c r="GP74" s="64">
        <v>590415.0</v>
      </c>
      <c r="GQ74" s="64">
        <v>30800.0</v>
      </c>
      <c r="GR74" s="65">
        <v>0.0</v>
      </c>
      <c r="GS74" s="63">
        <v>621215.0</v>
      </c>
      <c r="GT74" s="67">
        <v>958104.0</v>
      </c>
      <c r="GU74" s="67">
        <v>2338697.0</v>
      </c>
      <c r="GV74" s="67">
        <v>346316.0</v>
      </c>
      <c r="GW74" s="63">
        <v>3643117.0</v>
      </c>
      <c r="GX74" s="63">
        <v>1002545.0</v>
      </c>
      <c r="GY74" s="63">
        <v>3.0160754E7</v>
      </c>
      <c r="GZ74" s="66">
        <v>3.5427631E7</v>
      </c>
    </row>
    <row r="75" ht="15.75" customHeight="1">
      <c r="A75" s="68">
        <v>70.0</v>
      </c>
      <c r="B75" s="69" t="s">
        <v>115</v>
      </c>
      <c r="C75" s="70">
        <v>0.0</v>
      </c>
      <c r="D75" s="70">
        <v>0.0</v>
      </c>
      <c r="E75" s="70">
        <v>0.0</v>
      </c>
      <c r="F75" s="70">
        <v>0.0</v>
      </c>
      <c r="G75" s="70">
        <v>0.0</v>
      </c>
      <c r="H75" s="70">
        <v>0.0</v>
      </c>
      <c r="I75" s="70">
        <v>0.0</v>
      </c>
      <c r="J75" s="70">
        <v>0.0</v>
      </c>
      <c r="K75" s="70">
        <v>0.0</v>
      </c>
      <c r="L75" s="70">
        <v>0.0</v>
      </c>
      <c r="M75" s="70">
        <v>0.0</v>
      </c>
      <c r="N75" s="70">
        <v>0.0</v>
      </c>
      <c r="O75" s="70">
        <v>0.0</v>
      </c>
      <c r="P75" s="70">
        <v>0.0</v>
      </c>
      <c r="Q75" s="70">
        <v>0.0</v>
      </c>
      <c r="R75" s="70">
        <v>0.0</v>
      </c>
      <c r="S75" s="70">
        <v>0.0</v>
      </c>
      <c r="T75" s="70">
        <v>0.0</v>
      </c>
      <c r="U75" s="70">
        <v>0.0</v>
      </c>
      <c r="V75" s="70">
        <v>0.0</v>
      </c>
      <c r="W75" s="70">
        <v>0.0</v>
      </c>
      <c r="X75" s="70">
        <v>0.0</v>
      </c>
      <c r="Y75" s="70">
        <v>0.0</v>
      </c>
      <c r="Z75" s="70">
        <v>0.0</v>
      </c>
      <c r="AA75" s="70">
        <v>0.0</v>
      </c>
      <c r="AB75" s="70">
        <v>0.0</v>
      </c>
      <c r="AC75" s="70">
        <v>0.0</v>
      </c>
      <c r="AD75" s="70">
        <v>0.0</v>
      </c>
      <c r="AE75" s="70">
        <v>0.0</v>
      </c>
      <c r="AF75" s="70">
        <v>0.0</v>
      </c>
      <c r="AG75" s="70">
        <v>0.0</v>
      </c>
      <c r="AH75" s="70">
        <v>0.0</v>
      </c>
      <c r="AI75" s="70">
        <v>2219.0</v>
      </c>
      <c r="AJ75" s="70">
        <v>0.0</v>
      </c>
      <c r="AK75" s="70">
        <v>0.0</v>
      </c>
      <c r="AL75" s="70">
        <v>0.0</v>
      </c>
      <c r="AM75" s="70">
        <v>0.0</v>
      </c>
      <c r="AN75" s="70">
        <v>0.0</v>
      </c>
      <c r="AO75" s="70">
        <v>0.0</v>
      </c>
      <c r="AP75" s="70">
        <v>0.0</v>
      </c>
      <c r="AQ75" s="70">
        <v>0.0</v>
      </c>
      <c r="AR75" s="70">
        <v>0.0</v>
      </c>
      <c r="AS75" s="70">
        <v>0.0</v>
      </c>
      <c r="AT75" s="70">
        <v>0.0</v>
      </c>
      <c r="AU75" s="70">
        <v>0.0</v>
      </c>
      <c r="AV75" s="70">
        <v>0.0</v>
      </c>
      <c r="AW75" s="70">
        <v>0.0</v>
      </c>
      <c r="AX75" s="70">
        <v>0.0</v>
      </c>
      <c r="AY75" s="70">
        <v>0.0</v>
      </c>
      <c r="AZ75" s="70">
        <v>0.0</v>
      </c>
      <c r="BA75" s="70">
        <v>0.0</v>
      </c>
      <c r="BB75" s="70">
        <v>0.0</v>
      </c>
      <c r="BC75" s="70">
        <v>0.0</v>
      </c>
      <c r="BD75" s="70">
        <v>0.0</v>
      </c>
      <c r="BE75" s="70">
        <v>0.0</v>
      </c>
      <c r="BF75" s="70">
        <v>98339.0</v>
      </c>
      <c r="BG75" s="70">
        <v>176084.0</v>
      </c>
      <c r="BH75" s="70">
        <v>0.0</v>
      </c>
      <c r="BI75" s="70">
        <v>0.0</v>
      </c>
      <c r="BJ75" s="70">
        <v>5295.0</v>
      </c>
      <c r="BK75" s="70">
        <v>0.0</v>
      </c>
      <c r="BL75" s="70">
        <v>0.0</v>
      </c>
      <c r="BM75" s="70">
        <v>0.0</v>
      </c>
      <c r="BN75" s="70">
        <v>0.0</v>
      </c>
      <c r="BO75" s="70">
        <v>0.0</v>
      </c>
      <c r="BP75" s="70">
        <v>0.0</v>
      </c>
      <c r="BQ75" s="70">
        <v>1032724.0</v>
      </c>
      <c r="BR75" s="70">
        <v>0.0</v>
      </c>
      <c r="BS75" s="70">
        <v>0.0</v>
      </c>
      <c r="BT75" s="70">
        <v>6981298.0</v>
      </c>
      <c r="BU75" s="70">
        <v>1175780.0</v>
      </c>
      <c r="BV75" s="70">
        <v>0.0</v>
      </c>
      <c r="BW75" s="70">
        <v>0.0</v>
      </c>
      <c r="BX75" s="70">
        <v>36672.0</v>
      </c>
      <c r="BY75" s="70">
        <v>0.0</v>
      </c>
      <c r="BZ75" s="70">
        <v>0.0</v>
      </c>
      <c r="CA75" s="70">
        <v>0.0</v>
      </c>
      <c r="CB75" s="70">
        <v>0.0</v>
      </c>
      <c r="CC75" s="70">
        <v>0.0</v>
      </c>
      <c r="CD75" s="70">
        <v>0.0</v>
      </c>
      <c r="CE75" s="70">
        <v>0.0</v>
      </c>
      <c r="CF75" s="70">
        <v>0.0</v>
      </c>
      <c r="CG75" s="70">
        <v>0.0</v>
      </c>
      <c r="CH75" s="70">
        <v>0.0</v>
      </c>
      <c r="CI75" s="70">
        <v>0.0</v>
      </c>
      <c r="CJ75" s="70">
        <v>0.0</v>
      </c>
      <c r="CK75" s="70">
        <v>0.0</v>
      </c>
      <c r="CL75" s="70">
        <v>0.0</v>
      </c>
      <c r="CM75" s="70">
        <v>0.0</v>
      </c>
      <c r="CN75" s="70">
        <v>0.0</v>
      </c>
      <c r="CO75" s="70">
        <v>0.0</v>
      </c>
      <c r="CP75" s="70">
        <v>0.0</v>
      </c>
      <c r="CQ75" s="70">
        <v>0.0</v>
      </c>
      <c r="CR75" s="70">
        <v>0.0</v>
      </c>
      <c r="CS75" s="70">
        <v>0.0</v>
      </c>
      <c r="CT75" s="70">
        <v>0.0</v>
      </c>
      <c r="CU75" s="70">
        <v>0.0</v>
      </c>
      <c r="CV75" s="70">
        <v>0.0</v>
      </c>
      <c r="CW75" s="70">
        <v>0.0</v>
      </c>
      <c r="CX75" s="70">
        <v>0.0</v>
      </c>
      <c r="CY75" s="70">
        <v>0.0</v>
      </c>
      <c r="CZ75" s="70">
        <v>0.0</v>
      </c>
      <c r="DA75" s="70">
        <v>0.0</v>
      </c>
      <c r="DB75" s="70">
        <v>0.0</v>
      </c>
      <c r="DC75" s="70">
        <v>0.0</v>
      </c>
      <c r="DD75" s="70">
        <v>0.0</v>
      </c>
      <c r="DE75" s="70">
        <v>0.0</v>
      </c>
      <c r="DF75" s="70">
        <v>0.0</v>
      </c>
      <c r="DG75" s="70">
        <v>0.0</v>
      </c>
      <c r="DH75" s="70">
        <v>0.0</v>
      </c>
      <c r="DI75" s="70">
        <v>0.0</v>
      </c>
      <c r="DJ75" s="70">
        <v>0.0</v>
      </c>
      <c r="DK75" s="70">
        <v>0.0</v>
      </c>
      <c r="DL75" s="70">
        <v>0.0</v>
      </c>
      <c r="DM75" s="70">
        <v>0.0</v>
      </c>
      <c r="DN75" s="70">
        <v>0.0</v>
      </c>
      <c r="DO75" s="70">
        <v>0.0</v>
      </c>
      <c r="DP75" s="70">
        <v>0.0</v>
      </c>
      <c r="DQ75" s="70">
        <v>0.0</v>
      </c>
      <c r="DR75" s="70">
        <v>0.0</v>
      </c>
      <c r="DS75" s="70">
        <v>0.0</v>
      </c>
      <c r="DT75" s="70">
        <v>0.0</v>
      </c>
      <c r="DU75" s="70">
        <v>0.0</v>
      </c>
      <c r="DV75" s="70">
        <v>0.0</v>
      </c>
      <c r="DW75" s="70">
        <v>0.0</v>
      </c>
      <c r="DX75" s="70">
        <v>0.0</v>
      </c>
      <c r="DY75" s="70">
        <v>0.0</v>
      </c>
      <c r="DZ75" s="70">
        <v>0.0</v>
      </c>
      <c r="EA75" s="70">
        <v>0.0</v>
      </c>
      <c r="EB75" s="70">
        <v>0.0</v>
      </c>
      <c r="EC75" s="70">
        <v>0.0</v>
      </c>
      <c r="ED75" s="70">
        <v>0.0</v>
      </c>
      <c r="EE75" s="70">
        <v>0.0</v>
      </c>
      <c r="EF75" s="70">
        <v>0.0</v>
      </c>
      <c r="EG75" s="70">
        <v>0.0</v>
      </c>
      <c r="EH75" s="70">
        <v>0.0</v>
      </c>
      <c r="EI75" s="70">
        <v>0.0</v>
      </c>
      <c r="EJ75" s="70">
        <v>0.0</v>
      </c>
      <c r="EK75" s="70">
        <v>0.0</v>
      </c>
      <c r="EL75" s="70">
        <v>0.0</v>
      </c>
      <c r="EM75" s="70">
        <v>0.0</v>
      </c>
      <c r="EN75" s="70">
        <v>0.0</v>
      </c>
      <c r="EO75" s="70">
        <v>0.0</v>
      </c>
      <c r="EP75" s="70">
        <v>0.0</v>
      </c>
      <c r="EQ75" s="70">
        <v>0.0</v>
      </c>
      <c r="ER75" s="70">
        <v>0.0</v>
      </c>
      <c r="ES75" s="70">
        <v>0.0</v>
      </c>
      <c r="ET75" s="70">
        <v>0.0</v>
      </c>
      <c r="EU75" s="70">
        <v>0.0</v>
      </c>
      <c r="EV75" s="70">
        <v>0.0</v>
      </c>
      <c r="EW75" s="70">
        <v>0.0</v>
      </c>
      <c r="EX75" s="70">
        <v>0.0</v>
      </c>
      <c r="EY75" s="70">
        <v>0.0</v>
      </c>
      <c r="EZ75" s="70">
        <v>0.0</v>
      </c>
      <c r="FA75" s="70">
        <v>0.0</v>
      </c>
      <c r="FB75" s="70">
        <v>0.0</v>
      </c>
      <c r="FC75" s="70">
        <v>0.0</v>
      </c>
      <c r="FD75" s="70">
        <v>0.0</v>
      </c>
      <c r="FE75" s="70">
        <v>122632.0</v>
      </c>
      <c r="FF75" s="70">
        <v>0.0</v>
      </c>
      <c r="FG75" s="70">
        <v>0.0</v>
      </c>
      <c r="FH75" s="70">
        <v>0.0</v>
      </c>
      <c r="FI75" s="70">
        <v>0.0</v>
      </c>
      <c r="FJ75" s="70">
        <v>686783.0</v>
      </c>
      <c r="FK75" s="70">
        <v>6964903.0</v>
      </c>
      <c r="FL75" s="70">
        <v>0.0</v>
      </c>
      <c r="FM75" s="70">
        <v>0.0</v>
      </c>
      <c r="FN75" s="70">
        <v>0.0</v>
      </c>
      <c r="FO75" s="70">
        <v>0.0</v>
      </c>
      <c r="FP75" s="70">
        <v>0.0</v>
      </c>
      <c r="FQ75" s="70">
        <v>0.0</v>
      </c>
      <c r="FR75" s="70">
        <v>0.0</v>
      </c>
      <c r="FS75" s="70">
        <v>0.0</v>
      </c>
      <c r="FT75" s="70">
        <v>0.0</v>
      </c>
      <c r="FU75" s="70">
        <v>0.0</v>
      </c>
      <c r="FV75" s="70">
        <v>0.0</v>
      </c>
      <c r="FW75" s="70">
        <v>106.0</v>
      </c>
      <c r="FX75" s="70">
        <v>1588.0</v>
      </c>
      <c r="FY75" s="70">
        <v>773110.0</v>
      </c>
      <c r="FZ75" s="70">
        <v>187.0</v>
      </c>
      <c r="GA75" s="70">
        <v>52873.0</v>
      </c>
      <c r="GB75" s="70">
        <v>103199.0</v>
      </c>
      <c r="GC75" s="70">
        <v>25294.0</v>
      </c>
      <c r="GD75" s="70">
        <v>0.0</v>
      </c>
      <c r="GE75" s="70">
        <v>198407.0</v>
      </c>
      <c r="GF75" s="71">
        <v>1.8437493E7</v>
      </c>
      <c r="GG75" s="72">
        <v>8.3328283E7</v>
      </c>
      <c r="GH75" s="73">
        <v>0.0</v>
      </c>
      <c r="GI75" s="72">
        <v>0.0</v>
      </c>
      <c r="GJ75" s="72">
        <v>0.0</v>
      </c>
      <c r="GK75" s="72">
        <v>61627.0</v>
      </c>
      <c r="GL75" s="72">
        <v>3293174.0</v>
      </c>
      <c r="GM75" s="72">
        <v>0.0</v>
      </c>
      <c r="GN75" s="71">
        <v>8.6683084E7</v>
      </c>
      <c r="GO75" s="74">
        <v>1.05120577E8</v>
      </c>
      <c r="GP75" s="72">
        <v>1348710.0</v>
      </c>
      <c r="GQ75" s="72">
        <v>10003.0</v>
      </c>
      <c r="GR75" s="73">
        <v>0.0</v>
      </c>
      <c r="GS75" s="71">
        <v>1358713.0</v>
      </c>
      <c r="GT75" s="75">
        <v>1539582.0</v>
      </c>
      <c r="GU75" s="75">
        <v>1594314.0</v>
      </c>
      <c r="GV75" s="75">
        <v>454011.0</v>
      </c>
      <c r="GW75" s="71">
        <v>3587907.0</v>
      </c>
      <c r="GX75" s="71">
        <v>3525560.0</v>
      </c>
      <c r="GY75" s="71">
        <v>9.6648397E7</v>
      </c>
      <c r="GZ75" s="74">
        <v>1.05120577E8</v>
      </c>
    </row>
    <row r="76" ht="15.75" customHeight="1">
      <c r="A76" s="52">
        <v>71.0</v>
      </c>
      <c r="B76" s="53" t="s">
        <v>116</v>
      </c>
      <c r="C76" s="54">
        <v>0.0</v>
      </c>
      <c r="D76" s="54">
        <v>0.0</v>
      </c>
      <c r="E76" s="54">
        <v>0.0</v>
      </c>
      <c r="F76" s="54">
        <v>0.0</v>
      </c>
      <c r="G76" s="54">
        <v>0.0</v>
      </c>
      <c r="H76" s="54">
        <v>0.0</v>
      </c>
      <c r="I76" s="54">
        <v>0.0</v>
      </c>
      <c r="J76" s="54">
        <v>0.0</v>
      </c>
      <c r="K76" s="54">
        <v>0.0</v>
      </c>
      <c r="L76" s="54">
        <v>0.0</v>
      </c>
      <c r="M76" s="54">
        <v>0.0</v>
      </c>
      <c r="N76" s="54">
        <v>0.0</v>
      </c>
      <c r="O76" s="54">
        <v>0.0</v>
      </c>
      <c r="P76" s="54">
        <v>0.0</v>
      </c>
      <c r="Q76" s="54">
        <v>0.0</v>
      </c>
      <c r="R76" s="54">
        <v>0.0</v>
      </c>
      <c r="S76" s="54">
        <v>0.0</v>
      </c>
      <c r="T76" s="54">
        <v>0.0</v>
      </c>
      <c r="U76" s="54">
        <v>0.0</v>
      </c>
      <c r="V76" s="54">
        <v>0.0</v>
      </c>
      <c r="W76" s="54">
        <v>0.0</v>
      </c>
      <c r="X76" s="54">
        <v>0.0</v>
      </c>
      <c r="Y76" s="54">
        <v>0.0</v>
      </c>
      <c r="Z76" s="54">
        <v>0.0</v>
      </c>
      <c r="AA76" s="54">
        <v>0.0</v>
      </c>
      <c r="AB76" s="54">
        <v>0.0</v>
      </c>
      <c r="AC76" s="54">
        <v>0.0</v>
      </c>
      <c r="AD76" s="54">
        <v>0.0</v>
      </c>
      <c r="AE76" s="54">
        <v>0.0</v>
      </c>
      <c r="AF76" s="54">
        <v>0.0</v>
      </c>
      <c r="AG76" s="54">
        <v>0.0</v>
      </c>
      <c r="AH76" s="54">
        <v>0.0</v>
      </c>
      <c r="AI76" s="54">
        <v>0.0</v>
      </c>
      <c r="AJ76" s="54">
        <v>0.0</v>
      </c>
      <c r="AK76" s="54">
        <v>0.0</v>
      </c>
      <c r="AL76" s="54">
        <v>0.0</v>
      </c>
      <c r="AM76" s="54">
        <v>0.0</v>
      </c>
      <c r="AN76" s="54">
        <v>0.0</v>
      </c>
      <c r="AO76" s="54">
        <v>0.0</v>
      </c>
      <c r="AP76" s="54">
        <v>0.0</v>
      </c>
      <c r="AQ76" s="54">
        <v>0.0</v>
      </c>
      <c r="AR76" s="54">
        <v>0.0</v>
      </c>
      <c r="AS76" s="54">
        <v>0.0</v>
      </c>
      <c r="AT76" s="54">
        <v>0.0</v>
      </c>
      <c r="AU76" s="54">
        <v>0.0</v>
      </c>
      <c r="AV76" s="54">
        <v>0.0</v>
      </c>
      <c r="AW76" s="54">
        <v>0.0</v>
      </c>
      <c r="AX76" s="54">
        <v>0.0</v>
      </c>
      <c r="AY76" s="54">
        <v>0.0</v>
      </c>
      <c r="AZ76" s="54">
        <v>0.0</v>
      </c>
      <c r="BA76" s="54">
        <v>0.0</v>
      </c>
      <c r="BB76" s="54">
        <v>0.0</v>
      </c>
      <c r="BC76" s="54">
        <v>27059.0</v>
      </c>
      <c r="BD76" s="54">
        <v>0.0</v>
      </c>
      <c r="BE76" s="54">
        <v>0.0</v>
      </c>
      <c r="BF76" s="54">
        <v>0.0</v>
      </c>
      <c r="BG76" s="54">
        <v>41876.0</v>
      </c>
      <c r="BH76" s="54">
        <v>101811.0</v>
      </c>
      <c r="BI76" s="54">
        <v>0.0</v>
      </c>
      <c r="BJ76" s="54">
        <v>1584384.0</v>
      </c>
      <c r="BK76" s="54">
        <v>11876.0</v>
      </c>
      <c r="BL76" s="54">
        <v>0.0</v>
      </c>
      <c r="BM76" s="54">
        <v>0.0</v>
      </c>
      <c r="BN76" s="54">
        <v>1507065.0</v>
      </c>
      <c r="BO76" s="54">
        <v>0.0</v>
      </c>
      <c r="BP76" s="54">
        <v>14380.0</v>
      </c>
      <c r="BQ76" s="54">
        <v>176734.0</v>
      </c>
      <c r="BR76" s="54">
        <v>11724.0</v>
      </c>
      <c r="BS76" s="54">
        <v>12958.0</v>
      </c>
      <c r="BT76" s="54">
        <v>3590086.0</v>
      </c>
      <c r="BU76" s="54">
        <v>7606051.0</v>
      </c>
      <c r="BV76" s="54">
        <v>0.0</v>
      </c>
      <c r="BW76" s="54">
        <v>416.0</v>
      </c>
      <c r="BX76" s="54">
        <v>2325.0</v>
      </c>
      <c r="BY76" s="54">
        <v>44050.0</v>
      </c>
      <c r="BZ76" s="54">
        <v>801.0</v>
      </c>
      <c r="CA76" s="54">
        <v>0.0</v>
      </c>
      <c r="CB76" s="54">
        <v>0.0</v>
      </c>
      <c r="CC76" s="54">
        <v>0.0</v>
      </c>
      <c r="CD76" s="54">
        <v>0.0</v>
      </c>
      <c r="CE76" s="54">
        <v>0.0</v>
      </c>
      <c r="CF76" s="54">
        <v>0.0</v>
      </c>
      <c r="CG76" s="54">
        <v>0.0</v>
      </c>
      <c r="CH76" s="54">
        <v>0.0</v>
      </c>
      <c r="CI76" s="54">
        <v>0.0</v>
      </c>
      <c r="CJ76" s="54">
        <v>0.0</v>
      </c>
      <c r="CK76" s="54">
        <v>0.0</v>
      </c>
      <c r="CL76" s="54">
        <v>0.0</v>
      </c>
      <c r="CM76" s="54">
        <v>0.0</v>
      </c>
      <c r="CN76" s="54">
        <v>0.0</v>
      </c>
      <c r="CO76" s="54">
        <v>0.0</v>
      </c>
      <c r="CP76" s="54">
        <v>0.0</v>
      </c>
      <c r="CQ76" s="54">
        <v>0.0</v>
      </c>
      <c r="CR76" s="54">
        <v>0.0</v>
      </c>
      <c r="CS76" s="54">
        <v>0.0</v>
      </c>
      <c r="CT76" s="54">
        <v>0.0</v>
      </c>
      <c r="CU76" s="54">
        <v>0.0</v>
      </c>
      <c r="CV76" s="54">
        <v>0.0</v>
      </c>
      <c r="CW76" s="54">
        <v>0.0</v>
      </c>
      <c r="CX76" s="54">
        <v>0.0</v>
      </c>
      <c r="CY76" s="54">
        <v>0.0</v>
      </c>
      <c r="CZ76" s="54">
        <v>248.0</v>
      </c>
      <c r="DA76" s="54">
        <v>0.0</v>
      </c>
      <c r="DB76" s="54">
        <v>0.0</v>
      </c>
      <c r="DC76" s="54">
        <v>132036.0</v>
      </c>
      <c r="DD76" s="54">
        <v>61831.0</v>
      </c>
      <c r="DE76" s="54">
        <v>0.0</v>
      </c>
      <c r="DF76" s="54">
        <v>0.0</v>
      </c>
      <c r="DG76" s="54">
        <v>0.0</v>
      </c>
      <c r="DH76" s="54">
        <v>0.0</v>
      </c>
      <c r="DI76" s="54">
        <v>0.0</v>
      </c>
      <c r="DJ76" s="54">
        <v>0.0</v>
      </c>
      <c r="DK76" s="54">
        <v>0.0</v>
      </c>
      <c r="DL76" s="54">
        <v>0.0</v>
      </c>
      <c r="DM76" s="54">
        <v>0.0</v>
      </c>
      <c r="DN76" s="54">
        <v>0.0</v>
      </c>
      <c r="DO76" s="54">
        <v>0.0</v>
      </c>
      <c r="DP76" s="54">
        <v>0.0</v>
      </c>
      <c r="DQ76" s="54">
        <v>0.0</v>
      </c>
      <c r="DR76" s="54">
        <v>0.0</v>
      </c>
      <c r="DS76" s="54">
        <v>0.0</v>
      </c>
      <c r="DT76" s="54">
        <v>0.0</v>
      </c>
      <c r="DU76" s="54">
        <v>0.0</v>
      </c>
      <c r="DV76" s="54">
        <v>0.0</v>
      </c>
      <c r="DW76" s="54">
        <v>0.0</v>
      </c>
      <c r="DX76" s="54">
        <v>0.0</v>
      </c>
      <c r="DY76" s="54">
        <v>0.0</v>
      </c>
      <c r="DZ76" s="54">
        <v>0.0</v>
      </c>
      <c r="EA76" s="54">
        <v>0.0</v>
      </c>
      <c r="EB76" s="54">
        <v>0.0</v>
      </c>
      <c r="EC76" s="54">
        <v>0.0</v>
      </c>
      <c r="ED76" s="54">
        <v>0.0</v>
      </c>
      <c r="EE76" s="54">
        <v>0.0</v>
      </c>
      <c r="EF76" s="54">
        <v>0.0</v>
      </c>
      <c r="EG76" s="54">
        <v>0.0</v>
      </c>
      <c r="EH76" s="54">
        <v>0.0</v>
      </c>
      <c r="EI76" s="54">
        <v>0.0</v>
      </c>
      <c r="EJ76" s="54">
        <v>0.0</v>
      </c>
      <c r="EK76" s="54">
        <v>0.0</v>
      </c>
      <c r="EL76" s="54">
        <v>0.0</v>
      </c>
      <c r="EM76" s="54">
        <v>0.0</v>
      </c>
      <c r="EN76" s="54">
        <v>0.0</v>
      </c>
      <c r="EO76" s="54">
        <v>0.0</v>
      </c>
      <c r="EP76" s="54">
        <v>0.0</v>
      </c>
      <c r="EQ76" s="54">
        <v>0.0</v>
      </c>
      <c r="ER76" s="54">
        <v>0.0</v>
      </c>
      <c r="ES76" s="54">
        <v>0.0</v>
      </c>
      <c r="ET76" s="54">
        <v>0.0</v>
      </c>
      <c r="EU76" s="54">
        <v>0.0</v>
      </c>
      <c r="EV76" s="54">
        <v>0.0</v>
      </c>
      <c r="EW76" s="54">
        <v>0.0</v>
      </c>
      <c r="EX76" s="54">
        <v>0.0</v>
      </c>
      <c r="EY76" s="54">
        <v>0.0</v>
      </c>
      <c r="EZ76" s="54">
        <v>0.0</v>
      </c>
      <c r="FA76" s="54">
        <v>0.0</v>
      </c>
      <c r="FB76" s="54">
        <v>0.0</v>
      </c>
      <c r="FC76" s="54">
        <v>0.0</v>
      </c>
      <c r="FD76" s="54">
        <v>0.0</v>
      </c>
      <c r="FE76" s="54">
        <v>51974.0</v>
      </c>
      <c r="FF76" s="54">
        <v>0.0</v>
      </c>
      <c r="FG76" s="54">
        <v>0.0</v>
      </c>
      <c r="FH76" s="54">
        <v>0.0</v>
      </c>
      <c r="FI76" s="54">
        <v>0.0</v>
      </c>
      <c r="FJ76" s="54">
        <v>114461.0</v>
      </c>
      <c r="FK76" s="54">
        <v>5760646.0</v>
      </c>
      <c r="FL76" s="54">
        <v>0.0</v>
      </c>
      <c r="FM76" s="54">
        <v>0.0</v>
      </c>
      <c r="FN76" s="54">
        <v>0.0</v>
      </c>
      <c r="FO76" s="54">
        <v>0.0</v>
      </c>
      <c r="FP76" s="54">
        <v>0.0</v>
      </c>
      <c r="FQ76" s="54">
        <v>0.0</v>
      </c>
      <c r="FR76" s="54">
        <v>0.0</v>
      </c>
      <c r="FS76" s="54">
        <v>0.0</v>
      </c>
      <c r="FT76" s="54">
        <v>0.0</v>
      </c>
      <c r="FU76" s="54">
        <v>0.0</v>
      </c>
      <c r="FV76" s="54">
        <v>0.0</v>
      </c>
      <c r="FW76" s="54">
        <v>1.2519628E7</v>
      </c>
      <c r="FX76" s="54">
        <v>4757740.0</v>
      </c>
      <c r="FY76" s="54">
        <v>2.9097556E7</v>
      </c>
      <c r="FZ76" s="54">
        <v>93.0</v>
      </c>
      <c r="GA76" s="54">
        <v>1974959.0</v>
      </c>
      <c r="GB76" s="54">
        <v>1106882.0</v>
      </c>
      <c r="GC76" s="54">
        <v>10059.0</v>
      </c>
      <c r="GD76" s="54">
        <v>0.0</v>
      </c>
      <c r="GE76" s="54">
        <v>410509.0</v>
      </c>
      <c r="GF76" s="55">
        <v>7.0732218E7</v>
      </c>
      <c r="GG76" s="56">
        <v>2.29163054E8</v>
      </c>
      <c r="GH76" s="57">
        <v>0.0</v>
      </c>
      <c r="GI76" s="56">
        <v>0.0</v>
      </c>
      <c r="GJ76" s="56">
        <v>0.0</v>
      </c>
      <c r="GK76" s="56">
        <v>1.0069698E7</v>
      </c>
      <c r="GL76" s="56">
        <v>8528063.0</v>
      </c>
      <c r="GM76" s="56">
        <v>0.0</v>
      </c>
      <c r="GN76" s="55">
        <v>2.47760815E8</v>
      </c>
      <c r="GO76" s="58">
        <v>3.18493033E8</v>
      </c>
      <c r="GP76" s="56">
        <v>1.4826003E7</v>
      </c>
      <c r="GQ76" s="56">
        <v>0.0</v>
      </c>
      <c r="GR76" s="57">
        <v>0.0</v>
      </c>
      <c r="GS76" s="55">
        <v>1.4826003E7</v>
      </c>
      <c r="GT76" s="59">
        <v>2.7493621E7</v>
      </c>
      <c r="GU76" s="59">
        <v>2.9611436E7</v>
      </c>
      <c r="GV76" s="59">
        <v>2244594.0</v>
      </c>
      <c r="GW76" s="55">
        <v>5.9349651E7</v>
      </c>
      <c r="GX76" s="55">
        <v>1.0802506E7</v>
      </c>
      <c r="GY76" s="55">
        <v>2.33514873E8</v>
      </c>
      <c r="GZ76" s="58">
        <v>3.18493033E8</v>
      </c>
    </row>
    <row r="77" ht="15.75" customHeight="1">
      <c r="A77" s="60">
        <v>72.0</v>
      </c>
      <c r="B77" s="61" t="s">
        <v>117</v>
      </c>
      <c r="C77" s="62">
        <v>0.0</v>
      </c>
      <c r="D77" s="62">
        <v>0.0</v>
      </c>
      <c r="E77" s="62">
        <v>0.0</v>
      </c>
      <c r="F77" s="62">
        <v>0.0</v>
      </c>
      <c r="G77" s="62">
        <v>0.0</v>
      </c>
      <c r="H77" s="62">
        <v>0.0</v>
      </c>
      <c r="I77" s="62">
        <v>0.0</v>
      </c>
      <c r="J77" s="62">
        <v>0.0</v>
      </c>
      <c r="K77" s="62">
        <v>0.0</v>
      </c>
      <c r="L77" s="62">
        <v>0.0</v>
      </c>
      <c r="M77" s="62">
        <v>0.0</v>
      </c>
      <c r="N77" s="62">
        <v>0.0</v>
      </c>
      <c r="O77" s="62">
        <v>0.0</v>
      </c>
      <c r="P77" s="62">
        <v>0.0</v>
      </c>
      <c r="Q77" s="62">
        <v>0.0</v>
      </c>
      <c r="R77" s="62">
        <v>0.0</v>
      </c>
      <c r="S77" s="62">
        <v>0.0</v>
      </c>
      <c r="T77" s="62">
        <v>0.0</v>
      </c>
      <c r="U77" s="62">
        <v>0.0</v>
      </c>
      <c r="V77" s="62">
        <v>0.0</v>
      </c>
      <c r="W77" s="62">
        <v>0.0</v>
      </c>
      <c r="X77" s="62">
        <v>0.0</v>
      </c>
      <c r="Y77" s="62">
        <v>0.0</v>
      </c>
      <c r="Z77" s="62">
        <v>0.0</v>
      </c>
      <c r="AA77" s="62">
        <v>0.0</v>
      </c>
      <c r="AB77" s="62">
        <v>1.8852241E7</v>
      </c>
      <c r="AC77" s="62">
        <v>4099054.0</v>
      </c>
      <c r="AD77" s="62">
        <v>5.5508129E7</v>
      </c>
      <c r="AE77" s="62">
        <v>5067173.0</v>
      </c>
      <c r="AF77" s="62">
        <v>819320.0</v>
      </c>
      <c r="AG77" s="62">
        <v>1072.0</v>
      </c>
      <c r="AH77" s="62">
        <v>296.0</v>
      </c>
      <c r="AI77" s="62">
        <v>1.5521419E7</v>
      </c>
      <c r="AJ77" s="62">
        <v>2981188.0</v>
      </c>
      <c r="AK77" s="62">
        <v>654201.0</v>
      </c>
      <c r="AL77" s="62">
        <v>0.0</v>
      </c>
      <c r="AM77" s="62">
        <v>0.0</v>
      </c>
      <c r="AN77" s="62">
        <v>0.0</v>
      </c>
      <c r="AO77" s="62">
        <v>0.0</v>
      </c>
      <c r="AP77" s="62">
        <v>0.0</v>
      </c>
      <c r="AQ77" s="62">
        <v>0.0</v>
      </c>
      <c r="AR77" s="62">
        <v>0.0</v>
      </c>
      <c r="AS77" s="62">
        <v>0.0</v>
      </c>
      <c r="AT77" s="62">
        <v>0.0</v>
      </c>
      <c r="AU77" s="62">
        <v>0.0</v>
      </c>
      <c r="AV77" s="62">
        <v>0.0</v>
      </c>
      <c r="AW77" s="62">
        <v>0.0</v>
      </c>
      <c r="AX77" s="62">
        <v>0.0</v>
      </c>
      <c r="AY77" s="62">
        <v>0.0</v>
      </c>
      <c r="AZ77" s="62">
        <v>0.0</v>
      </c>
      <c r="BA77" s="62">
        <v>0.0</v>
      </c>
      <c r="BB77" s="62">
        <v>0.0</v>
      </c>
      <c r="BC77" s="62">
        <v>0.0</v>
      </c>
      <c r="BD77" s="62">
        <v>0.0</v>
      </c>
      <c r="BE77" s="62">
        <v>0.0</v>
      </c>
      <c r="BF77" s="62">
        <v>0.0</v>
      </c>
      <c r="BG77" s="62">
        <v>0.0</v>
      </c>
      <c r="BH77" s="62">
        <v>0.0</v>
      </c>
      <c r="BI77" s="62">
        <v>0.0</v>
      </c>
      <c r="BJ77" s="62">
        <v>0.0</v>
      </c>
      <c r="BK77" s="62">
        <v>0.0</v>
      </c>
      <c r="BL77" s="62">
        <v>0.0</v>
      </c>
      <c r="BM77" s="62">
        <v>0.0</v>
      </c>
      <c r="BN77" s="62">
        <v>0.0</v>
      </c>
      <c r="BO77" s="62">
        <v>0.0</v>
      </c>
      <c r="BP77" s="62">
        <v>0.0</v>
      </c>
      <c r="BQ77" s="62">
        <v>0.0</v>
      </c>
      <c r="BR77" s="62">
        <v>0.0</v>
      </c>
      <c r="BS77" s="62">
        <v>0.0</v>
      </c>
      <c r="BT77" s="62">
        <v>0.0</v>
      </c>
      <c r="BU77" s="62">
        <v>0.0</v>
      </c>
      <c r="BV77" s="62">
        <v>0.0</v>
      </c>
      <c r="BW77" s="62">
        <v>0.0</v>
      </c>
      <c r="BX77" s="62">
        <v>0.0</v>
      </c>
      <c r="BY77" s="62">
        <v>0.0</v>
      </c>
      <c r="BZ77" s="62">
        <v>0.0</v>
      </c>
      <c r="CA77" s="62">
        <v>0.0</v>
      </c>
      <c r="CB77" s="62">
        <v>0.0</v>
      </c>
      <c r="CC77" s="62">
        <v>0.0</v>
      </c>
      <c r="CD77" s="62">
        <v>0.0</v>
      </c>
      <c r="CE77" s="62">
        <v>0.0</v>
      </c>
      <c r="CF77" s="62">
        <v>0.0</v>
      </c>
      <c r="CG77" s="62">
        <v>0.0</v>
      </c>
      <c r="CH77" s="62">
        <v>0.0</v>
      </c>
      <c r="CI77" s="62">
        <v>0.0</v>
      </c>
      <c r="CJ77" s="62">
        <v>0.0</v>
      </c>
      <c r="CK77" s="62">
        <v>0.0</v>
      </c>
      <c r="CL77" s="62">
        <v>0.0</v>
      </c>
      <c r="CM77" s="62">
        <v>0.0</v>
      </c>
      <c r="CN77" s="62">
        <v>0.0</v>
      </c>
      <c r="CO77" s="62">
        <v>0.0</v>
      </c>
      <c r="CP77" s="62">
        <v>0.0</v>
      </c>
      <c r="CQ77" s="62">
        <v>0.0</v>
      </c>
      <c r="CR77" s="62">
        <v>0.0</v>
      </c>
      <c r="CS77" s="62">
        <v>0.0</v>
      </c>
      <c r="CT77" s="62">
        <v>0.0</v>
      </c>
      <c r="CU77" s="62">
        <v>0.0</v>
      </c>
      <c r="CV77" s="62">
        <v>0.0</v>
      </c>
      <c r="CW77" s="62">
        <v>0.0</v>
      </c>
      <c r="CX77" s="62">
        <v>0.0</v>
      </c>
      <c r="CY77" s="62">
        <v>0.0</v>
      </c>
      <c r="CZ77" s="62">
        <v>0.0</v>
      </c>
      <c r="DA77" s="62">
        <v>0.0</v>
      </c>
      <c r="DB77" s="62">
        <v>0.0</v>
      </c>
      <c r="DC77" s="62">
        <v>0.0</v>
      </c>
      <c r="DD77" s="62">
        <v>0.0</v>
      </c>
      <c r="DE77" s="62">
        <v>0.0</v>
      </c>
      <c r="DF77" s="62">
        <v>0.0</v>
      </c>
      <c r="DG77" s="62">
        <v>0.0</v>
      </c>
      <c r="DH77" s="62">
        <v>0.0</v>
      </c>
      <c r="DI77" s="62">
        <v>0.0</v>
      </c>
      <c r="DJ77" s="62">
        <v>0.0</v>
      </c>
      <c r="DK77" s="62">
        <v>0.0</v>
      </c>
      <c r="DL77" s="62">
        <v>0.0</v>
      </c>
      <c r="DM77" s="62">
        <v>0.0</v>
      </c>
      <c r="DN77" s="62">
        <v>0.0</v>
      </c>
      <c r="DO77" s="62">
        <v>0.0</v>
      </c>
      <c r="DP77" s="62">
        <v>0.0</v>
      </c>
      <c r="DQ77" s="62">
        <v>0.0</v>
      </c>
      <c r="DR77" s="62">
        <v>0.0</v>
      </c>
      <c r="DS77" s="62">
        <v>0.0</v>
      </c>
      <c r="DT77" s="62">
        <v>0.0</v>
      </c>
      <c r="DU77" s="62">
        <v>0.0</v>
      </c>
      <c r="DV77" s="62">
        <v>0.0</v>
      </c>
      <c r="DW77" s="62">
        <v>0.0</v>
      </c>
      <c r="DX77" s="62">
        <v>0.0</v>
      </c>
      <c r="DY77" s="62">
        <v>0.0</v>
      </c>
      <c r="DZ77" s="62">
        <v>0.0</v>
      </c>
      <c r="EA77" s="62">
        <v>0.0</v>
      </c>
      <c r="EB77" s="62">
        <v>0.0</v>
      </c>
      <c r="EC77" s="62">
        <v>0.0</v>
      </c>
      <c r="ED77" s="62">
        <v>0.0</v>
      </c>
      <c r="EE77" s="62">
        <v>0.0</v>
      </c>
      <c r="EF77" s="62">
        <v>0.0</v>
      </c>
      <c r="EG77" s="62">
        <v>0.0</v>
      </c>
      <c r="EH77" s="62">
        <v>0.0</v>
      </c>
      <c r="EI77" s="62">
        <v>0.0</v>
      </c>
      <c r="EJ77" s="62">
        <v>0.0</v>
      </c>
      <c r="EK77" s="62">
        <v>0.0</v>
      </c>
      <c r="EL77" s="62">
        <v>0.0</v>
      </c>
      <c r="EM77" s="62">
        <v>0.0</v>
      </c>
      <c r="EN77" s="62">
        <v>0.0</v>
      </c>
      <c r="EO77" s="62">
        <v>0.0</v>
      </c>
      <c r="EP77" s="62">
        <v>0.0</v>
      </c>
      <c r="EQ77" s="62">
        <v>0.0</v>
      </c>
      <c r="ER77" s="62">
        <v>0.0</v>
      </c>
      <c r="ES77" s="62">
        <v>0.0</v>
      </c>
      <c r="ET77" s="62">
        <v>0.0</v>
      </c>
      <c r="EU77" s="62">
        <v>0.0</v>
      </c>
      <c r="EV77" s="62">
        <v>0.0</v>
      </c>
      <c r="EW77" s="62">
        <v>0.0</v>
      </c>
      <c r="EX77" s="62">
        <v>0.0</v>
      </c>
      <c r="EY77" s="62">
        <v>0.0</v>
      </c>
      <c r="EZ77" s="62">
        <v>0.0</v>
      </c>
      <c r="FA77" s="62">
        <v>0.0</v>
      </c>
      <c r="FB77" s="62">
        <v>0.0</v>
      </c>
      <c r="FC77" s="62">
        <v>0.0</v>
      </c>
      <c r="FD77" s="62">
        <v>1604.0</v>
      </c>
      <c r="FE77" s="62">
        <v>0.0</v>
      </c>
      <c r="FF77" s="62">
        <v>0.0</v>
      </c>
      <c r="FG77" s="62">
        <v>0.0</v>
      </c>
      <c r="FH77" s="62">
        <v>0.0</v>
      </c>
      <c r="FI77" s="62">
        <v>0.0</v>
      </c>
      <c r="FJ77" s="62">
        <v>93284.0</v>
      </c>
      <c r="FK77" s="62">
        <v>22576.0</v>
      </c>
      <c r="FL77" s="62">
        <v>0.0</v>
      </c>
      <c r="FM77" s="62">
        <v>0.0</v>
      </c>
      <c r="FN77" s="62">
        <v>0.0</v>
      </c>
      <c r="FO77" s="62">
        <v>0.0</v>
      </c>
      <c r="FP77" s="62">
        <v>0.0</v>
      </c>
      <c r="FQ77" s="62">
        <v>0.0</v>
      </c>
      <c r="FR77" s="62">
        <v>0.0</v>
      </c>
      <c r="FS77" s="62">
        <v>0.0</v>
      </c>
      <c r="FT77" s="62">
        <v>0.0</v>
      </c>
      <c r="FU77" s="62">
        <v>0.0</v>
      </c>
      <c r="FV77" s="62">
        <v>0.0</v>
      </c>
      <c r="FW77" s="62">
        <v>823327.0</v>
      </c>
      <c r="FX77" s="62">
        <v>0.0</v>
      </c>
      <c r="FY77" s="62">
        <v>22686.0</v>
      </c>
      <c r="FZ77" s="62">
        <v>7055.0</v>
      </c>
      <c r="GA77" s="62">
        <v>74577.0</v>
      </c>
      <c r="GB77" s="62">
        <v>428457.0</v>
      </c>
      <c r="GC77" s="62">
        <v>1219664.0</v>
      </c>
      <c r="GD77" s="62">
        <v>0.0</v>
      </c>
      <c r="GE77" s="62">
        <v>384604.0</v>
      </c>
      <c r="GF77" s="63">
        <v>1.06581927E8</v>
      </c>
      <c r="GG77" s="64">
        <v>1.3391458E7</v>
      </c>
      <c r="GH77" s="65">
        <v>0.0</v>
      </c>
      <c r="GI77" s="64">
        <v>0.0</v>
      </c>
      <c r="GJ77" s="64">
        <v>0.0</v>
      </c>
      <c r="GK77" s="64">
        <v>64431.0</v>
      </c>
      <c r="GL77" s="64">
        <v>1170525.0</v>
      </c>
      <c r="GM77" s="64">
        <v>0.0</v>
      </c>
      <c r="GN77" s="63">
        <v>1.4626414E7</v>
      </c>
      <c r="GO77" s="66">
        <v>1.21208341E8</v>
      </c>
      <c r="GP77" s="64">
        <v>5049438.0</v>
      </c>
      <c r="GQ77" s="64">
        <v>0.0</v>
      </c>
      <c r="GR77" s="65">
        <v>0.0</v>
      </c>
      <c r="GS77" s="63">
        <v>5049438.0</v>
      </c>
      <c r="GT77" s="67">
        <v>1.0295618E7</v>
      </c>
      <c r="GU77" s="67">
        <v>1.4826818E7</v>
      </c>
      <c r="GV77" s="67">
        <v>639862.0</v>
      </c>
      <c r="GW77" s="63">
        <v>2.5762298E7</v>
      </c>
      <c r="GX77" s="63">
        <v>666805.0</v>
      </c>
      <c r="GY77" s="63">
        <v>8.97298E7</v>
      </c>
      <c r="GZ77" s="66">
        <v>1.21208341E8</v>
      </c>
    </row>
    <row r="78" ht="15.75" customHeight="1">
      <c r="A78" s="60">
        <v>73.0</v>
      </c>
      <c r="B78" s="61" t="s">
        <v>118</v>
      </c>
      <c r="C78" s="62">
        <v>0.0</v>
      </c>
      <c r="D78" s="62">
        <v>0.0</v>
      </c>
      <c r="E78" s="62">
        <v>0.0</v>
      </c>
      <c r="F78" s="62">
        <v>0.0</v>
      </c>
      <c r="G78" s="62">
        <v>0.0</v>
      </c>
      <c r="H78" s="62">
        <v>0.0</v>
      </c>
      <c r="I78" s="62">
        <v>0.0</v>
      </c>
      <c r="J78" s="62">
        <v>0.0</v>
      </c>
      <c r="K78" s="62">
        <v>0.0</v>
      </c>
      <c r="L78" s="62">
        <v>0.0</v>
      </c>
      <c r="M78" s="62">
        <v>0.0</v>
      </c>
      <c r="N78" s="62">
        <v>0.0</v>
      </c>
      <c r="O78" s="62">
        <v>0.0</v>
      </c>
      <c r="P78" s="62">
        <v>0.0</v>
      </c>
      <c r="Q78" s="62">
        <v>0.0</v>
      </c>
      <c r="R78" s="62">
        <v>0.0</v>
      </c>
      <c r="S78" s="62">
        <v>0.0</v>
      </c>
      <c r="T78" s="62">
        <v>0.0</v>
      </c>
      <c r="U78" s="62">
        <v>0.0</v>
      </c>
      <c r="V78" s="62">
        <v>0.0</v>
      </c>
      <c r="W78" s="62">
        <v>0.0</v>
      </c>
      <c r="X78" s="62">
        <v>0.0</v>
      </c>
      <c r="Y78" s="62">
        <v>0.0</v>
      </c>
      <c r="Z78" s="62">
        <v>0.0</v>
      </c>
      <c r="AA78" s="62">
        <v>0.0</v>
      </c>
      <c r="AB78" s="62">
        <v>0.0</v>
      </c>
      <c r="AC78" s="62">
        <v>0.0</v>
      </c>
      <c r="AD78" s="62">
        <v>0.0</v>
      </c>
      <c r="AE78" s="62">
        <v>0.0</v>
      </c>
      <c r="AF78" s="62">
        <v>0.0</v>
      </c>
      <c r="AG78" s="62">
        <v>0.0</v>
      </c>
      <c r="AH78" s="62">
        <v>0.0</v>
      </c>
      <c r="AI78" s="62">
        <v>0.0</v>
      </c>
      <c r="AJ78" s="62">
        <v>0.0</v>
      </c>
      <c r="AK78" s="62">
        <v>0.0</v>
      </c>
      <c r="AL78" s="62">
        <v>0.0</v>
      </c>
      <c r="AM78" s="62">
        <v>0.0</v>
      </c>
      <c r="AN78" s="62">
        <v>0.0</v>
      </c>
      <c r="AO78" s="62">
        <v>0.0</v>
      </c>
      <c r="AP78" s="62">
        <v>0.0</v>
      </c>
      <c r="AQ78" s="62">
        <v>0.0</v>
      </c>
      <c r="AR78" s="62">
        <v>0.0</v>
      </c>
      <c r="AS78" s="62">
        <v>0.0</v>
      </c>
      <c r="AT78" s="62">
        <v>0.0</v>
      </c>
      <c r="AU78" s="62">
        <v>0.0</v>
      </c>
      <c r="AV78" s="62">
        <v>0.0</v>
      </c>
      <c r="AW78" s="62">
        <v>0.0</v>
      </c>
      <c r="AX78" s="62">
        <v>0.0</v>
      </c>
      <c r="AY78" s="62">
        <v>0.0</v>
      </c>
      <c r="AZ78" s="62">
        <v>0.0</v>
      </c>
      <c r="BA78" s="62">
        <v>0.0</v>
      </c>
      <c r="BB78" s="62">
        <v>0.0</v>
      </c>
      <c r="BC78" s="62">
        <v>0.0</v>
      </c>
      <c r="BD78" s="62">
        <v>0.0</v>
      </c>
      <c r="BE78" s="62">
        <v>0.0</v>
      </c>
      <c r="BF78" s="62">
        <v>0.0</v>
      </c>
      <c r="BG78" s="62">
        <v>0.0</v>
      </c>
      <c r="BH78" s="62">
        <v>0.0</v>
      </c>
      <c r="BI78" s="62">
        <v>0.0</v>
      </c>
      <c r="BJ78" s="62">
        <v>0.0</v>
      </c>
      <c r="BK78" s="62">
        <v>0.0</v>
      </c>
      <c r="BL78" s="62">
        <v>0.0</v>
      </c>
      <c r="BM78" s="62">
        <v>0.0</v>
      </c>
      <c r="BN78" s="62">
        <v>0.0</v>
      </c>
      <c r="BO78" s="62">
        <v>753.0</v>
      </c>
      <c r="BP78" s="62">
        <v>0.0</v>
      </c>
      <c r="BQ78" s="62">
        <v>0.0</v>
      </c>
      <c r="BR78" s="62">
        <v>0.0</v>
      </c>
      <c r="BS78" s="62">
        <v>0.0</v>
      </c>
      <c r="BT78" s="62">
        <v>0.0</v>
      </c>
      <c r="BU78" s="62">
        <v>7740.0</v>
      </c>
      <c r="BV78" s="62">
        <v>0.0</v>
      </c>
      <c r="BW78" s="62">
        <v>12320.0</v>
      </c>
      <c r="BX78" s="62">
        <v>0.0</v>
      </c>
      <c r="BY78" s="62">
        <v>0.0</v>
      </c>
      <c r="BZ78" s="62">
        <v>0.0</v>
      </c>
      <c r="CA78" s="62">
        <v>0.0</v>
      </c>
      <c r="CB78" s="62">
        <v>0.0</v>
      </c>
      <c r="CC78" s="62">
        <v>0.0</v>
      </c>
      <c r="CD78" s="62">
        <v>0.0</v>
      </c>
      <c r="CE78" s="62">
        <v>0.0</v>
      </c>
      <c r="CF78" s="62">
        <v>0.0</v>
      </c>
      <c r="CG78" s="62">
        <v>0.0</v>
      </c>
      <c r="CH78" s="62">
        <v>0.0</v>
      </c>
      <c r="CI78" s="62">
        <v>0.0</v>
      </c>
      <c r="CJ78" s="62">
        <v>0.0</v>
      </c>
      <c r="CK78" s="62">
        <v>0.0</v>
      </c>
      <c r="CL78" s="62">
        <v>0.0</v>
      </c>
      <c r="CM78" s="62">
        <v>0.0</v>
      </c>
      <c r="CN78" s="62">
        <v>0.0</v>
      </c>
      <c r="CO78" s="62">
        <v>0.0</v>
      </c>
      <c r="CP78" s="62">
        <v>0.0</v>
      </c>
      <c r="CQ78" s="62">
        <v>0.0</v>
      </c>
      <c r="CR78" s="62">
        <v>0.0</v>
      </c>
      <c r="CS78" s="62">
        <v>0.0</v>
      </c>
      <c r="CT78" s="62">
        <v>0.0</v>
      </c>
      <c r="CU78" s="62">
        <v>0.0</v>
      </c>
      <c r="CV78" s="62">
        <v>0.0</v>
      </c>
      <c r="CW78" s="62">
        <v>0.0</v>
      </c>
      <c r="CX78" s="62">
        <v>0.0</v>
      </c>
      <c r="CY78" s="62">
        <v>0.0</v>
      </c>
      <c r="CZ78" s="62">
        <v>0.0</v>
      </c>
      <c r="DA78" s="62">
        <v>0.0</v>
      </c>
      <c r="DB78" s="62">
        <v>0.0</v>
      </c>
      <c r="DC78" s="62">
        <v>0.0</v>
      </c>
      <c r="DD78" s="62">
        <v>0.0</v>
      </c>
      <c r="DE78" s="62">
        <v>0.0</v>
      </c>
      <c r="DF78" s="62">
        <v>0.0</v>
      </c>
      <c r="DG78" s="62">
        <v>0.0</v>
      </c>
      <c r="DH78" s="62">
        <v>0.0</v>
      </c>
      <c r="DI78" s="62">
        <v>0.0</v>
      </c>
      <c r="DJ78" s="62">
        <v>0.0</v>
      </c>
      <c r="DK78" s="62">
        <v>0.0</v>
      </c>
      <c r="DL78" s="62">
        <v>0.0</v>
      </c>
      <c r="DM78" s="62">
        <v>0.0</v>
      </c>
      <c r="DN78" s="62">
        <v>0.0</v>
      </c>
      <c r="DO78" s="62">
        <v>0.0</v>
      </c>
      <c r="DP78" s="62">
        <v>0.0</v>
      </c>
      <c r="DQ78" s="62">
        <v>0.0</v>
      </c>
      <c r="DR78" s="62">
        <v>0.0</v>
      </c>
      <c r="DS78" s="62">
        <v>0.0</v>
      </c>
      <c r="DT78" s="62">
        <v>0.0</v>
      </c>
      <c r="DU78" s="62">
        <v>0.0</v>
      </c>
      <c r="DV78" s="62">
        <v>0.0</v>
      </c>
      <c r="DW78" s="62">
        <v>0.0</v>
      </c>
      <c r="DX78" s="62">
        <v>0.0</v>
      </c>
      <c r="DY78" s="62">
        <v>0.0</v>
      </c>
      <c r="DZ78" s="62">
        <v>0.0</v>
      </c>
      <c r="EA78" s="62">
        <v>0.0</v>
      </c>
      <c r="EB78" s="62">
        <v>0.0</v>
      </c>
      <c r="EC78" s="62">
        <v>0.0</v>
      </c>
      <c r="ED78" s="62">
        <v>0.0</v>
      </c>
      <c r="EE78" s="62">
        <v>0.0</v>
      </c>
      <c r="EF78" s="62">
        <v>0.0</v>
      </c>
      <c r="EG78" s="62">
        <v>0.0</v>
      </c>
      <c r="EH78" s="62">
        <v>0.0</v>
      </c>
      <c r="EI78" s="62">
        <v>0.0</v>
      </c>
      <c r="EJ78" s="62">
        <v>0.0</v>
      </c>
      <c r="EK78" s="62">
        <v>0.0</v>
      </c>
      <c r="EL78" s="62">
        <v>0.0</v>
      </c>
      <c r="EM78" s="62">
        <v>0.0</v>
      </c>
      <c r="EN78" s="62">
        <v>0.0</v>
      </c>
      <c r="EO78" s="62">
        <v>0.0</v>
      </c>
      <c r="EP78" s="62">
        <v>0.0</v>
      </c>
      <c r="EQ78" s="62">
        <v>0.0</v>
      </c>
      <c r="ER78" s="62">
        <v>0.0</v>
      </c>
      <c r="ES78" s="62">
        <v>0.0</v>
      </c>
      <c r="ET78" s="62">
        <v>0.0</v>
      </c>
      <c r="EU78" s="62">
        <v>0.0</v>
      </c>
      <c r="EV78" s="62">
        <v>0.0</v>
      </c>
      <c r="EW78" s="62">
        <v>0.0</v>
      </c>
      <c r="EX78" s="62">
        <v>0.0</v>
      </c>
      <c r="EY78" s="62">
        <v>0.0</v>
      </c>
      <c r="EZ78" s="62">
        <v>0.0</v>
      </c>
      <c r="FA78" s="62">
        <v>0.0</v>
      </c>
      <c r="FB78" s="62">
        <v>0.0</v>
      </c>
      <c r="FC78" s="62">
        <v>0.0</v>
      </c>
      <c r="FD78" s="62">
        <v>0.0</v>
      </c>
      <c r="FE78" s="62">
        <v>19426.0</v>
      </c>
      <c r="FF78" s="62">
        <v>0.0</v>
      </c>
      <c r="FG78" s="62">
        <v>259237.0</v>
      </c>
      <c r="FH78" s="62">
        <v>31141.0</v>
      </c>
      <c r="FI78" s="62">
        <v>11112.0</v>
      </c>
      <c r="FJ78" s="62">
        <v>717350.0</v>
      </c>
      <c r="FK78" s="62">
        <v>4219999.0</v>
      </c>
      <c r="FL78" s="62">
        <v>0.0</v>
      </c>
      <c r="FM78" s="62">
        <v>0.0</v>
      </c>
      <c r="FN78" s="62">
        <v>0.0</v>
      </c>
      <c r="FO78" s="62">
        <v>0.0</v>
      </c>
      <c r="FP78" s="62">
        <v>0.0</v>
      </c>
      <c r="FQ78" s="62">
        <v>0.0</v>
      </c>
      <c r="FR78" s="62">
        <v>0.0</v>
      </c>
      <c r="FS78" s="62">
        <v>0.0</v>
      </c>
      <c r="FT78" s="62">
        <v>0.0</v>
      </c>
      <c r="FU78" s="62">
        <v>0.0</v>
      </c>
      <c r="FV78" s="62">
        <v>0.0</v>
      </c>
      <c r="FW78" s="62">
        <v>0.0</v>
      </c>
      <c r="FX78" s="62">
        <v>0.0</v>
      </c>
      <c r="FY78" s="62">
        <v>0.0</v>
      </c>
      <c r="FZ78" s="62">
        <v>0.0</v>
      </c>
      <c r="GA78" s="62">
        <v>25348.0</v>
      </c>
      <c r="GB78" s="62">
        <v>9.0</v>
      </c>
      <c r="GC78" s="62">
        <v>1074913.0</v>
      </c>
      <c r="GD78" s="62">
        <v>0.0</v>
      </c>
      <c r="GE78" s="62">
        <v>5752.0</v>
      </c>
      <c r="GF78" s="63">
        <v>6385100.0</v>
      </c>
      <c r="GG78" s="64">
        <v>1.7881275E7</v>
      </c>
      <c r="GH78" s="65">
        <v>0.0</v>
      </c>
      <c r="GI78" s="64">
        <v>0.0</v>
      </c>
      <c r="GJ78" s="64">
        <v>0.0</v>
      </c>
      <c r="GK78" s="64">
        <v>873447.0</v>
      </c>
      <c r="GL78" s="64">
        <v>647420.0</v>
      </c>
      <c r="GM78" s="64">
        <v>203890.0</v>
      </c>
      <c r="GN78" s="63">
        <v>1.9606032E7</v>
      </c>
      <c r="GO78" s="66">
        <v>2.5991132E7</v>
      </c>
      <c r="GP78" s="64">
        <v>3502202.0</v>
      </c>
      <c r="GQ78" s="64">
        <v>0.0</v>
      </c>
      <c r="GR78" s="65">
        <v>0.0</v>
      </c>
      <c r="GS78" s="63">
        <v>3502202.0</v>
      </c>
      <c r="GT78" s="67">
        <v>2329698.0</v>
      </c>
      <c r="GU78" s="67">
        <v>2760866.0</v>
      </c>
      <c r="GV78" s="67">
        <v>356176.0</v>
      </c>
      <c r="GW78" s="63">
        <v>5446740.0</v>
      </c>
      <c r="GX78" s="63">
        <v>7199325.0</v>
      </c>
      <c r="GY78" s="63">
        <v>9842865.0</v>
      </c>
      <c r="GZ78" s="66">
        <v>2.5991132E7</v>
      </c>
    </row>
    <row r="79" ht="15.75" customHeight="1">
      <c r="A79" s="60">
        <v>74.0</v>
      </c>
      <c r="B79" s="61" t="s">
        <v>119</v>
      </c>
      <c r="C79" s="62">
        <v>2758.0</v>
      </c>
      <c r="D79" s="62">
        <v>105.0</v>
      </c>
      <c r="E79" s="62">
        <v>23.0</v>
      </c>
      <c r="F79" s="62">
        <v>61.0</v>
      </c>
      <c r="G79" s="62">
        <v>3.0</v>
      </c>
      <c r="H79" s="62">
        <v>117.0</v>
      </c>
      <c r="I79" s="62">
        <v>57.0</v>
      </c>
      <c r="J79" s="62">
        <v>31.0</v>
      </c>
      <c r="K79" s="62">
        <v>15.0</v>
      </c>
      <c r="L79" s="62">
        <v>15997.0</v>
      </c>
      <c r="M79" s="62">
        <v>1529.0</v>
      </c>
      <c r="N79" s="62">
        <v>251.0</v>
      </c>
      <c r="O79" s="62">
        <v>5278.0</v>
      </c>
      <c r="P79" s="62">
        <v>32.0</v>
      </c>
      <c r="Q79" s="62">
        <v>1439.0</v>
      </c>
      <c r="R79" s="62">
        <v>936.0</v>
      </c>
      <c r="S79" s="62">
        <v>585.0</v>
      </c>
      <c r="T79" s="62">
        <v>80367.0</v>
      </c>
      <c r="U79" s="62">
        <v>137.0</v>
      </c>
      <c r="V79" s="62">
        <v>12069.0</v>
      </c>
      <c r="W79" s="62">
        <v>27.0</v>
      </c>
      <c r="X79" s="62">
        <v>906.0</v>
      </c>
      <c r="Y79" s="62">
        <v>452.0</v>
      </c>
      <c r="Z79" s="62">
        <v>672.0</v>
      </c>
      <c r="AA79" s="62">
        <v>197.0</v>
      </c>
      <c r="AB79" s="62">
        <v>11913.0</v>
      </c>
      <c r="AC79" s="62">
        <v>803.0</v>
      </c>
      <c r="AD79" s="62">
        <v>2575.0</v>
      </c>
      <c r="AE79" s="62">
        <v>1780.0</v>
      </c>
      <c r="AF79" s="62">
        <v>40593.0</v>
      </c>
      <c r="AG79" s="62">
        <v>1857.0</v>
      </c>
      <c r="AH79" s="62">
        <v>626.0</v>
      </c>
      <c r="AI79" s="62">
        <v>88931.0</v>
      </c>
      <c r="AJ79" s="62">
        <v>10167.0</v>
      </c>
      <c r="AK79" s="62">
        <v>1825.0</v>
      </c>
      <c r="AL79" s="62">
        <v>3507.0</v>
      </c>
      <c r="AM79" s="62">
        <v>4480.0</v>
      </c>
      <c r="AN79" s="62">
        <v>300.0</v>
      </c>
      <c r="AO79" s="62">
        <v>1227.0</v>
      </c>
      <c r="AP79" s="62">
        <v>768.0</v>
      </c>
      <c r="AQ79" s="62">
        <v>1111.0</v>
      </c>
      <c r="AR79" s="62">
        <v>6.0</v>
      </c>
      <c r="AS79" s="62">
        <v>3604.0</v>
      </c>
      <c r="AT79" s="62">
        <v>166.0</v>
      </c>
      <c r="AU79" s="62">
        <v>418.0</v>
      </c>
      <c r="AV79" s="62">
        <v>6889.0</v>
      </c>
      <c r="AW79" s="62">
        <v>153.0</v>
      </c>
      <c r="AX79" s="62">
        <v>341225.0</v>
      </c>
      <c r="AY79" s="62">
        <v>67.0</v>
      </c>
      <c r="AZ79" s="62">
        <v>38.0</v>
      </c>
      <c r="BA79" s="62">
        <v>816.0</v>
      </c>
      <c r="BB79" s="62">
        <v>3687.0</v>
      </c>
      <c r="BC79" s="62">
        <v>43788.0</v>
      </c>
      <c r="BD79" s="62">
        <v>7742.0</v>
      </c>
      <c r="BE79" s="62">
        <v>8263.0</v>
      </c>
      <c r="BF79" s="62">
        <v>206.0</v>
      </c>
      <c r="BG79" s="62">
        <v>2268.0</v>
      </c>
      <c r="BH79" s="62">
        <v>377547.0</v>
      </c>
      <c r="BI79" s="62">
        <v>4991.0</v>
      </c>
      <c r="BJ79" s="62">
        <v>38143.0</v>
      </c>
      <c r="BK79" s="62">
        <v>18828.0</v>
      </c>
      <c r="BL79" s="62">
        <v>14009.0</v>
      </c>
      <c r="BM79" s="62">
        <v>30.0</v>
      </c>
      <c r="BN79" s="62">
        <v>91.0</v>
      </c>
      <c r="BO79" s="62">
        <v>188119.0</v>
      </c>
      <c r="BP79" s="62">
        <v>28985.0</v>
      </c>
      <c r="BQ79" s="62">
        <v>13356.0</v>
      </c>
      <c r="BR79" s="62">
        <v>50297.0</v>
      </c>
      <c r="BS79" s="62">
        <v>1551.0</v>
      </c>
      <c r="BT79" s="62">
        <v>29442.0</v>
      </c>
      <c r="BU79" s="62">
        <v>1127993.0</v>
      </c>
      <c r="BV79" s="62">
        <v>18416.0</v>
      </c>
      <c r="BW79" s="62">
        <v>0.0</v>
      </c>
      <c r="BX79" s="62">
        <v>4099.0</v>
      </c>
      <c r="BY79" s="62">
        <v>0.0</v>
      </c>
      <c r="BZ79" s="62">
        <v>108.0</v>
      </c>
      <c r="CA79" s="62">
        <v>59.0</v>
      </c>
      <c r="CB79" s="62">
        <v>144.0</v>
      </c>
      <c r="CC79" s="62">
        <v>428.0</v>
      </c>
      <c r="CD79" s="62">
        <v>23.0</v>
      </c>
      <c r="CE79" s="62">
        <v>32.0</v>
      </c>
      <c r="CF79" s="62">
        <v>225.0</v>
      </c>
      <c r="CG79" s="62">
        <v>25.0</v>
      </c>
      <c r="CH79" s="62">
        <v>21828.0</v>
      </c>
      <c r="CI79" s="62">
        <v>132299.0</v>
      </c>
      <c r="CJ79" s="62">
        <v>66991.0</v>
      </c>
      <c r="CK79" s="62">
        <v>170791.0</v>
      </c>
      <c r="CL79" s="62">
        <v>79877.0</v>
      </c>
      <c r="CM79" s="62">
        <v>30470.0</v>
      </c>
      <c r="CN79" s="62">
        <v>73692.0</v>
      </c>
      <c r="CO79" s="62">
        <v>47834.0</v>
      </c>
      <c r="CP79" s="62">
        <v>160139.0</v>
      </c>
      <c r="CQ79" s="62">
        <v>33809.0</v>
      </c>
      <c r="CR79" s="62">
        <v>7039.0</v>
      </c>
      <c r="CS79" s="62">
        <v>73348.0</v>
      </c>
      <c r="CT79" s="62">
        <v>1968504.0</v>
      </c>
      <c r="CU79" s="62">
        <v>121345.0</v>
      </c>
      <c r="CV79" s="62">
        <v>740646.0</v>
      </c>
      <c r="CW79" s="62">
        <v>127071.0</v>
      </c>
      <c r="CX79" s="62">
        <v>10622.0</v>
      </c>
      <c r="CY79" s="62">
        <v>2165.0</v>
      </c>
      <c r="CZ79" s="62">
        <v>3743.0</v>
      </c>
      <c r="DA79" s="62">
        <v>63315.0</v>
      </c>
      <c r="DB79" s="62">
        <v>151104.0</v>
      </c>
      <c r="DC79" s="62">
        <v>240295.0</v>
      </c>
      <c r="DD79" s="62">
        <v>66607.0</v>
      </c>
      <c r="DE79" s="62">
        <v>2937.0</v>
      </c>
      <c r="DF79" s="62">
        <v>1212.0</v>
      </c>
      <c r="DG79" s="62">
        <v>756.0</v>
      </c>
      <c r="DH79" s="62">
        <v>27610.0</v>
      </c>
      <c r="DI79" s="62">
        <v>16144.0</v>
      </c>
      <c r="DJ79" s="62">
        <v>3245.0</v>
      </c>
      <c r="DK79" s="62">
        <v>3574.0</v>
      </c>
      <c r="DL79" s="62">
        <v>12069.0</v>
      </c>
      <c r="DM79" s="62">
        <v>12448.0</v>
      </c>
      <c r="DN79" s="62">
        <v>1373.0</v>
      </c>
      <c r="DO79" s="62">
        <v>5209.0</v>
      </c>
      <c r="DP79" s="62">
        <v>15385.0</v>
      </c>
      <c r="DQ79" s="62">
        <v>406.0</v>
      </c>
      <c r="DR79" s="62">
        <v>2393.0</v>
      </c>
      <c r="DS79" s="62">
        <v>4845.0</v>
      </c>
      <c r="DT79" s="62">
        <v>6713.0</v>
      </c>
      <c r="DU79" s="62">
        <v>911.0</v>
      </c>
      <c r="DV79" s="62">
        <v>1093.0</v>
      </c>
      <c r="DW79" s="62">
        <v>553.0</v>
      </c>
      <c r="DX79" s="62">
        <v>1484.0</v>
      </c>
      <c r="DY79" s="62">
        <v>1223.0</v>
      </c>
      <c r="DZ79" s="62">
        <v>49.0</v>
      </c>
      <c r="EA79" s="62">
        <v>108.0</v>
      </c>
      <c r="EB79" s="62">
        <v>43.0</v>
      </c>
      <c r="EC79" s="62">
        <v>403.0</v>
      </c>
      <c r="ED79" s="62">
        <v>96.0</v>
      </c>
      <c r="EE79" s="62">
        <v>73.0</v>
      </c>
      <c r="EF79" s="62">
        <v>617.0</v>
      </c>
      <c r="EG79" s="62">
        <v>186.0</v>
      </c>
      <c r="EH79" s="62">
        <v>614.0</v>
      </c>
      <c r="EI79" s="62">
        <v>2018.0</v>
      </c>
      <c r="EJ79" s="62">
        <v>897.0</v>
      </c>
      <c r="EK79" s="62">
        <v>575.0</v>
      </c>
      <c r="EL79" s="62">
        <v>5544.0</v>
      </c>
      <c r="EM79" s="62">
        <v>1928.0</v>
      </c>
      <c r="EN79" s="62">
        <v>4869.0</v>
      </c>
      <c r="EO79" s="62">
        <v>314.0</v>
      </c>
      <c r="EP79" s="62">
        <v>4133.0</v>
      </c>
      <c r="EQ79" s="62">
        <v>3508.0</v>
      </c>
      <c r="ER79" s="62">
        <v>629.0</v>
      </c>
      <c r="ES79" s="62">
        <v>134077.0</v>
      </c>
      <c r="ET79" s="62">
        <v>208068.0</v>
      </c>
      <c r="EU79" s="62">
        <v>9317.0</v>
      </c>
      <c r="EV79" s="62">
        <v>920.0</v>
      </c>
      <c r="EW79" s="62">
        <v>3996.0</v>
      </c>
      <c r="EX79" s="62">
        <v>4920.0</v>
      </c>
      <c r="EY79" s="62">
        <v>8257.0</v>
      </c>
      <c r="EZ79" s="62">
        <v>230729.0</v>
      </c>
      <c r="FA79" s="62">
        <v>184444.0</v>
      </c>
      <c r="FB79" s="62">
        <v>929832.0</v>
      </c>
      <c r="FC79" s="62">
        <v>56342.0</v>
      </c>
      <c r="FD79" s="62">
        <v>2620997.0</v>
      </c>
      <c r="FE79" s="62">
        <v>905110.0</v>
      </c>
      <c r="FF79" s="62">
        <v>292838.0</v>
      </c>
      <c r="FG79" s="62">
        <v>1058140.0</v>
      </c>
      <c r="FH79" s="62">
        <v>940091.0</v>
      </c>
      <c r="FI79" s="62">
        <v>210341.0</v>
      </c>
      <c r="FJ79" s="62">
        <v>1034427.0</v>
      </c>
      <c r="FK79" s="62">
        <v>8516392.0</v>
      </c>
      <c r="FL79" s="62">
        <v>974408.0</v>
      </c>
      <c r="FM79" s="62">
        <v>113905.0</v>
      </c>
      <c r="FN79" s="62">
        <v>211644.0</v>
      </c>
      <c r="FO79" s="62">
        <v>272465.0</v>
      </c>
      <c r="FP79" s="62">
        <v>1169910.0</v>
      </c>
      <c r="FQ79" s="62">
        <v>233574.0</v>
      </c>
      <c r="FR79" s="62">
        <v>18.0</v>
      </c>
      <c r="FS79" s="62">
        <v>49770.0</v>
      </c>
      <c r="FT79" s="62">
        <v>69617.0</v>
      </c>
      <c r="FU79" s="62">
        <v>35321.0</v>
      </c>
      <c r="FV79" s="62">
        <v>3253117.0</v>
      </c>
      <c r="FW79" s="62">
        <v>416483.0</v>
      </c>
      <c r="FX79" s="62">
        <v>65548.0</v>
      </c>
      <c r="FY79" s="62">
        <v>523404.0</v>
      </c>
      <c r="FZ79" s="62">
        <v>5579.0</v>
      </c>
      <c r="GA79" s="62">
        <v>612939.0</v>
      </c>
      <c r="GB79" s="62">
        <v>3135182.0</v>
      </c>
      <c r="GC79" s="62">
        <v>731964.0</v>
      </c>
      <c r="GD79" s="62">
        <v>889.0</v>
      </c>
      <c r="GE79" s="62">
        <v>3297341.0</v>
      </c>
      <c r="GF79" s="63">
        <v>3.9696821E7</v>
      </c>
      <c r="GG79" s="64">
        <v>9.4874758E7</v>
      </c>
      <c r="GH79" s="65">
        <v>0.0</v>
      </c>
      <c r="GI79" s="64">
        <v>0.0</v>
      </c>
      <c r="GJ79" s="64">
        <v>0.0</v>
      </c>
      <c r="GK79" s="64">
        <v>80639.0</v>
      </c>
      <c r="GL79" s="64">
        <v>1249099.0</v>
      </c>
      <c r="GM79" s="64">
        <v>0.0</v>
      </c>
      <c r="GN79" s="63">
        <v>9.6204496E7</v>
      </c>
      <c r="GO79" s="66">
        <v>1.35901317E8</v>
      </c>
      <c r="GP79" s="64">
        <v>1338392.0</v>
      </c>
      <c r="GQ79" s="64">
        <v>0.0</v>
      </c>
      <c r="GR79" s="65">
        <v>0.0</v>
      </c>
      <c r="GS79" s="63">
        <v>1338392.0</v>
      </c>
      <c r="GT79" s="67">
        <v>2.5115492E7</v>
      </c>
      <c r="GU79" s="67">
        <v>3959362.0</v>
      </c>
      <c r="GV79" s="67">
        <v>1580854.0</v>
      </c>
      <c r="GW79" s="63">
        <v>3.0655708E7</v>
      </c>
      <c r="GX79" s="63">
        <v>3995839.0</v>
      </c>
      <c r="GY79" s="63">
        <v>9.9911378E7</v>
      </c>
      <c r="GZ79" s="66">
        <v>1.35901317E8</v>
      </c>
    </row>
    <row r="80" ht="15.75" customHeight="1">
      <c r="A80" s="68">
        <v>75.0</v>
      </c>
      <c r="B80" s="69" t="s">
        <v>120</v>
      </c>
      <c r="C80" s="70">
        <v>0.0</v>
      </c>
      <c r="D80" s="70">
        <v>0.0</v>
      </c>
      <c r="E80" s="70">
        <v>0.0</v>
      </c>
      <c r="F80" s="70">
        <v>0.0</v>
      </c>
      <c r="G80" s="70">
        <v>0.0</v>
      </c>
      <c r="H80" s="70">
        <v>0.0</v>
      </c>
      <c r="I80" s="70">
        <v>0.0</v>
      </c>
      <c r="J80" s="70">
        <v>0.0</v>
      </c>
      <c r="K80" s="70">
        <v>0.0</v>
      </c>
      <c r="L80" s="70">
        <v>0.0</v>
      </c>
      <c r="M80" s="70">
        <v>0.0</v>
      </c>
      <c r="N80" s="70">
        <v>0.0</v>
      </c>
      <c r="O80" s="70">
        <v>0.0</v>
      </c>
      <c r="P80" s="70">
        <v>0.0</v>
      </c>
      <c r="Q80" s="70">
        <v>0.0</v>
      </c>
      <c r="R80" s="70">
        <v>0.0</v>
      </c>
      <c r="S80" s="70">
        <v>0.0</v>
      </c>
      <c r="T80" s="70">
        <v>0.0</v>
      </c>
      <c r="U80" s="70">
        <v>0.0</v>
      </c>
      <c r="V80" s="70">
        <v>0.0</v>
      </c>
      <c r="W80" s="70">
        <v>0.0</v>
      </c>
      <c r="X80" s="70">
        <v>0.0</v>
      </c>
      <c r="Y80" s="70">
        <v>0.0</v>
      </c>
      <c r="Z80" s="70">
        <v>0.0</v>
      </c>
      <c r="AA80" s="70">
        <v>0.0</v>
      </c>
      <c r="AB80" s="70">
        <v>0.0</v>
      </c>
      <c r="AC80" s="70">
        <v>0.0</v>
      </c>
      <c r="AD80" s="70">
        <v>0.0</v>
      </c>
      <c r="AE80" s="70">
        <v>0.0</v>
      </c>
      <c r="AF80" s="70">
        <v>0.0</v>
      </c>
      <c r="AG80" s="70">
        <v>0.0</v>
      </c>
      <c r="AH80" s="70">
        <v>0.0</v>
      </c>
      <c r="AI80" s="70">
        <v>0.0</v>
      </c>
      <c r="AJ80" s="70">
        <v>0.0</v>
      </c>
      <c r="AK80" s="70">
        <v>0.0</v>
      </c>
      <c r="AL80" s="70">
        <v>0.0</v>
      </c>
      <c r="AM80" s="70">
        <v>0.0</v>
      </c>
      <c r="AN80" s="70">
        <v>0.0</v>
      </c>
      <c r="AO80" s="70">
        <v>0.0</v>
      </c>
      <c r="AP80" s="70">
        <v>0.0</v>
      </c>
      <c r="AQ80" s="70">
        <v>0.0</v>
      </c>
      <c r="AR80" s="70">
        <v>0.0</v>
      </c>
      <c r="AS80" s="70">
        <v>0.0</v>
      </c>
      <c r="AT80" s="70">
        <v>0.0</v>
      </c>
      <c r="AU80" s="70">
        <v>0.0</v>
      </c>
      <c r="AV80" s="70">
        <v>0.0</v>
      </c>
      <c r="AW80" s="70">
        <v>0.0</v>
      </c>
      <c r="AX80" s="70">
        <v>0.0</v>
      </c>
      <c r="AY80" s="70">
        <v>0.0</v>
      </c>
      <c r="AZ80" s="70">
        <v>0.0</v>
      </c>
      <c r="BA80" s="70">
        <v>0.0</v>
      </c>
      <c r="BB80" s="70">
        <v>0.0</v>
      </c>
      <c r="BC80" s="70">
        <v>0.0</v>
      </c>
      <c r="BD80" s="70">
        <v>0.0</v>
      </c>
      <c r="BE80" s="70">
        <v>0.0</v>
      </c>
      <c r="BF80" s="70">
        <v>0.0</v>
      </c>
      <c r="BG80" s="70">
        <v>0.0</v>
      </c>
      <c r="BH80" s="70">
        <v>0.0</v>
      </c>
      <c r="BI80" s="70">
        <v>0.0</v>
      </c>
      <c r="BJ80" s="70">
        <v>0.0</v>
      </c>
      <c r="BK80" s="70">
        <v>0.0</v>
      </c>
      <c r="BL80" s="70">
        <v>0.0</v>
      </c>
      <c r="BM80" s="70">
        <v>0.0</v>
      </c>
      <c r="BN80" s="70">
        <v>0.0</v>
      </c>
      <c r="BO80" s="70">
        <v>0.0</v>
      </c>
      <c r="BP80" s="70">
        <v>0.0</v>
      </c>
      <c r="BQ80" s="70">
        <v>0.0</v>
      </c>
      <c r="BR80" s="70">
        <v>0.0</v>
      </c>
      <c r="BS80" s="70">
        <v>0.0</v>
      </c>
      <c r="BT80" s="70">
        <v>0.0</v>
      </c>
      <c r="BU80" s="70">
        <v>0.0</v>
      </c>
      <c r="BV80" s="70">
        <v>0.0</v>
      </c>
      <c r="BW80" s="70">
        <v>0.0</v>
      </c>
      <c r="BX80" s="70">
        <v>0.0</v>
      </c>
      <c r="BY80" s="70">
        <v>3357660.0</v>
      </c>
      <c r="BZ80" s="70">
        <v>0.0</v>
      </c>
      <c r="CA80" s="70">
        <v>0.0</v>
      </c>
      <c r="CB80" s="70">
        <v>0.0</v>
      </c>
      <c r="CC80" s="70">
        <v>0.0</v>
      </c>
      <c r="CD80" s="70">
        <v>0.0</v>
      </c>
      <c r="CE80" s="70">
        <v>0.0</v>
      </c>
      <c r="CF80" s="70">
        <v>0.0</v>
      </c>
      <c r="CG80" s="70">
        <v>0.0</v>
      </c>
      <c r="CH80" s="70">
        <v>0.0</v>
      </c>
      <c r="CI80" s="70">
        <v>0.0</v>
      </c>
      <c r="CJ80" s="70">
        <v>0.0</v>
      </c>
      <c r="CK80" s="70">
        <v>0.0</v>
      </c>
      <c r="CL80" s="70">
        <v>0.0</v>
      </c>
      <c r="CM80" s="70">
        <v>0.0</v>
      </c>
      <c r="CN80" s="70">
        <v>0.0</v>
      </c>
      <c r="CO80" s="70">
        <v>0.0</v>
      </c>
      <c r="CP80" s="70">
        <v>0.0</v>
      </c>
      <c r="CQ80" s="70">
        <v>0.0</v>
      </c>
      <c r="CR80" s="70">
        <v>0.0</v>
      </c>
      <c r="CS80" s="70">
        <v>0.0</v>
      </c>
      <c r="CT80" s="70">
        <v>0.0</v>
      </c>
      <c r="CU80" s="70">
        <v>0.0</v>
      </c>
      <c r="CV80" s="70">
        <v>0.0</v>
      </c>
      <c r="CW80" s="70">
        <v>0.0</v>
      </c>
      <c r="CX80" s="70">
        <v>0.0</v>
      </c>
      <c r="CY80" s="70">
        <v>0.0</v>
      </c>
      <c r="CZ80" s="70">
        <v>0.0</v>
      </c>
      <c r="DA80" s="70">
        <v>0.0</v>
      </c>
      <c r="DB80" s="70">
        <v>0.0</v>
      </c>
      <c r="DC80" s="70">
        <v>0.0</v>
      </c>
      <c r="DD80" s="70">
        <v>0.0</v>
      </c>
      <c r="DE80" s="70">
        <v>0.0</v>
      </c>
      <c r="DF80" s="70">
        <v>0.0</v>
      </c>
      <c r="DG80" s="70">
        <v>0.0</v>
      </c>
      <c r="DH80" s="70">
        <v>0.0</v>
      </c>
      <c r="DI80" s="70">
        <v>0.0</v>
      </c>
      <c r="DJ80" s="70">
        <v>0.0</v>
      </c>
      <c r="DK80" s="70">
        <v>0.0</v>
      </c>
      <c r="DL80" s="70">
        <v>0.0</v>
      </c>
      <c r="DM80" s="70">
        <v>0.0</v>
      </c>
      <c r="DN80" s="70">
        <v>0.0</v>
      </c>
      <c r="DO80" s="70">
        <v>0.0</v>
      </c>
      <c r="DP80" s="70">
        <v>0.0</v>
      </c>
      <c r="DQ80" s="70">
        <v>0.0</v>
      </c>
      <c r="DR80" s="70">
        <v>0.0</v>
      </c>
      <c r="DS80" s="70">
        <v>0.0</v>
      </c>
      <c r="DT80" s="70">
        <v>0.0</v>
      </c>
      <c r="DU80" s="70">
        <v>0.0</v>
      </c>
      <c r="DV80" s="70">
        <v>0.0</v>
      </c>
      <c r="DW80" s="70">
        <v>0.0</v>
      </c>
      <c r="DX80" s="70">
        <v>0.0</v>
      </c>
      <c r="DY80" s="70">
        <v>0.0</v>
      </c>
      <c r="DZ80" s="70">
        <v>0.0</v>
      </c>
      <c r="EA80" s="70">
        <v>0.0</v>
      </c>
      <c r="EB80" s="70">
        <v>0.0</v>
      </c>
      <c r="EC80" s="70">
        <v>0.0</v>
      </c>
      <c r="ED80" s="70">
        <v>0.0</v>
      </c>
      <c r="EE80" s="70">
        <v>0.0</v>
      </c>
      <c r="EF80" s="70">
        <v>0.0</v>
      </c>
      <c r="EG80" s="70">
        <v>0.0</v>
      </c>
      <c r="EH80" s="70">
        <v>0.0</v>
      </c>
      <c r="EI80" s="70">
        <v>0.0</v>
      </c>
      <c r="EJ80" s="70">
        <v>0.0</v>
      </c>
      <c r="EK80" s="70">
        <v>0.0</v>
      </c>
      <c r="EL80" s="70">
        <v>0.0</v>
      </c>
      <c r="EM80" s="70">
        <v>0.0</v>
      </c>
      <c r="EN80" s="70">
        <v>0.0</v>
      </c>
      <c r="EO80" s="70">
        <v>0.0</v>
      </c>
      <c r="EP80" s="70">
        <v>0.0</v>
      </c>
      <c r="EQ80" s="70">
        <v>0.0</v>
      </c>
      <c r="ER80" s="70">
        <v>0.0</v>
      </c>
      <c r="ES80" s="70">
        <v>0.0</v>
      </c>
      <c r="ET80" s="70">
        <v>0.0</v>
      </c>
      <c r="EU80" s="70">
        <v>0.0</v>
      </c>
      <c r="EV80" s="70">
        <v>0.0</v>
      </c>
      <c r="EW80" s="70">
        <v>0.0</v>
      </c>
      <c r="EX80" s="70">
        <v>0.0</v>
      </c>
      <c r="EY80" s="70">
        <v>0.0</v>
      </c>
      <c r="EZ80" s="70">
        <v>0.0</v>
      </c>
      <c r="FA80" s="70">
        <v>0.0</v>
      </c>
      <c r="FB80" s="70">
        <v>0.0</v>
      </c>
      <c r="FC80" s="70">
        <v>0.0</v>
      </c>
      <c r="FD80" s="70">
        <v>0.0</v>
      </c>
      <c r="FE80" s="70">
        <v>0.0</v>
      </c>
      <c r="FF80" s="70">
        <v>0.0</v>
      </c>
      <c r="FG80" s="70">
        <v>0.0</v>
      </c>
      <c r="FH80" s="70">
        <v>0.0</v>
      </c>
      <c r="FI80" s="70">
        <v>0.0</v>
      </c>
      <c r="FJ80" s="70">
        <v>0.0</v>
      </c>
      <c r="FK80" s="70">
        <v>0.0</v>
      </c>
      <c r="FL80" s="70">
        <v>0.0</v>
      </c>
      <c r="FM80" s="70">
        <v>0.0</v>
      </c>
      <c r="FN80" s="70">
        <v>0.0</v>
      </c>
      <c r="FO80" s="70">
        <v>0.0</v>
      </c>
      <c r="FP80" s="70">
        <v>0.0</v>
      </c>
      <c r="FQ80" s="70">
        <v>0.0</v>
      </c>
      <c r="FR80" s="70">
        <v>0.0</v>
      </c>
      <c r="FS80" s="70">
        <v>0.0</v>
      </c>
      <c r="FT80" s="70">
        <v>0.0</v>
      </c>
      <c r="FU80" s="70">
        <v>0.0</v>
      </c>
      <c r="FV80" s="70">
        <v>0.0</v>
      </c>
      <c r="FW80" s="70">
        <v>0.0</v>
      </c>
      <c r="FX80" s="70">
        <v>0.0</v>
      </c>
      <c r="FY80" s="70">
        <v>0.0</v>
      </c>
      <c r="FZ80" s="70">
        <v>0.0</v>
      </c>
      <c r="GA80" s="70">
        <v>3680.0</v>
      </c>
      <c r="GB80" s="70">
        <v>0.0</v>
      </c>
      <c r="GC80" s="70">
        <v>132.0</v>
      </c>
      <c r="GD80" s="70">
        <v>0.0</v>
      </c>
      <c r="GE80" s="70">
        <v>14565.0</v>
      </c>
      <c r="GF80" s="71">
        <v>3376037.0</v>
      </c>
      <c r="GG80" s="72">
        <v>4.70668831E8</v>
      </c>
      <c r="GH80" s="73">
        <v>0.0</v>
      </c>
      <c r="GI80" s="72">
        <v>0.0</v>
      </c>
      <c r="GJ80" s="72">
        <v>0.0</v>
      </c>
      <c r="GK80" s="72">
        <v>5965242.0</v>
      </c>
      <c r="GL80" s="72">
        <v>1.2907503E7</v>
      </c>
      <c r="GM80" s="72">
        <v>459321.0</v>
      </c>
      <c r="GN80" s="71">
        <v>4.90000897E8</v>
      </c>
      <c r="GO80" s="74">
        <v>4.93376934E8</v>
      </c>
      <c r="GP80" s="72">
        <v>749026.0</v>
      </c>
      <c r="GQ80" s="72">
        <v>72882.0</v>
      </c>
      <c r="GR80" s="73">
        <v>0.0</v>
      </c>
      <c r="GS80" s="71">
        <v>821908.0</v>
      </c>
      <c r="GT80" s="75">
        <v>2.0379217E7</v>
      </c>
      <c r="GU80" s="75">
        <v>2.085497E7</v>
      </c>
      <c r="GV80" s="75">
        <v>1.911981E7</v>
      </c>
      <c r="GW80" s="71">
        <v>6.0353997E7</v>
      </c>
      <c r="GX80" s="71">
        <v>1.99681195E8</v>
      </c>
      <c r="GY80" s="71">
        <v>2.32519834E8</v>
      </c>
      <c r="GZ80" s="74">
        <v>4.93376934E8</v>
      </c>
    </row>
    <row r="81" ht="15.75" customHeight="1">
      <c r="A81" s="52">
        <v>76.0</v>
      </c>
      <c r="B81" s="53" t="s">
        <v>121</v>
      </c>
      <c r="C81" s="54">
        <v>0.0</v>
      </c>
      <c r="D81" s="54">
        <v>0.0</v>
      </c>
      <c r="E81" s="54">
        <v>0.0</v>
      </c>
      <c r="F81" s="54">
        <v>0.0</v>
      </c>
      <c r="G81" s="54">
        <v>0.0</v>
      </c>
      <c r="H81" s="54">
        <v>0.0</v>
      </c>
      <c r="I81" s="54">
        <v>0.0</v>
      </c>
      <c r="J81" s="54">
        <v>0.0</v>
      </c>
      <c r="K81" s="54">
        <v>0.0</v>
      </c>
      <c r="L81" s="54">
        <v>0.0</v>
      </c>
      <c r="M81" s="54">
        <v>0.0</v>
      </c>
      <c r="N81" s="54">
        <v>0.0</v>
      </c>
      <c r="O81" s="54">
        <v>0.0</v>
      </c>
      <c r="P81" s="54">
        <v>0.0</v>
      </c>
      <c r="Q81" s="54">
        <v>0.0</v>
      </c>
      <c r="R81" s="54">
        <v>0.0</v>
      </c>
      <c r="S81" s="54">
        <v>0.0</v>
      </c>
      <c r="T81" s="54">
        <v>0.0</v>
      </c>
      <c r="U81" s="54">
        <v>0.0</v>
      </c>
      <c r="V81" s="54">
        <v>0.0</v>
      </c>
      <c r="W81" s="54">
        <v>0.0</v>
      </c>
      <c r="X81" s="54">
        <v>0.0</v>
      </c>
      <c r="Y81" s="54">
        <v>0.0</v>
      </c>
      <c r="Z81" s="54">
        <v>0.0</v>
      </c>
      <c r="AA81" s="54">
        <v>0.0</v>
      </c>
      <c r="AB81" s="54">
        <v>0.0</v>
      </c>
      <c r="AC81" s="54">
        <v>0.0</v>
      </c>
      <c r="AD81" s="54">
        <v>0.0</v>
      </c>
      <c r="AE81" s="54">
        <v>0.0</v>
      </c>
      <c r="AF81" s="54">
        <v>0.0</v>
      </c>
      <c r="AG81" s="54">
        <v>0.0</v>
      </c>
      <c r="AH81" s="54">
        <v>0.0</v>
      </c>
      <c r="AI81" s="54">
        <v>0.0</v>
      </c>
      <c r="AJ81" s="54">
        <v>0.0</v>
      </c>
      <c r="AK81" s="54">
        <v>0.0</v>
      </c>
      <c r="AL81" s="54">
        <v>0.0</v>
      </c>
      <c r="AM81" s="54">
        <v>0.0</v>
      </c>
      <c r="AN81" s="54">
        <v>0.0</v>
      </c>
      <c r="AO81" s="54">
        <v>0.0</v>
      </c>
      <c r="AP81" s="54">
        <v>0.0</v>
      </c>
      <c r="AQ81" s="54">
        <v>0.0</v>
      </c>
      <c r="AR81" s="54">
        <v>0.0</v>
      </c>
      <c r="AS81" s="54">
        <v>0.0</v>
      </c>
      <c r="AT81" s="54">
        <v>0.0</v>
      </c>
      <c r="AU81" s="54">
        <v>0.0</v>
      </c>
      <c r="AV81" s="54">
        <v>0.0</v>
      </c>
      <c r="AW81" s="54">
        <v>0.0</v>
      </c>
      <c r="AX81" s="54">
        <v>0.0</v>
      </c>
      <c r="AY81" s="54">
        <v>0.0</v>
      </c>
      <c r="AZ81" s="54">
        <v>0.0</v>
      </c>
      <c r="BA81" s="54">
        <v>0.0</v>
      </c>
      <c r="BB81" s="54">
        <v>0.0</v>
      </c>
      <c r="BC81" s="54">
        <v>0.0</v>
      </c>
      <c r="BD81" s="54">
        <v>0.0</v>
      </c>
      <c r="BE81" s="54">
        <v>0.0</v>
      </c>
      <c r="BF81" s="54">
        <v>0.0</v>
      </c>
      <c r="BG81" s="54">
        <v>0.0</v>
      </c>
      <c r="BH81" s="54">
        <v>0.0</v>
      </c>
      <c r="BI81" s="54">
        <v>0.0</v>
      </c>
      <c r="BJ81" s="54">
        <v>0.0</v>
      </c>
      <c r="BK81" s="54">
        <v>0.0</v>
      </c>
      <c r="BL81" s="54">
        <v>0.0</v>
      </c>
      <c r="BM81" s="54">
        <v>0.0</v>
      </c>
      <c r="BN81" s="54">
        <v>0.0</v>
      </c>
      <c r="BO81" s="54">
        <v>0.0</v>
      </c>
      <c r="BP81" s="54">
        <v>0.0</v>
      </c>
      <c r="BQ81" s="54">
        <v>0.0</v>
      </c>
      <c r="BR81" s="54">
        <v>0.0</v>
      </c>
      <c r="BS81" s="54">
        <v>0.0</v>
      </c>
      <c r="BT81" s="54">
        <v>0.0</v>
      </c>
      <c r="BU81" s="54">
        <v>0.0</v>
      </c>
      <c r="BV81" s="54">
        <v>0.0</v>
      </c>
      <c r="BW81" s="54">
        <v>0.0</v>
      </c>
      <c r="BX81" s="54">
        <v>0.0</v>
      </c>
      <c r="BY81" s="54">
        <v>2.1772692E7</v>
      </c>
      <c r="BZ81" s="54">
        <v>1410562.0</v>
      </c>
      <c r="CA81" s="54">
        <v>0.0</v>
      </c>
      <c r="CB81" s="54">
        <v>0.0</v>
      </c>
      <c r="CC81" s="54">
        <v>0.0</v>
      </c>
      <c r="CD81" s="54">
        <v>0.0</v>
      </c>
      <c r="CE81" s="54">
        <v>0.0</v>
      </c>
      <c r="CF81" s="54">
        <v>0.0</v>
      </c>
      <c r="CG81" s="54">
        <v>0.0</v>
      </c>
      <c r="CH81" s="54">
        <v>0.0</v>
      </c>
      <c r="CI81" s="54">
        <v>0.0</v>
      </c>
      <c r="CJ81" s="54">
        <v>0.0</v>
      </c>
      <c r="CK81" s="54">
        <v>0.0</v>
      </c>
      <c r="CL81" s="54">
        <v>0.0</v>
      </c>
      <c r="CM81" s="54">
        <v>0.0</v>
      </c>
      <c r="CN81" s="54">
        <v>0.0</v>
      </c>
      <c r="CO81" s="54">
        <v>0.0</v>
      </c>
      <c r="CP81" s="54">
        <v>0.0</v>
      </c>
      <c r="CQ81" s="54">
        <v>0.0</v>
      </c>
      <c r="CR81" s="54">
        <v>0.0</v>
      </c>
      <c r="CS81" s="54">
        <v>0.0</v>
      </c>
      <c r="CT81" s="54">
        <v>0.0</v>
      </c>
      <c r="CU81" s="54">
        <v>0.0</v>
      </c>
      <c r="CV81" s="54">
        <v>0.0</v>
      </c>
      <c r="CW81" s="54">
        <v>0.0</v>
      </c>
      <c r="CX81" s="54">
        <v>0.0</v>
      </c>
      <c r="CY81" s="54">
        <v>0.0</v>
      </c>
      <c r="CZ81" s="54">
        <v>0.0</v>
      </c>
      <c r="DA81" s="54">
        <v>0.0</v>
      </c>
      <c r="DB81" s="54">
        <v>0.0</v>
      </c>
      <c r="DC81" s="54">
        <v>0.0</v>
      </c>
      <c r="DD81" s="54">
        <v>0.0</v>
      </c>
      <c r="DE81" s="54">
        <v>0.0</v>
      </c>
      <c r="DF81" s="54">
        <v>0.0</v>
      </c>
      <c r="DG81" s="54">
        <v>0.0</v>
      </c>
      <c r="DH81" s="54">
        <v>0.0</v>
      </c>
      <c r="DI81" s="54">
        <v>0.0</v>
      </c>
      <c r="DJ81" s="54">
        <v>0.0</v>
      </c>
      <c r="DK81" s="54">
        <v>0.0</v>
      </c>
      <c r="DL81" s="54">
        <v>0.0</v>
      </c>
      <c r="DM81" s="54">
        <v>0.0</v>
      </c>
      <c r="DN81" s="54">
        <v>0.0</v>
      </c>
      <c r="DO81" s="54">
        <v>0.0</v>
      </c>
      <c r="DP81" s="54">
        <v>0.0</v>
      </c>
      <c r="DQ81" s="54">
        <v>0.0</v>
      </c>
      <c r="DR81" s="54">
        <v>0.0</v>
      </c>
      <c r="DS81" s="54">
        <v>0.0</v>
      </c>
      <c r="DT81" s="54">
        <v>0.0</v>
      </c>
      <c r="DU81" s="54">
        <v>0.0</v>
      </c>
      <c r="DV81" s="54">
        <v>0.0</v>
      </c>
      <c r="DW81" s="54">
        <v>0.0</v>
      </c>
      <c r="DX81" s="54">
        <v>0.0</v>
      </c>
      <c r="DY81" s="54">
        <v>0.0</v>
      </c>
      <c r="DZ81" s="54">
        <v>0.0</v>
      </c>
      <c r="EA81" s="54">
        <v>0.0</v>
      </c>
      <c r="EB81" s="54">
        <v>0.0</v>
      </c>
      <c r="EC81" s="54">
        <v>0.0</v>
      </c>
      <c r="ED81" s="54">
        <v>0.0</v>
      </c>
      <c r="EE81" s="54">
        <v>0.0</v>
      </c>
      <c r="EF81" s="54">
        <v>0.0</v>
      </c>
      <c r="EG81" s="54">
        <v>0.0</v>
      </c>
      <c r="EH81" s="54">
        <v>0.0</v>
      </c>
      <c r="EI81" s="54">
        <v>0.0</v>
      </c>
      <c r="EJ81" s="54">
        <v>0.0</v>
      </c>
      <c r="EK81" s="54">
        <v>0.0</v>
      </c>
      <c r="EL81" s="54">
        <v>0.0</v>
      </c>
      <c r="EM81" s="54">
        <v>0.0</v>
      </c>
      <c r="EN81" s="54">
        <v>0.0</v>
      </c>
      <c r="EO81" s="54">
        <v>0.0</v>
      </c>
      <c r="EP81" s="54">
        <v>0.0</v>
      </c>
      <c r="EQ81" s="54">
        <v>0.0</v>
      </c>
      <c r="ER81" s="54">
        <v>0.0</v>
      </c>
      <c r="ES81" s="54">
        <v>0.0</v>
      </c>
      <c r="ET81" s="54">
        <v>0.0</v>
      </c>
      <c r="EU81" s="54">
        <v>0.0</v>
      </c>
      <c r="EV81" s="54">
        <v>0.0</v>
      </c>
      <c r="EW81" s="54">
        <v>0.0</v>
      </c>
      <c r="EX81" s="54">
        <v>0.0</v>
      </c>
      <c r="EY81" s="54">
        <v>0.0</v>
      </c>
      <c r="EZ81" s="54">
        <v>0.0</v>
      </c>
      <c r="FA81" s="54">
        <v>0.0</v>
      </c>
      <c r="FB81" s="54">
        <v>0.0</v>
      </c>
      <c r="FC81" s="54">
        <v>0.0</v>
      </c>
      <c r="FD81" s="54">
        <v>0.0</v>
      </c>
      <c r="FE81" s="54">
        <v>0.0</v>
      </c>
      <c r="FF81" s="54">
        <v>0.0</v>
      </c>
      <c r="FG81" s="54">
        <v>0.0</v>
      </c>
      <c r="FH81" s="54">
        <v>0.0</v>
      </c>
      <c r="FI81" s="54">
        <v>0.0</v>
      </c>
      <c r="FJ81" s="54">
        <v>0.0</v>
      </c>
      <c r="FK81" s="54">
        <v>0.0</v>
      </c>
      <c r="FL81" s="54">
        <v>0.0</v>
      </c>
      <c r="FM81" s="54">
        <v>0.0</v>
      </c>
      <c r="FN81" s="54">
        <v>0.0</v>
      </c>
      <c r="FO81" s="54">
        <v>0.0</v>
      </c>
      <c r="FP81" s="54">
        <v>0.0</v>
      </c>
      <c r="FQ81" s="54">
        <v>0.0</v>
      </c>
      <c r="FR81" s="54">
        <v>0.0</v>
      </c>
      <c r="FS81" s="54">
        <v>0.0</v>
      </c>
      <c r="FT81" s="54">
        <v>0.0</v>
      </c>
      <c r="FU81" s="54">
        <v>0.0</v>
      </c>
      <c r="FV81" s="54">
        <v>0.0</v>
      </c>
      <c r="FW81" s="54">
        <v>0.0</v>
      </c>
      <c r="FX81" s="54">
        <v>0.0</v>
      </c>
      <c r="FY81" s="54">
        <v>0.0</v>
      </c>
      <c r="FZ81" s="54">
        <v>0.0</v>
      </c>
      <c r="GA81" s="54">
        <v>0.0</v>
      </c>
      <c r="GB81" s="54">
        <v>0.0</v>
      </c>
      <c r="GC81" s="54">
        <v>0.0</v>
      </c>
      <c r="GD81" s="54">
        <v>0.0</v>
      </c>
      <c r="GE81" s="54">
        <v>0.0</v>
      </c>
      <c r="GF81" s="55">
        <v>2.3183254E7</v>
      </c>
      <c r="GG81" s="56">
        <v>248628.0</v>
      </c>
      <c r="GH81" s="57">
        <v>0.0</v>
      </c>
      <c r="GI81" s="56">
        <v>0.0</v>
      </c>
      <c r="GJ81" s="56">
        <v>0.0</v>
      </c>
      <c r="GK81" s="56">
        <v>1979.0</v>
      </c>
      <c r="GL81" s="56">
        <v>3808603.0</v>
      </c>
      <c r="GM81" s="56">
        <v>0.0</v>
      </c>
      <c r="GN81" s="55">
        <v>4059210.0</v>
      </c>
      <c r="GO81" s="58">
        <v>2.7242464E7</v>
      </c>
      <c r="GP81" s="56">
        <v>8269183.0</v>
      </c>
      <c r="GQ81" s="56">
        <v>0.0</v>
      </c>
      <c r="GR81" s="57">
        <v>0.0</v>
      </c>
      <c r="GS81" s="55">
        <v>8269183.0</v>
      </c>
      <c r="GT81" s="59">
        <v>1506900.0</v>
      </c>
      <c r="GU81" s="59">
        <v>921064.0</v>
      </c>
      <c r="GV81" s="59">
        <v>363462.0</v>
      </c>
      <c r="GW81" s="55">
        <v>2791426.0</v>
      </c>
      <c r="GX81" s="55">
        <v>4554017.0</v>
      </c>
      <c r="GY81" s="55">
        <v>1.1627838E7</v>
      </c>
      <c r="GZ81" s="58">
        <v>2.7242464E7</v>
      </c>
    </row>
    <row r="82" ht="15.75" customHeight="1">
      <c r="A82" s="60">
        <v>77.0</v>
      </c>
      <c r="B82" s="61" t="s">
        <v>122</v>
      </c>
      <c r="C82" s="62">
        <v>0.0</v>
      </c>
      <c r="D82" s="62">
        <v>0.0</v>
      </c>
      <c r="E82" s="62">
        <v>0.0</v>
      </c>
      <c r="F82" s="62">
        <v>0.0</v>
      </c>
      <c r="G82" s="62">
        <v>0.0</v>
      </c>
      <c r="H82" s="62">
        <v>0.0</v>
      </c>
      <c r="I82" s="62">
        <v>0.0</v>
      </c>
      <c r="J82" s="62">
        <v>0.0</v>
      </c>
      <c r="K82" s="62">
        <v>0.0</v>
      </c>
      <c r="L82" s="62">
        <v>0.0</v>
      </c>
      <c r="M82" s="62">
        <v>0.0</v>
      </c>
      <c r="N82" s="62">
        <v>0.0</v>
      </c>
      <c r="O82" s="62">
        <v>0.0</v>
      </c>
      <c r="P82" s="62">
        <v>0.0</v>
      </c>
      <c r="Q82" s="62">
        <v>0.0</v>
      </c>
      <c r="R82" s="62">
        <v>0.0</v>
      </c>
      <c r="S82" s="62">
        <v>0.0</v>
      </c>
      <c r="T82" s="62">
        <v>0.0</v>
      </c>
      <c r="U82" s="62">
        <v>0.0</v>
      </c>
      <c r="V82" s="62">
        <v>0.0</v>
      </c>
      <c r="W82" s="62">
        <v>0.0</v>
      </c>
      <c r="X82" s="62">
        <v>0.0</v>
      </c>
      <c r="Y82" s="62">
        <v>0.0</v>
      </c>
      <c r="Z82" s="62">
        <v>0.0</v>
      </c>
      <c r="AA82" s="62">
        <v>0.0</v>
      </c>
      <c r="AB82" s="62">
        <v>0.0</v>
      </c>
      <c r="AC82" s="62">
        <v>0.0</v>
      </c>
      <c r="AD82" s="62">
        <v>0.0</v>
      </c>
      <c r="AE82" s="62">
        <v>0.0</v>
      </c>
      <c r="AF82" s="62">
        <v>55.0</v>
      </c>
      <c r="AG82" s="62">
        <v>0.0</v>
      </c>
      <c r="AH82" s="62">
        <v>0.0</v>
      </c>
      <c r="AI82" s="62">
        <v>262.0</v>
      </c>
      <c r="AJ82" s="62">
        <v>116.0</v>
      </c>
      <c r="AK82" s="62">
        <v>72.0</v>
      </c>
      <c r="AL82" s="62">
        <v>63.0</v>
      </c>
      <c r="AM82" s="62">
        <v>0.0</v>
      </c>
      <c r="AN82" s="62">
        <v>0.0</v>
      </c>
      <c r="AO82" s="62">
        <v>0.0</v>
      </c>
      <c r="AP82" s="62">
        <v>0.0</v>
      </c>
      <c r="AQ82" s="62">
        <v>0.0</v>
      </c>
      <c r="AR82" s="62">
        <v>0.0</v>
      </c>
      <c r="AS82" s="62">
        <v>0.0</v>
      </c>
      <c r="AT82" s="62">
        <v>0.0</v>
      </c>
      <c r="AU82" s="62">
        <v>0.0</v>
      </c>
      <c r="AV82" s="62">
        <v>0.0</v>
      </c>
      <c r="AW82" s="62">
        <v>0.0</v>
      </c>
      <c r="AX82" s="62">
        <v>0.0</v>
      </c>
      <c r="AY82" s="62">
        <v>0.0</v>
      </c>
      <c r="AZ82" s="62">
        <v>0.0</v>
      </c>
      <c r="BA82" s="62">
        <v>0.0</v>
      </c>
      <c r="BB82" s="62">
        <v>0.0</v>
      </c>
      <c r="BC82" s="62">
        <v>0.0</v>
      </c>
      <c r="BD82" s="62">
        <v>0.0</v>
      </c>
      <c r="BE82" s="62">
        <v>0.0</v>
      </c>
      <c r="BF82" s="62">
        <v>0.0</v>
      </c>
      <c r="BG82" s="62">
        <v>0.0</v>
      </c>
      <c r="BH82" s="62">
        <v>0.0</v>
      </c>
      <c r="BI82" s="62">
        <v>0.0</v>
      </c>
      <c r="BJ82" s="62">
        <v>0.0</v>
      </c>
      <c r="BK82" s="62">
        <v>0.0</v>
      </c>
      <c r="BL82" s="62">
        <v>0.0</v>
      </c>
      <c r="BM82" s="62">
        <v>0.0</v>
      </c>
      <c r="BN82" s="62">
        <v>0.0</v>
      </c>
      <c r="BO82" s="62">
        <v>0.0</v>
      </c>
      <c r="BP82" s="62">
        <v>0.0</v>
      </c>
      <c r="BQ82" s="62">
        <v>0.0</v>
      </c>
      <c r="BR82" s="62">
        <v>0.0</v>
      </c>
      <c r="BS82" s="62">
        <v>0.0</v>
      </c>
      <c r="BT82" s="62">
        <v>0.0</v>
      </c>
      <c r="BU82" s="62">
        <v>0.0</v>
      </c>
      <c r="BV82" s="62">
        <v>0.0</v>
      </c>
      <c r="BW82" s="62">
        <v>0.0</v>
      </c>
      <c r="BX82" s="62">
        <v>0.0</v>
      </c>
      <c r="BY82" s="62">
        <v>0.0</v>
      </c>
      <c r="BZ82" s="62">
        <v>0.0</v>
      </c>
      <c r="CA82" s="62">
        <v>1.2802266E7</v>
      </c>
      <c r="CB82" s="62">
        <v>4.1049318E7</v>
      </c>
      <c r="CC82" s="62">
        <v>8168712.0</v>
      </c>
      <c r="CD82" s="62">
        <v>1.0718792E7</v>
      </c>
      <c r="CE82" s="62">
        <v>1.2958662E7</v>
      </c>
      <c r="CF82" s="62">
        <v>9173515.0</v>
      </c>
      <c r="CG82" s="62">
        <v>1544.0</v>
      </c>
      <c r="CH82" s="62">
        <v>132641.0</v>
      </c>
      <c r="CI82" s="62">
        <v>119892.0</v>
      </c>
      <c r="CJ82" s="62">
        <v>0.0</v>
      </c>
      <c r="CK82" s="62">
        <v>0.0</v>
      </c>
      <c r="CL82" s="62">
        <v>0.0</v>
      </c>
      <c r="CM82" s="62">
        <v>0.0</v>
      </c>
      <c r="CN82" s="62">
        <v>0.0</v>
      </c>
      <c r="CO82" s="62">
        <v>163.0</v>
      </c>
      <c r="CP82" s="62">
        <v>792.0</v>
      </c>
      <c r="CQ82" s="62">
        <v>234.0</v>
      </c>
      <c r="CR82" s="62">
        <v>4996.0</v>
      </c>
      <c r="CS82" s="62">
        <v>0.0</v>
      </c>
      <c r="CT82" s="62">
        <v>0.0</v>
      </c>
      <c r="CU82" s="62">
        <v>0.0</v>
      </c>
      <c r="CV82" s="62">
        <v>0.0</v>
      </c>
      <c r="CW82" s="62">
        <v>0.0</v>
      </c>
      <c r="CX82" s="62">
        <v>0.0</v>
      </c>
      <c r="CY82" s="62">
        <v>0.0</v>
      </c>
      <c r="CZ82" s="62">
        <v>0.0</v>
      </c>
      <c r="DA82" s="62">
        <v>0.0</v>
      </c>
      <c r="DB82" s="62">
        <v>0.0</v>
      </c>
      <c r="DC82" s="62">
        <v>0.0</v>
      </c>
      <c r="DD82" s="62">
        <v>0.0</v>
      </c>
      <c r="DE82" s="62">
        <v>3178.0</v>
      </c>
      <c r="DF82" s="62">
        <v>5.0</v>
      </c>
      <c r="DG82" s="62">
        <v>83.0</v>
      </c>
      <c r="DH82" s="62">
        <v>5277.0</v>
      </c>
      <c r="DI82" s="62">
        <v>5.0</v>
      </c>
      <c r="DJ82" s="62">
        <v>1264.0</v>
      </c>
      <c r="DK82" s="62">
        <v>396.0</v>
      </c>
      <c r="DL82" s="62">
        <v>27177.0</v>
      </c>
      <c r="DM82" s="62">
        <v>0.0</v>
      </c>
      <c r="DN82" s="62">
        <v>0.0</v>
      </c>
      <c r="DO82" s="62">
        <v>0.0</v>
      </c>
      <c r="DP82" s="62">
        <v>0.0</v>
      </c>
      <c r="DQ82" s="62">
        <v>0.0</v>
      </c>
      <c r="DR82" s="62">
        <v>13518.0</v>
      </c>
      <c r="DS82" s="62">
        <v>3852.0</v>
      </c>
      <c r="DT82" s="62">
        <v>884.0</v>
      </c>
      <c r="DU82" s="62">
        <v>0.0</v>
      </c>
      <c r="DV82" s="62">
        <v>0.0</v>
      </c>
      <c r="DW82" s="62">
        <v>0.0</v>
      </c>
      <c r="DX82" s="62">
        <v>0.0</v>
      </c>
      <c r="DY82" s="62">
        <v>0.0</v>
      </c>
      <c r="DZ82" s="62">
        <v>122.0</v>
      </c>
      <c r="EA82" s="62">
        <v>102.0</v>
      </c>
      <c r="EB82" s="62">
        <v>13.0</v>
      </c>
      <c r="EC82" s="62">
        <v>152.0</v>
      </c>
      <c r="ED82" s="62">
        <v>954.0</v>
      </c>
      <c r="EE82" s="62">
        <v>0.0</v>
      </c>
      <c r="EF82" s="62">
        <v>332.0</v>
      </c>
      <c r="EG82" s="62">
        <v>2695.0</v>
      </c>
      <c r="EH82" s="62">
        <v>8515.0</v>
      </c>
      <c r="EI82" s="62">
        <v>625481.0</v>
      </c>
      <c r="EJ82" s="62">
        <v>2814.0</v>
      </c>
      <c r="EK82" s="62">
        <v>37259.0</v>
      </c>
      <c r="EL82" s="62">
        <v>38653.0</v>
      </c>
      <c r="EM82" s="62">
        <v>0.0</v>
      </c>
      <c r="EN82" s="62">
        <v>196.0</v>
      </c>
      <c r="EO82" s="62">
        <v>0.0</v>
      </c>
      <c r="EP82" s="62">
        <v>0.0</v>
      </c>
      <c r="EQ82" s="62">
        <v>0.0</v>
      </c>
      <c r="ER82" s="62">
        <v>0.0</v>
      </c>
      <c r="ES82" s="62">
        <v>0.0</v>
      </c>
      <c r="ET82" s="62">
        <v>0.0</v>
      </c>
      <c r="EU82" s="62">
        <v>49553.0</v>
      </c>
      <c r="EV82" s="62">
        <v>2.0</v>
      </c>
      <c r="EW82" s="62">
        <v>169.0</v>
      </c>
      <c r="EX82" s="62">
        <v>82.0</v>
      </c>
      <c r="EY82" s="62">
        <v>1.0</v>
      </c>
      <c r="EZ82" s="62">
        <v>0.0</v>
      </c>
      <c r="FA82" s="62">
        <v>0.0</v>
      </c>
      <c r="FB82" s="62">
        <v>0.0</v>
      </c>
      <c r="FC82" s="62">
        <v>0.0</v>
      </c>
      <c r="FD82" s="62">
        <v>0.0</v>
      </c>
      <c r="FE82" s="62">
        <v>0.0</v>
      </c>
      <c r="FF82" s="62">
        <v>0.0</v>
      </c>
      <c r="FG82" s="62">
        <v>0.0</v>
      </c>
      <c r="FH82" s="62">
        <v>0.0</v>
      </c>
      <c r="FI82" s="62">
        <v>0.0</v>
      </c>
      <c r="FJ82" s="62">
        <v>0.0</v>
      </c>
      <c r="FK82" s="62">
        <v>0.0</v>
      </c>
      <c r="FL82" s="62">
        <v>109.0</v>
      </c>
      <c r="FM82" s="62">
        <v>0.0</v>
      </c>
      <c r="FN82" s="62">
        <v>0.0</v>
      </c>
      <c r="FO82" s="62">
        <v>0.0</v>
      </c>
      <c r="FP82" s="62">
        <v>0.0</v>
      </c>
      <c r="FQ82" s="62">
        <v>0.0</v>
      </c>
      <c r="FR82" s="62">
        <v>0.0</v>
      </c>
      <c r="FS82" s="62">
        <v>0.0</v>
      </c>
      <c r="FT82" s="62">
        <v>0.0</v>
      </c>
      <c r="FU82" s="62">
        <v>0.0</v>
      </c>
      <c r="FV82" s="62">
        <v>0.0</v>
      </c>
      <c r="FW82" s="62">
        <v>5.0</v>
      </c>
      <c r="FX82" s="62">
        <v>3.0</v>
      </c>
      <c r="FY82" s="62">
        <v>111.0</v>
      </c>
      <c r="FZ82" s="62">
        <v>0.0</v>
      </c>
      <c r="GA82" s="62">
        <v>82286.0</v>
      </c>
      <c r="GB82" s="62">
        <v>1023.0</v>
      </c>
      <c r="GC82" s="62">
        <v>0.0</v>
      </c>
      <c r="GD82" s="62">
        <v>109997.0</v>
      </c>
      <c r="GE82" s="62">
        <v>0.0</v>
      </c>
      <c r="GF82" s="63">
        <v>9.6148363E7</v>
      </c>
      <c r="GG82" s="64">
        <v>618824.0</v>
      </c>
      <c r="GH82" s="65">
        <v>0.0</v>
      </c>
      <c r="GI82" s="64">
        <v>0.0</v>
      </c>
      <c r="GJ82" s="64">
        <v>0.0</v>
      </c>
      <c r="GK82" s="64">
        <v>442376.0</v>
      </c>
      <c r="GL82" s="64">
        <v>1.9093655E7</v>
      </c>
      <c r="GM82" s="64">
        <v>0.0</v>
      </c>
      <c r="GN82" s="63">
        <v>2.0154855E7</v>
      </c>
      <c r="GO82" s="66">
        <v>1.16303218E8</v>
      </c>
      <c r="GP82" s="64">
        <v>3552689.0</v>
      </c>
      <c r="GQ82" s="64">
        <v>0.0</v>
      </c>
      <c r="GR82" s="65">
        <v>0.0</v>
      </c>
      <c r="GS82" s="63">
        <v>3552689.0</v>
      </c>
      <c r="GT82" s="67">
        <v>4250594.0</v>
      </c>
      <c r="GU82" s="67">
        <v>4946122.0</v>
      </c>
      <c r="GV82" s="67">
        <v>1031319.0</v>
      </c>
      <c r="GW82" s="63">
        <v>1.0228035E7</v>
      </c>
      <c r="GX82" s="63">
        <v>187916.0</v>
      </c>
      <c r="GY82" s="63">
        <v>1.02334578E8</v>
      </c>
      <c r="GZ82" s="66">
        <v>1.16303218E8</v>
      </c>
    </row>
    <row r="83" ht="15.75" customHeight="1">
      <c r="A83" s="60">
        <v>78.0</v>
      </c>
      <c r="B83" s="61" t="s">
        <v>123</v>
      </c>
      <c r="C83" s="62">
        <v>0.0</v>
      </c>
      <c r="D83" s="62">
        <v>0.0</v>
      </c>
      <c r="E83" s="62">
        <v>0.0</v>
      </c>
      <c r="F83" s="62">
        <v>0.0</v>
      </c>
      <c r="G83" s="62">
        <v>0.0</v>
      </c>
      <c r="H83" s="62">
        <v>0.0</v>
      </c>
      <c r="I83" s="62">
        <v>0.0</v>
      </c>
      <c r="J83" s="62">
        <v>0.0</v>
      </c>
      <c r="K83" s="62">
        <v>0.0</v>
      </c>
      <c r="L83" s="62">
        <v>0.0</v>
      </c>
      <c r="M83" s="62">
        <v>0.0</v>
      </c>
      <c r="N83" s="62">
        <v>0.0</v>
      </c>
      <c r="O83" s="62">
        <v>0.0</v>
      </c>
      <c r="P83" s="62">
        <v>0.0</v>
      </c>
      <c r="Q83" s="62">
        <v>0.0</v>
      </c>
      <c r="R83" s="62">
        <v>0.0</v>
      </c>
      <c r="S83" s="62">
        <v>0.0</v>
      </c>
      <c r="T83" s="62">
        <v>0.0</v>
      </c>
      <c r="U83" s="62">
        <v>0.0</v>
      </c>
      <c r="V83" s="62">
        <v>0.0</v>
      </c>
      <c r="W83" s="62">
        <v>0.0</v>
      </c>
      <c r="X83" s="62">
        <v>0.0</v>
      </c>
      <c r="Y83" s="62">
        <v>0.0</v>
      </c>
      <c r="Z83" s="62">
        <v>0.0</v>
      </c>
      <c r="AA83" s="62">
        <v>0.0</v>
      </c>
      <c r="AB83" s="62">
        <v>0.0</v>
      </c>
      <c r="AC83" s="62">
        <v>0.0</v>
      </c>
      <c r="AD83" s="62">
        <v>0.0</v>
      </c>
      <c r="AE83" s="62">
        <v>0.0</v>
      </c>
      <c r="AF83" s="62">
        <v>751.0</v>
      </c>
      <c r="AG83" s="62">
        <v>28244.0</v>
      </c>
      <c r="AH83" s="62">
        <v>8075.0</v>
      </c>
      <c r="AI83" s="62">
        <v>262.0</v>
      </c>
      <c r="AJ83" s="62">
        <v>121.0</v>
      </c>
      <c r="AK83" s="62">
        <v>87.0</v>
      </c>
      <c r="AL83" s="62">
        <v>59.0</v>
      </c>
      <c r="AM83" s="62">
        <v>0.0</v>
      </c>
      <c r="AN83" s="62">
        <v>0.0</v>
      </c>
      <c r="AO83" s="62">
        <v>0.0</v>
      </c>
      <c r="AP83" s="62">
        <v>0.0</v>
      </c>
      <c r="AQ83" s="62">
        <v>0.0</v>
      </c>
      <c r="AR83" s="62">
        <v>0.0</v>
      </c>
      <c r="AS83" s="62">
        <v>0.0</v>
      </c>
      <c r="AT83" s="62">
        <v>0.0</v>
      </c>
      <c r="AU83" s="62">
        <v>0.0</v>
      </c>
      <c r="AV83" s="62">
        <v>0.0</v>
      </c>
      <c r="AW83" s="62">
        <v>0.0</v>
      </c>
      <c r="AX83" s="62">
        <v>0.0</v>
      </c>
      <c r="AY83" s="62">
        <v>0.0</v>
      </c>
      <c r="AZ83" s="62">
        <v>0.0</v>
      </c>
      <c r="BA83" s="62">
        <v>0.0</v>
      </c>
      <c r="BB83" s="62">
        <v>0.0</v>
      </c>
      <c r="BC83" s="62">
        <v>0.0</v>
      </c>
      <c r="BD83" s="62">
        <v>6.0</v>
      </c>
      <c r="BE83" s="62">
        <v>0.0</v>
      </c>
      <c r="BF83" s="62">
        <v>0.0</v>
      </c>
      <c r="BG83" s="62">
        <v>0.0</v>
      </c>
      <c r="BH83" s="62">
        <v>1435.0</v>
      </c>
      <c r="BI83" s="62">
        <v>0.0</v>
      </c>
      <c r="BJ83" s="62">
        <v>8203.0</v>
      </c>
      <c r="BK83" s="62">
        <v>0.0</v>
      </c>
      <c r="BL83" s="62">
        <v>0.0</v>
      </c>
      <c r="BM83" s="62">
        <v>0.0</v>
      </c>
      <c r="BN83" s="62">
        <v>0.0</v>
      </c>
      <c r="BO83" s="62">
        <v>0.0</v>
      </c>
      <c r="BP83" s="62">
        <v>0.0</v>
      </c>
      <c r="BQ83" s="62">
        <v>0.0</v>
      </c>
      <c r="BR83" s="62">
        <v>0.0</v>
      </c>
      <c r="BS83" s="62">
        <v>0.0</v>
      </c>
      <c r="BT83" s="62">
        <v>0.0</v>
      </c>
      <c r="BU83" s="62">
        <v>47273.0</v>
      </c>
      <c r="BV83" s="62">
        <v>0.0</v>
      </c>
      <c r="BW83" s="62">
        <v>371.0</v>
      </c>
      <c r="BX83" s="62">
        <v>0.0</v>
      </c>
      <c r="BY83" s="62">
        <v>0.0</v>
      </c>
      <c r="BZ83" s="62">
        <v>0.0</v>
      </c>
      <c r="CA83" s="62">
        <v>2133707.0</v>
      </c>
      <c r="CB83" s="62">
        <v>3.0028311E7</v>
      </c>
      <c r="CC83" s="62">
        <v>2077094.0</v>
      </c>
      <c r="CD83" s="62">
        <v>3244496.0</v>
      </c>
      <c r="CE83" s="62">
        <v>7612030.0</v>
      </c>
      <c r="CF83" s="62">
        <v>9.871365E7</v>
      </c>
      <c r="CG83" s="62">
        <v>33011.0</v>
      </c>
      <c r="CH83" s="62">
        <v>451814.0</v>
      </c>
      <c r="CI83" s="62">
        <v>841093.0</v>
      </c>
      <c r="CJ83" s="62">
        <v>37190.0</v>
      </c>
      <c r="CK83" s="62">
        <v>148818.0</v>
      </c>
      <c r="CL83" s="62">
        <v>80009.0</v>
      </c>
      <c r="CM83" s="62">
        <v>39783.0</v>
      </c>
      <c r="CN83" s="62">
        <v>30949.0</v>
      </c>
      <c r="CO83" s="62">
        <v>12462.0</v>
      </c>
      <c r="CP83" s="62">
        <v>28596.0</v>
      </c>
      <c r="CQ83" s="62">
        <v>299078.0</v>
      </c>
      <c r="CR83" s="62">
        <v>934.0</v>
      </c>
      <c r="CS83" s="62">
        <v>0.0</v>
      </c>
      <c r="CT83" s="62">
        <v>0.0</v>
      </c>
      <c r="CU83" s="62">
        <v>0.0</v>
      </c>
      <c r="CV83" s="62">
        <v>0.0</v>
      </c>
      <c r="CW83" s="62">
        <v>0.0</v>
      </c>
      <c r="CX83" s="62">
        <v>0.0</v>
      </c>
      <c r="CY83" s="62">
        <v>0.0</v>
      </c>
      <c r="CZ83" s="62">
        <v>0.0</v>
      </c>
      <c r="DA83" s="62">
        <v>0.0</v>
      </c>
      <c r="DB83" s="62">
        <v>0.0</v>
      </c>
      <c r="DC83" s="62">
        <v>0.0</v>
      </c>
      <c r="DD83" s="62">
        <v>0.0</v>
      </c>
      <c r="DE83" s="62">
        <v>137.0</v>
      </c>
      <c r="DF83" s="62">
        <v>1013.0</v>
      </c>
      <c r="DG83" s="62">
        <v>5840.0</v>
      </c>
      <c r="DH83" s="62">
        <v>23878.0</v>
      </c>
      <c r="DI83" s="62">
        <v>2551.0</v>
      </c>
      <c r="DJ83" s="62">
        <v>15.0</v>
      </c>
      <c r="DK83" s="62">
        <v>106.0</v>
      </c>
      <c r="DL83" s="62">
        <v>146.0</v>
      </c>
      <c r="DM83" s="62">
        <v>0.0</v>
      </c>
      <c r="DN83" s="62">
        <v>136.0</v>
      </c>
      <c r="DO83" s="62">
        <v>19.0</v>
      </c>
      <c r="DP83" s="62">
        <v>0.0</v>
      </c>
      <c r="DQ83" s="62">
        <v>3255.0</v>
      </c>
      <c r="DR83" s="62">
        <v>21623.0</v>
      </c>
      <c r="DS83" s="62">
        <v>458.0</v>
      </c>
      <c r="DT83" s="62">
        <v>0.0</v>
      </c>
      <c r="DU83" s="62">
        <v>0.0</v>
      </c>
      <c r="DV83" s="62">
        <v>0.0</v>
      </c>
      <c r="DW83" s="62">
        <v>0.0</v>
      </c>
      <c r="DX83" s="62">
        <v>92.0</v>
      </c>
      <c r="DY83" s="62">
        <v>55.0</v>
      </c>
      <c r="DZ83" s="62">
        <v>19387.0</v>
      </c>
      <c r="EA83" s="62">
        <v>0.0</v>
      </c>
      <c r="EB83" s="62">
        <v>0.0</v>
      </c>
      <c r="EC83" s="62">
        <v>0.0</v>
      </c>
      <c r="ED83" s="62">
        <v>4843.0</v>
      </c>
      <c r="EE83" s="62">
        <v>0.0</v>
      </c>
      <c r="EF83" s="62">
        <v>0.0</v>
      </c>
      <c r="EG83" s="62">
        <v>32384.0</v>
      </c>
      <c r="EH83" s="62">
        <v>7242.0</v>
      </c>
      <c r="EI83" s="62">
        <v>1605978.0</v>
      </c>
      <c r="EJ83" s="62">
        <v>175983.0</v>
      </c>
      <c r="EK83" s="62">
        <v>147981.0</v>
      </c>
      <c r="EL83" s="62">
        <v>166030.0</v>
      </c>
      <c r="EM83" s="62">
        <v>20226.0</v>
      </c>
      <c r="EN83" s="62">
        <v>372.0</v>
      </c>
      <c r="EO83" s="62">
        <v>100189.0</v>
      </c>
      <c r="EP83" s="62">
        <v>57138.0</v>
      </c>
      <c r="EQ83" s="62">
        <v>3882.0</v>
      </c>
      <c r="ER83" s="62">
        <v>0.0</v>
      </c>
      <c r="ES83" s="62">
        <v>25609.0</v>
      </c>
      <c r="ET83" s="62">
        <v>91785.0</v>
      </c>
      <c r="EU83" s="62">
        <v>43.0</v>
      </c>
      <c r="EV83" s="62">
        <v>16.0</v>
      </c>
      <c r="EW83" s="62">
        <v>0.0</v>
      </c>
      <c r="EX83" s="62">
        <v>0.0</v>
      </c>
      <c r="EY83" s="62">
        <v>0.0</v>
      </c>
      <c r="EZ83" s="62">
        <v>0.0</v>
      </c>
      <c r="FA83" s="62">
        <v>0.0</v>
      </c>
      <c r="FB83" s="62">
        <v>0.0</v>
      </c>
      <c r="FC83" s="62">
        <v>0.0</v>
      </c>
      <c r="FD83" s="62">
        <v>0.0</v>
      </c>
      <c r="FE83" s="62">
        <v>0.0</v>
      </c>
      <c r="FF83" s="62">
        <v>0.0</v>
      </c>
      <c r="FG83" s="62">
        <v>2130868.0</v>
      </c>
      <c r="FH83" s="62">
        <v>1578125.0</v>
      </c>
      <c r="FI83" s="62">
        <v>4455.0</v>
      </c>
      <c r="FJ83" s="62">
        <v>72731.0</v>
      </c>
      <c r="FK83" s="62">
        <v>16455.0</v>
      </c>
      <c r="FL83" s="62">
        <v>3165.0</v>
      </c>
      <c r="FM83" s="62">
        <v>42.0</v>
      </c>
      <c r="FN83" s="62">
        <v>0.0</v>
      </c>
      <c r="FO83" s="62">
        <v>0.0</v>
      </c>
      <c r="FP83" s="62">
        <v>297603.0</v>
      </c>
      <c r="FQ83" s="62">
        <v>161.0</v>
      </c>
      <c r="FR83" s="62">
        <v>0.0</v>
      </c>
      <c r="FS83" s="62">
        <v>39073.0</v>
      </c>
      <c r="FT83" s="62">
        <v>33098.0</v>
      </c>
      <c r="FU83" s="62">
        <v>2705.0</v>
      </c>
      <c r="FV83" s="62">
        <v>7641.0</v>
      </c>
      <c r="FW83" s="62">
        <v>14802.0</v>
      </c>
      <c r="FX83" s="62">
        <v>6048.0</v>
      </c>
      <c r="FY83" s="62">
        <v>30853.0</v>
      </c>
      <c r="FZ83" s="62">
        <v>82.0</v>
      </c>
      <c r="GA83" s="62">
        <v>33674.0</v>
      </c>
      <c r="GB83" s="62">
        <v>19766.0</v>
      </c>
      <c r="GC83" s="62">
        <v>25476.0</v>
      </c>
      <c r="GD83" s="62">
        <v>205711.0</v>
      </c>
      <c r="GE83" s="62">
        <v>197254.0</v>
      </c>
      <c r="GF83" s="63">
        <v>1.53146112E8</v>
      </c>
      <c r="GG83" s="64">
        <v>1.0362828E7</v>
      </c>
      <c r="GH83" s="65">
        <v>0.0</v>
      </c>
      <c r="GI83" s="64">
        <v>0.0</v>
      </c>
      <c r="GJ83" s="64">
        <v>0.0</v>
      </c>
      <c r="GK83" s="64">
        <v>7157585.0</v>
      </c>
      <c r="GL83" s="64">
        <v>8925399.0</v>
      </c>
      <c r="GM83" s="64">
        <v>0.0</v>
      </c>
      <c r="GN83" s="63">
        <v>2.6445812E7</v>
      </c>
      <c r="GO83" s="66">
        <v>1.79591924E8</v>
      </c>
      <c r="GP83" s="64">
        <v>2.8541812E7</v>
      </c>
      <c r="GQ83" s="64">
        <v>0.0</v>
      </c>
      <c r="GR83" s="65">
        <v>0.0</v>
      </c>
      <c r="GS83" s="63">
        <v>2.8541812E7</v>
      </c>
      <c r="GT83" s="67">
        <v>1.0033615E7</v>
      </c>
      <c r="GU83" s="67">
        <v>1.2699135E7</v>
      </c>
      <c r="GV83" s="67">
        <v>4546264.0</v>
      </c>
      <c r="GW83" s="63">
        <v>2.7279014E7</v>
      </c>
      <c r="GX83" s="63">
        <v>912530.0</v>
      </c>
      <c r="GY83" s="63">
        <v>1.22858568E8</v>
      </c>
      <c r="GZ83" s="66">
        <v>1.79591924E8</v>
      </c>
    </row>
    <row r="84" ht="15.75" customHeight="1">
      <c r="A84" s="60">
        <v>79.0</v>
      </c>
      <c r="B84" s="61" t="s">
        <v>124</v>
      </c>
      <c r="C84" s="62">
        <v>0.0</v>
      </c>
      <c r="D84" s="62">
        <v>0.0</v>
      </c>
      <c r="E84" s="62">
        <v>0.0</v>
      </c>
      <c r="F84" s="62">
        <v>0.0</v>
      </c>
      <c r="G84" s="62">
        <v>0.0</v>
      </c>
      <c r="H84" s="62">
        <v>0.0</v>
      </c>
      <c r="I84" s="62">
        <v>0.0</v>
      </c>
      <c r="J84" s="62">
        <v>0.0</v>
      </c>
      <c r="K84" s="62">
        <v>0.0</v>
      </c>
      <c r="L84" s="62">
        <v>0.0</v>
      </c>
      <c r="M84" s="62">
        <v>549.0</v>
      </c>
      <c r="N84" s="62">
        <v>279.0</v>
      </c>
      <c r="O84" s="62">
        <v>428.0</v>
      </c>
      <c r="P84" s="62">
        <v>87.0</v>
      </c>
      <c r="Q84" s="62">
        <v>385.0</v>
      </c>
      <c r="R84" s="62">
        <v>0.0</v>
      </c>
      <c r="S84" s="62">
        <v>99.0</v>
      </c>
      <c r="T84" s="62">
        <v>3405.0</v>
      </c>
      <c r="U84" s="62">
        <v>144.0</v>
      </c>
      <c r="V84" s="62">
        <v>216.0</v>
      </c>
      <c r="W84" s="62">
        <v>8.0</v>
      </c>
      <c r="X84" s="62">
        <v>239.0</v>
      </c>
      <c r="Y84" s="62">
        <v>91.0</v>
      </c>
      <c r="Z84" s="62">
        <v>123.0</v>
      </c>
      <c r="AA84" s="62">
        <v>298.0</v>
      </c>
      <c r="AB84" s="62">
        <v>252.0</v>
      </c>
      <c r="AC84" s="62">
        <v>152.0</v>
      </c>
      <c r="AD84" s="62">
        <v>10.0</v>
      </c>
      <c r="AE84" s="62">
        <v>48.0</v>
      </c>
      <c r="AF84" s="62">
        <v>25013.0</v>
      </c>
      <c r="AG84" s="62">
        <v>9001.0</v>
      </c>
      <c r="AH84" s="62">
        <v>1775.0</v>
      </c>
      <c r="AI84" s="62">
        <v>15040.0</v>
      </c>
      <c r="AJ84" s="62">
        <v>152.0</v>
      </c>
      <c r="AK84" s="62">
        <v>80.0</v>
      </c>
      <c r="AL84" s="62">
        <v>1643.0</v>
      </c>
      <c r="AM84" s="62">
        <v>100.0</v>
      </c>
      <c r="AN84" s="62">
        <v>3.0</v>
      </c>
      <c r="AO84" s="62">
        <v>7.0</v>
      </c>
      <c r="AP84" s="62">
        <v>13.0</v>
      </c>
      <c r="AQ84" s="62">
        <v>368.0</v>
      </c>
      <c r="AR84" s="62">
        <v>11.0</v>
      </c>
      <c r="AS84" s="62">
        <v>67.0</v>
      </c>
      <c r="AT84" s="62">
        <v>171.0</v>
      </c>
      <c r="AU84" s="62">
        <v>99.0</v>
      </c>
      <c r="AV84" s="62">
        <v>1373.0</v>
      </c>
      <c r="AW84" s="62">
        <v>146.0</v>
      </c>
      <c r="AX84" s="62">
        <v>12498.0</v>
      </c>
      <c r="AY84" s="62">
        <v>65.0</v>
      </c>
      <c r="AZ84" s="62">
        <v>150.0</v>
      </c>
      <c r="BA84" s="62">
        <v>0.0</v>
      </c>
      <c r="BB84" s="62">
        <v>0.0</v>
      </c>
      <c r="BC84" s="62">
        <v>2576.0</v>
      </c>
      <c r="BD84" s="62">
        <v>141.0</v>
      </c>
      <c r="BE84" s="62">
        <v>1748.0</v>
      </c>
      <c r="BF84" s="62">
        <v>5645.0</v>
      </c>
      <c r="BG84" s="62">
        <v>5725.0</v>
      </c>
      <c r="BH84" s="62">
        <v>5455.0</v>
      </c>
      <c r="BI84" s="62">
        <v>2401.0</v>
      </c>
      <c r="BJ84" s="62">
        <v>32606.0</v>
      </c>
      <c r="BK84" s="62">
        <v>1831.0</v>
      </c>
      <c r="BL84" s="62">
        <v>119.0</v>
      </c>
      <c r="BM84" s="62">
        <v>24.0</v>
      </c>
      <c r="BN84" s="62">
        <v>84.0</v>
      </c>
      <c r="BO84" s="62">
        <v>4007.0</v>
      </c>
      <c r="BP84" s="62">
        <v>0.0</v>
      </c>
      <c r="BQ84" s="62">
        <v>0.0</v>
      </c>
      <c r="BR84" s="62">
        <v>0.0</v>
      </c>
      <c r="BS84" s="62">
        <v>0.0</v>
      </c>
      <c r="BT84" s="62">
        <v>21902.0</v>
      </c>
      <c r="BU84" s="62">
        <v>1779.0</v>
      </c>
      <c r="BV84" s="62">
        <v>7999.0</v>
      </c>
      <c r="BW84" s="62">
        <v>435.0</v>
      </c>
      <c r="BX84" s="62">
        <v>1437.0</v>
      </c>
      <c r="BY84" s="62">
        <v>14957.0</v>
      </c>
      <c r="BZ84" s="62">
        <v>275.0</v>
      </c>
      <c r="CA84" s="62">
        <v>84638.0</v>
      </c>
      <c r="CB84" s="62">
        <v>22994.0</v>
      </c>
      <c r="CC84" s="62">
        <v>38451.0</v>
      </c>
      <c r="CD84" s="62">
        <v>1656.0</v>
      </c>
      <c r="CE84" s="62">
        <v>10874.0</v>
      </c>
      <c r="CF84" s="62">
        <v>21066.0</v>
      </c>
      <c r="CG84" s="62">
        <v>79.0</v>
      </c>
      <c r="CH84" s="62">
        <v>7528.0</v>
      </c>
      <c r="CI84" s="62">
        <v>182546.0</v>
      </c>
      <c r="CJ84" s="62">
        <v>19174.0</v>
      </c>
      <c r="CK84" s="62">
        <v>40296.0</v>
      </c>
      <c r="CL84" s="62">
        <v>31661.0</v>
      </c>
      <c r="CM84" s="62">
        <v>3013.0</v>
      </c>
      <c r="CN84" s="62">
        <v>88.0</v>
      </c>
      <c r="CO84" s="62">
        <v>141.0</v>
      </c>
      <c r="CP84" s="62">
        <v>726.0</v>
      </c>
      <c r="CQ84" s="62">
        <v>1402.0</v>
      </c>
      <c r="CR84" s="62">
        <v>7393.0</v>
      </c>
      <c r="CS84" s="62">
        <v>0.0</v>
      </c>
      <c r="CT84" s="62">
        <v>71582.0</v>
      </c>
      <c r="CU84" s="62">
        <v>16901.0</v>
      </c>
      <c r="CV84" s="62">
        <v>43141.0</v>
      </c>
      <c r="CW84" s="62">
        <v>8126.0</v>
      </c>
      <c r="CX84" s="62">
        <v>0.0</v>
      </c>
      <c r="CY84" s="62">
        <v>0.0</v>
      </c>
      <c r="CZ84" s="62">
        <v>0.0</v>
      </c>
      <c r="DA84" s="62">
        <v>0.0</v>
      </c>
      <c r="DB84" s="62">
        <v>25841.0</v>
      </c>
      <c r="DC84" s="62">
        <v>0.0</v>
      </c>
      <c r="DD84" s="62">
        <v>9181.0</v>
      </c>
      <c r="DE84" s="62">
        <v>1010.0</v>
      </c>
      <c r="DF84" s="62">
        <v>4470.0</v>
      </c>
      <c r="DG84" s="62">
        <v>2338.0</v>
      </c>
      <c r="DH84" s="62">
        <v>52765.0</v>
      </c>
      <c r="DI84" s="62">
        <v>18782.0</v>
      </c>
      <c r="DJ84" s="62">
        <v>10566.0</v>
      </c>
      <c r="DK84" s="62">
        <v>7133.0</v>
      </c>
      <c r="DL84" s="62">
        <v>477.0</v>
      </c>
      <c r="DM84" s="62">
        <v>2659.0</v>
      </c>
      <c r="DN84" s="62">
        <v>4477.0</v>
      </c>
      <c r="DO84" s="62">
        <v>29.0</v>
      </c>
      <c r="DP84" s="62">
        <v>6014.0</v>
      </c>
      <c r="DQ84" s="62">
        <v>786.0</v>
      </c>
      <c r="DR84" s="62">
        <v>2545.0</v>
      </c>
      <c r="DS84" s="62">
        <v>964.0</v>
      </c>
      <c r="DT84" s="62">
        <v>2309.0</v>
      </c>
      <c r="DU84" s="62">
        <v>62.0</v>
      </c>
      <c r="DV84" s="62">
        <v>81.0</v>
      </c>
      <c r="DW84" s="62">
        <v>63.0</v>
      </c>
      <c r="DX84" s="62">
        <v>1095.0</v>
      </c>
      <c r="DY84" s="62">
        <v>398.0</v>
      </c>
      <c r="DZ84" s="62">
        <v>1207.0</v>
      </c>
      <c r="EA84" s="62">
        <v>0.0</v>
      </c>
      <c r="EB84" s="62">
        <v>6.0</v>
      </c>
      <c r="EC84" s="62">
        <v>40068.0</v>
      </c>
      <c r="ED84" s="62">
        <v>13409.0</v>
      </c>
      <c r="EE84" s="62">
        <v>9455.0</v>
      </c>
      <c r="EF84" s="62">
        <v>323.0</v>
      </c>
      <c r="EG84" s="62">
        <v>10438.0</v>
      </c>
      <c r="EH84" s="62">
        <v>27682.0</v>
      </c>
      <c r="EI84" s="62">
        <v>122310.0</v>
      </c>
      <c r="EJ84" s="62">
        <v>6069.0</v>
      </c>
      <c r="EK84" s="62">
        <v>14825.0</v>
      </c>
      <c r="EL84" s="62">
        <v>8698.0</v>
      </c>
      <c r="EM84" s="62">
        <v>12582.0</v>
      </c>
      <c r="EN84" s="62">
        <v>24704.0</v>
      </c>
      <c r="EO84" s="62">
        <v>1211.0</v>
      </c>
      <c r="EP84" s="62">
        <v>4515.0</v>
      </c>
      <c r="EQ84" s="62">
        <v>1891.0</v>
      </c>
      <c r="ER84" s="62">
        <v>0.0</v>
      </c>
      <c r="ES84" s="62">
        <v>2243.0</v>
      </c>
      <c r="ET84" s="62">
        <v>812.0</v>
      </c>
      <c r="EU84" s="62">
        <v>21064.0</v>
      </c>
      <c r="EV84" s="62">
        <v>205.0</v>
      </c>
      <c r="EW84" s="62">
        <v>41.0</v>
      </c>
      <c r="EX84" s="62">
        <v>779.0</v>
      </c>
      <c r="EY84" s="62">
        <v>5632.0</v>
      </c>
      <c r="EZ84" s="62">
        <v>69088.0</v>
      </c>
      <c r="FA84" s="62">
        <v>40326.0</v>
      </c>
      <c r="FB84" s="62">
        <v>1722981.0</v>
      </c>
      <c r="FC84" s="62">
        <v>0.0</v>
      </c>
      <c r="FD84" s="62">
        <v>1775.0</v>
      </c>
      <c r="FE84" s="62">
        <v>153936.0</v>
      </c>
      <c r="FF84" s="62">
        <v>4536.0</v>
      </c>
      <c r="FG84" s="62">
        <v>88050.0</v>
      </c>
      <c r="FH84" s="62">
        <v>228745.0</v>
      </c>
      <c r="FI84" s="62">
        <v>177737.0</v>
      </c>
      <c r="FJ84" s="62">
        <v>15437.0</v>
      </c>
      <c r="FK84" s="62">
        <v>81234.0</v>
      </c>
      <c r="FL84" s="62">
        <v>2707.0</v>
      </c>
      <c r="FM84" s="62">
        <v>21.0</v>
      </c>
      <c r="FN84" s="62">
        <v>0.0</v>
      </c>
      <c r="FO84" s="62">
        <v>0.0</v>
      </c>
      <c r="FP84" s="62">
        <v>24908.0</v>
      </c>
      <c r="FQ84" s="62">
        <v>0.0</v>
      </c>
      <c r="FR84" s="62">
        <v>0.0</v>
      </c>
      <c r="FS84" s="62">
        <v>4015.0</v>
      </c>
      <c r="FT84" s="62">
        <v>8607.0</v>
      </c>
      <c r="FU84" s="62">
        <v>3017.0</v>
      </c>
      <c r="FV84" s="62">
        <v>3841.0</v>
      </c>
      <c r="FW84" s="62">
        <v>2363.0</v>
      </c>
      <c r="FX84" s="62">
        <v>78.0</v>
      </c>
      <c r="FY84" s="62">
        <v>108.0</v>
      </c>
      <c r="FZ84" s="62">
        <v>71.0</v>
      </c>
      <c r="GA84" s="62">
        <v>7380.0</v>
      </c>
      <c r="GB84" s="62">
        <v>31238.0</v>
      </c>
      <c r="GC84" s="62">
        <v>2372.0</v>
      </c>
      <c r="GD84" s="62">
        <v>17963.0</v>
      </c>
      <c r="GE84" s="62">
        <v>51385.0</v>
      </c>
      <c r="GF84" s="63">
        <v>4027343.0</v>
      </c>
      <c r="GG84" s="64">
        <v>6889939.0</v>
      </c>
      <c r="GH84" s="65">
        <v>0.0</v>
      </c>
      <c r="GI84" s="64">
        <v>0.0</v>
      </c>
      <c r="GJ84" s="64">
        <v>1.7027574E7</v>
      </c>
      <c r="GK84" s="64">
        <v>-1999400.0</v>
      </c>
      <c r="GL84" s="64">
        <v>796605.0</v>
      </c>
      <c r="GM84" s="64">
        <v>0.0</v>
      </c>
      <c r="GN84" s="63">
        <v>2.2714718E7</v>
      </c>
      <c r="GO84" s="66">
        <v>2.6742061E7</v>
      </c>
      <c r="GP84" s="64">
        <v>1108692.0</v>
      </c>
      <c r="GQ84" s="64">
        <v>0.0</v>
      </c>
      <c r="GR84" s="65">
        <v>0.0</v>
      </c>
      <c r="GS84" s="63">
        <v>1108692.0</v>
      </c>
      <c r="GT84" s="67">
        <v>927974.0</v>
      </c>
      <c r="GU84" s="67">
        <v>1323735.0</v>
      </c>
      <c r="GV84" s="67">
        <v>370064.0</v>
      </c>
      <c r="GW84" s="63">
        <v>2621773.0</v>
      </c>
      <c r="GX84" s="63">
        <v>1077431.0</v>
      </c>
      <c r="GY84" s="63">
        <v>2.1934165E7</v>
      </c>
      <c r="GZ84" s="66">
        <v>2.6742061E7</v>
      </c>
    </row>
    <row r="85" ht="15.75" customHeight="1">
      <c r="A85" s="68">
        <v>80.0</v>
      </c>
      <c r="B85" s="69" t="s">
        <v>125</v>
      </c>
      <c r="C85" s="70">
        <v>28181.0</v>
      </c>
      <c r="D85" s="70">
        <v>43504.0</v>
      </c>
      <c r="E85" s="70">
        <v>257.0</v>
      </c>
      <c r="F85" s="70">
        <v>89885.0</v>
      </c>
      <c r="G85" s="70">
        <v>1097.0</v>
      </c>
      <c r="H85" s="70">
        <v>15411.0</v>
      </c>
      <c r="I85" s="70">
        <v>806.0</v>
      </c>
      <c r="J85" s="70">
        <v>6762.0</v>
      </c>
      <c r="K85" s="70">
        <v>11.0</v>
      </c>
      <c r="L85" s="70">
        <v>64578.0</v>
      </c>
      <c r="M85" s="70">
        <v>6896.0</v>
      </c>
      <c r="N85" s="70">
        <v>15010.0</v>
      </c>
      <c r="O85" s="70">
        <v>46196.0</v>
      </c>
      <c r="P85" s="70">
        <v>1055.0</v>
      </c>
      <c r="Q85" s="70">
        <v>74154.0</v>
      </c>
      <c r="R85" s="70">
        <v>915621.0</v>
      </c>
      <c r="S85" s="70">
        <v>10547.0</v>
      </c>
      <c r="T85" s="70">
        <v>187972.0</v>
      </c>
      <c r="U85" s="70">
        <v>125552.0</v>
      </c>
      <c r="V85" s="70">
        <v>169871.0</v>
      </c>
      <c r="W85" s="70">
        <v>5630.0</v>
      </c>
      <c r="X85" s="70">
        <v>3732.0</v>
      </c>
      <c r="Y85" s="70">
        <v>119297.0</v>
      </c>
      <c r="Z85" s="70">
        <v>129226.0</v>
      </c>
      <c r="AA85" s="70">
        <v>4750.0</v>
      </c>
      <c r="AB85" s="70">
        <v>2478.0</v>
      </c>
      <c r="AC85" s="70">
        <v>293.0</v>
      </c>
      <c r="AD85" s="70">
        <v>3864.0</v>
      </c>
      <c r="AE85" s="70">
        <v>1315.0</v>
      </c>
      <c r="AF85" s="70">
        <v>91813.0</v>
      </c>
      <c r="AG85" s="70">
        <v>231208.0</v>
      </c>
      <c r="AH85" s="70">
        <v>60757.0</v>
      </c>
      <c r="AI85" s="70">
        <v>1079675.0</v>
      </c>
      <c r="AJ85" s="70">
        <v>80745.0</v>
      </c>
      <c r="AK85" s="70">
        <v>11842.0</v>
      </c>
      <c r="AL85" s="70">
        <v>6619.0</v>
      </c>
      <c r="AM85" s="70">
        <v>727.0</v>
      </c>
      <c r="AN85" s="70">
        <v>0.0</v>
      </c>
      <c r="AO85" s="70">
        <v>12.0</v>
      </c>
      <c r="AP85" s="70">
        <v>3171.0</v>
      </c>
      <c r="AQ85" s="70">
        <v>2449.0</v>
      </c>
      <c r="AR85" s="70">
        <v>101.0</v>
      </c>
      <c r="AS85" s="70">
        <v>57.0</v>
      </c>
      <c r="AT85" s="70">
        <v>279.0</v>
      </c>
      <c r="AU85" s="70">
        <v>435.0</v>
      </c>
      <c r="AV85" s="70">
        <v>87103.0</v>
      </c>
      <c r="AW85" s="70">
        <v>1054.0</v>
      </c>
      <c r="AX85" s="70">
        <v>284839.0</v>
      </c>
      <c r="AY85" s="70">
        <v>92.0</v>
      </c>
      <c r="AZ85" s="70">
        <v>4.0</v>
      </c>
      <c r="BA85" s="70">
        <v>7942.0</v>
      </c>
      <c r="BB85" s="70">
        <v>4886.0</v>
      </c>
      <c r="BC85" s="70">
        <v>336.0</v>
      </c>
      <c r="BD85" s="70">
        <v>2.0</v>
      </c>
      <c r="BE85" s="70">
        <v>304.0</v>
      </c>
      <c r="BF85" s="70">
        <v>1773.0</v>
      </c>
      <c r="BG85" s="70">
        <v>31789.0</v>
      </c>
      <c r="BH85" s="70">
        <v>1388.0</v>
      </c>
      <c r="BI85" s="70">
        <v>53.0</v>
      </c>
      <c r="BJ85" s="70">
        <v>93238.0</v>
      </c>
      <c r="BK85" s="70">
        <v>4484.0</v>
      </c>
      <c r="BL85" s="70">
        <v>317.0</v>
      </c>
      <c r="BM85" s="70">
        <v>17.0</v>
      </c>
      <c r="BN85" s="70">
        <v>89405.0</v>
      </c>
      <c r="BO85" s="70">
        <v>6744.0</v>
      </c>
      <c r="BP85" s="70">
        <v>0.0</v>
      </c>
      <c r="BQ85" s="70">
        <v>0.0</v>
      </c>
      <c r="BR85" s="70">
        <v>0.0</v>
      </c>
      <c r="BS85" s="70">
        <v>0.0</v>
      </c>
      <c r="BT85" s="70">
        <v>142293.0</v>
      </c>
      <c r="BU85" s="70">
        <v>13070.0</v>
      </c>
      <c r="BV85" s="70">
        <v>603.0</v>
      </c>
      <c r="BW85" s="70">
        <v>574.0</v>
      </c>
      <c r="BX85" s="70">
        <v>22991.0</v>
      </c>
      <c r="BY85" s="70">
        <v>97.0</v>
      </c>
      <c r="BZ85" s="70">
        <v>1192.0</v>
      </c>
      <c r="CA85" s="70">
        <v>456397.0</v>
      </c>
      <c r="CB85" s="70">
        <v>68235.0</v>
      </c>
      <c r="CC85" s="70">
        <v>27642.0</v>
      </c>
      <c r="CD85" s="70">
        <v>48413.0</v>
      </c>
      <c r="CE85" s="70">
        <v>30998.0</v>
      </c>
      <c r="CF85" s="70">
        <v>377555.0</v>
      </c>
      <c r="CG85" s="70">
        <v>14524.0</v>
      </c>
      <c r="CH85" s="70">
        <v>211546.0</v>
      </c>
      <c r="CI85" s="70">
        <v>329807.0</v>
      </c>
      <c r="CJ85" s="70">
        <v>76500.0</v>
      </c>
      <c r="CK85" s="70">
        <v>145781.0</v>
      </c>
      <c r="CL85" s="70">
        <v>57444.0</v>
      </c>
      <c r="CM85" s="70">
        <v>10699.0</v>
      </c>
      <c r="CN85" s="70">
        <v>35804.0</v>
      </c>
      <c r="CO85" s="70">
        <v>11192.0</v>
      </c>
      <c r="CP85" s="70">
        <v>17142.0</v>
      </c>
      <c r="CQ85" s="70">
        <v>929.0</v>
      </c>
      <c r="CR85" s="70">
        <v>1605.0</v>
      </c>
      <c r="CS85" s="70">
        <v>8903.0</v>
      </c>
      <c r="CT85" s="70">
        <v>54425.0</v>
      </c>
      <c r="CU85" s="70">
        <v>39054.0</v>
      </c>
      <c r="CV85" s="70">
        <v>52914.0</v>
      </c>
      <c r="CW85" s="70">
        <v>1807.0</v>
      </c>
      <c r="CX85" s="70">
        <v>0.0</v>
      </c>
      <c r="CY85" s="70">
        <v>0.0</v>
      </c>
      <c r="CZ85" s="70">
        <v>0.0</v>
      </c>
      <c r="DA85" s="70">
        <v>0.0</v>
      </c>
      <c r="DB85" s="70">
        <v>5760.0</v>
      </c>
      <c r="DC85" s="70">
        <v>0.0</v>
      </c>
      <c r="DD85" s="70">
        <v>5904.0</v>
      </c>
      <c r="DE85" s="70">
        <v>341.0</v>
      </c>
      <c r="DF85" s="70">
        <v>22949.0</v>
      </c>
      <c r="DG85" s="70">
        <v>2717.0</v>
      </c>
      <c r="DH85" s="70">
        <v>12037.0</v>
      </c>
      <c r="DI85" s="70">
        <v>59134.0</v>
      </c>
      <c r="DJ85" s="70">
        <v>1546.0</v>
      </c>
      <c r="DK85" s="70">
        <v>16871.0</v>
      </c>
      <c r="DL85" s="70">
        <v>26347.0</v>
      </c>
      <c r="DM85" s="70">
        <v>1976.0</v>
      </c>
      <c r="DN85" s="70">
        <v>5764.0</v>
      </c>
      <c r="DO85" s="70">
        <v>59793.0</v>
      </c>
      <c r="DP85" s="70">
        <v>3335.0</v>
      </c>
      <c r="DQ85" s="70">
        <v>2751.0</v>
      </c>
      <c r="DR85" s="70">
        <v>2886.0</v>
      </c>
      <c r="DS85" s="70">
        <v>508.0</v>
      </c>
      <c r="DT85" s="70">
        <v>3434.0</v>
      </c>
      <c r="DU85" s="70">
        <v>120.0</v>
      </c>
      <c r="DV85" s="70">
        <v>26941.0</v>
      </c>
      <c r="DW85" s="70">
        <v>1605.0</v>
      </c>
      <c r="DX85" s="70">
        <v>768.0</v>
      </c>
      <c r="DY85" s="70">
        <v>138.0</v>
      </c>
      <c r="DZ85" s="70">
        <v>3303.0</v>
      </c>
      <c r="EA85" s="70">
        <v>13.0</v>
      </c>
      <c r="EB85" s="70">
        <v>36.0</v>
      </c>
      <c r="EC85" s="70">
        <v>122990.0</v>
      </c>
      <c r="ED85" s="70">
        <v>801.0</v>
      </c>
      <c r="EE85" s="70">
        <v>5676.0</v>
      </c>
      <c r="EF85" s="70">
        <v>370.0</v>
      </c>
      <c r="EG85" s="70">
        <v>7901.0</v>
      </c>
      <c r="EH85" s="70">
        <v>35336.0</v>
      </c>
      <c r="EI85" s="70">
        <v>2640.0</v>
      </c>
      <c r="EJ85" s="70">
        <v>1290.0</v>
      </c>
      <c r="EK85" s="70">
        <v>905.0</v>
      </c>
      <c r="EL85" s="70">
        <v>94426.0</v>
      </c>
      <c r="EM85" s="70">
        <v>30286.0</v>
      </c>
      <c r="EN85" s="70">
        <v>5781.0</v>
      </c>
      <c r="EO85" s="70">
        <v>78986.0</v>
      </c>
      <c r="EP85" s="70">
        <v>48238.0</v>
      </c>
      <c r="EQ85" s="70">
        <v>1011.0</v>
      </c>
      <c r="ER85" s="70">
        <v>659.0</v>
      </c>
      <c r="ES85" s="70">
        <v>672.0</v>
      </c>
      <c r="ET85" s="70">
        <v>52529.0</v>
      </c>
      <c r="EU85" s="70">
        <v>939701.0</v>
      </c>
      <c r="EV85" s="70">
        <v>15744.0</v>
      </c>
      <c r="EW85" s="70">
        <v>2885.0</v>
      </c>
      <c r="EX85" s="70">
        <v>119698.0</v>
      </c>
      <c r="EY85" s="70">
        <v>853852.0</v>
      </c>
      <c r="EZ85" s="70">
        <v>28334.0</v>
      </c>
      <c r="FA85" s="70">
        <v>14042.0</v>
      </c>
      <c r="FB85" s="70">
        <v>783767.0</v>
      </c>
      <c r="FC85" s="70">
        <v>120.0</v>
      </c>
      <c r="FD85" s="70">
        <v>1421.0</v>
      </c>
      <c r="FE85" s="70">
        <v>720.0</v>
      </c>
      <c r="FF85" s="70">
        <v>520.0</v>
      </c>
      <c r="FG85" s="70">
        <v>529.0</v>
      </c>
      <c r="FH85" s="70">
        <v>7677.0</v>
      </c>
      <c r="FI85" s="70">
        <v>118941.0</v>
      </c>
      <c r="FJ85" s="70">
        <v>73588.0</v>
      </c>
      <c r="FK85" s="70">
        <v>113855.0</v>
      </c>
      <c r="FL85" s="70">
        <v>7133.0</v>
      </c>
      <c r="FM85" s="70">
        <v>165250.0</v>
      </c>
      <c r="FN85" s="70">
        <v>16188.0</v>
      </c>
      <c r="FO85" s="70">
        <v>711.0</v>
      </c>
      <c r="FP85" s="70">
        <v>91715.0</v>
      </c>
      <c r="FQ85" s="70">
        <v>52608.0</v>
      </c>
      <c r="FR85" s="70">
        <v>0.0</v>
      </c>
      <c r="FS85" s="70">
        <v>2186.0</v>
      </c>
      <c r="FT85" s="70">
        <v>245880.0</v>
      </c>
      <c r="FU85" s="70">
        <v>267939.0</v>
      </c>
      <c r="FV85" s="70">
        <v>543586.0</v>
      </c>
      <c r="FW85" s="70">
        <v>1209.0</v>
      </c>
      <c r="FX85" s="70">
        <v>0.0</v>
      </c>
      <c r="FY85" s="70">
        <v>554565.0</v>
      </c>
      <c r="FZ85" s="70">
        <v>0.0</v>
      </c>
      <c r="GA85" s="70">
        <v>106460.0</v>
      </c>
      <c r="GB85" s="70">
        <v>1066448.0</v>
      </c>
      <c r="GC85" s="70">
        <v>136223.0</v>
      </c>
      <c r="GD85" s="70">
        <v>1082.0</v>
      </c>
      <c r="GE85" s="70">
        <v>1440162.0</v>
      </c>
      <c r="GF85" s="71">
        <v>1.505196E7</v>
      </c>
      <c r="GG85" s="72">
        <v>2.741972E7</v>
      </c>
      <c r="GH85" s="73">
        <v>0.0</v>
      </c>
      <c r="GI85" s="72">
        <v>0.0</v>
      </c>
      <c r="GJ85" s="72">
        <v>9842984.0</v>
      </c>
      <c r="GK85" s="72">
        <v>-45760.0</v>
      </c>
      <c r="GL85" s="72">
        <v>1.2565344E7</v>
      </c>
      <c r="GM85" s="72">
        <v>0.0</v>
      </c>
      <c r="GN85" s="71">
        <v>4.9782288E7</v>
      </c>
      <c r="GO85" s="74">
        <v>6.4834248E7</v>
      </c>
      <c r="GP85" s="72">
        <v>2.0797231E7</v>
      </c>
      <c r="GQ85" s="72">
        <v>0.0</v>
      </c>
      <c r="GR85" s="73">
        <v>0.0</v>
      </c>
      <c r="GS85" s="71">
        <v>2.0797231E7</v>
      </c>
      <c r="GT85" s="75">
        <v>3687113.0</v>
      </c>
      <c r="GU85" s="75">
        <v>7214924.0</v>
      </c>
      <c r="GV85" s="75">
        <v>1402458.0</v>
      </c>
      <c r="GW85" s="71">
        <v>1.2304495E7</v>
      </c>
      <c r="GX85" s="71">
        <v>2939100.0</v>
      </c>
      <c r="GY85" s="71">
        <v>2.8793422E7</v>
      </c>
      <c r="GZ85" s="74">
        <v>6.4834248E7</v>
      </c>
    </row>
    <row r="86" ht="15.75" customHeight="1">
      <c r="A86" s="52">
        <v>81.0</v>
      </c>
      <c r="B86" s="53" t="s">
        <v>126</v>
      </c>
      <c r="C86" s="54">
        <v>0.0</v>
      </c>
      <c r="D86" s="54">
        <v>0.0</v>
      </c>
      <c r="E86" s="54">
        <v>0.0</v>
      </c>
      <c r="F86" s="54">
        <v>0.0</v>
      </c>
      <c r="G86" s="54">
        <v>0.0</v>
      </c>
      <c r="H86" s="54">
        <v>0.0</v>
      </c>
      <c r="I86" s="54">
        <v>0.0</v>
      </c>
      <c r="J86" s="54">
        <v>0.0</v>
      </c>
      <c r="K86" s="54">
        <v>0.0</v>
      </c>
      <c r="L86" s="54">
        <v>0.0</v>
      </c>
      <c r="M86" s="54">
        <v>491.0</v>
      </c>
      <c r="N86" s="54">
        <v>132.0</v>
      </c>
      <c r="O86" s="54">
        <v>239.0</v>
      </c>
      <c r="P86" s="54">
        <v>0.0</v>
      </c>
      <c r="Q86" s="54">
        <v>439.0</v>
      </c>
      <c r="R86" s="54">
        <v>0.0</v>
      </c>
      <c r="S86" s="54">
        <v>193.0</v>
      </c>
      <c r="T86" s="54">
        <v>0.0</v>
      </c>
      <c r="U86" s="54">
        <v>0.0</v>
      </c>
      <c r="V86" s="54">
        <v>0.0</v>
      </c>
      <c r="W86" s="54">
        <v>0.0</v>
      </c>
      <c r="X86" s="54">
        <v>0.0</v>
      </c>
      <c r="Y86" s="54">
        <v>0.0</v>
      </c>
      <c r="Z86" s="54">
        <v>0.0</v>
      </c>
      <c r="AA86" s="54">
        <v>0.0</v>
      </c>
      <c r="AB86" s="54">
        <v>131.0</v>
      </c>
      <c r="AC86" s="54">
        <v>1.0</v>
      </c>
      <c r="AD86" s="54">
        <v>50.0</v>
      </c>
      <c r="AE86" s="54">
        <v>37.0</v>
      </c>
      <c r="AF86" s="54">
        <v>2335.0</v>
      </c>
      <c r="AG86" s="54">
        <v>40027.0</v>
      </c>
      <c r="AH86" s="54">
        <v>11850.0</v>
      </c>
      <c r="AI86" s="54">
        <v>223.0</v>
      </c>
      <c r="AJ86" s="54">
        <v>115.0</v>
      </c>
      <c r="AK86" s="54">
        <v>83.0</v>
      </c>
      <c r="AL86" s="54">
        <v>59.0</v>
      </c>
      <c r="AM86" s="54">
        <v>18553.0</v>
      </c>
      <c r="AN86" s="54">
        <v>11463.0</v>
      </c>
      <c r="AO86" s="54">
        <v>4272.0</v>
      </c>
      <c r="AP86" s="54">
        <v>508.0</v>
      </c>
      <c r="AQ86" s="54">
        <v>1792.0</v>
      </c>
      <c r="AR86" s="54">
        <v>95.0</v>
      </c>
      <c r="AS86" s="54">
        <v>487.0</v>
      </c>
      <c r="AT86" s="54">
        <v>103.0</v>
      </c>
      <c r="AU86" s="54">
        <v>80.0</v>
      </c>
      <c r="AV86" s="54">
        <v>378.0</v>
      </c>
      <c r="AW86" s="54">
        <v>109.0</v>
      </c>
      <c r="AX86" s="54">
        <v>2365.0</v>
      </c>
      <c r="AY86" s="54">
        <v>168.0</v>
      </c>
      <c r="AZ86" s="54">
        <v>5.0</v>
      </c>
      <c r="BA86" s="54">
        <v>130.0</v>
      </c>
      <c r="BB86" s="54">
        <v>68.0</v>
      </c>
      <c r="BC86" s="54">
        <v>3691.0</v>
      </c>
      <c r="BD86" s="54">
        <v>256.0</v>
      </c>
      <c r="BE86" s="54">
        <v>58.0</v>
      </c>
      <c r="BF86" s="54">
        <v>181.0</v>
      </c>
      <c r="BG86" s="54">
        <v>1158.0</v>
      </c>
      <c r="BH86" s="54">
        <v>9200.0</v>
      </c>
      <c r="BI86" s="54">
        <v>194.0</v>
      </c>
      <c r="BJ86" s="54">
        <v>1609.0</v>
      </c>
      <c r="BK86" s="54">
        <v>327.0</v>
      </c>
      <c r="BL86" s="54">
        <v>96.0</v>
      </c>
      <c r="BM86" s="54">
        <v>38.0</v>
      </c>
      <c r="BN86" s="54">
        <v>161.0</v>
      </c>
      <c r="BO86" s="54">
        <v>0.0</v>
      </c>
      <c r="BP86" s="54">
        <v>143.0</v>
      </c>
      <c r="BQ86" s="54">
        <v>2064.0</v>
      </c>
      <c r="BR86" s="54">
        <v>1829.0</v>
      </c>
      <c r="BS86" s="54">
        <v>1047.0</v>
      </c>
      <c r="BT86" s="54">
        <v>4210.0</v>
      </c>
      <c r="BU86" s="54">
        <v>4944.0</v>
      </c>
      <c r="BV86" s="54">
        <v>3441.0</v>
      </c>
      <c r="BW86" s="54">
        <v>366.0</v>
      </c>
      <c r="BX86" s="54">
        <v>594.0</v>
      </c>
      <c r="BY86" s="54">
        <v>3742.0</v>
      </c>
      <c r="BZ86" s="54">
        <v>84.0</v>
      </c>
      <c r="CA86" s="54">
        <v>563636.0</v>
      </c>
      <c r="CB86" s="54">
        <v>391.0</v>
      </c>
      <c r="CC86" s="54">
        <v>153777.0</v>
      </c>
      <c r="CD86" s="54">
        <v>2451500.0</v>
      </c>
      <c r="CE86" s="54">
        <v>97976.0</v>
      </c>
      <c r="CF86" s="54">
        <v>5.2533898E7</v>
      </c>
      <c r="CG86" s="54">
        <v>9396.0</v>
      </c>
      <c r="CH86" s="54">
        <v>225089.0</v>
      </c>
      <c r="CI86" s="54">
        <v>1696318.0</v>
      </c>
      <c r="CJ86" s="54">
        <v>497.0</v>
      </c>
      <c r="CK86" s="54">
        <v>380.0</v>
      </c>
      <c r="CL86" s="54">
        <v>8028.0</v>
      </c>
      <c r="CM86" s="54">
        <v>9141.0</v>
      </c>
      <c r="CN86" s="54">
        <v>8053.0</v>
      </c>
      <c r="CO86" s="54">
        <v>10905.0</v>
      </c>
      <c r="CP86" s="54">
        <v>53325.0</v>
      </c>
      <c r="CQ86" s="54">
        <v>2259.0</v>
      </c>
      <c r="CR86" s="54">
        <v>168.0</v>
      </c>
      <c r="CS86" s="54">
        <v>2789.0</v>
      </c>
      <c r="CT86" s="54">
        <v>0.0</v>
      </c>
      <c r="CU86" s="54">
        <v>0.0</v>
      </c>
      <c r="CV86" s="54">
        <v>460.0</v>
      </c>
      <c r="CW86" s="54">
        <v>0.0</v>
      </c>
      <c r="CX86" s="54">
        <v>170.0</v>
      </c>
      <c r="CY86" s="54">
        <v>38.0</v>
      </c>
      <c r="CZ86" s="54">
        <v>239.0</v>
      </c>
      <c r="DA86" s="54">
        <v>843.0</v>
      </c>
      <c r="DB86" s="54">
        <v>149.0</v>
      </c>
      <c r="DC86" s="54">
        <v>382.0</v>
      </c>
      <c r="DD86" s="54">
        <v>384.0</v>
      </c>
      <c r="DE86" s="54">
        <v>537.0</v>
      </c>
      <c r="DF86" s="54">
        <v>510.0</v>
      </c>
      <c r="DG86" s="54">
        <v>1075.0</v>
      </c>
      <c r="DH86" s="54">
        <v>6471.0</v>
      </c>
      <c r="DI86" s="54">
        <v>174.0</v>
      </c>
      <c r="DJ86" s="54">
        <v>1941.0</v>
      </c>
      <c r="DK86" s="54">
        <v>1265.0</v>
      </c>
      <c r="DL86" s="54">
        <v>181.0</v>
      </c>
      <c r="DM86" s="54">
        <v>129.0</v>
      </c>
      <c r="DN86" s="54">
        <v>0.0</v>
      </c>
      <c r="DO86" s="54">
        <v>262.0</v>
      </c>
      <c r="DP86" s="54">
        <v>143.0</v>
      </c>
      <c r="DQ86" s="54">
        <v>3945.0</v>
      </c>
      <c r="DR86" s="54">
        <v>17266.0</v>
      </c>
      <c r="DS86" s="54">
        <v>8364.0</v>
      </c>
      <c r="DT86" s="54">
        <v>8971.0</v>
      </c>
      <c r="DU86" s="54">
        <v>163.0</v>
      </c>
      <c r="DV86" s="54">
        <v>90.0</v>
      </c>
      <c r="DW86" s="54">
        <v>75.0</v>
      </c>
      <c r="DX86" s="54">
        <v>397.0</v>
      </c>
      <c r="DY86" s="54">
        <v>220.0</v>
      </c>
      <c r="DZ86" s="54">
        <v>83.0</v>
      </c>
      <c r="EA86" s="54">
        <v>17.0</v>
      </c>
      <c r="EB86" s="54">
        <v>21.0</v>
      </c>
      <c r="EC86" s="54">
        <v>29.0</v>
      </c>
      <c r="ED86" s="54">
        <v>6491.0</v>
      </c>
      <c r="EE86" s="54">
        <v>36.0</v>
      </c>
      <c r="EF86" s="54">
        <v>404.0</v>
      </c>
      <c r="EG86" s="54">
        <v>226.0</v>
      </c>
      <c r="EH86" s="54">
        <v>288.0</v>
      </c>
      <c r="EI86" s="54">
        <v>1381821.0</v>
      </c>
      <c r="EJ86" s="54">
        <v>3805.0</v>
      </c>
      <c r="EK86" s="54">
        <v>498.0</v>
      </c>
      <c r="EL86" s="54">
        <v>264675.0</v>
      </c>
      <c r="EM86" s="54">
        <v>651.0</v>
      </c>
      <c r="EN86" s="54">
        <v>422.0</v>
      </c>
      <c r="EO86" s="54">
        <v>362.0</v>
      </c>
      <c r="EP86" s="54">
        <v>137.0</v>
      </c>
      <c r="EQ86" s="54">
        <v>481.0</v>
      </c>
      <c r="ER86" s="54">
        <v>272.0</v>
      </c>
      <c r="ES86" s="54">
        <v>265.0</v>
      </c>
      <c r="ET86" s="54">
        <v>47464.0</v>
      </c>
      <c r="EU86" s="54">
        <v>0.0</v>
      </c>
      <c r="EV86" s="54">
        <v>16.0</v>
      </c>
      <c r="EW86" s="54">
        <v>0.0</v>
      </c>
      <c r="EX86" s="54">
        <v>0.0</v>
      </c>
      <c r="EY86" s="54">
        <v>0.0</v>
      </c>
      <c r="EZ86" s="54">
        <v>1116.0</v>
      </c>
      <c r="FA86" s="54">
        <v>3887.0</v>
      </c>
      <c r="FB86" s="54">
        <v>21254.0</v>
      </c>
      <c r="FC86" s="54">
        <v>291.0</v>
      </c>
      <c r="FD86" s="54">
        <v>296.0</v>
      </c>
      <c r="FE86" s="54">
        <v>317.0</v>
      </c>
      <c r="FF86" s="54">
        <v>262.0</v>
      </c>
      <c r="FG86" s="54">
        <v>0.0</v>
      </c>
      <c r="FH86" s="54">
        <v>131680.0</v>
      </c>
      <c r="FI86" s="54">
        <v>1220.0</v>
      </c>
      <c r="FJ86" s="54">
        <v>2.0</v>
      </c>
      <c r="FK86" s="54">
        <v>0.0</v>
      </c>
      <c r="FL86" s="54">
        <v>522.0</v>
      </c>
      <c r="FM86" s="54">
        <v>221.0</v>
      </c>
      <c r="FN86" s="54">
        <v>82.0</v>
      </c>
      <c r="FO86" s="54">
        <v>95.0</v>
      </c>
      <c r="FP86" s="54">
        <v>209062.0</v>
      </c>
      <c r="FQ86" s="54">
        <v>219.0</v>
      </c>
      <c r="FR86" s="54">
        <v>19.0</v>
      </c>
      <c r="FS86" s="54">
        <v>30058.0</v>
      </c>
      <c r="FT86" s="54">
        <v>7265.0</v>
      </c>
      <c r="FU86" s="54">
        <v>9353.0</v>
      </c>
      <c r="FV86" s="54">
        <v>26040.0</v>
      </c>
      <c r="FW86" s="54">
        <v>1311.0</v>
      </c>
      <c r="FX86" s="54">
        <v>62.0</v>
      </c>
      <c r="FY86" s="54">
        <v>1009853.0</v>
      </c>
      <c r="FZ86" s="54">
        <v>58.0</v>
      </c>
      <c r="GA86" s="54">
        <v>11655.0</v>
      </c>
      <c r="GB86" s="54">
        <v>1257.0</v>
      </c>
      <c r="GC86" s="54">
        <v>11516.0</v>
      </c>
      <c r="GD86" s="54">
        <v>0.0</v>
      </c>
      <c r="GE86" s="54">
        <v>1585716.0</v>
      </c>
      <c r="GF86" s="55">
        <v>6.2791937E7</v>
      </c>
      <c r="GG86" s="56">
        <v>6015358.0</v>
      </c>
      <c r="GH86" s="57">
        <v>0.0</v>
      </c>
      <c r="GI86" s="56">
        <v>0.0</v>
      </c>
      <c r="GJ86" s="56">
        <v>0.0</v>
      </c>
      <c r="GK86" s="56">
        <v>129425.0</v>
      </c>
      <c r="GL86" s="56">
        <v>1981879.0</v>
      </c>
      <c r="GM86" s="56">
        <v>0.0</v>
      </c>
      <c r="GN86" s="55">
        <v>8126662.0</v>
      </c>
      <c r="GO86" s="58">
        <v>7.0918599E7</v>
      </c>
      <c r="GP86" s="56">
        <v>2.1890641E7</v>
      </c>
      <c r="GQ86" s="56">
        <v>0.0</v>
      </c>
      <c r="GR86" s="57">
        <v>0.0</v>
      </c>
      <c r="GS86" s="55">
        <v>2.1890641E7</v>
      </c>
      <c r="GT86" s="59">
        <v>4106175.0</v>
      </c>
      <c r="GU86" s="59">
        <v>8336375.0</v>
      </c>
      <c r="GV86" s="59">
        <v>1504641.0</v>
      </c>
      <c r="GW86" s="55">
        <v>1.3947191E7</v>
      </c>
      <c r="GX86" s="55">
        <v>496793.0</v>
      </c>
      <c r="GY86" s="55">
        <v>3.4583974E7</v>
      </c>
      <c r="GZ86" s="58">
        <v>7.0918599E7</v>
      </c>
    </row>
    <row r="87" ht="15.75" customHeight="1">
      <c r="A87" s="60">
        <v>82.0</v>
      </c>
      <c r="B87" s="61" t="s">
        <v>127</v>
      </c>
      <c r="C87" s="62">
        <v>0.0</v>
      </c>
      <c r="D87" s="62">
        <v>0.0</v>
      </c>
      <c r="E87" s="62">
        <v>0.0</v>
      </c>
      <c r="F87" s="62">
        <v>0.0</v>
      </c>
      <c r="G87" s="62">
        <v>0.0</v>
      </c>
      <c r="H87" s="62">
        <v>0.0</v>
      </c>
      <c r="I87" s="62">
        <v>0.0</v>
      </c>
      <c r="J87" s="62">
        <v>0.0</v>
      </c>
      <c r="K87" s="62">
        <v>0.0</v>
      </c>
      <c r="L87" s="62">
        <v>0.0</v>
      </c>
      <c r="M87" s="62">
        <v>0.0</v>
      </c>
      <c r="N87" s="62">
        <v>0.0</v>
      </c>
      <c r="O87" s="62">
        <v>18973.0</v>
      </c>
      <c r="P87" s="62">
        <v>0.0</v>
      </c>
      <c r="Q87" s="62">
        <v>0.0</v>
      </c>
      <c r="R87" s="62">
        <v>0.0</v>
      </c>
      <c r="S87" s="62">
        <v>0.0</v>
      </c>
      <c r="T87" s="62">
        <v>20050.0</v>
      </c>
      <c r="U87" s="62">
        <v>15.0</v>
      </c>
      <c r="V87" s="62">
        <v>465.0</v>
      </c>
      <c r="W87" s="62">
        <v>12.0</v>
      </c>
      <c r="X87" s="62">
        <v>0.0</v>
      </c>
      <c r="Y87" s="62">
        <v>0.0</v>
      </c>
      <c r="Z87" s="62">
        <v>0.0</v>
      </c>
      <c r="AA87" s="62">
        <v>0.0</v>
      </c>
      <c r="AB87" s="62">
        <v>0.0</v>
      </c>
      <c r="AC87" s="62">
        <v>0.0</v>
      </c>
      <c r="AD87" s="62">
        <v>0.0</v>
      </c>
      <c r="AE87" s="62">
        <v>0.0</v>
      </c>
      <c r="AF87" s="62">
        <v>187528.0</v>
      </c>
      <c r="AG87" s="62">
        <v>44160.0</v>
      </c>
      <c r="AH87" s="62">
        <v>5710.0</v>
      </c>
      <c r="AI87" s="62">
        <v>0.0</v>
      </c>
      <c r="AJ87" s="62">
        <v>0.0</v>
      </c>
      <c r="AK87" s="62">
        <v>0.0</v>
      </c>
      <c r="AL87" s="62">
        <v>0.0</v>
      </c>
      <c r="AM87" s="62">
        <v>130621.0</v>
      </c>
      <c r="AN87" s="62">
        <v>18846.0</v>
      </c>
      <c r="AO87" s="62">
        <v>11437.0</v>
      </c>
      <c r="AP87" s="62">
        <v>0.0</v>
      </c>
      <c r="AQ87" s="62">
        <v>827.0</v>
      </c>
      <c r="AR87" s="62">
        <v>15.0</v>
      </c>
      <c r="AS87" s="62">
        <v>709.0</v>
      </c>
      <c r="AT87" s="62">
        <v>88.0</v>
      </c>
      <c r="AU87" s="62">
        <v>2188.0</v>
      </c>
      <c r="AV87" s="62">
        <v>71548.0</v>
      </c>
      <c r="AW87" s="62">
        <v>167.0</v>
      </c>
      <c r="AX87" s="62">
        <v>4107.0</v>
      </c>
      <c r="AY87" s="62">
        <v>9.0</v>
      </c>
      <c r="AZ87" s="62">
        <v>47.0</v>
      </c>
      <c r="BA87" s="62">
        <v>6985.0</v>
      </c>
      <c r="BB87" s="62">
        <v>3681.0</v>
      </c>
      <c r="BC87" s="62">
        <v>7965.0</v>
      </c>
      <c r="BD87" s="62">
        <v>5.0</v>
      </c>
      <c r="BE87" s="62">
        <v>0.0</v>
      </c>
      <c r="BF87" s="62">
        <v>163.0</v>
      </c>
      <c r="BG87" s="62">
        <v>0.0</v>
      </c>
      <c r="BH87" s="62">
        <v>0.0</v>
      </c>
      <c r="BI87" s="62">
        <v>0.0</v>
      </c>
      <c r="BJ87" s="62">
        <v>0.0</v>
      </c>
      <c r="BK87" s="62">
        <v>76.0</v>
      </c>
      <c r="BL87" s="62">
        <v>0.0</v>
      </c>
      <c r="BM87" s="62">
        <v>45.0</v>
      </c>
      <c r="BN87" s="62">
        <v>0.0</v>
      </c>
      <c r="BO87" s="62">
        <v>969.0</v>
      </c>
      <c r="BP87" s="62">
        <v>0.0</v>
      </c>
      <c r="BQ87" s="62">
        <v>49.0</v>
      </c>
      <c r="BR87" s="62">
        <v>0.0</v>
      </c>
      <c r="BS87" s="62">
        <v>0.0</v>
      </c>
      <c r="BT87" s="62">
        <v>0.0</v>
      </c>
      <c r="BU87" s="62">
        <v>0.0</v>
      </c>
      <c r="BV87" s="62">
        <v>34276.0</v>
      </c>
      <c r="BW87" s="62">
        <v>0.0</v>
      </c>
      <c r="BX87" s="62">
        <v>880.0</v>
      </c>
      <c r="BY87" s="62">
        <v>0.0</v>
      </c>
      <c r="BZ87" s="62">
        <v>0.0</v>
      </c>
      <c r="CA87" s="62">
        <v>173372.0</v>
      </c>
      <c r="CB87" s="62">
        <v>93366.0</v>
      </c>
      <c r="CC87" s="62">
        <v>27871.0</v>
      </c>
      <c r="CD87" s="62">
        <v>26596.0</v>
      </c>
      <c r="CE87" s="62">
        <v>14777.0</v>
      </c>
      <c r="CF87" s="62">
        <v>341922.0</v>
      </c>
      <c r="CG87" s="62">
        <v>1689.0</v>
      </c>
      <c r="CH87" s="62">
        <v>20314.0</v>
      </c>
      <c r="CI87" s="62">
        <v>199510.0</v>
      </c>
      <c r="CJ87" s="62">
        <v>59810.0</v>
      </c>
      <c r="CK87" s="62">
        <v>127344.0</v>
      </c>
      <c r="CL87" s="62">
        <v>211412.0</v>
      </c>
      <c r="CM87" s="62">
        <v>190481.0</v>
      </c>
      <c r="CN87" s="62">
        <v>88554.0</v>
      </c>
      <c r="CO87" s="62">
        <v>168183.0</v>
      </c>
      <c r="CP87" s="62">
        <v>151040.0</v>
      </c>
      <c r="CQ87" s="62">
        <v>88207.0</v>
      </c>
      <c r="CR87" s="62">
        <v>4184.0</v>
      </c>
      <c r="CS87" s="62">
        <v>2034.0</v>
      </c>
      <c r="CT87" s="62">
        <v>1209.0</v>
      </c>
      <c r="CU87" s="62">
        <v>755.0</v>
      </c>
      <c r="CV87" s="62">
        <v>129.0</v>
      </c>
      <c r="CW87" s="62">
        <v>0.0</v>
      </c>
      <c r="CX87" s="62">
        <v>372.0</v>
      </c>
      <c r="CY87" s="62">
        <v>25.0</v>
      </c>
      <c r="CZ87" s="62">
        <v>478.0</v>
      </c>
      <c r="DA87" s="62">
        <v>10990.0</v>
      </c>
      <c r="DB87" s="62">
        <v>540.0</v>
      </c>
      <c r="DC87" s="62">
        <v>24709.0</v>
      </c>
      <c r="DD87" s="62">
        <v>201.0</v>
      </c>
      <c r="DE87" s="62">
        <v>3411.0</v>
      </c>
      <c r="DF87" s="62">
        <v>4096.0</v>
      </c>
      <c r="DG87" s="62">
        <v>1000.0</v>
      </c>
      <c r="DH87" s="62">
        <v>7474.0</v>
      </c>
      <c r="DI87" s="62">
        <v>3029.0</v>
      </c>
      <c r="DJ87" s="62">
        <v>1957.0</v>
      </c>
      <c r="DK87" s="62">
        <v>2359.0</v>
      </c>
      <c r="DL87" s="62">
        <v>33702.0</v>
      </c>
      <c r="DM87" s="62">
        <v>12332.0</v>
      </c>
      <c r="DN87" s="62">
        <v>1330.0</v>
      </c>
      <c r="DO87" s="62">
        <v>28703.0</v>
      </c>
      <c r="DP87" s="62">
        <v>2981.0</v>
      </c>
      <c r="DQ87" s="62">
        <v>15466.0</v>
      </c>
      <c r="DR87" s="62">
        <v>47895.0</v>
      </c>
      <c r="DS87" s="62">
        <v>370020.0</v>
      </c>
      <c r="DT87" s="62">
        <v>16354.0</v>
      </c>
      <c r="DU87" s="62">
        <v>0.0</v>
      </c>
      <c r="DV87" s="62">
        <v>134604.0</v>
      </c>
      <c r="DW87" s="62">
        <v>86420.0</v>
      </c>
      <c r="DX87" s="62">
        <v>73944.0</v>
      </c>
      <c r="DY87" s="62">
        <v>0.0</v>
      </c>
      <c r="DZ87" s="62">
        <v>105644.0</v>
      </c>
      <c r="EA87" s="62">
        <v>11179.0</v>
      </c>
      <c r="EB87" s="62">
        <v>104508.0</v>
      </c>
      <c r="EC87" s="62">
        <v>192525.0</v>
      </c>
      <c r="ED87" s="62">
        <v>4088.0</v>
      </c>
      <c r="EE87" s="62">
        <v>11264.0</v>
      </c>
      <c r="EF87" s="62">
        <v>3353.0</v>
      </c>
      <c r="EG87" s="62">
        <v>474.0</v>
      </c>
      <c r="EH87" s="62">
        <v>0.0</v>
      </c>
      <c r="EI87" s="62">
        <v>40722.0</v>
      </c>
      <c r="EJ87" s="62">
        <v>6225.0</v>
      </c>
      <c r="EK87" s="62">
        <v>1000.0</v>
      </c>
      <c r="EL87" s="62">
        <v>47191.0</v>
      </c>
      <c r="EM87" s="62">
        <v>6905.0</v>
      </c>
      <c r="EN87" s="62">
        <v>32606.0</v>
      </c>
      <c r="EO87" s="62">
        <v>15613.0</v>
      </c>
      <c r="EP87" s="62">
        <v>7621.0</v>
      </c>
      <c r="EQ87" s="62">
        <v>2261.0</v>
      </c>
      <c r="ER87" s="62">
        <v>17014.0</v>
      </c>
      <c r="ES87" s="62">
        <v>869.0</v>
      </c>
      <c r="ET87" s="62">
        <v>773868.0</v>
      </c>
      <c r="EU87" s="62">
        <v>2960540.0</v>
      </c>
      <c r="EV87" s="62">
        <v>5738.0</v>
      </c>
      <c r="EW87" s="62">
        <v>5156.0</v>
      </c>
      <c r="EX87" s="62">
        <v>12643.0</v>
      </c>
      <c r="EY87" s="62">
        <v>15564.0</v>
      </c>
      <c r="EZ87" s="62">
        <v>280139.0</v>
      </c>
      <c r="FA87" s="62">
        <v>325336.0</v>
      </c>
      <c r="FB87" s="62">
        <v>3492612.0</v>
      </c>
      <c r="FC87" s="62">
        <v>694.0</v>
      </c>
      <c r="FD87" s="62">
        <v>2147974.0</v>
      </c>
      <c r="FE87" s="62">
        <v>269248.0</v>
      </c>
      <c r="FF87" s="62">
        <v>3300.0</v>
      </c>
      <c r="FG87" s="62">
        <v>896481.0</v>
      </c>
      <c r="FH87" s="62">
        <v>193753.0</v>
      </c>
      <c r="FI87" s="62">
        <v>220087.0</v>
      </c>
      <c r="FJ87" s="62">
        <v>17834.0</v>
      </c>
      <c r="FK87" s="62">
        <v>3971.0</v>
      </c>
      <c r="FL87" s="62">
        <v>38203.0</v>
      </c>
      <c r="FM87" s="62">
        <v>660066.0</v>
      </c>
      <c r="FN87" s="62">
        <v>242367.0</v>
      </c>
      <c r="FO87" s="62">
        <v>105524.0</v>
      </c>
      <c r="FP87" s="62">
        <v>61252.0</v>
      </c>
      <c r="FQ87" s="62">
        <v>43111.0</v>
      </c>
      <c r="FR87" s="62">
        <v>550.0</v>
      </c>
      <c r="FS87" s="62">
        <v>3041.0</v>
      </c>
      <c r="FT87" s="62">
        <v>14996.0</v>
      </c>
      <c r="FU87" s="62">
        <v>361103.0</v>
      </c>
      <c r="FV87" s="62">
        <v>36900.0</v>
      </c>
      <c r="FW87" s="62">
        <v>894907.0</v>
      </c>
      <c r="FX87" s="62">
        <v>1016875.0</v>
      </c>
      <c r="FY87" s="62">
        <v>2111281.0</v>
      </c>
      <c r="FZ87" s="62">
        <v>145516.0</v>
      </c>
      <c r="GA87" s="62">
        <v>1715484.0</v>
      </c>
      <c r="GB87" s="62">
        <v>648958.0</v>
      </c>
      <c r="GC87" s="62">
        <v>99481.0</v>
      </c>
      <c r="GD87" s="62">
        <v>8005.0</v>
      </c>
      <c r="GE87" s="62">
        <v>1508058.0</v>
      </c>
      <c r="GF87" s="63">
        <v>2.5401445E7</v>
      </c>
      <c r="GG87" s="64">
        <v>2.22939617E8</v>
      </c>
      <c r="GH87" s="65">
        <v>0.0</v>
      </c>
      <c r="GI87" s="64">
        <v>0.0</v>
      </c>
      <c r="GJ87" s="64">
        <v>0.0</v>
      </c>
      <c r="GK87" s="64">
        <v>-691359.0</v>
      </c>
      <c r="GL87" s="64">
        <v>1.03327029E8</v>
      </c>
      <c r="GM87" s="64">
        <v>2339360.0</v>
      </c>
      <c r="GN87" s="63">
        <v>3.27914647E8</v>
      </c>
      <c r="GO87" s="66">
        <v>3.53316092E8</v>
      </c>
      <c r="GP87" s="64">
        <v>1.0109391E7</v>
      </c>
      <c r="GQ87" s="64">
        <v>747601.0</v>
      </c>
      <c r="GR87" s="65">
        <v>0.0</v>
      </c>
      <c r="GS87" s="63">
        <v>1.0856992E7</v>
      </c>
      <c r="GT87" s="67">
        <v>2.0705746E7</v>
      </c>
      <c r="GU87" s="67">
        <v>5.2063499E7</v>
      </c>
      <c r="GV87" s="67">
        <v>9730719.0</v>
      </c>
      <c r="GW87" s="63">
        <v>8.2499964E7</v>
      </c>
      <c r="GX87" s="63">
        <v>1.1141605E7</v>
      </c>
      <c r="GY87" s="63">
        <v>2.48817531E8</v>
      </c>
      <c r="GZ87" s="66">
        <v>3.53316092E8</v>
      </c>
    </row>
    <row r="88" ht="15.75" customHeight="1">
      <c r="A88" s="60">
        <v>83.0</v>
      </c>
      <c r="B88" s="61" t="s">
        <v>128</v>
      </c>
      <c r="C88" s="62">
        <v>0.0</v>
      </c>
      <c r="D88" s="62">
        <v>0.0</v>
      </c>
      <c r="E88" s="62">
        <v>0.0</v>
      </c>
      <c r="F88" s="62">
        <v>0.0</v>
      </c>
      <c r="G88" s="62">
        <v>0.0</v>
      </c>
      <c r="H88" s="62">
        <v>0.0</v>
      </c>
      <c r="I88" s="62">
        <v>0.0</v>
      </c>
      <c r="J88" s="62">
        <v>0.0</v>
      </c>
      <c r="K88" s="62">
        <v>0.0</v>
      </c>
      <c r="L88" s="62">
        <v>0.0</v>
      </c>
      <c r="M88" s="62">
        <v>0.0</v>
      </c>
      <c r="N88" s="62">
        <v>0.0</v>
      </c>
      <c r="O88" s="62">
        <v>0.0</v>
      </c>
      <c r="P88" s="62">
        <v>0.0</v>
      </c>
      <c r="Q88" s="62">
        <v>0.0</v>
      </c>
      <c r="R88" s="62">
        <v>0.0</v>
      </c>
      <c r="S88" s="62">
        <v>0.0</v>
      </c>
      <c r="T88" s="62">
        <v>0.0</v>
      </c>
      <c r="U88" s="62">
        <v>0.0</v>
      </c>
      <c r="V88" s="62">
        <v>0.0</v>
      </c>
      <c r="W88" s="62">
        <v>0.0</v>
      </c>
      <c r="X88" s="62">
        <v>0.0</v>
      </c>
      <c r="Y88" s="62">
        <v>0.0</v>
      </c>
      <c r="Z88" s="62">
        <v>0.0</v>
      </c>
      <c r="AA88" s="62">
        <v>0.0</v>
      </c>
      <c r="AB88" s="62">
        <v>0.0</v>
      </c>
      <c r="AC88" s="62">
        <v>0.0</v>
      </c>
      <c r="AD88" s="62">
        <v>0.0</v>
      </c>
      <c r="AE88" s="62">
        <v>0.0</v>
      </c>
      <c r="AF88" s="62">
        <v>0.0</v>
      </c>
      <c r="AG88" s="62">
        <v>0.0</v>
      </c>
      <c r="AH88" s="62">
        <v>0.0</v>
      </c>
      <c r="AI88" s="62">
        <v>0.0</v>
      </c>
      <c r="AJ88" s="62">
        <v>0.0</v>
      </c>
      <c r="AK88" s="62">
        <v>0.0</v>
      </c>
      <c r="AL88" s="62">
        <v>0.0</v>
      </c>
      <c r="AM88" s="62">
        <v>0.0</v>
      </c>
      <c r="AN88" s="62">
        <v>0.0</v>
      </c>
      <c r="AO88" s="62">
        <v>0.0</v>
      </c>
      <c r="AP88" s="62">
        <v>0.0</v>
      </c>
      <c r="AQ88" s="62">
        <v>0.0</v>
      </c>
      <c r="AR88" s="62">
        <v>0.0</v>
      </c>
      <c r="AS88" s="62">
        <v>0.0</v>
      </c>
      <c r="AT88" s="62">
        <v>0.0</v>
      </c>
      <c r="AU88" s="62">
        <v>0.0</v>
      </c>
      <c r="AV88" s="62">
        <v>0.0</v>
      </c>
      <c r="AW88" s="62">
        <v>0.0</v>
      </c>
      <c r="AX88" s="62">
        <v>0.0</v>
      </c>
      <c r="AY88" s="62">
        <v>0.0</v>
      </c>
      <c r="AZ88" s="62">
        <v>0.0</v>
      </c>
      <c r="BA88" s="62">
        <v>0.0</v>
      </c>
      <c r="BB88" s="62">
        <v>0.0</v>
      </c>
      <c r="BC88" s="62">
        <v>0.0</v>
      </c>
      <c r="BD88" s="62">
        <v>0.0</v>
      </c>
      <c r="BE88" s="62">
        <v>0.0</v>
      </c>
      <c r="BF88" s="62">
        <v>0.0</v>
      </c>
      <c r="BG88" s="62">
        <v>0.0</v>
      </c>
      <c r="BH88" s="62">
        <v>0.0</v>
      </c>
      <c r="BI88" s="62">
        <v>0.0</v>
      </c>
      <c r="BJ88" s="62">
        <v>0.0</v>
      </c>
      <c r="BK88" s="62">
        <v>0.0</v>
      </c>
      <c r="BL88" s="62">
        <v>0.0</v>
      </c>
      <c r="BM88" s="62">
        <v>0.0</v>
      </c>
      <c r="BN88" s="62">
        <v>0.0</v>
      </c>
      <c r="BO88" s="62">
        <v>0.0</v>
      </c>
      <c r="BP88" s="62">
        <v>0.0</v>
      </c>
      <c r="BQ88" s="62">
        <v>0.0</v>
      </c>
      <c r="BR88" s="62">
        <v>0.0</v>
      </c>
      <c r="BS88" s="62">
        <v>0.0</v>
      </c>
      <c r="BT88" s="62">
        <v>0.0</v>
      </c>
      <c r="BU88" s="62">
        <v>0.0</v>
      </c>
      <c r="BV88" s="62">
        <v>0.0</v>
      </c>
      <c r="BW88" s="62">
        <v>0.0</v>
      </c>
      <c r="BX88" s="62">
        <v>0.0</v>
      </c>
      <c r="BY88" s="62">
        <v>0.0</v>
      </c>
      <c r="BZ88" s="62">
        <v>0.0</v>
      </c>
      <c r="CA88" s="62">
        <v>182227.0</v>
      </c>
      <c r="CB88" s="62">
        <v>73.0</v>
      </c>
      <c r="CC88" s="62">
        <v>8938.0</v>
      </c>
      <c r="CD88" s="62">
        <v>9722.0</v>
      </c>
      <c r="CE88" s="62">
        <v>5455.0</v>
      </c>
      <c r="CF88" s="62">
        <v>249815.0</v>
      </c>
      <c r="CG88" s="62">
        <v>1739567.0</v>
      </c>
      <c r="CH88" s="62">
        <v>2701907.0</v>
      </c>
      <c r="CI88" s="62">
        <v>2.1153919E7</v>
      </c>
      <c r="CJ88" s="62">
        <v>925.0</v>
      </c>
      <c r="CK88" s="62">
        <v>0.0</v>
      </c>
      <c r="CL88" s="62">
        <v>207.0</v>
      </c>
      <c r="CM88" s="62">
        <v>8235.0</v>
      </c>
      <c r="CN88" s="62">
        <v>0.0</v>
      </c>
      <c r="CO88" s="62">
        <v>0.0</v>
      </c>
      <c r="CP88" s="62">
        <v>416.0</v>
      </c>
      <c r="CQ88" s="62">
        <v>0.0</v>
      </c>
      <c r="CR88" s="62">
        <v>0.0</v>
      </c>
      <c r="CS88" s="62">
        <v>0.0</v>
      </c>
      <c r="CT88" s="62">
        <v>0.0</v>
      </c>
      <c r="CU88" s="62">
        <v>0.0</v>
      </c>
      <c r="CV88" s="62">
        <v>0.0</v>
      </c>
      <c r="CW88" s="62">
        <v>0.0</v>
      </c>
      <c r="CX88" s="62">
        <v>0.0</v>
      </c>
      <c r="CY88" s="62">
        <v>0.0</v>
      </c>
      <c r="CZ88" s="62">
        <v>0.0</v>
      </c>
      <c r="DA88" s="62">
        <v>0.0</v>
      </c>
      <c r="DB88" s="62">
        <v>0.0</v>
      </c>
      <c r="DC88" s="62">
        <v>0.0</v>
      </c>
      <c r="DD88" s="62">
        <v>0.0</v>
      </c>
      <c r="DE88" s="62">
        <v>0.0</v>
      </c>
      <c r="DF88" s="62">
        <v>0.0</v>
      </c>
      <c r="DG88" s="62">
        <v>0.0</v>
      </c>
      <c r="DH88" s="62">
        <v>0.0</v>
      </c>
      <c r="DI88" s="62">
        <v>0.0</v>
      </c>
      <c r="DJ88" s="62">
        <v>0.0</v>
      </c>
      <c r="DK88" s="62">
        <v>0.0</v>
      </c>
      <c r="DL88" s="62">
        <v>0.0</v>
      </c>
      <c r="DM88" s="62">
        <v>0.0</v>
      </c>
      <c r="DN88" s="62">
        <v>0.0</v>
      </c>
      <c r="DO88" s="62">
        <v>0.0</v>
      </c>
      <c r="DP88" s="62">
        <v>2077.0</v>
      </c>
      <c r="DQ88" s="62">
        <v>10381.0</v>
      </c>
      <c r="DR88" s="62">
        <v>26611.0</v>
      </c>
      <c r="DS88" s="62">
        <v>12188.0</v>
      </c>
      <c r="DT88" s="62">
        <v>0.0</v>
      </c>
      <c r="DU88" s="62">
        <v>0.0</v>
      </c>
      <c r="DV88" s="62">
        <v>0.0</v>
      </c>
      <c r="DW88" s="62">
        <v>0.0</v>
      </c>
      <c r="DX88" s="62">
        <v>2919.0</v>
      </c>
      <c r="DY88" s="62">
        <v>9831.0</v>
      </c>
      <c r="DZ88" s="62">
        <v>0.0</v>
      </c>
      <c r="EA88" s="62">
        <v>0.0</v>
      </c>
      <c r="EB88" s="62">
        <v>0.0</v>
      </c>
      <c r="EC88" s="62">
        <v>15118.0</v>
      </c>
      <c r="ED88" s="62">
        <v>0.0</v>
      </c>
      <c r="EE88" s="62">
        <v>0.0</v>
      </c>
      <c r="EF88" s="62">
        <v>0.0</v>
      </c>
      <c r="EG88" s="62">
        <v>2928.0</v>
      </c>
      <c r="EH88" s="62">
        <v>12736.0</v>
      </c>
      <c r="EI88" s="62">
        <v>1582489.0</v>
      </c>
      <c r="EJ88" s="62">
        <v>3423.0</v>
      </c>
      <c r="EK88" s="62">
        <v>14653.0</v>
      </c>
      <c r="EL88" s="62">
        <v>24802.0</v>
      </c>
      <c r="EM88" s="62">
        <v>356.0</v>
      </c>
      <c r="EN88" s="62">
        <v>0.0</v>
      </c>
      <c r="EO88" s="62">
        <v>807.0</v>
      </c>
      <c r="EP88" s="62">
        <v>2224.0</v>
      </c>
      <c r="EQ88" s="62">
        <v>0.0</v>
      </c>
      <c r="ER88" s="62">
        <v>0.0</v>
      </c>
      <c r="ES88" s="62">
        <v>0.0</v>
      </c>
      <c r="ET88" s="62">
        <v>0.0</v>
      </c>
      <c r="EU88" s="62">
        <v>0.0</v>
      </c>
      <c r="EV88" s="62">
        <v>0.0</v>
      </c>
      <c r="EW88" s="62">
        <v>0.0</v>
      </c>
      <c r="EX88" s="62">
        <v>0.0</v>
      </c>
      <c r="EY88" s="62">
        <v>0.0</v>
      </c>
      <c r="EZ88" s="62">
        <v>0.0</v>
      </c>
      <c r="FA88" s="62">
        <v>0.0</v>
      </c>
      <c r="FB88" s="62">
        <v>0.0</v>
      </c>
      <c r="FC88" s="62">
        <v>0.0</v>
      </c>
      <c r="FD88" s="62">
        <v>0.0</v>
      </c>
      <c r="FE88" s="62">
        <v>0.0</v>
      </c>
      <c r="FF88" s="62">
        <v>0.0</v>
      </c>
      <c r="FG88" s="62">
        <v>0.0</v>
      </c>
      <c r="FH88" s="62">
        <v>0.0</v>
      </c>
      <c r="FI88" s="62">
        <v>0.0</v>
      </c>
      <c r="FJ88" s="62">
        <v>0.0</v>
      </c>
      <c r="FK88" s="62">
        <v>0.0</v>
      </c>
      <c r="FL88" s="62">
        <v>0.0</v>
      </c>
      <c r="FM88" s="62">
        <v>0.0</v>
      </c>
      <c r="FN88" s="62">
        <v>0.0</v>
      </c>
      <c r="FO88" s="62">
        <v>0.0</v>
      </c>
      <c r="FP88" s="62">
        <v>0.0</v>
      </c>
      <c r="FQ88" s="62">
        <v>0.0</v>
      </c>
      <c r="FR88" s="62">
        <v>0.0</v>
      </c>
      <c r="FS88" s="62">
        <v>0.0</v>
      </c>
      <c r="FT88" s="62">
        <v>0.0</v>
      </c>
      <c r="FU88" s="62">
        <v>0.0</v>
      </c>
      <c r="FV88" s="62">
        <v>0.0</v>
      </c>
      <c r="FW88" s="62">
        <v>460164.0</v>
      </c>
      <c r="FX88" s="62">
        <v>0.0</v>
      </c>
      <c r="FY88" s="62">
        <v>0.0</v>
      </c>
      <c r="FZ88" s="62">
        <v>5265.0</v>
      </c>
      <c r="GA88" s="62">
        <v>4051.0</v>
      </c>
      <c r="GB88" s="62">
        <v>0.0</v>
      </c>
      <c r="GC88" s="62">
        <v>0.0</v>
      </c>
      <c r="GD88" s="62">
        <v>26861.0</v>
      </c>
      <c r="GE88" s="62">
        <v>0.0</v>
      </c>
      <c r="GF88" s="63">
        <v>2.828129E7</v>
      </c>
      <c r="GG88" s="64">
        <v>0.0</v>
      </c>
      <c r="GH88" s="65">
        <v>0.0</v>
      </c>
      <c r="GI88" s="64">
        <v>0.0</v>
      </c>
      <c r="GJ88" s="64">
        <v>0.0</v>
      </c>
      <c r="GK88" s="64">
        <v>386407.0</v>
      </c>
      <c r="GL88" s="64">
        <v>894787.0</v>
      </c>
      <c r="GM88" s="64">
        <v>0.0</v>
      </c>
      <c r="GN88" s="63">
        <v>1281194.0</v>
      </c>
      <c r="GO88" s="66">
        <v>2.9562484E7</v>
      </c>
      <c r="GP88" s="64">
        <v>5368904.0</v>
      </c>
      <c r="GQ88" s="64">
        <v>0.0</v>
      </c>
      <c r="GR88" s="65">
        <v>0.0</v>
      </c>
      <c r="GS88" s="63">
        <v>5368904.0</v>
      </c>
      <c r="GT88" s="67">
        <v>3383114.0</v>
      </c>
      <c r="GU88" s="67">
        <v>836387.0</v>
      </c>
      <c r="GV88" s="67">
        <v>124086.0</v>
      </c>
      <c r="GW88" s="63">
        <v>4343587.0</v>
      </c>
      <c r="GX88" s="63">
        <v>91136.0</v>
      </c>
      <c r="GY88" s="63">
        <v>1.9758857E7</v>
      </c>
      <c r="GZ88" s="66">
        <v>2.9562484E7</v>
      </c>
    </row>
    <row r="89" ht="15.75" customHeight="1">
      <c r="A89" s="60">
        <v>84.0</v>
      </c>
      <c r="B89" s="61" t="s">
        <v>129</v>
      </c>
      <c r="C89" s="62">
        <v>0.0</v>
      </c>
      <c r="D89" s="62">
        <v>0.0</v>
      </c>
      <c r="E89" s="62">
        <v>0.0</v>
      </c>
      <c r="F89" s="62">
        <v>0.0</v>
      </c>
      <c r="G89" s="62">
        <v>0.0</v>
      </c>
      <c r="H89" s="62">
        <v>0.0</v>
      </c>
      <c r="I89" s="62">
        <v>0.0</v>
      </c>
      <c r="J89" s="62">
        <v>0.0</v>
      </c>
      <c r="K89" s="62">
        <v>0.0</v>
      </c>
      <c r="L89" s="62">
        <v>0.0</v>
      </c>
      <c r="M89" s="62">
        <v>0.0</v>
      </c>
      <c r="N89" s="62">
        <v>0.0</v>
      </c>
      <c r="O89" s="62">
        <v>0.0</v>
      </c>
      <c r="P89" s="62">
        <v>0.0</v>
      </c>
      <c r="Q89" s="62">
        <v>0.0</v>
      </c>
      <c r="R89" s="62">
        <v>0.0</v>
      </c>
      <c r="S89" s="62">
        <v>0.0</v>
      </c>
      <c r="T89" s="62">
        <v>0.0</v>
      </c>
      <c r="U89" s="62">
        <v>0.0</v>
      </c>
      <c r="V89" s="62">
        <v>0.0</v>
      </c>
      <c r="W89" s="62">
        <v>0.0</v>
      </c>
      <c r="X89" s="62">
        <v>0.0</v>
      </c>
      <c r="Y89" s="62">
        <v>0.0</v>
      </c>
      <c r="Z89" s="62">
        <v>0.0</v>
      </c>
      <c r="AA89" s="62">
        <v>0.0</v>
      </c>
      <c r="AB89" s="62">
        <v>0.0</v>
      </c>
      <c r="AC89" s="62">
        <v>0.0</v>
      </c>
      <c r="AD89" s="62">
        <v>0.0</v>
      </c>
      <c r="AE89" s="62">
        <v>0.0</v>
      </c>
      <c r="AF89" s="62">
        <v>0.0</v>
      </c>
      <c r="AG89" s="62">
        <v>0.0</v>
      </c>
      <c r="AH89" s="62">
        <v>0.0</v>
      </c>
      <c r="AI89" s="62">
        <v>0.0</v>
      </c>
      <c r="AJ89" s="62">
        <v>0.0</v>
      </c>
      <c r="AK89" s="62">
        <v>0.0</v>
      </c>
      <c r="AL89" s="62">
        <v>0.0</v>
      </c>
      <c r="AM89" s="62">
        <v>0.0</v>
      </c>
      <c r="AN89" s="62">
        <v>0.0</v>
      </c>
      <c r="AO89" s="62">
        <v>0.0</v>
      </c>
      <c r="AP89" s="62">
        <v>0.0</v>
      </c>
      <c r="AQ89" s="62">
        <v>0.0</v>
      </c>
      <c r="AR89" s="62">
        <v>0.0</v>
      </c>
      <c r="AS89" s="62">
        <v>0.0</v>
      </c>
      <c r="AT89" s="62">
        <v>0.0</v>
      </c>
      <c r="AU89" s="62">
        <v>0.0</v>
      </c>
      <c r="AV89" s="62">
        <v>0.0</v>
      </c>
      <c r="AW89" s="62">
        <v>0.0</v>
      </c>
      <c r="AX89" s="62">
        <v>0.0</v>
      </c>
      <c r="AY89" s="62">
        <v>0.0</v>
      </c>
      <c r="AZ89" s="62">
        <v>0.0</v>
      </c>
      <c r="BA89" s="62">
        <v>0.0</v>
      </c>
      <c r="BB89" s="62">
        <v>0.0</v>
      </c>
      <c r="BC89" s="62">
        <v>0.0</v>
      </c>
      <c r="BD89" s="62">
        <v>0.0</v>
      </c>
      <c r="BE89" s="62">
        <v>0.0</v>
      </c>
      <c r="BF89" s="62">
        <v>0.0</v>
      </c>
      <c r="BG89" s="62">
        <v>0.0</v>
      </c>
      <c r="BH89" s="62">
        <v>0.0</v>
      </c>
      <c r="BI89" s="62">
        <v>0.0</v>
      </c>
      <c r="BJ89" s="62">
        <v>0.0</v>
      </c>
      <c r="BK89" s="62">
        <v>0.0</v>
      </c>
      <c r="BL89" s="62">
        <v>0.0</v>
      </c>
      <c r="BM89" s="62">
        <v>0.0</v>
      </c>
      <c r="BN89" s="62">
        <v>0.0</v>
      </c>
      <c r="BO89" s="62">
        <v>0.0</v>
      </c>
      <c r="BP89" s="62">
        <v>0.0</v>
      </c>
      <c r="BQ89" s="62">
        <v>0.0</v>
      </c>
      <c r="BR89" s="62">
        <v>0.0</v>
      </c>
      <c r="BS89" s="62">
        <v>0.0</v>
      </c>
      <c r="BT89" s="62">
        <v>0.0</v>
      </c>
      <c r="BU89" s="62">
        <v>0.0</v>
      </c>
      <c r="BV89" s="62">
        <v>0.0</v>
      </c>
      <c r="BW89" s="62">
        <v>0.0</v>
      </c>
      <c r="BX89" s="62">
        <v>0.0</v>
      </c>
      <c r="BY89" s="62">
        <v>0.0</v>
      </c>
      <c r="BZ89" s="62">
        <v>0.0</v>
      </c>
      <c r="CA89" s="62">
        <v>0.0</v>
      </c>
      <c r="CB89" s="62">
        <v>55.0</v>
      </c>
      <c r="CC89" s="62">
        <v>3235.0</v>
      </c>
      <c r="CD89" s="62">
        <v>16928.0</v>
      </c>
      <c r="CE89" s="62">
        <v>5539.0</v>
      </c>
      <c r="CF89" s="62">
        <v>247989.0</v>
      </c>
      <c r="CG89" s="62">
        <v>10417.0</v>
      </c>
      <c r="CH89" s="62">
        <v>421023.0</v>
      </c>
      <c r="CI89" s="62">
        <v>1783247.0</v>
      </c>
      <c r="CJ89" s="62">
        <v>1935.0</v>
      </c>
      <c r="CK89" s="62">
        <v>0.0</v>
      </c>
      <c r="CL89" s="62">
        <v>31237.0</v>
      </c>
      <c r="CM89" s="62">
        <v>1270.0</v>
      </c>
      <c r="CN89" s="62">
        <v>0.0</v>
      </c>
      <c r="CO89" s="62">
        <v>236.0</v>
      </c>
      <c r="CP89" s="62">
        <v>1154.0</v>
      </c>
      <c r="CQ89" s="62">
        <v>1763.0</v>
      </c>
      <c r="CR89" s="62">
        <v>0.0</v>
      </c>
      <c r="CS89" s="62">
        <v>0.0</v>
      </c>
      <c r="CT89" s="62">
        <v>0.0</v>
      </c>
      <c r="CU89" s="62">
        <v>0.0</v>
      </c>
      <c r="CV89" s="62">
        <v>40.0</v>
      </c>
      <c r="CW89" s="62">
        <v>0.0</v>
      </c>
      <c r="CX89" s="62">
        <v>0.0</v>
      </c>
      <c r="CY89" s="62">
        <v>0.0</v>
      </c>
      <c r="CZ89" s="62">
        <v>0.0</v>
      </c>
      <c r="DA89" s="62">
        <v>0.0</v>
      </c>
      <c r="DB89" s="62">
        <v>136.0</v>
      </c>
      <c r="DC89" s="62">
        <v>0.0</v>
      </c>
      <c r="DD89" s="62">
        <v>6.0</v>
      </c>
      <c r="DE89" s="62">
        <v>0.0</v>
      </c>
      <c r="DF89" s="62">
        <v>0.0</v>
      </c>
      <c r="DG89" s="62">
        <v>0.0</v>
      </c>
      <c r="DH89" s="62">
        <v>0.0</v>
      </c>
      <c r="DI89" s="62">
        <v>0.0</v>
      </c>
      <c r="DJ89" s="62">
        <v>0.0</v>
      </c>
      <c r="DK89" s="62">
        <v>0.0</v>
      </c>
      <c r="DL89" s="62">
        <v>0.0</v>
      </c>
      <c r="DM89" s="62">
        <v>0.0</v>
      </c>
      <c r="DN89" s="62">
        <v>0.0</v>
      </c>
      <c r="DO89" s="62">
        <v>0.0</v>
      </c>
      <c r="DP89" s="62">
        <v>0.0</v>
      </c>
      <c r="DQ89" s="62">
        <v>0.0</v>
      </c>
      <c r="DR89" s="62">
        <v>10583.0</v>
      </c>
      <c r="DS89" s="62">
        <v>662.0</v>
      </c>
      <c r="DT89" s="62">
        <v>0.0</v>
      </c>
      <c r="DU89" s="62">
        <v>0.0</v>
      </c>
      <c r="DV89" s="62">
        <v>0.0</v>
      </c>
      <c r="DW89" s="62">
        <v>0.0</v>
      </c>
      <c r="DX89" s="62">
        <v>0.0</v>
      </c>
      <c r="DY89" s="62">
        <v>0.0</v>
      </c>
      <c r="DZ89" s="62">
        <v>6701.0</v>
      </c>
      <c r="EA89" s="62">
        <v>0.0</v>
      </c>
      <c r="EB89" s="62">
        <v>0.0</v>
      </c>
      <c r="EC89" s="62">
        <v>246547.0</v>
      </c>
      <c r="ED89" s="62">
        <v>892.0</v>
      </c>
      <c r="EE89" s="62">
        <v>0.0</v>
      </c>
      <c r="EF89" s="62">
        <v>0.0</v>
      </c>
      <c r="EG89" s="62">
        <v>24708.0</v>
      </c>
      <c r="EH89" s="62">
        <v>155046.0</v>
      </c>
      <c r="EI89" s="62">
        <v>19959.0</v>
      </c>
      <c r="EJ89" s="62">
        <v>49908.0</v>
      </c>
      <c r="EK89" s="62">
        <v>77009.0</v>
      </c>
      <c r="EL89" s="62">
        <v>21386.0</v>
      </c>
      <c r="EM89" s="62">
        <v>179.0</v>
      </c>
      <c r="EN89" s="62">
        <v>0.0</v>
      </c>
      <c r="EO89" s="62">
        <v>574.0</v>
      </c>
      <c r="EP89" s="62">
        <v>24301.0</v>
      </c>
      <c r="EQ89" s="62">
        <v>0.0</v>
      </c>
      <c r="ER89" s="62">
        <v>0.0</v>
      </c>
      <c r="ES89" s="62">
        <v>0.0</v>
      </c>
      <c r="ET89" s="62">
        <v>93.0</v>
      </c>
      <c r="EU89" s="62">
        <v>334.0</v>
      </c>
      <c r="EV89" s="62">
        <v>1327.0</v>
      </c>
      <c r="EW89" s="62">
        <v>41.0</v>
      </c>
      <c r="EX89" s="62">
        <v>10912.0</v>
      </c>
      <c r="EY89" s="62">
        <v>877.0</v>
      </c>
      <c r="EZ89" s="62">
        <v>0.0</v>
      </c>
      <c r="FA89" s="62">
        <v>0.0</v>
      </c>
      <c r="FB89" s="62">
        <v>0.0</v>
      </c>
      <c r="FC89" s="62">
        <v>0.0</v>
      </c>
      <c r="FD89" s="62">
        <v>0.0</v>
      </c>
      <c r="FE89" s="62">
        <v>0.0</v>
      </c>
      <c r="FF89" s="62">
        <v>0.0</v>
      </c>
      <c r="FG89" s="62">
        <v>0.0</v>
      </c>
      <c r="FH89" s="62">
        <v>997.0</v>
      </c>
      <c r="FI89" s="62">
        <v>17.0</v>
      </c>
      <c r="FJ89" s="62">
        <v>0.0</v>
      </c>
      <c r="FK89" s="62">
        <v>0.0</v>
      </c>
      <c r="FL89" s="62">
        <v>71.0</v>
      </c>
      <c r="FM89" s="62">
        <v>863.0</v>
      </c>
      <c r="FN89" s="62">
        <v>0.0</v>
      </c>
      <c r="FO89" s="62">
        <v>0.0</v>
      </c>
      <c r="FP89" s="62">
        <v>450189.0</v>
      </c>
      <c r="FQ89" s="62">
        <v>0.0</v>
      </c>
      <c r="FR89" s="62">
        <v>0.0</v>
      </c>
      <c r="FS89" s="62">
        <v>388.0</v>
      </c>
      <c r="FT89" s="62">
        <v>1008.0</v>
      </c>
      <c r="FU89" s="62">
        <v>1078254.0</v>
      </c>
      <c r="FV89" s="62">
        <v>33323.0</v>
      </c>
      <c r="FW89" s="62">
        <v>252498.0</v>
      </c>
      <c r="FX89" s="62">
        <v>226295.0</v>
      </c>
      <c r="FY89" s="62">
        <v>662639.0</v>
      </c>
      <c r="FZ89" s="62">
        <v>2912.0</v>
      </c>
      <c r="GA89" s="62">
        <v>16290.0</v>
      </c>
      <c r="GB89" s="62">
        <v>243.0</v>
      </c>
      <c r="GC89" s="62">
        <v>67629.0</v>
      </c>
      <c r="GD89" s="62">
        <v>165441.0</v>
      </c>
      <c r="GE89" s="62">
        <v>5803.0</v>
      </c>
      <c r="GF89" s="63">
        <v>6143109.0</v>
      </c>
      <c r="GG89" s="64">
        <v>1.3503916E7</v>
      </c>
      <c r="GH89" s="65">
        <v>0.0</v>
      </c>
      <c r="GI89" s="64">
        <v>0.0</v>
      </c>
      <c r="GJ89" s="64">
        <v>521547.0</v>
      </c>
      <c r="GK89" s="64">
        <v>4598583.0</v>
      </c>
      <c r="GL89" s="64">
        <v>8093916.0</v>
      </c>
      <c r="GM89" s="64">
        <v>132882.0</v>
      </c>
      <c r="GN89" s="63">
        <v>2.6850844E7</v>
      </c>
      <c r="GO89" s="66">
        <v>3.2993953E7</v>
      </c>
      <c r="GP89" s="64">
        <v>4320502.0</v>
      </c>
      <c r="GQ89" s="64">
        <v>82321.0</v>
      </c>
      <c r="GR89" s="65">
        <v>0.0</v>
      </c>
      <c r="GS89" s="63">
        <v>4402823.0</v>
      </c>
      <c r="GT89" s="67">
        <v>4180901.0</v>
      </c>
      <c r="GU89" s="67">
        <v>5176905.0</v>
      </c>
      <c r="GV89" s="67">
        <v>977095.0</v>
      </c>
      <c r="GW89" s="63">
        <v>1.0334901E7</v>
      </c>
      <c r="GX89" s="63">
        <v>1307128.0</v>
      </c>
      <c r="GY89" s="63">
        <v>1.6949101E7</v>
      </c>
      <c r="GZ89" s="66">
        <v>3.2993953E7</v>
      </c>
    </row>
    <row r="90" ht="15.75" customHeight="1">
      <c r="A90" s="68">
        <v>85.0</v>
      </c>
      <c r="B90" s="69" t="s">
        <v>130</v>
      </c>
      <c r="C90" s="70">
        <v>0.0</v>
      </c>
      <c r="D90" s="70">
        <v>0.0</v>
      </c>
      <c r="E90" s="70">
        <v>0.0</v>
      </c>
      <c r="F90" s="70">
        <v>0.0</v>
      </c>
      <c r="G90" s="70">
        <v>0.0</v>
      </c>
      <c r="H90" s="70">
        <v>0.0</v>
      </c>
      <c r="I90" s="70">
        <v>0.0</v>
      </c>
      <c r="J90" s="70">
        <v>0.0</v>
      </c>
      <c r="K90" s="70">
        <v>0.0</v>
      </c>
      <c r="L90" s="70">
        <v>0.0</v>
      </c>
      <c r="M90" s="70">
        <v>0.0</v>
      </c>
      <c r="N90" s="70">
        <v>0.0</v>
      </c>
      <c r="O90" s="70">
        <v>0.0</v>
      </c>
      <c r="P90" s="70">
        <v>0.0</v>
      </c>
      <c r="Q90" s="70">
        <v>0.0</v>
      </c>
      <c r="R90" s="70">
        <v>0.0</v>
      </c>
      <c r="S90" s="70">
        <v>0.0</v>
      </c>
      <c r="T90" s="70">
        <v>0.0</v>
      </c>
      <c r="U90" s="70">
        <v>0.0</v>
      </c>
      <c r="V90" s="70">
        <v>0.0</v>
      </c>
      <c r="W90" s="70">
        <v>0.0</v>
      </c>
      <c r="X90" s="70">
        <v>0.0</v>
      </c>
      <c r="Y90" s="70">
        <v>0.0</v>
      </c>
      <c r="Z90" s="70">
        <v>0.0</v>
      </c>
      <c r="AA90" s="70">
        <v>0.0</v>
      </c>
      <c r="AB90" s="70">
        <v>989.0</v>
      </c>
      <c r="AC90" s="70">
        <v>217.0</v>
      </c>
      <c r="AD90" s="70">
        <v>286.0</v>
      </c>
      <c r="AE90" s="70">
        <v>20.0</v>
      </c>
      <c r="AF90" s="70">
        <v>306.0</v>
      </c>
      <c r="AG90" s="70">
        <v>1321.0</v>
      </c>
      <c r="AH90" s="70">
        <v>442.0</v>
      </c>
      <c r="AI90" s="70">
        <v>132135.0</v>
      </c>
      <c r="AJ90" s="70">
        <v>101.0</v>
      </c>
      <c r="AK90" s="70">
        <v>0.0</v>
      </c>
      <c r="AL90" s="70">
        <v>66.0</v>
      </c>
      <c r="AM90" s="70">
        <v>19205.0</v>
      </c>
      <c r="AN90" s="70">
        <v>2771.0</v>
      </c>
      <c r="AO90" s="70">
        <v>2027.0</v>
      </c>
      <c r="AP90" s="70">
        <v>724.0</v>
      </c>
      <c r="AQ90" s="70">
        <v>21857.0</v>
      </c>
      <c r="AR90" s="70">
        <v>154.0</v>
      </c>
      <c r="AS90" s="70">
        <v>1606.0</v>
      </c>
      <c r="AT90" s="70">
        <v>162.0</v>
      </c>
      <c r="AU90" s="70">
        <v>4824.0</v>
      </c>
      <c r="AV90" s="70">
        <v>132451.0</v>
      </c>
      <c r="AW90" s="70">
        <v>352.0</v>
      </c>
      <c r="AX90" s="70">
        <v>158548.0</v>
      </c>
      <c r="AY90" s="70">
        <v>552.0</v>
      </c>
      <c r="AZ90" s="70">
        <v>913.0</v>
      </c>
      <c r="BA90" s="70">
        <v>2465.0</v>
      </c>
      <c r="BB90" s="70">
        <v>10566.0</v>
      </c>
      <c r="BC90" s="70">
        <v>0.0</v>
      </c>
      <c r="BD90" s="70">
        <v>0.0</v>
      </c>
      <c r="BE90" s="70">
        <v>0.0</v>
      </c>
      <c r="BF90" s="70">
        <v>82.0</v>
      </c>
      <c r="BG90" s="70">
        <v>0.0</v>
      </c>
      <c r="BH90" s="70">
        <v>0.0</v>
      </c>
      <c r="BI90" s="70">
        <v>0.0</v>
      </c>
      <c r="BJ90" s="70">
        <v>11786.0</v>
      </c>
      <c r="BK90" s="70">
        <v>0.0</v>
      </c>
      <c r="BL90" s="70">
        <v>0.0</v>
      </c>
      <c r="BM90" s="70">
        <v>20.0</v>
      </c>
      <c r="BN90" s="70">
        <v>0.0</v>
      </c>
      <c r="BO90" s="70">
        <v>1253.0</v>
      </c>
      <c r="BP90" s="70">
        <v>0.0</v>
      </c>
      <c r="BQ90" s="70">
        <v>0.0</v>
      </c>
      <c r="BR90" s="70">
        <v>0.0</v>
      </c>
      <c r="BS90" s="70">
        <v>0.0</v>
      </c>
      <c r="BT90" s="70">
        <v>0.0</v>
      </c>
      <c r="BU90" s="70">
        <v>12242.0</v>
      </c>
      <c r="BV90" s="70">
        <v>1123.0</v>
      </c>
      <c r="BW90" s="70">
        <v>0.0</v>
      </c>
      <c r="BX90" s="70">
        <v>324.0</v>
      </c>
      <c r="BY90" s="70">
        <v>0.0</v>
      </c>
      <c r="BZ90" s="70">
        <v>0.0</v>
      </c>
      <c r="CA90" s="70">
        <v>154723.0</v>
      </c>
      <c r="CB90" s="70">
        <v>107.0</v>
      </c>
      <c r="CC90" s="70">
        <v>136.0</v>
      </c>
      <c r="CD90" s="70">
        <v>18548.0</v>
      </c>
      <c r="CE90" s="70">
        <v>20427.0</v>
      </c>
      <c r="CF90" s="70">
        <v>224182.0</v>
      </c>
      <c r="CG90" s="70">
        <v>11982.0</v>
      </c>
      <c r="CH90" s="70">
        <v>168260.0</v>
      </c>
      <c r="CI90" s="70">
        <v>1897681.0</v>
      </c>
      <c r="CJ90" s="70">
        <v>99.0</v>
      </c>
      <c r="CK90" s="70">
        <v>117.0</v>
      </c>
      <c r="CL90" s="70">
        <v>999.0</v>
      </c>
      <c r="CM90" s="70">
        <v>1488.0</v>
      </c>
      <c r="CN90" s="70">
        <v>18102.0</v>
      </c>
      <c r="CO90" s="70">
        <v>16099.0</v>
      </c>
      <c r="CP90" s="70">
        <v>70215.0</v>
      </c>
      <c r="CQ90" s="70">
        <v>2792.0</v>
      </c>
      <c r="CR90" s="70">
        <v>3420.0</v>
      </c>
      <c r="CS90" s="70">
        <v>1258.0</v>
      </c>
      <c r="CT90" s="70">
        <v>2908.0</v>
      </c>
      <c r="CU90" s="70">
        <v>984.0</v>
      </c>
      <c r="CV90" s="70">
        <v>1955.0</v>
      </c>
      <c r="CW90" s="70">
        <v>1425.0</v>
      </c>
      <c r="CX90" s="70">
        <v>335.0</v>
      </c>
      <c r="CY90" s="70">
        <v>29.0</v>
      </c>
      <c r="CZ90" s="70">
        <v>274.0</v>
      </c>
      <c r="DA90" s="70">
        <v>1263.0</v>
      </c>
      <c r="DB90" s="70">
        <v>406.0</v>
      </c>
      <c r="DC90" s="70">
        <v>3527.0</v>
      </c>
      <c r="DD90" s="70">
        <v>252.0</v>
      </c>
      <c r="DE90" s="70">
        <v>348.0</v>
      </c>
      <c r="DF90" s="70">
        <v>21186.0</v>
      </c>
      <c r="DG90" s="70">
        <v>4870.0</v>
      </c>
      <c r="DH90" s="70">
        <v>71765.0</v>
      </c>
      <c r="DI90" s="70">
        <v>2191.0</v>
      </c>
      <c r="DJ90" s="70">
        <v>2429.0</v>
      </c>
      <c r="DK90" s="70">
        <v>2591.0</v>
      </c>
      <c r="DL90" s="70">
        <v>1081.0</v>
      </c>
      <c r="DM90" s="70">
        <v>395.0</v>
      </c>
      <c r="DN90" s="70">
        <v>64.0</v>
      </c>
      <c r="DO90" s="70">
        <v>114862.0</v>
      </c>
      <c r="DP90" s="70">
        <v>0.0</v>
      </c>
      <c r="DQ90" s="70">
        <v>2582.0</v>
      </c>
      <c r="DR90" s="70">
        <v>4629.0</v>
      </c>
      <c r="DS90" s="70">
        <v>1396.0</v>
      </c>
      <c r="DT90" s="70">
        <v>0.0</v>
      </c>
      <c r="DU90" s="70">
        <v>0.0</v>
      </c>
      <c r="DV90" s="70">
        <v>0.0</v>
      </c>
      <c r="DW90" s="70">
        <v>0.0</v>
      </c>
      <c r="DX90" s="70">
        <v>869.0</v>
      </c>
      <c r="DY90" s="70">
        <v>35.0</v>
      </c>
      <c r="DZ90" s="70">
        <v>24328.0</v>
      </c>
      <c r="EA90" s="70">
        <v>2146.0</v>
      </c>
      <c r="EB90" s="70">
        <v>19310.0</v>
      </c>
      <c r="EC90" s="70">
        <v>241514.0</v>
      </c>
      <c r="ED90" s="70">
        <v>0.0</v>
      </c>
      <c r="EE90" s="70">
        <v>0.0</v>
      </c>
      <c r="EF90" s="70">
        <v>0.0</v>
      </c>
      <c r="EG90" s="70">
        <v>0.0</v>
      </c>
      <c r="EH90" s="70">
        <v>58533.0</v>
      </c>
      <c r="EI90" s="70">
        <v>57229.0</v>
      </c>
      <c r="EJ90" s="70">
        <v>10.0</v>
      </c>
      <c r="EK90" s="70">
        <v>64.0</v>
      </c>
      <c r="EL90" s="70">
        <v>1357.0</v>
      </c>
      <c r="EM90" s="70">
        <v>471.0</v>
      </c>
      <c r="EN90" s="70">
        <v>401.0</v>
      </c>
      <c r="EO90" s="70">
        <v>47555.0</v>
      </c>
      <c r="EP90" s="70">
        <v>7281.0</v>
      </c>
      <c r="EQ90" s="70">
        <v>1641.0</v>
      </c>
      <c r="ER90" s="70">
        <v>2886.0</v>
      </c>
      <c r="ES90" s="70">
        <v>1214.0</v>
      </c>
      <c r="ET90" s="70">
        <v>6021.0</v>
      </c>
      <c r="EU90" s="70">
        <v>3450.0</v>
      </c>
      <c r="EV90" s="70">
        <v>556.0</v>
      </c>
      <c r="EW90" s="70">
        <v>20.0</v>
      </c>
      <c r="EX90" s="70">
        <v>2989.0</v>
      </c>
      <c r="EY90" s="70">
        <v>7769.0</v>
      </c>
      <c r="EZ90" s="70">
        <v>110587.0</v>
      </c>
      <c r="FA90" s="70">
        <v>76128.0</v>
      </c>
      <c r="FB90" s="70">
        <v>2013763.0</v>
      </c>
      <c r="FC90" s="70">
        <v>1091.0</v>
      </c>
      <c r="FD90" s="70">
        <v>2294104.0</v>
      </c>
      <c r="FE90" s="70">
        <v>489107.0</v>
      </c>
      <c r="FF90" s="70">
        <v>7586.0</v>
      </c>
      <c r="FG90" s="70">
        <v>715162.0</v>
      </c>
      <c r="FH90" s="70">
        <v>227229.0</v>
      </c>
      <c r="FI90" s="70">
        <v>98287.0</v>
      </c>
      <c r="FJ90" s="70">
        <v>1298.0</v>
      </c>
      <c r="FK90" s="70">
        <v>555.0</v>
      </c>
      <c r="FL90" s="70">
        <v>4456.0</v>
      </c>
      <c r="FM90" s="70">
        <v>9414.0</v>
      </c>
      <c r="FN90" s="70">
        <v>33560.0</v>
      </c>
      <c r="FO90" s="70">
        <v>2336.0</v>
      </c>
      <c r="FP90" s="70">
        <v>2996.0</v>
      </c>
      <c r="FQ90" s="70">
        <v>0.0</v>
      </c>
      <c r="FR90" s="70">
        <v>0.0</v>
      </c>
      <c r="FS90" s="70">
        <v>0.0</v>
      </c>
      <c r="FT90" s="70">
        <v>8986.0</v>
      </c>
      <c r="FU90" s="70">
        <v>1174371.0</v>
      </c>
      <c r="FV90" s="70">
        <v>4574.0</v>
      </c>
      <c r="FW90" s="70">
        <v>9232.0</v>
      </c>
      <c r="FX90" s="70">
        <v>6090.0</v>
      </c>
      <c r="FY90" s="70">
        <v>1002926.0</v>
      </c>
      <c r="FZ90" s="70">
        <v>66.0</v>
      </c>
      <c r="GA90" s="70">
        <v>25668.0</v>
      </c>
      <c r="GB90" s="70">
        <v>128076.0</v>
      </c>
      <c r="GC90" s="70">
        <v>51875.0</v>
      </c>
      <c r="GD90" s="70">
        <v>16259.0</v>
      </c>
      <c r="GE90" s="70">
        <v>70287.0</v>
      </c>
      <c r="GF90" s="71">
        <v>1.244999E7</v>
      </c>
      <c r="GG90" s="72">
        <v>5.9395264E7</v>
      </c>
      <c r="GH90" s="73">
        <v>0.0</v>
      </c>
      <c r="GI90" s="72">
        <v>0.0</v>
      </c>
      <c r="GJ90" s="72">
        <v>0.0</v>
      </c>
      <c r="GK90" s="72">
        <v>-14117.0</v>
      </c>
      <c r="GL90" s="72">
        <v>7.0692728E7</v>
      </c>
      <c r="GM90" s="72">
        <v>131409.0</v>
      </c>
      <c r="GN90" s="71">
        <v>1.30205284E8</v>
      </c>
      <c r="GO90" s="74">
        <v>1.42655274E8</v>
      </c>
      <c r="GP90" s="72">
        <v>9390681.0</v>
      </c>
      <c r="GQ90" s="72">
        <v>197806.0</v>
      </c>
      <c r="GR90" s="73">
        <v>0.0</v>
      </c>
      <c r="GS90" s="71">
        <v>9588487.0</v>
      </c>
      <c r="GT90" s="75">
        <v>1.4855231E7</v>
      </c>
      <c r="GU90" s="75">
        <v>1.6504923E7</v>
      </c>
      <c r="GV90" s="75">
        <v>2108395.0</v>
      </c>
      <c r="GW90" s="71">
        <v>3.3468549E7</v>
      </c>
      <c r="GX90" s="71">
        <v>3362271.0</v>
      </c>
      <c r="GY90" s="71">
        <v>9.6235967E7</v>
      </c>
      <c r="GZ90" s="74">
        <v>1.42655274E8</v>
      </c>
    </row>
    <row r="91" ht="15.75" customHeight="1">
      <c r="A91" s="52">
        <v>86.0</v>
      </c>
      <c r="B91" s="53" t="s">
        <v>131</v>
      </c>
      <c r="C91" s="54">
        <v>0.0</v>
      </c>
      <c r="D91" s="54">
        <v>0.0</v>
      </c>
      <c r="E91" s="54">
        <v>0.0</v>
      </c>
      <c r="F91" s="54">
        <v>0.0</v>
      </c>
      <c r="G91" s="54">
        <v>0.0</v>
      </c>
      <c r="H91" s="54">
        <v>0.0</v>
      </c>
      <c r="I91" s="54">
        <v>0.0</v>
      </c>
      <c r="J91" s="54">
        <v>0.0</v>
      </c>
      <c r="K91" s="54">
        <v>0.0</v>
      </c>
      <c r="L91" s="54">
        <v>0.0</v>
      </c>
      <c r="M91" s="54">
        <v>0.0</v>
      </c>
      <c r="N91" s="54">
        <v>108.0</v>
      </c>
      <c r="O91" s="54">
        <v>0.0</v>
      </c>
      <c r="P91" s="54">
        <v>17.0</v>
      </c>
      <c r="Q91" s="54">
        <v>164.0</v>
      </c>
      <c r="R91" s="54">
        <v>0.0</v>
      </c>
      <c r="S91" s="54">
        <v>0.0</v>
      </c>
      <c r="T91" s="54">
        <v>0.0</v>
      </c>
      <c r="U91" s="54">
        <v>17.0</v>
      </c>
      <c r="V91" s="54">
        <v>1106.0</v>
      </c>
      <c r="W91" s="54">
        <v>456.0</v>
      </c>
      <c r="X91" s="54">
        <v>0.0</v>
      </c>
      <c r="Y91" s="54">
        <v>543.0</v>
      </c>
      <c r="Z91" s="54">
        <v>413.0</v>
      </c>
      <c r="AA91" s="54">
        <v>341.0</v>
      </c>
      <c r="AB91" s="54">
        <v>726.0</v>
      </c>
      <c r="AC91" s="54">
        <v>329.0</v>
      </c>
      <c r="AD91" s="54">
        <v>251.0</v>
      </c>
      <c r="AE91" s="54">
        <v>32.0</v>
      </c>
      <c r="AF91" s="54">
        <v>812.0</v>
      </c>
      <c r="AG91" s="54">
        <v>3417.0</v>
      </c>
      <c r="AH91" s="54">
        <v>1371.0</v>
      </c>
      <c r="AI91" s="54">
        <v>4584.0</v>
      </c>
      <c r="AJ91" s="54">
        <v>784.0</v>
      </c>
      <c r="AK91" s="54">
        <v>63.0</v>
      </c>
      <c r="AL91" s="54">
        <v>296.0</v>
      </c>
      <c r="AM91" s="54">
        <v>0.0</v>
      </c>
      <c r="AN91" s="54">
        <v>0.0</v>
      </c>
      <c r="AO91" s="54">
        <v>0.0</v>
      </c>
      <c r="AP91" s="54">
        <v>0.0</v>
      </c>
      <c r="AQ91" s="54">
        <v>654.0</v>
      </c>
      <c r="AR91" s="54">
        <v>31.0</v>
      </c>
      <c r="AS91" s="54">
        <v>328.0</v>
      </c>
      <c r="AT91" s="54">
        <v>0.0</v>
      </c>
      <c r="AU91" s="54">
        <v>985.0</v>
      </c>
      <c r="AV91" s="54">
        <v>27037.0</v>
      </c>
      <c r="AW91" s="54">
        <v>149.0</v>
      </c>
      <c r="AX91" s="54">
        <v>1001471.0</v>
      </c>
      <c r="AY91" s="54">
        <v>82033.0</v>
      </c>
      <c r="AZ91" s="54">
        <v>111.0</v>
      </c>
      <c r="BA91" s="54">
        <v>258857.0</v>
      </c>
      <c r="BB91" s="54">
        <v>20306.0</v>
      </c>
      <c r="BC91" s="54">
        <v>0.0</v>
      </c>
      <c r="BD91" s="54">
        <v>0.0</v>
      </c>
      <c r="BE91" s="54">
        <v>0.0</v>
      </c>
      <c r="BF91" s="54">
        <v>0.0</v>
      </c>
      <c r="BG91" s="54">
        <v>0.0</v>
      </c>
      <c r="BH91" s="54">
        <v>0.0</v>
      </c>
      <c r="BI91" s="54">
        <v>0.0</v>
      </c>
      <c r="BJ91" s="54">
        <v>0.0</v>
      </c>
      <c r="BK91" s="54">
        <v>0.0</v>
      </c>
      <c r="BL91" s="54">
        <v>0.0</v>
      </c>
      <c r="BM91" s="54">
        <v>0.0</v>
      </c>
      <c r="BN91" s="54">
        <v>0.0</v>
      </c>
      <c r="BO91" s="54">
        <v>76126.0</v>
      </c>
      <c r="BP91" s="54">
        <v>0.0</v>
      </c>
      <c r="BQ91" s="54">
        <v>0.0</v>
      </c>
      <c r="BR91" s="54">
        <v>0.0</v>
      </c>
      <c r="BS91" s="54">
        <v>0.0</v>
      </c>
      <c r="BT91" s="54">
        <v>0.0</v>
      </c>
      <c r="BU91" s="54">
        <v>0.0</v>
      </c>
      <c r="BV91" s="54">
        <v>0.0</v>
      </c>
      <c r="BW91" s="54">
        <v>0.0</v>
      </c>
      <c r="BX91" s="54">
        <v>0.0</v>
      </c>
      <c r="BY91" s="54">
        <v>0.0</v>
      </c>
      <c r="BZ91" s="54">
        <v>427.0</v>
      </c>
      <c r="CA91" s="54">
        <v>0.0</v>
      </c>
      <c r="CB91" s="54">
        <v>218.0</v>
      </c>
      <c r="CC91" s="54">
        <v>423.0</v>
      </c>
      <c r="CD91" s="54">
        <v>0.0</v>
      </c>
      <c r="CE91" s="54">
        <v>1420.0</v>
      </c>
      <c r="CF91" s="54">
        <v>0.0</v>
      </c>
      <c r="CG91" s="54">
        <v>1089.0</v>
      </c>
      <c r="CH91" s="54">
        <v>557.0</v>
      </c>
      <c r="CI91" s="54">
        <v>45387.0</v>
      </c>
      <c r="CJ91" s="54">
        <v>934769.0</v>
      </c>
      <c r="CK91" s="54">
        <v>4447970.0</v>
      </c>
      <c r="CL91" s="54">
        <v>2907356.0</v>
      </c>
      <c r="CM91" s="54">
        <v>1022078.0</v>
      </c>
      <c r="CN91" s="54">
        <v>74.0</v>
      </c>
      <c r="CO91" s="54">
        <v>102.0</v>
      </c>
      <c r="CP91" s="54">
        <v>499.0</v>
      </c>
      <c r="CQ91" s="54">
        <v>234.0</v>
      </c>
      <c r="CR91" s="54">
        <v>492074.0</v>
      </c>
      <c r="CS91" s="54">
        <v>6839.0</v>
      </c>
      <c r="CT91" s="54">
        <v>0.0</v>
      </c>
      <c r="CU91" s="54">
        <v>0.0</v>
      </c>
      <c r="CV91" s="54">
        <v>0.0</v>
      </c>
      <c r="CW91" s="54">
        <v>0.0</v>
      </c>
      <c r="CX91" s="54">
        <v>0.0</v>
      </c>
      <c r="CY91" s="54">
        <v>0.0</v>
      </c>
      <c r="CZ91" s="54">
        <v>0.0</v>
      </c>
      <c r="DA91" s="54">
        <v>0.0</v>
      </c>
      <c r="DB91" s="54">
        <v>0.0</v>
      </c>
      <c r="DC91" s="54">
        <v>0.0</v>
      </c>
      <c r="DD91" s="54">
        <v>0.0</v>
      </c>
      <c r="DE91" s="54">
        <v>39.0</v>
      </c>
      <c r="DF91" s="54">
        <v>1062.0</v>
      </c>
      <c r="DG91" s="54">
        <v>1803.0</v>
      </c>
      <c r="DH91" s="54">
        <v>34173.0</v>
      </c>
      <c r="DI91" s="54">
        <v>2890.0</v>
      </c>
      <c r="DJ91" s="54">
        <v>21145.0</v>
      </c>
      <c r="DK91" s="54">
        <v>37658.0</v>
      </c>
      <c r="DL91" s="54">
        <v>0.0</v>
      </c>
      <c r="DM91" s="54">
        <v>0.0</v>
      </c>
      <c r="DN91" s="54">
        <v>0.0</v>
      </c>
      <c r="DO91" s="54">
        <v>311.0</v>
      </c>
      <c r="DP91" s="54">
        <v>0.0</v>
      </c>
      <c r="DQ91" s="54">
        <v>3499.0</v>
      </c>
      <c r="DR91" s="54">
        <v>1106.0</v>
      </c>
      <c r="DS91" s="54">
        <v>1671.0</v>
      </c>
      <c r="DT91" s="54">
        <v>240.0</v>
      </c>
      <c r="DU91" s="54">
        <v>0.0</v>
      </c>
      <c r="DV91" s="54">
        <v>0.0</v>
      </c>
      <c r="DW91" s="54">
        <v>0.0</v>
      </c>
      <c r="DX91" s="54">
        <v>270.0</v>
      </c>
      <c r="DY91" s="54">
        <v>40.0</v>
      </c>
      <c r="DZ91" s="54">
        <v>0.0</v>
      </c>
      <c r="EA91" s="54">
        <v>0.0</v>
      </c>
      <c r="EB91" s="54">
        <v>0.0</v>
      </c>
      <c r="EC91" s="54">
        <v>0.0</v>
      </c>
      <c r="ED91" s="54">
        <v>1164495.0</v>
      </c>
      <c r="EE91" s="54">
        <v>0.0</v>
      </c>
      <c r="EF91" s="54">
        <v>0.0</v>
      </c>
      <c r="EG91" s="54">
        <v>161255.0</v>
      </c>
      <c r="EH91" s="54">
        <v>31225.0</v>
      </c>
      <c r="EI91" s="54">
        <v>9312182.0</v>
      </c>
      <c r="EJ91" s="54">
        <v>90677.0</v>
      </c>
      <c r="EK91" s="54">
        <v>718562.0</v>
      </c>
      <c r="EL91" s="54">
        <v>283860.0</v>
      </c>
      <c r="EM91" s="54">
        <v>99884.0</v>
      </c>
      <c r="EN91" s="54">
        <v>0.0</v>
      </c>
      <c r="EO91" s="54">
        <v>278412.0</v>
      </c>
      <c r="EP91" s="54">
        <v>38281.0</v>
      </c>
      <c r="EQ91" s="54">
        <v>0.0</v>
      </c>
      <c r="ER91" s="54">
        <v>0.0</v>
      </c>
      <c r="ES91" s="54">
        <v>0.0</v>
      </c>
      <c r="ET91" s="54">
        <v>0.0</v>
      </c>
      <c r="EU91" s="54">
        <v>2.368788E7</v>
      </c>
      <c r="EV91" s="54">
        <v>2422408.0</v>
      </c>
      <c r="EW91" s="54">
        <v>848897.0</v>
      </c>
      <c r="EX91" s="54">
        <v>2034646.0</v>
      </c>
      <c r="EY91" s="54">
        <v>4515092.0</v>
      </c>
      <c r="EZ91" s="54">
        <v>0.0</v>
      </c>
      <c r="FA91" s="54">
        <v>0.0</v>
      </c>
      <c r="FB91" s="54">
        <v>0.0</v>
      </c>
      <c r="FC91" s="54">
        <v>0.0</v>
      </c>
      <c r="FD91" s="54">
        <v>0.0</v>
      </c>
      <c r="FE91" s="54">
        <v>0.0</v>
      </c>
      <c r="FF91" s="54">
        <v>0.0</v>
      </c>
      <c r="FG91" s="54">
        <v>0.0</v>
      </c>
      <c r="FH91" s="54">
        <v>2775.0</v>
      </c>
      <c r="FI91" s="54">
        <v>12782.0</v>
      </c>
      <c r="FJ91" s="54">
        <v>893.0</v>
      </c>
      <c r="FK91" s="54">
        <v>164.0</v>
      </c>
      <c r="FL91" s="54">
        <v>0.0</v>
      </c>
      <c r="FM91" s="54">
        <v>0.0</v>
      </c>
      <c r="FN91" s="54">
        <v>0.0</v>
      </c>
      <c r="FO91" s="54">
        <v>0.0</v>
      </c>
      <c r="FP91" s="54">
        <v>0.0</v>
      </c>
      <c r="FQ91" s="54">
        <v>0.0</v>
      </c>
      <c r="FR91" s="54">
        <v>0.0</v>
      </c>
      <c r="FS91" s="54">
        <v>0.0</v>
      </c>
      <c r="FT91" s="54">
        <v>0.0</v>
      </c>
      <c r="FU91" s="54">
        <v>64987.0</v>
      </c>
      <c r="FV91" s="54">
        <v>7739.0</v>
      </c>
      <c r="FW91" s="54">
        <v>1423.0</v>
      </c>
      <c r="FX91" s="54">
        <v>0.0</v>
      </c>
      <c r="FY91" s="54">
        <v>3.0</v>
      </c>
      <c r="FZ91" s="54">
        <v>0.0</v>
      </c>
      <c r="GA91" s="54">
        <v>17388.0</v>
      </c>
      <c r="GB91" s="54">
        <v>0.0</v>
      </c>
      <c r="GC91" s="54">
        <v>0.0</v>
      </c>
      <c r="GD91" s="54">
        <v>115779.0</v>
      </c>
      <c r="GE91" s="54">
        <v>0.0</v>
      </c>
      <c r="GF91" s="55">
        <v>5.736303E7</v>
      </c>
      <c r="GG91" s="56">
        <v>0.0</v>
      </c>
      <c r="GH91" s="57">
        <v>0.0</v>
      </c>
      <c r="GI91" s="56">
        <v>0.0</v>
      </c>
      <c r="GJ91" s="56">
        <v>0.0</v>
      </c>
      <c r="GK91" s="56">
        <v>-2075998.0</v>
      </c>
      <c r="GL91" s="56">
        <v>1.290177E7</v>
      </c>
      <c r="GM91" s="56">
        <v>0.0</v>
      </c>
      <c r="GN91" s="55">
        <v>1.0825772E7</v>
      </c>
      <c r="GO91" s="58">
        <v>6.8188802E7</v>
      </c>
      <c r="GP91" s="56">
        <v>1946316.0</v>
      </c>
      <c r="GQ91" s="56">
        <v>0.0</v>
      </c>
      <c r="GR91" s="57">
        <v>0.0</v>
      </c>
      <c r="GS91" s="55">
        <v>1946316.0</v>
      </c>
      <c r="GT91" s="59">
        <v>6661270.0</v>
      </c>
      <c r="GU91" s="59">
        <v>1.5825202E7</v>
      </c>
      <c r="GV91" s="59">
        <v>1490712.0</v>
      </c>
      <c r="GW91" s="55">
        <v>2.3977184E7</v>
      </c>
      <c r="GX91" s="55">
        <v>239448.0</v>
      </c>
      <c r="GY91" s="55">
        <v>4.2025854E7</v>
      </c>
      <c r="GZ91" s="58">
        <v>6.8188802E7</v>
      </c>
    </row>
    <row r="92" ht="15.75" customHeight="1">
      <c r="A92" s="60">
        <v>87.0</v>
      </c>
      <c r="B92" s="61" t="s">
        <v>132</v>
      </c>
      <c r="C92" s="62">
        <v>0.0</v>
      </c>
      <c r="D92" s="62">
        <v>0.0</v>
      </c>
      <c r="E92" s="62">
        <v>0.0</v>
      </c>
      <c r="F92" s="62">
        <v>0.0</v>
      </c>
      <c r="G92" s="62">
        <v>0.0</v>
      </c>
      <c r="H92" s="62">
        <v>0.0</v>
      </c>
      <c r="I92" s="62">
        <v>0.0</v>
      </c>
      <c r="J92" s="62">
        <v>0.0</v>
      </c>
      <c r="K92" s="62">
        <v>0.0</v>
      </c>
      <c r="L92" s="62">
        <v>0.0</v>
      </c>
      <c r="M92" s="62">
        <v>0.0</v>
      </c>
      <c r="N92" s="62">
        <v>0.0</v>
      </c>
      <c r="O92" s="62">
        <v>0.0</v>
      </c>
      <c r="P92" s="62">
        <v>0.0</v>
      </c>
      <c r="Q92" s="62">
        <v>0.0</v>
      </c>
      <c r="R92" s="62">
        <v>0.0</v>
      </c>
      <c r="S92" s="62">
        <v>0.0</v>
      </c>
      <c r="T92" s="62">
        <v>0.0</v>
      </c>
      <c r="U92" s="62">
        <v>0.0</v>
      </c>
      <c r="V92" s="62">
        <v>0.0</v>
      </c>
      <c r="W92" s="62">
        <v>0.0</v>
      </c>
      <c r="X92" s="62">
        <v>0.0</v>
      </c>
      <c r="Y92" s="62">
        <v>0.0</v>
      </c>
      <c r="Z92" s="62">
        <v>0.0</v>
      </c>
      <c r="AA92" s="62">
        <v>0.0</v>
      </c>
      <c r="AB92" s="62">
        <v>760.0</v>
      </c>
      <c r="AC92" s="62">
        <v>586.0</v>
      </c>
      <c r="AD92" s="62">
        <v>14448.0</v>
      </c>
      <c r="AE92" s="62">
        <v>124.0</v>
      </c>
      <c r="AF92" s="62">
        <v>715.0</v>
      </c>
      <c r="AG92" s="62">
        <v>2996.0</v>
      </c>
      <c r="AH92" s="62">
        <v>1216.0</v>
      </c>
      <c r="AI92" s="62">
        <v>39750.0</v>
      </c>
      <c r="AJ92" s="62">
        <v>3639.0</v>
      </c>
      <c r="AK92" s="62">
        <v>682.0</v>
      </c>
      <c r="AL92" s="62">
        <v>219.0</v>
      </c>
      <c r="AM92" s="62">
        <v>0.0</v>
      </c>
      <c r="AN92" s="62">
        <v>0.0</v>
      </c>
      <c r="AO92" s="62">
        <v>0.0</v>
      </c>
      <c r="AP92" s="62">
        <v>0.0</v>
      </c>
      <c r="AQ92" s="62">
        <v>0.0</v>
      </c>
      <c r="AR92" s="62">
        <v>0.0</v>
      </c>
      <c r="AS92" s="62">
        <v>0.0</v>
      </c>
      <c r="AT92" s="62">
        <v>0.0</v>
      </c>
      <c r="AU92" s="62">
        <v>0.0</v>
      </c>
      <c r="AV92" s="62">
        <v>0.0</v>
      </c>
      <c r="AW92" s="62">
        <v>0.0</v>
      </c>
      <c r="AX92" s="62">
        <v>0.0</v>
      </c>
      <c r="AY92" s="62">
        <v>0.0</v>
      </c>
      <c r="AZ92" s="62">
        <v>0.0</v>
      </c>
      <c r="BA92" s="62">
        <v>0.0</v>
      </c>
      <c r="BB92" s="62">
        <v>0.0</v>
      </c>
      <c r="BC92" s="62">
        <v>0.0</v>
      </c>
      <c r="BD92" s="62">
        <v>0.0</v>
      </c>
      <c r="BE92" s="62">
        <v>0.0</v>
      </c>
      <c r="BF92" s="62">
        <v>0.0</v>
      </c>
      <c r="BG92" s="62">
        <v>0.0</v>
      </c>
      <c r="BH92" s="62">
        <v>143.0</v>
      </c>
      <c r="BI92" s="62">
        <v>0.0</v>
      </c>
      <c r="BJ92" s="62">
        <v>375607.0</v>
      </c>
      <c r="BK92" s="62">
        <v>0.0</v>
      </c>
      <c r="BL92" s="62">
        <v>0.0</v>
      </c>
      <c r="BM92" s="62">
        <v>0.0</v>
      </c>
      <c r="BN92" s="62">
        <v>0.0</v>
      </c>
      <c r="BO92" s="62">
        <v>0.0</v>
      </c>
      <c r="BP92" s="62">
        <v>0.0</v>
      </c>
      <c r="BQ92" s="62">
        <v>0.0</v>
      </c>
      <c r="BR92" s="62">
        <v>0.0</v>
      </c>
      <c r="BS92" s="62">
        <v>0.0</v>
      </c>
      <c r="BT92" s="62">
        <v>0.0</v>
      </c>
      <c r="BU92" s="62">
        <v>1753.0</v>
      </c>
      <c r="BV92" s="62">
        <v>0.0</v>
      </c>
      <c r="BW92" s="62">
        <v>0.0</v>
      </c>
      <c r="BX92" s="62">
        <v>0.0</v>
      </c>
      <c r="BY92" s="62">
        <v>0.0</v>
      </c>
      <c r="BZ92" s="62">
        <v>0.0</v>
      </c>
      <c r="CA92" s="62">
        <v>0.0</v>
      </c>
      <c r="CB92" s="62">
        <v>0.0</v>
      </c>
      <c r="CC92" s="62">
        <v>0.0</v>
      </c>
      <c r="CD92" s="62">
        <v>0.0</v>
      </c>
      <c r="CE92" s="62">
        <v>0.0</v>
      </c>
      <c r="CF92" s="62">
        <v>0.0</v>
      </c>
      <c r="CG92" s="62">
        <v>589.0</v>
      </c>
      <c r="CH92" s="62">
        <v>9926.0</v>
      </c>
      <c r="CI92" s="62">
        <v>59640.0</v>
      </c>
      <c r="CJ92" s="62">
        <v>397178.0</v>
      </c>
      <c r="CK92" s="62">
        <v>706942.0</v>
      </c>
      <c r="CL92" s="62">
        <v>643987.0</v>
      </c>
      <c r="CM92" s="62">
        <v>370049.0</v>
      </c>
      <c r="CN92" s="62">
        <v>0.0</v>
      </c>
      <c r="CO92" s="62">
        <v>16.0</v>
      </c>
      <c r="CP92" s="62">
        <v>78.0</v>
      </c>
      <c r="CQ92" s="62">
        <v>872.0</v>
      </c>
      <c r="CR92" s="62">
        <v>0.0</v>
      </c>
      <c r="CS92" s="62">
        <v>0.0</v>
      </c>
      <c r="CT92" s="62">
        <v>0.0</v>
      </c>
      <c r="CU92" s="62">
        <v>0.0</v>
      </c>
      <c r="CV92" s="62">
        <v>0.0</v>
      </c>
      <c r="CW92" s="62">
        <v>0.0</v>
      </c>
      <c r="CX92" s="62">
        <v>0.0</v>
      </c>
      <c r="CY92" s="62">
        <v>0.0</v>
      </c>
      <c r="CZ92" s="62">
        <v>0.0</v>
      </c>
      <c r="DA92" s="62">
        <v>0.0</v>
      </c>
      <c r="DB92" s="62">
        <v>0.0</v>
      </c>
      <c r="DC92" s="62">
        <v>0.0</v>
      </c>
      <c r="DD92" s="62">
        <v>0.0</v>
      </c>
      <c r="DE92" s="62">
        <v>0.0</v>
      </c>
      <c r="DF92" s="62">
        <v>0.0</v>
      </c>
      <c r="DG92" s="62">
        <v>0.0</v>
      </c>
      <c r="DH92" s="62">
        <v>0.0</v>
      </c>
      <c r="DI92" s="62">
        <v>0.0</v>
      </c>
      <c r="DJ92" s="62">
        <v>0.0</v>
      </c>
      <c r="DK92" s="62">
        <v>0.0</v>
      </c>
      <c r="DL92" s="62">
        <v>2001.0</v>
      </c>
      <c r="DM92" s="62">
        <v>0.0</v>
      </c>
      <c r="DN92" s="62">
        <v>299.0</v>
      </c>
      <c r="DO92" s="62">
        <v>0.0</v>
      </c>
      <c r="DP92" s="62">
        <v>0.0</v>
      </c>
      <c r="DQ92" s="62">
        <v>0.0</v>
      </c>
      <c r="DR92" s="62">
        <v>359.0</v>
      </c>
      <c r="DS92" s="62">
        <v>1357.0</v>
      </c>
      <c r="DT92" s="62">
        <v>0.0</v>
      </c>
      <c r="DU92" s="62">
        <v>0.0</v>
      </c>
      <c r="DV92" s="62">
        <v>0.0</v>
      </c>
      <c r="DW92" s="62">
        <v>0.0</v>
      </c>
      <c r="DX92" s="62">
        <v>0.0</v>
      </c>
      <c r="DY92" s="62">
        <v>550.0</v>
      </c>
      <c r="DZ92" s="62">
        <v>0.0</v>
      </c>
      <c r="EA92" s="62">
        <v>0.0</v>
      </c>
      <c r="EB92" s="62">
        <v>0.0</v>
      </c>
      <c r="EC92" s="62">
        <v>16788.0</v>
      </c>
      <c r="ED92" s="62">
        <v>143884.0</v>
      </c>
      <c r="EE92" s="62">
        <v>0.0</v>
      </c>
      <c r="EF92" s="62">
        <v>66.0</v>
      </c>
      <c r="EG92" s="62">
        <v>43169.0</v>
      </c>
      <c r="EH92" s="62">
        <v>1348.0</v>
      </c>
      <c r="EI92" s="62">
        <v>5465426.0</v>
      </c>
      <c r="EJ92" s="62">
        <v>345.0</v>
      </c>
      <c r="EK92" s="62">
        <v>910802.0</v>
      </c>
      <c r="EL92" s="62">
        <v>296568.0</v>
      </c>
      <c r="EM92" s="62">
        <v>99042.0</v>
      </c>
      <c r="EN92" s="62">
        <v>17051.0</v>
      </c>
      <c r="EO92" s="62">
        <v>1626682.0</v>
      </c>
      <c r="EP92" s="62">
        <v>6270.0</v>
      </c>
      <c r="EQ92" s="62">
        <v>0.0</v>
      </c>
      <c r="ER92" s="62">
        <v>0.0</v>
      </c>
      <c r="ES92" s="62">
        <v>0.0</v>
      </c>
      <c r="ET92" s="62">
        <v>0.0</v>
      </c>
      <c r="EU92" s="62">
        <v>4.093045E7</v>
      </c>
      <c r="EV92" s="62">
        <v>5165301.0</v>
      </c>
      <c r="EW92" s="62">
        <v>759732.0</v>
      </c>
      <c r="EX92" s="62">
        <v>3155349.0</v>
      </c>
      <c r="EY92" s="62">
        <v>1.8308746E7</v>
      </c>
      <c r="EZ92" s="62">
        <v>36684.0</v>
      </c>
      <c r="FA92" s="62">
        <v>17330.0</v>
      </c>
      <c r="FB92" s="62">
        <v>606695.0</v>
      </c>
      <c r="FC92" s="62">
        <v>0.0</v>
      </c>
      <c r="FD92" s="62">
        <v>0.0</v>
      </c>
      <c r="FE92" s="62">
        <v>0.0</v>
      </c>
      <c r="FF92" s="62">
        <v>0.0</v>
      </c>
      <c r="FG92" s="62">
        <v>0.0</v>
      </c>
      <c r="FH92" s="62">
        <v>0.0</v>
      </c>
      <c r="FI92" s="62">
        <v>0.0</v>
      </c>
      <c r="FJ92" s="62">
        <v>331.0</v>
      </c>
      <c r="FK92" s="62">
        <v>1702.0</v>
      </c>
      <c r="FL92" s="62">
        <v>35335.0</v>
      </c>
      <c r="FM92" s="62">
        <v>0.0</v>
      </c>
      <c r="FN92" s="62">
        <v>0.0</v>
      </c>
      <c r="FO92" s="62">
        <v>0.0</v>
      </c>
      <c r="FP92" s="62">
        <v>0.0</v>
      </c>
      <c r="FQ92" s="62">
        <v>0.0</v>
      </c>
      <c r="FR92" s="62">
        <v>0.0</v>
      </c>
      <c r="FS92" s="62">
        <v>0.0</v>
      </c>
      <c r="FT92" s="62">
        <v>0.0</v>
      </c>
      <c r="FU92" s="62">
        <v>64969.0</v>
      </c>
      <c r="FV92" s="62">
        <v>0.0</v>
      </c>
      <c r="FW92" s="62">
        <v>51486.0</v>
      </c>
      <c r="FX92" s="62">
        <v>271.0</v>
      </c>
      <c r="FY92" s="62">
        <v>143.0</v>
      </c>
      <c r="FZ92" s="62">
        <v>0.0</v>
      </c>
      <c r="GA92" s="62">
        <v>12280.0</v>
      </c>
      <c r="GB92" s="62">
        <v>0.0</v>
      </c>
      <c r="GC92" s="62">
        <v>0.0</v>
      </c>
      <c r="GD92" s="62">
        <v>20778.0</v>
      </c>
      <c r="GE92" s="62">
        <v>9569.0</v>
      </c>
      <c r="GF92" s="63">
        <v>8.0441073E7</v>
      </c>
      <c r="GG92" s="64">
        <v>1404249.0</v>
      </c>
      <c r="GH92" s="65">
        <v>0.0</v>
      </c>
      <c r="GI92" s="64">
        <v>0.0</v>
      </c>
      <c r="GJ92" s="64">
        <v>0.0</v>
      </c>
      <c r="GK92" s="64">
        <v>3495461.0</v>
      </c>
      <c r="GL92" s="64">
        <v>3.6918788E7</v>
      </c>
      <c r="GM92" s="64">
        <v>0.0</v>
      </c>
      <c r="GN92" s="63">
        <v>4.1818498E7</v>
      </c>
      <c r="GO92" s="66">
        <v>1.22259571E8</v>
      </c>
      <c r="GP92" s="64">
        <v>2329350.0</v>
      </c>
      <c r="GQ92" s="64">
        <v>0.0</v>
      </c>
      <c r="GR92" s="65">
        <v>0.0</v>
      </c>
      <c r="GS92" s="63">
        <v>2329350.0</v>
      </c>
      <c r="GT92" s="67">
        <v>1.9921114E7</v>
      </c>
      <c r="GU92" s="67">
        <v>1.3821744E7</v>
      </c>
      <c r="GV92" s="67">
        <v>2364336.0</v>
      </c>
      <c r="GW92" s="63">
        <v>3.6107194E7</v>
      </c>
      <c r="GX92" s="63">
        <v>478612.0</v>
      </c>
      <c r="GY92" s="63">
        <v>8.3344415E7</v>
      </c>
      <c r="GZ92" s="66">
        <v>1.22259571E8</v>
      </c>
    </row>
    <row r="93" ht="15.75" customHeight="1">
      <c r="A93" s="60">
        <v>88.0</v>
      </c>
      <c r="B93" s="61" t="s">
        <v>133</v>
      </c>
      <c r="C93" s="62">
        <v>0.0</v>
      </c>
      <c r="D93" s="62">
        <v>0.0</v>
      </c>
      <c r="E93" s="62">
        <v>0.0</v>
      </c>
      <c r="F93" s="62">
        <v>0.0</v>
      </c>
      <c r="G93" s="62">
        <v>0.0</v>
      </c>
      <c r="H93" s="62">
        <v>0.0</v>
      </c>
      <c r="I93" s="62">
        <v>0.0</v>
      </c>
      <c r="J93" s="62">
        <v>0.0</v>
      </c>
      <c r="K93" s="62">
        <v>0.0</v>
      </c>
      <c r="L93" s="62">
        <v>0.0</v>
      </c>
      <c r="M93" s="62">
        <v>0.0</v>
      </c>
      <c r="N93" s="62">
        <v>0.0</v>
      </c>
      <c r="O93" s="62">
        <v>0.0</v>
      </c>
      <c r="P93" s="62">
        <v>0.0</v>
      </c>
      <c r="Q93" s="62">
        <v>0.0</v>
      </c>
      <c r="R93" s="62">
        <v>0.0</v>
      </c>
      <c r="S93" s="62">
        <v>0.0</v>
      </c>
      <c r="T93" s="62">
        <v>0.0</v>
      </c>
      <c r="U93" s="62">
        <v>0.0</v>
      </c>
      <c r="V93" s="62">
        <v>0.0</v>
      </c>
      <c r="W93" s="62">
        <v>0.0</v>
      </c>
      <c r="X93" s="62">
        <v>0.0</v>
      </c>
      <c r="Y93" s="62">
        <v>0.0</v>
      </c>
      <c r="Z93" s="62">
        <v>0.0</v>
      </c>
      <c r="AA93" s="62">
        <v>0.0</v>
      </c>
      <c r="AB93" s="62">
        <v>0.0</v>
      </c>
      <c r="AC93" s="62">
        <v>0.0</v>
      </c>
      <c r="AD93" s="62">
        <v>0.0</v>
      </c>
      <c r="AE93" s="62">
        <v>0.0</v>
      </c>
      <c r="AF93" s="62">
        <v>654.0</v>
      </c>
      <c r="AG93" s="62">
        <v>29084.0</v>
      </c>
      <c r="AH93" s="62">
        <v>11248.0</v>
      </c>
      <c r="AI93" s="62">
        <v>47711.0</v>
      </c>
      <c r="AJ93" s="62">
        <v>0.0</v>
      </c>
      <c r="AK93" s="62">
        <v>0.0</v>
      </c>
      <c r="AL93" s="62">
        <v>0.0</v>
      </c>
      <c r="AM93" s="62">
        <v>0.0</v>
      </c>
      <c r="AN93" s="62">
        <v>0.0</v>
      </c>
      <c r="AO93" s="62">
        <v>0.0</v>
      </c>
      <c r="AP93" s="62">
        <v>0.0</v>
      </c>
      <c r="AQ93" s="62">
        <v>0.0</v>
      </c>
      <c r="AR93" s="62">
        <v>0.0</v>
      </c>
      <c r="AS93" s="62">
        <v>0.0</v>
      </c>
      <c r="AT93" s="62">
        <v>0.0</v>
      </c>
      <c r="AU93" s="62">
        <v>2355.0</v>
      </c>
      <c r="AV93" s="62">
        <v>64711.0</v>
      </c>
      <c r="AW93" s="62">
        <v>315.0</v>
      </c>
      <c r="AX93" s="62">
        <v>11272.0</v>
      </c>
      <c r="AY93" s="62">
        <v>0.0</v>
      </c>
      <c r="AZ93" s="62">
        <v>0.0</v>
      </c>
      <c r="BA93" s="62">
        <v>0.0</v>
      </c>
      <c r="BB93" s="62">
        <v>0.0</v>
      </c>
      <c r="BC93" s="62">
        <v>0.0</v>
      </c>
      <c r="BD93" s="62">
        <v>0.0</v>
      </c>
      <c r="BE93" s="62">
        <v>0.0</v>
      </c>
      <c r="BF93" s="62">
        <v>0.0</v>
      </c>
      <c r="BG93" s="62">
        <v>0.0</v>
      </c>
      <c r="BH93" s="62">
        <v>0.0</v>
      </c>
      <c r="BI93" s="62">
        <v>0.0</v>
      </c>
      <c r="BJ93" s="62">
        <v>0.0</v>
      </c>
      <c r="BK93" s="62">
        <v>0.0</v>
      </c>
      <c r="BL93" s="62">
        <v>0.0</v>
      </c>
      <c r="BM93" s="62">
        <v>0.0</v>
      </c>
      <c r="BN93" s="62">
        <v>0.0</v>
      </c>
      <c r="BO93" s="62">
        <v>0.0</v>
      </c>
      <c r="BP93" s="62">
        <v>0.0</v>
      </c>
      <c r="BQ93" s="62">
        <v>0.0</v>
      </c>
      <c r="BR93" s="62">
        <v>0.0</v>
      </c>
      <c r="BS93" s="62">
        <v>0.0</v>
      </c>
      <c r="BT93" s="62">
        <v>0.0</v>
      </c>
      <c r="BU93" s="62">
        <v>0.0</v>
      </c>
      <c r="BV93" s="62">
        <v>0.0</v>
      </c>
      <c r="BW93" s="62">
        <v>0.0</v>
      </c>
      <c r="BX93" s="62">
        <v>0.0</v>
      </c>
      <c r="BY93" s="62">
        <v>0.0</v>
      </c>
      <c r="BZ93" s="62">
        <v>0.0</v>
      </c>
      <c r="CA93" s="62">
        <v>0.0</v>
      </c>
      <c r="CB93" s="62">
        <v>0.0</v>
      </c>
      <c r="CC93" s="62">
        <v>0.0</v>
      </c>
      <c r="CD93" s="62">
        <v>0.0</v>
      </c>
      <c r="CE93" s="62">
        <v>0.0</v>
      </c>
      <c r="CF93" s="62">
        <v>0.0</v>
      </c>
      <c r="CG93" s="62">
        <v>0.0</v>
      </c>
      <c r="CH93" s="62">
        <v>0.0</v>
      </c>
      <c r="CI93" s="62">
        <v>0.0</v>
      </c>
      <c r="CJ93" s="62">
        <v>237169.0</v>
      </c>
      <c r="CK93" s="62">
        <v>1214335.0</v>
      </c>
      <c r="CL93" s="62">
        <v>296775.0</v>
      </c>
      <c r="CM93" s="62">
        <v>94703.0</v>
      </c>
      <c r="CN93" s="62">
        <v>0.0</v>
      </c>
      <c r="CO93" s="62">
        <v>1.0</v>
      </c>
      <c r="CP93" s="62">
        <v>5.0</v>
      </c>
      <c r="CQ93" s="62">
        <v>130.0</v>
      </c>
      <c r="CR93" s="62">
        <v>0.0</v>
      </c>
      <c r="CS93" s="62">
        <v>0.0</v>
      </c>
      <c r="CT93" s="62">
        <v>0.0</v>
      </c>
      <c r="CU93" s="62">
        <v>0.0</v>
      </c>
      <c r="CV93" s="62">
        <v>0.0</v>
      </c>
      <c r="CW93" s="62">
        <v>0.0</v>
      </c>
      <c r="CX93" s="62">
        <v>0.0</v>
      </c>
      <c r="CY93" s="62">
        <v>0.0</v>
      </c>
      <c r="CZ93" s="62">
        <v>0.0</v>
      </c>
      <c r="DA93" s="62">
        <v>0.0</v>
      </c>
      <c r="DB93" s="62">
        <v>0.0</v>
      </c>
      <c r="DC93" s="62">
        <v>0.0</v>
      </c>
      <c r="DD93" s="62">
        <v>0.0</v>
      </c>
      <c r="DE93" s="62">
        <v>0.0</v>
      </c>
      <c r="DF93" s="62">
        <v>0.0</v>
      </c>
      <c r="DG93" s="62">
        <v>0.0</v>
      </c>
      <c r="DH93" s="62">
        <v>0.0</v>
      </c>
      <c r="DI93" s="62">
        <v>0.0</v>
      </c>
      <c r="DJ93" s="62">
        <v>0.0</v>
      </c>
      <c r="DK93" s="62">
        <v>0.0</v>
      </c>
      <c r="DL93" s="62">
        <v>0.0</v>
      </c>
      <c r="DM93" s="62">
        <v>0.0</v>
      </c>
      <c r="DN93" s="62">
        <v>0.0</v>
      </c>
      <c r="DO93" s="62">
        <v>363.0</v>
      </c>
      <c r="DP93" s="62">
        <v>0.0</v>
      </c>
      <c r="DQ93" s="62">
        <v>677.0</v>
      </c>
      <c r="DR93" s="62">
        <v>5951.0</v>
      </c>
      <c r="DS93" s="62">
        <v>104.0</v>
      </c>
      <c r="DT93" s="62">
        <v>672.0</v>
      </c>
      <c r="DU93" s="62">
        <v>0.0</v>
      </c>
      <c r="DV93" s="62">
        <v>0.0</v>
      </c>
      <c r="DW93" s="62">
        <v>0.0</v>
      </c>
      <c r="DX93" s="62">
        <v>38.0</v>
      </c>
      <c r="DY93" s="62">
        <v>0.0</v>
      </c>
      <c r="DZ93" s="62">
        <v>0.0</v>
      </c>
      <c r="EA93" s="62">
        <v>0.0</v>
      </c>
      <c r="EB93" s="62">
        <v>0.0</v>
      </c>
      <c r="EC93" s="62">
        <v>0.0</v>
      </c>
      <c r="ED93" s="62">
        <v>32701.0</v>
      </c>
      <c r="EE93" s="62">
        <v>0.0</v>
      </c>
      <c r="EF93" s="62">
        <v>0.0</v>
      </c>
      <c r="EG93" s="62">
        <v>0.0</v>
      </c>
      <c r="EH93" s="62">
        <v>0.0</v>
      </c>
      <c r="EI93" s="62">
        <v>173532.0</v>
      </c>
      <c r="EJ93" s="62">
        <v>30.0</v>
      </c>
      <c r="EK93" s="62">
        <v>75.0</v>
      </c>
      <c r="EL93" s="62">
        <v>114.0</v>
      </c>
      <c r="EM93" s="62">
        <v>3702.0</v>
      </c>
      <c r="EN93" s="62">
        <v>0.0</v>
      </c>
      <c r="EO93" s="62">
        <v>20625.0</v>
      </c>
      <c r="EP93" s="62">
        <v>1082.0</v>
      </c>
      <c r="EQ93" s="62">
        <v>0.0</v>
      </c>
      <c r="ER93" s="62">
        <v>0.0</v>
      </c>
      <c r="ES93" s="62">
        <v>0.0</v>
      </c>
      <c r="ET93" s="62">
        <v>0.0</v>
      </c>
      <c r="EU93" s="62">
        <v>3.2864113E7</v>
      </c>
      <c r="EV93" s="62">
        <v>4448658.0</v>
      </c>
      <c r="EW93" s="62">
        <v>371591.0</v>
      </c>
      <c r="EX93" s="62">
        <v>766202.0</v>
      </c>
      <c r="EY93" s="62">
        <v>3782296.0</v>
      </c>
      <c r="EZ93" s="62">
        <v>0.0</v>
      </c>
      <c r="FA93" s="62">
        <v>0.0</v>
      </c>
      <c r="FB93" s="62">
        <v>0.0</v>
      </c>
      <c r="FC93" s="62">
        <v>0.0</v>
      </c>
      <c r="FD93" s="62">
        <v>0.0</v>
      </c>
      <c r="FE93" s="62">
        <v>0.0</v>
      </c>
      <c r="FF93" s="62">
        <v>0.0</v>
      </c>
      <c r="FG93" s="62">
        <v>0.0</v>
      </c>
      <c r="FH93" s="62">
        <v>0.0</v>
      </c>
      <c r="FI93" s="62">
        <v>0.0</v>
      </c>
      <c r="FJ93" s="62">
        <v>7798.0</v>
      </c>
      <c r="FK93" s="62">
        <v>1436.0</v>
      </c>
      <c r="FL93" s="62">
        <v>0.0</v>
      </c>
      <c r="FM93" s="62">
        <v>0.0</v>
      </c>
      <c r="FN93" s="62">
        <v>0.0</v>
      </c>
      <c r="FO93" s="62">
        <v>0.0</v>
      </c>
      <c r="FP93" s="62">
        <v>0.0</v>
      </c>
      <c r="FQ93" s="62">
        <v>0.0</v>
      </c>
      <c r="FR93" s="62">
        <v>0.0</v>
      </c>
      <c r="FS93" s="62">
        <v>0.0</v>
      </c>
      <c r="FT93" s="62">
        <v>9708.0</v>
      </c>
      <c r="FU93" s="62">
        <v>40932.0</v>
      </c>
      <c r="FV93" s="62">
        <v>0.0</v>
      </c>
      <c r="FW93" s="62">
        <v>3783.0</v>
      </c>
      <c r="FX93" s="62">
        <v>0.0</v>
      </c>
      <c r="FY93" s="62">
        <v>431.0</v>
      </c>
      <c r="FZ93" s="62">
        <v>0.0</v>
      </c>
      <c r="GA93" s="62">
        <v>0.0</v>
      </c>
      <c r="GB93" s="62">
        <v>0.0</v>
      </c>
      <c r="GC93" s="62">
        <v>0.0</v>
      </c>
      <c r="GD93" s="62">
        <v>6254.0</v>
      </c>
      <c r="GE93" s="62">
        <v>11257.0</v>
      </c>
      <c r="GF93" s="63">
        <v>4.4564593E7</v>
      </c>
      <c r="GG93" s="64">
        <v>0.0</v>
      </c>
      <c r="GH93" s="65">
        <v>0.0</v>
      </c>
      <c r="GI93" s="64">
        <v>0.0</v>
      </c>
      <c r="GJ93" s="64">
        <v>0.0</v>
      </c>
      <c r="GK93" s="64">
        <v>3104982.0</v>
      </c>
      <c r="GL93" s="64">
        <v>6880396.0</v>
      </c>
      <c r="GM93" s="64">
        <v>0.0</v>
      </c>
      <c r="GN93" s="63">
        <v>9985378.0</v>
      </c>
      <c r="GO93" s="66">
        <v>5.4549971E7</v>
      </c>
      <c r="GP93" s="64">
        <v>119482.0</v>
      </c>
      <c r="GQ93" s="64">
        <v>0.0</v>
      </c>
      <c r="GR93" s="65">
        <v>0.0</v>
      </c>
      <c r="GS93" s="63">
        <v>119482.0</v>
      </c>
      <c r="GT93" s="67">
        <v>3073058.0</v>
      </c>
      <c r="GU93" s="67">
        <v>3111295.0</v>
      </c>
      <c r="GV93" s="67">
        <v>888959.0</v>
      </c>
      <c r="GW93" s="63">
        <v>7073312.0</v>
      </c>
      <c r="GX93" s="63">
        <v>8795.0</v>
      </c>
      <c r="GY93" s="63">
        <v>4.7348382E7</v>
      </c>
      <c r="GZ93" s="66">
        <v>5.4549971E7</v>
      </c>
    </row>
    <row r="94" ht="15.75" customHeight="1">
      <c r="A94" s="60">
        <v>89.0</v>
      </c>
      <c r="B94" s="61" t="s">
        <v>134</v>
      </c>
      <c r="C94" s="62">
        <v>3615.0</v>
      </c>
      <c r="D94" s="62">
        <v>2664.0</v>
      </c>
      <c r="E94" s="62">
        <v>137.0</v>
      </c>
      <c r="F94" s="62">
        <v>1564.0</v>
      </c>
      <c r="G94" s="62">
        <v>32.0</v>
      </c>
      <c r="H94" s="62">
        <v>481.0</v>
      </c>
      <c r="I94" s="62">
        <v>245.0</v>
      </c>
      <c r="J94" s="62">
        <v>197.0</v>
      </c>
      <c r="K94" s="62">
        <v>0.0</v>
      </c>
      <c r="L94" s="62">
        <v>21819.0</v>
      </c>
      <c r="M94" s="62">
        <v>84.0</v>
      </c>
      <c r="N94" s="62">
        <v>327.0</v>
      </c>
      <c r="O94" s="62">
        <v>240.0</v>
      </c>
      <c r="P94" s="62">
        <v>322.0</v>
      </c>
      <c r="Q94" s="62">
        <v>3802.0</v>
      </c>
      <c r="R94" s="62">
        <v>66890.0</v>
      </c>
      <c r="S94" s="62">
        <v>161.0</v>
      </c>
      <c r="T94" s="62">
        <v>0.0</v>
      </c>
      <c r="U94" s="62">
        <v>5836.0</v>
      </c>
      <c r="V94" s="62">
        <v>73.0</v>
      </c>
      <c r="W94" s="62">
        <v>100.0</v>
      </c>
      <c r="X94" s="62">
        <v>1128.0</v>
      </c>
      <c r="Y94" s="62">
        <v>660.0</v>
      </c>
      <c r="Z94" s="62">
        <v>224.0</v>
      </c>
      <c r="AA94" s="62">
        <v>120.0</v>
      </c>
      <c r="AB94" s="62">
        <v>798.0</v>
      </c>
      <c r="AC94" s="62">
        <v>285.0</v>
      </c>
      <c r="AD94" s="62">
        <v>5067.0</v>
      </c>
      <c r="AE94" s="62">
        <v>2716.0</v>
      </c>
      <c r="AF94" s="62">
        <v>551.0</v>
      </c>
      <c r="AG94" s="62">
        <v>37346.0</v>
      </c>
      <c r="AH94" s="62">
        <v>7320.0</v>
      </c>
      <c r="AI94" s="62">
        <v>56019.0</v>
      </c>
      <c r="AJ94" s="62">
        <v>1898.0</v>
      </c>
      <c r="AK94" s="62">
        <v>172.0</v>
      </c>
      <c r="AL94" s="62">
        <v>672.0</v>
      </c>
      <c r="AM94" s="62">
        <v>0.0</v>
      </c>
      <c r="AN94" s="62">
        <v>0.0</v>
      </c>
      <c r="AO94" s="62">
        <v>0.0</v>
      </c>
      <c r="AP94" s="62">
        <v>5.0</v>
      </c>
      <c r="AQ94" s="62">
        <v>3991.0</v>
      </c>
      <c r="AR94" s="62">
        <v>13.0</v>
      </c>
      <c r="AS94" s="62">
        <v>12.0</v>
      </c>
      <c r="AT94" s="62">
        <v>63.0</v>
      </c>
      <c r="AU94" s="62">
        <v>0.0</v>
      </c>
      <c r="AV94" s="62">
        <v>0.0</v>
      </c>
      <c r="AW94" s="62">
        <v>0.0</v>
      </c>
      <c r="AX94" s="62">
        <v>318324.0</v>
      </c>
      <c r="AY94" s="62">
        <v>78894.0</v>
      </c>
      <c r="AZ94" s="62">
        <v>125.0</v>
      </c>
      <c r="BA94" s="62">
        <v>228.0</v>
      </c>
      <c r="BB94" s="62">
        <v>2757.0</v>
      </c>
      <c r="BC94" s="62">
        <v>1007.0</v>
      </c>
      <c r="BD94" s="62">
        <v>2.0</v>
      </c>
      <c r="BE94" s="62">
        <v>3229.0</v>
      </c>
      <c r="BF94" s="62">
        <v>11683.0</v>
      </c>
      <c r="BG94" s="62">
        <v>790.0</v>
      </c>
      <c r="BH94" s="62">
        <v>2861.0</v>
      </c>
      <c r="BI94" s="62">
        <v>954.0</v>
      </c>
      <c r="BJ94" s="62">
        <v>13558.0</v>
      </c>
      <c r="BK94" s="62">
        <v>823.0</v>
      </c>
      <c r="BL94" s="62">
        <v>89.0</v>
      </c>
      <c r="BM94" s="62">
        <v>19.0</v>
      </c>
      <c r="BN94" s="62">
        <v>0.0</v>
      </c>
      <c r="BO94" s="62">
        <v>1727.0</v>
      </c>
      <c r="BP94" s="62">
        <v>0.0</v>
      </c>
      <c r="BQ94" s="62">
        <v>0.0</v>
      </c>
      <c r="BR94" s="62">
        <v>0.0</v>
      </c>
      <c r="BS94" s="62">
        <v>0.0</v>
      </c>
      <c r="BT94" s="62">
        <v>6804.0</v>
      </c>
      <c r="BU94" s="62">
        <v>11829.0</v>
      </c>
      <c r="BV94" s="62">
        <v>593.0</v>
      </c>
      <c r="BW94" s="62">
        <v>220.0</v>
      </c>
      <c r="BX94" s="62">
        <v>4225.0</v>
      </c>
      <c r="BY94" s="62">
        <v>24982.0</v>
      </c>
      <c r="BZ94" s="62">
        <v>1502.0</v>
      </c>
      <c r="CA94" s="62">
        <v>15924.0</v>
      </c>
      <c r="CB94" s="62">
        <v>8146.0</v>
      </c>
      <c r="CC94" s="62">
        <v>1081.0</v>
      </c>
      <c r="CD94" s="62">
        <v>659.0</v>
      </c>
      <c r="CE94" s="62">
        <v>811.0</v>
      </c>
      <c r="CF94" s="62">
        <v>4281.0</v>
      </c>
      <c r="CG94" s="62">
        <v>76.0</v>
      </c>
      <c r="CH94" s="62">
        <v>179.0</v>
      </c>
      <c r="CI94" s="62">
        <v>120.0</v>
      </c>
      <c r="CJ94" s="62">
        <v>45052.0</v>
      </c>
      <c r="CK94" s="62">
        <v>177181.0</v>
      </c>
      <c r="CL94" s="62">
        <v>58408.0</v>
      </c>
      <c r="CM94" s="62">
        <v>20549.0</v>
      </c>
      <c r="CN94" s="62">
        <v>13956.0</v>
      </c>
      <c r="CO94" s="62">
        <v>65221.0</v>
      </c>
      <c r="CP94" s="62">
        <v>53741.0</v>
      </c>
      <c r="CQ94" s="62">
        <v>50.0</v>
      </c>
      <c r="CR94" s="62">
        <v>583.0</v>
      </c>
      <c r="CS94" s="62">
        <v>0.0</v>
      </c>
      <c r="CT94" s="62">
        <v>14680.0</v>
      </c>
      <c r="CU94" s="62">
        <v>439.0</v>
      </c>
      <c r="CV94" s="62">
        <v>9295.0</v>
      </c>
      <c r="CW94" s="62">
        <v>940.0</v>
      </c>
      <c r="CX94" s="62">
        <v>2438.0</v>
      </c>
      <c r="CY94" s="62">
        <v>166.0</v>
      </c>
      <c r="CZ94" s="62">
        <v>17752.0</v>
      </c>
      <c r="DA94" s="62">
        <v>3526.0</v>
      </c>
      <c r="DB94" s="62">
        <v>3519.0</v>
      </c>
      <c r="DC94" s="62">
        <v>4410.0</v>
      </c>
      <c r="DD94" s="62">
        <v>1316.0</v>
      </c>
      <c r="DE94" s="62">
        <v>1250.0</v>
      </c>
      <c r="DF94" s="62">
        <v>1904.0</v>
      </c>
      <c r="DG94" s="62">
        <v>386.0</v>
      </c>
      <c r="DH94" s="62">
        <v>7817.0</v>
      </c>
      <c r="DI94" s="62">
        <v>10950.0</v>
      </c>
      <c r="DJ94" s="62">
        <v>6226.0</v>
      </c>
      <c r="DK94" s="62">
        <v>0.0</v>
      </c>
      <c r="DL94" s="62">
        <v>3365.0</v>
      </c>
      <c r="DM94" s="62">
        <v>1423.0</v>
      </c>
      <c r="DN94" s="62">
        <v>155.0</v>
      </c>
      <c r="DO94" s="62">
        <v>88782.0</v>
      </c>
      <c r="DP94" s="62">
        <v>9535.0</v>
      </c>
      <c r="DQ94" s="62">
        <v>47781.0</v>
      </c>
      <c r="DR94" s="62">
        <v>120909.0</v>
      </c>
      <c r="DS94" s="62">
        <v>508392.0</v>
      </c>
      <c r="DT94" s="62">
        <v>17713.0</v>
      </c>
      <c r="DU94" s="62">
        <v>62449.0</v>
      </c>
      <c r="DV94" s="62">
        <v>184841.0</v>
      </c>
      <c r="DW94" s="62">
        <v>0.0</v>
      </c>
      <c r="DX94" s="62">
        <v>99590.0</v>
      </c>
      <c r="DY94" s="62">
        <v>342520.0</v>
      </c>
      <c r="DZ94" s="62">
        <v>75965.0</v>
      </c>
      <c r="EA94" s="62">
        <v>0.0</v>
      </c>
      <c r="EB94" s="62">
        <v>1366.0</v>
      </c>
      <c r="EC94" s="62">
        <v>17857.0</v>
      </c>
      <c r="ED94" s="62">
        <v>447.0</v>
      </c>
      <c r="EE94" s="62">
        <v>0.0</v>
      </c>
      <c r="EF94" s="62">
        <v>0.0</v>
      </c>
      <c r="EG94" s="62">
        <v>1005.0</v>
      </c>
      <c r="EH94" s="62">
        <v>8372.0</v>
      </c>
      <c r="EI94" s="62">
        <v>289237.0</v>
      </c>
      <c r="EJ94" s="62">
        <v>66.0</v>
      </c>
      <c r="EK94" s="62">
        <v>39.0</v>
      </c>
      <c r="EL94" s="62">
        <v>53579.0</v>
      </c>
      <c r="EM94" s="62">
        <v>23366.0</v>
      </c>
      <c r="EN94" s="62">
        <v>237.0</v>
      </c>
      <c r="EO94" s="62">
        <v>5518.0</v>
      </c>
      <c r="EP94" s="62">
        <v>777.0</v>
      </c>
      <c r="EQ94" s="62">
        <v>0.0</v>
      </c>
      <c r="ER94" s="62">
        <v>0.0</v>
      </c>
      <c r="ES94" s="62">
        <v>0.0</v>
      </c>
      <c r="ET94" s="62">
        <v>0.0</v>
      </c>
      <c r="EU94" s="62">
        <v>792701.0</v>
      </c>
      <c r="EV94" s="62">
        <v>19892.0</v>
      </c>
      <c r="EW94" s="62">
        <v>99069.0</v>
      </c>
      <c r="EX94" s="62">
        <v>119455.0</v>
      </c>
      <c r="EY94" s="62">
        <v>434012.0</v>
      </c>
      <c r="EZ94" s="62">
        <v>5227.0</v>
      </c>
      <c r="FA94" s="62">
        <v>980.0</v>
      </c>
      <c r="FB94" s="62">
        <v>1602424.0</v>
      </c>
      <c r="FC94" s="62">
        <v>0.0</v>
      </c>
      <c r="FD94" s="62">
        <v>0.0</v>
      </c>
      <c r="FE94" s="62">
        <v>0.0</v>
      </c>
      <c r="FF94" s="62">
        <v>0.0</v>
      </c>
      <c r="FG94" s="62">
        <v>0.0</v>
      </c>
      <c r="FH94" s="62">
        <v>75155.0</v>
      </c>
      <c r="FI94" s="62">
        <v>3986.0</v>
      </c>
      <c r="FJ94" s="62">
        <v>333.0</v>
      </c>
      <c r="FK94" s="62">
        <v>13026.0</v>
      </c>
      <c r="FL94" s="62">
        <v>146247.0</v>
      </c>
      <c r="FM94" s="62">
        <v>544.0</v>
      </c>
      <c r="FN94" s="62">
        <v>9670.0</v>
      </c>
      <c r="FO94" s="62">
        <v>609.0</v>
      </c>
      <c r="FP94" s="62">
        <v>29.0</v>
      </c>
      <c r="FQ94" s="62">
        <v>0.0</v>
      </c>
      <c r="FR94" s="62">
        <v>13.0</v>
      </c>
      <c r="FS94" s="62">
        <v>14.0</v>
      </c>
      <c r="FT94" s="62">
        <v>0.0</v>
      </c>
      <c r="FU94" s="62">
        <v>2279.0</v>
      </c>
      <c r="FV94" s="62">
        <v>14738.0</v>
      </c>
      <c r="FW94" s="62">
        <v>1158.0</v>
      </c>
      <c r="FX94" s="62">
        <v>1440.0</v>
      </c>
      <c r="FY94" s="62">
        <v>2261.0</v>
      </c>
      <c r="FZ94" s="62">
        <v>126.0</v>
      </c>
      <c r="GA94" s="62">
        <v>877.0</v>
      </c>
      <c r="GB94" s="62">
        <v>234.0</v>
      </c>
      <c r="GC94" s="62">
        <v>7089.0</v>
      </c>
      <c r="GD94" s="62">
        <v>5955.0</v>
      </c>
      <c r="GE94" s="62">
        <v>1067.0</v>
      </c>
      <c r="GF94" s="63">
        <v>6593802.0</v>
      </c>
      <c r="GG94" s="64">
        <v>6239279.0</v>
      </c>
      <c r="GH94" s="65">
        <v>0.0</v>
      </c>
      <c r="GI94" s="64">
        <v>0.0</v>
      </c>
      <c r="GJ94" s="64">
        <v>2.0028622E7</v>
      </c>
      <c r="GK94" s="64">
        <v>-3062297.0</v>
      </c>
      <c r="GL94" s="64">
        <v>3719228.0</v>
      </c>
      <c r="GM94" s="64">
        <v>0.0</v>
      </c>
      <c r="GN94" s="63">
        <v>2.6924832E7</v>
      </c>
      <c r="GO94" s="66">
        <v>3.3518634E7</v>
      </c>
      <c r="GP94" s="64">
        <v>526699.0</v>
      </c>
      <c r="GQ94" s="64">
        <v>0.0</v>
      </c>
      <c r="GR94" s="65">
        <v>0.0</v>
      </c>
      <c r="GS94" s="63">
        <v>526699.0</v>
      </c>
      <c r="GT94" s="67">
        <v>6460968.0</v>
      </c>
      <c r="GU94" s="67">
        <v>5736380.0</v>
      </c>
      <c r="GV94" s="67">
        <v>736920.0</v>
      </c>
      <c r="GW94" s="63">
        <v>1.2934268E7</v>
      </c>
      <c r="GX94" s="63">
        <v>1139335.0</v>
      </c>
      <c r="GY94" s="63">
        <v>1.8918332E7</v>
      </c>
      <c r="GZ94" s="66">
        <v>3.3518634E7</v>
      </c>
    </row>
    <row r="95" ht="15.75" customHeight="1">
      <c r="A95" s="68">
        <v>90.0</v>
      </c>
      <c r="B95" s="69" t="s">
        <v>135</v>
      </c>
      <c r="C95" s="70">
        <v>0.0</v>
      </c>
      <c r="D95" s="70">
        <v>0.0</v>
      </c>
      <c r="E95" s="70">
        <v>0.0</v>
      </c>
      <c r="F95" s="70">
        <v>0.0</v>
      </c>
      <c r="G95" s="70">
        <v>0.0</v>
      </c>
      <c r="H95" s="70">
        <v>0.0</v>
      </c>
      <c r="I95" s="70">
        <v>0.0</v>
      </c>
      <c r="J95" s="70">
        <v>0.0</v>
      </c>
      <c r="K95" s="70">
        <v>0.0</v>
      </c>
      <c r="L95" s="70">
        <v>0.0</v>
      </c>
      <c r="M95" s="70">
        <v>0.0</v>
      </c>
      <c r="N95" s="70">
        <v>0.0</v>
      </c>
      <c r="O95" s="70">
        <v>0.0</v>
      </c>
      <c r="P95" s="70">
        <v>0.0</v>
      </c>
      <c r="Q95" s="70">
        <v>0.0</v>
      </c>
      <c r="R95" s="70">
        <v>0.0</v>
      </c>
      <c r="S95" s="70">
        <v>0.0</v>
      </c>
      <c r="T95" s="70">
        <v>0.0</v>
      </c>
      <c r="U95" s="70">
        <v>0.0</v>
      </c>
      <c r="V95" s="70">
        <v>0.0</v>
      </c>
      <c r="W95" s="70">
        <v>0.0</v>
      </c>
      <c r="X95" s="70">
        <v>0.0</v>
      </c>
      <c r="Y95" s="70">
        <v>0.0</v>
      </c>
      <c r="Z95" s="70">
        <v>0.0</v>
      </c>
      <c r="AA95" s="70">
        <v>0.0</v>
      </c>
      <c r="AB95" s="70">
        <v>0.0</v>
      </c>
      <c r="AC95" s="70">
        <v>0.0</v>
      </c>
      <c r="AD95" s="70">
        <v>0.0</v>
      </c>
      <c r="AE95" s="70">
        <v>0.0</v>
      </c>
      <c r="AF95" s="70">
        <v>0.0</v>
      </c>
      <c r="AG95" s="70">
        <v>0.0</v>
      </c>
      <c r="AH95" s="70">
        <v>0.0</v>
      </c>
      <c r="AI95" s="70">
        <v>0.0</v>
      </c>
      <c r="AJ95" s="70">
        <v>0.0</v>
      </c>
      <c r="AK95" s="70">
        <v>0.0</v>
      </c>
      <c r="AL95" s="70">
        <v>0.0</v>
      </c>
      <c r="AM95" s="70">
        <v>0.0</v>
      </c>
      <c r="AN95" s="70">
        <v>0.0</v>
      </c>
      <c r="AO95" s="70">
        <v>0.0</v>
      </c>
      <c r="AP95" s="70">
        <v>0.0</v>
      </c>
      <c r="AQ95" s="70">
        <v>0.0</v>
      </c>
      <c r="AR95" s="70">
        <v>0.0</v>
      </c>
      <c r="AS95" s="70">
        <v>0.0</v>
      </c>
      <c r="AT95" s="70">
        <v>0.0</v>
      </c>
      <c r="AU95" s="70">
        <v>0.0</v>
      </c>
      <c r="AV95" s="70">
        <v>0.0</v>
      </c>
      <c r="AW95" s="70">
        <v>0.0</v>
      </c>
      <c r="AX95" s="70">
        <v>0.0</v>
      </c>
      <c r="AY95" s="70">
        <v>0.0</v>
      </c>
      <c r="AZ95" s="70">
        <v>0.0</v>
      </c>
      <c r="BA95" s="70">
        <v>0.0</v>
      </c>
      <c r="BB95" s="70">
        <v>0.0</v>
      </c>
      <c r="BC95" s="70">
        <v>0.0</v>
      </c>
      <c r="BD95" s="70">
        <v>0.0</v>
      </c>
      <c r="BE95" s="70">
        <v>0.0</v>
      </c>
      <c r="BF95" s="70">
        <v>0.0</v>
      </c>
      <c r="BG95" s="70">
        <v>0.0</v>
      </c>
      <c r="BH95" s="70">
        <v>0.0</v>
      </c>
      <c r="BI95" s="70">
        <v>0.0</v>
      </c>
      <c r="BJ95" s="70">
        <v>0.0</v>
      </c>
      <c r="BK95" s="70">
        <v>0.0</v>
      </c>
      <c r="BL95" s="70">
        <v>0.0</v>
      </c>
      <c r="BM95" s="70">
        <v>0.0</v>
      </c>
      <c r="BN95" s="70">
        <v>0.0</v>
      </c>
      <c r="BO95" s="70">
        <v>0.0</v>
      </c>
      <c r="BP95" s="70">
        <v>0.0</v>
      </c>
      <c r="BQ95" s="70">
        <v>0.0</v>
      </c>
      <c r="BR95" s="70">
        <v>0.0</v>
      </c>
      <c r="BS95" s="70">
        <v>0.0</v>
      </c>
      <c r="BT95" s="70">
        <v>0.0</v>
      </c>
      <c r="BU95" s="70">
        <v>0.0</v>
      </c>
      <c r="BV95" s="70">
        <v>0.0</v>
      </c>
      <c r="BW95" s="70">
        <v>0.0</v>
      </c>
      <c r="BX95" s="70">
        <v>0.0</v>
      </c>
      <c r="BY95" s="70">
        <v>0.0</v>
      </c>
      <c r="BZ95" s="70">
        <v>0.0</v>
      </c>
      <c r="CA95" s="70">
        <v>0.0</v>
      </c>
      <c r="CB95" s="70">
        <v>0.0</v>
      </c>
      <c r="CC95" s="70">
        <v>0.0</v>
      </c>
      <c r="CD95" s="70">
        <v>0.0</v>
      </c>
      <c r="CE95" s="70">
        <v>0.0</v>
      </c>
      <c r="CF95" s="70">
        <v>0.0</v>
      </c>
      <c r="CG95" s="70">
        <v>0.0</v>
      </c>
      <c r="CH95" s="70">
        <v>0.0</v>
      </c>
      <c r="CI95" s="70">
        <v>0.0</v>
      </c>
      <c r="CJ95" s="70">
        <v>0.0</v>
      </c>
      <c r="CK95" s="70">
        <v>0.0</v>
      </c>
      <c r="CL95" s="70">
        <v>0.0</v>
      </c>
      <c r="CM95" s="70">
        <v>0.0</v>
      </c>
      <c r="CN95" s="70">
        <v>3367119.0</v>
      </c>
      <c r="CO95" s="70">
        <v>1.7621124E7</v>
      </c>
      <c r="CP95" s="70">
        <v>1.8636121E7</v>
      </c>
      <c r="CQ95" s="70">
        <v>0.0</v>
      </c>
      <c r="CR95" s="70">
        <v>0.0</v>
      </c>
      <c r="CS95" s="70">
        <v>0.0</v>
      </c>
      <c r="CT95" s="70">
        <v>0.0</v>
      </c>
      <c r="CU95" s="70">
        <v>0.0</v>
      </c>
      <c r="CV95" s="70">
        <v>0.0</v>
      </c>
      <c r="CW95" s="70">
        <v>0.0</v>
      </c>
      <c r="CX95" s="70">
        <v>0.0</v>
      </c>
      <c r="CY95" s="70">
        <v>0.0</v>
      </c>
      <c r="CZ95" s="70">
        <v>0.0</v>
      </c>
      <c r="DA95" s="70">
        <v>0.0</v>
      </c>
      <c r="DB95" s="70">
        <v>0.0</v>
      </c>
      <c r="DC95" s="70">
        <v>0.0</v>
      </c>
      <c r="DD95" s="70">
        <v>0.0</v>
      </c>
      <c r="DE95" s="70">
        <v>0.0</v>
      </c>
      <c r="DF95" s="70">
        <v>0.0</v>
      </c>
      <c r="DG95" s="70">
        <v>0.0</v>
      </c>
      <c r="DH95" s="70">
        <v>0.0</v>
      </c>
      <c r="DI95" s="70">
        <v>0.0</v>
      </c>
      <c r="DJ95" s="70">
        <v>0.0</v>
      </c>
      <c r="DK95" s="70">
        <v>0.0</v>
      </c>
      <c r="DL95" s="70">
        <v>0.0</v>
      </c>
      <c r="DM95" s="70">
        <v>0.0</v>
      </c>
      <c r="DN95" s="70">
        <v>0.0</v>
      </c>
      <c r="DO95" s="70">
        <v>0.0</v>
      </c>
      <c r="DP95" s="70">
        <v>0.0</v>
      </c>
      <c r="DQ95" s="70">
        <v>16646.0</v>
      </c>
      <c r="DR95" s="70">
        <v>0.0</v>
      </c>
      <c r="DS95" s="70">
        <v>0.0</v>
      </c>
      <c r="DT95" s="70">
        <v>0.0</v>
      </c>
      <c r="DU95" s="70">
        <v>0.0</v>
      </c>
      <c r="DV95" s="70">
        <v>0.0</v>
      </c>
      <c r="DW95" s="70">
        <v>0.0</v>
      </c>
      <c r="DX95" s="70">
        <v>0.0</v>
      </c>
      <c r="DY95" s="70">
        <v>0.0</v>
      </c>
      <c r="DZ95" s="70">
        <v>0.0</v>
      </c>
      <c r="EA95" s="70">
        <v>0.0</v>
      </c>
      <c r="EB95" s="70">
        <v>0.0</v>
      </c>
      <c r="EC95" s="70">
        <v>0.0</v>
      </c>
      <c r="ED95" s="70">
        <v>0.0</v>
      </c>
      <c r="EE95" s="70">
        <v>0.0</v>
      </c>
      <c r="EF95" s="70">
        <v>0.0</v>
      </c>
      <c r="EG95" s="70">
        <v>0.0</v>
      </c>
      <c r="EH95" s="70">
        <v>0.0</v>
      </c>
      <c r="EI95" s="70">
        <v>0.0</v>
      </c>
      <c r="EJ95" s="70">
        <v>0.0</v>
      </c>
      <c r="EK95" s="70">
        <v>0.0</v>
      </c>
      <c r="EL95" s="70">
        <v>0.0</v>
      </c>
      <c r="EM95" s="70">
        <v>482.0</v>
      </c>
      <c r="EN95" s="70">
        <v>0.0</v>
      </c>
      <c r="EO95" s="70">
        <v>0.0</v>
      </c>
      <c r="EP95" s="70">
        <v>0.0</v>
      </c>
      <c r="EQ95" s="70">
        <v>0.0</v>
      </c>
      <c r="ER95" s="70">
        <v>0.0</v>
      </c>
      <c r="ES95" s="70">
        <v>0.0</v>
      </c>
      <c r="ET95" s="70">
        <v>0.0</v>
      </c>
      <c r="EU95" s="70">
        <v>0.0</v>
      </c>
      <c r="EV95" s="70">
        <v>0.0</v>
      </c>
      <c r="EW95" s="70">
        <v>0.0</v>
      </c>
      <c r="EX95" s="70">
        <v>0.0</v>
      </c>
      <c r="EY95" s="70">
        <v>0.0</v>
      </c>
      <c r="EZ95" s="70">
        <v>0.0</v>
      </c>
      <c r="FA95" s="70">
        <v>0.0</v>
      </c>
      <c r="FB95" s="70">
        <v>0.0</v>
      </c>
      <c r="FC95" s="70">
        <v>0.0</v>
      </c>
      <c r="FD95" s="70">
        <v>0.0</v>
      </c>
      <c r="FE95" s="70">
        <v>0.0</v>
      </c>
      <c r="FF95" s="70">
        <v>0.0</v>
      </c>
      <c r="FG95" s="70">
        <v>0.0</v>
      </c>
      <c r="FH95" s="70">
        <v>0.0</v>
      </c>
      <c r="FI95" s="70">
        <v>0.0</v>
      </c>
      <c r="FJ95" s="70">
        <v>0.0</v>
      </c>
      <c r="FK95" s="70">
        <v>0.0</v>
      </c>
      <c r="FL95" s="70">
        <v>0.0</v>
      </c>
      <c r="FM95" s="70">
        <v>0.0</v>
      </c>
      <c r="FN95" s="70">
        <v>0.0</v>
      </c>
      <c r="FO95" s="70">
        <v>0.0</v>
      </c>
      <c r="FP95" s="70">
        <v>0.0</v>
      </c>
      <c r="FQ95" s="70">
        <v>0.0</v>
      </c>
      <c r="FR95" s="70">
        <v>0.0</v>
      </c>
      <c r="FS95" s="70">
        <v>0.0</v>
      </c>
      <c r="FT95" s="70">
        <v>0.0</v>
      </c>
      <c r="FU95" s="70">
        <v>0.0</v>
      </c>
      <c r="FV95" s="70">
        <v>0.0</v>
      </c>
      <c r="FW95" s="70">
        <v>0.0</v>
      </c>
      <c r="FX95" s="70">
        <v>0.0</v>
      </c>
      <c r="FY95" s="70">
        <v>0.0</v>
      </c>
      <c r="FZ95" s="70">
        <v>0.0</v>
      </c>
      <c r="GA95" s="70">
        <v>0.0</v>
      </c>
      <c r="GB95" s="70">
        <v>0.0</v>
      </c>
      <c r="GC95" s="70">
        <v>0.0</v>
      </c>
      <c r="GD95" s="70">
        <v>0.0</v>
      </c>
      <c r="GE95" s="70">
        <v>0.0</v>
      </c>
      <c r="GF95" s="71">
        <v>3.9641492E7</v>
      </c>
      <c r="GG95" s="72">
        <v>0.0</v>
      </c>
      <c r="GH95" s="73">
        <v>0.0</v>
      </c>
      <c r="GI95" s="72">
        <v>0.0</v>
      </c>
      <c r="GJ95" s="72">
        <v>0.0</v>
      </c>
      <c r="GK95" s="72">
        <v>66421.0</v>
      </c>
      <c r="GL95" s="72">
        <v>3.6930054E7</v>
      </c>
      <c r="GM95" s="72">
        <v>0.0</v>
      </c>
      <c r="GN95" s="71">
        <v>3.6996475E7</v>
      </c>
      <c r="GO95" s="74">
        <v>7.6637967E7</v>
      </c>
      <c r="GP95" s="72">
        <v>1.2532315E7</v>
      </c>
      <c r="GQ95" s="72">
        <v>0.0</v>
      </c>
      <c r="GR95" s="73">
        <v>0.0</v>
      </c>
      <c r="GS95" s="71">
        <v>1.2532315E7</v>
      </c>
      <c r="GT95" s="75">
        <v>1728154.0</v>
      </c>
      <c r="GU95" s="75">
        <v>0.0</v>
      </c>
      <c r="GV95" s="75">
        <v>2075943.0</v>
      </c>
      <c r="GW95" s="71">
        <v>3804097.0</v>
      </c>
      <c r="GX95" s="71">
        <v>863219.0</v>
      </c>
      <c r="GY95" s="71">
        <v>5.9438336E7</v>
      </c>
      <c r="GZ95" s="74">
        <v>7.6637967E7</v>
      </c>
    </row>
    <row r="96" ht="15.75" customHeight="1">
      <c r="A96" s="52">
        <v>91.0</v>
      </c>
      <c r="B96" s="53" t="s">
        <v>136</v>
      </c>
      <c r="C96" s="54">
        <v>0.0</v>
      </c>
      <c r="D96" s="54">
        <v>0.0</v>
      </c>
      <c r="E96" s="54">
        <v>0.0</v>
      </c>
      <c r="F96" s="54">
        <v>0.0</v>
      </c>
      <c r="G96" s="54">
        <v>0.0</v>
      </c>
      <c r="H96" s="54">
        <v>0.0</v>
      </c>
      <c r="I96" s="54">
        <v>0.0</v>
      </c>
      <c r="J96" s="54">
        <v>0.0</v>
      </c>
      <c r="K96" s="54">
        <v>0.0</v>
      </c>
      <c r="L96" s="54">
        <v>8858.0</v>
      </c>
      <c r="M96" s="54">
        <v>20.0</v>
      </c>
      <c r="N96" s="54">
        <v>0.0</v>
      </c>
      <c r="O96" s="54">
        <v>110.0</v>
      </c>
      <c r="P96" s="54">
        <v>0.0</v>
      </c>
      <c r="Q96" s="54">
        <v>599.0</v>
      </c>
      <c r="R96" s="54">
        <v>35686.0</v>
      </c>
      <c r="S96" s="54">
        <v>72.0</v>
      </c>
      <c r="T96" s="54">
        <v>361.0</v>
      </c>
      <c r="U96" s="54">
        <v>0.0</v>
      </c>
      <c r="V96" s="54">
        <v>0.0</v>
      </c>
      <c r="W96" s="54">
        <v>0.0</v>
      </c>
      <c r="X96" s="54">
        <v>0.0</v>
      </c>
      <c r="Y96" s="54">
        <v>0.0</v>
      </c>
      <c r="Z96" s="54">
        <v>0.0</v>
      </c>
      <c r="AA96" s="54">
        <v>0.0</v>
      </c>
      <c r="AB96" s="54">
        <v>154.0</v>
      </c>
      <c r="AC96" s="54">
        <v>938.0</v>
      </c>
      <c r="AD96" s="54">
        <v>600.0</v>
      </c>
      <c r="AE96" s="54">
        <v>60.0</v>
      </c>
      <c r="AF96" s="54">
        <v>510.0</v>
      </c>
      <c r="AG96" s="54">
        <v>25550.0</v>
      </c>
      <c r="AH96" s="54">
        <v>6835.0</v>
      </c>
      <c r="AI96" s="54">
        <v>1729.0</v>
      </c>
      <c r="AJ96" s="54">
        <v>483.0</v>
      </c>
      <c r="AK96" s="54">
        <v>36.0</v>
      </c>
      <c r="AL96" s="54">
        <v>135.0</v>
      </c>
      <c r="AM96" s="54">
        <v>32517.0</v>
      </c>
      <c r="AN96" s="54">
        <v>32286.0</v>
      </c>
      <c r="AO96" s="54">
        <v>2457.0</v>
      </c>
      <c r="AP96" s="54">
        <v>56.0</v>
      </c>
      <c r="AQ96" s="54">
        <v>1392.0</v>
      </c>
      <c r="AR96" s="54">
        <v>100.0</v>
      </c>
      <c r="AS96" s="54">
        <v>1320.0</v>
      </c>
      <c r="AT96" s="54">
        <v>779.0</v>
      </c>
      <c r="AU96" s="54">
        <v>665.0</v>
      </c>
      <c r="AV96" s="54">
        <v>3180.0</v>
      </c>
      <c r="AW96" s="54">
        <v>91.0</v>
      </c>
      <c r="AX96" s="54">
        <v>21957.0</v>
      </c>
      <c r="AY96" s="54">
        <v>615.0</v>
      </c>
      <c r="AZ96" s="54">
        <v>203.0</v>
      </c>
      <c r="BA96" s="54">
        <v>8835.0</v>
      </c>
      <c r="BB96" s="54">
        <v>3224.0</v>
      </c>
      <c r="BC96" s="54">
        <v>14030.0</v>
      </c>
      <c r="BD96" s="54">
        <v>11774.0</v>
      </c>
      <c r="BE96" s="54">
        <v>2663.0</v>
      </c>
      <c r="BF96" s="54">
        <v>23462.0</v>
      </c>
      <c r="BG96" s="54">
        <v>540.0</v>
      </c>
      <c r="BH96" s="54">
        <v>2993.0</v>
      </c>
      <c r="BI96" s="54">
        <v>997.0</v>
      </c>
      <c r="BJ96" s="54">
        <v>1565.0</v>
      </c>
      <c r="BK96" s="54">
        <v>470.0</v>
      </c>
      <c r="BL96" s="54">
        <v>240.0</v>
      </c>
      <c r="BM96" s="54">
        <v>17.0</v>
      </c>
      <c r="BN96" s="54">
        <v>120.0</v>
      </c>
      <c r="BO96" s="54">
        <v>9876.0</v>
      </c>
      <c r="BP96" s="54">
        <v>5429.0</v>
      </c>
      <c r="BQ96" s="54">
        <v>1146.0</v>
      </c>
      <c r="BR96" s="54">
        <v>46.0</v>
      </c>
      <c r="BS96" s="54">
        <v>24176.0</v>
      </c>
      <c r="BT96" s="54">
        <v>17170.0</v>
      </c>
      <c r="BU96" s="54">
        <v>55501.0</v>
      </c>
      <c r="BV96" s="54">
        <v>5265.0</v>
      </c>
      <c r="BW96" s="54">
        <v>743.0</v>
      </c>
      <c r="BX96" s="54">
        <v>140158.0</v>
      </c>
      <c r="BY96" s="54">
        <v>1556729.0</v>
      </c>
      <c r="BZ96" s="54">
        <v>65548.0</v>
      </c>
      <c r="CA96" s="54">
        <v>120812.0</v>
      </c>
      <c r="CB96" s="54">
        <v>91862.0</v>
      </c>
      <c r="CC96" s="54">
        <v>18619.0</v>
      </c>
      <c r="CD96" s="54">
        <v>13745.0</v>
      </c>
      <c r="CE96" s="54">
        <v>16214.0</v>
      </c>
      <c r="CF96" s="54">
        <v>159681.0</v>
      </c>
      <c r="CG96" s="54">
        <v>333.0</v>
      </c>
      <c r="CH96" s="54">
        <v>8563.0</v>
      </c>
      <c r="CI96" s="54">
        <v>138744.0</v>
      </c>
      <c r="CJ96" s="54">
        <v>10839.0</v>
      </c>
      <c r="CK96" s="54">
        <v>25307.0</v>
      </c>
      <c r="CL96" s="54">
        <v>11043.0</v>
      </c>
      <c r="CM96" s="54">
        <v>12174.0</v>
      </c>
      <c r="CN96" s="54">
        <v>3280133.0</v>
      </c>
      <c r="CO96" s="54">
        <v>1668975.0</v>
      </c>
      <c r="CP96" s="54">
        <v>1.2247027E7</v>
      </c>
      <c r="CQ96" s="54">
        <v>9668416.0</v>
      </c>
      <c r="CR96" s="54">
        <v>138190.0</v>
      </c>
      <c r="CS96" s="54">
        <v>51026.0</v>
      </c>
      <c r="CT96" s="54">
        <v>209648.0</v>
      </c>
      <c r="CU96" s="54">
        <v>63722.0</v>
      </c>
      <c r="CV96" s="54">
        <v>106594.0</v>
      </c>
      <c r="CW96" s="54">
        <v>36505.0</v>
      </c>
      <c r="CX96" s="54">
        <v>46566.0</v>
      </c>
      <c r="CY96" s="54">
        <v>2015.0</v>
      </c>
      <c r="CZ96" s="54">
        <v>745.0</v>
      </c>
      <c r="DA96" s="54">
        <v>9296.0</v>
      </c>
      <c r="DB96" s="54">
        <v>59980.0</v>
      </c>
      <c r="DC96" s="54">
        <v>678909.0</v>
      </c>
      <c r="DD96" s="54">
        <v>6706.0</v>
      </c>
      <c r="DE96" s="54">
        <v>11784.0</v>
      </c>
      <c r="DF96" s="54">
        <v>8.0</v>
      </c>
      <c r="DG96" s="54">
        <v>1372.0</v>
      </c>
      <c r="DH96" s="54">
        <v>29819.0</v>
      </c>
      <c r="DI96" s="54">
        <v>44209.0</v>
      </c>
      <c r="DJ96" s="54">
        <v>27828.0</v>
      </c>
      <c r="DK96" s="54">
        <v>1345.0</v>
      </c>
      <c r="DL96" s="54">
        <v>99288.0</v>
      </c>
      <c r="DM96" s="54">
        <v>723.0</v>
      </c>
      <c r="DN96" s="54">
        <v>3767.0</v>
      </c>
      <c r="DO96" s="54">
        <v>58416.0</v>
      </c>
      <c r="DP96" s="54">
        <v>6042.0</v>
      </c>
      <c r="DQ96" s="54">
        <v>33662.0</v>
      </c>
      <c r="DR96" s="54">
        <v>78318.0</v>
      </c>
      <c r="DS96" s="54">
        <v>830114.0</v>
      </c>
      <c r="DT96" s="54">
        <v>73579.0</v>
      </c>
      <c r="DU96" s="54">
        <v>102027.0</v>
      </c>
      <c r="DV96" s="54">
        <v>301986.0</v>
      </c>
      <c r="DW96" s="54">
        <v>193883.0</v>
      </c>
      <c r="DX96" s="54">
        <v>164529.0</v>
      </c>
      <c r="DY96" s="54">
        <v>559633.0</v>
      </c>
      <c r="DZ96" s="54">
        <v>247524.0</v>
      </c>
      <c r="EA96" s="54">
        <v>19403.0</v>
      </c>
      <c r="EB96" s="54">
        <v>221954.0</v>
      </c>
      <c r="EC96" s="54">
        <v>21390.0</v>
      </c>
      <c r="ED96" s="54">
        <v>8236.0</v>
      </c>
      <c r="EE96" s="54">
        <v>91.0</v>
      </c>
      <c r="EF96" s="54">
        <v>41.0</v>
      </c>
      <c r="EG96" s="54">
        <v>3655.0</v>
      </c>
      <c r="EH96" s="54">
        <v>4072.0</v>
      </c>
      <c r="EI96" s="54">
        <v>328331.0</v>
      </c>
      <c r="EJ96" s="54">
        <v>8231.0</v>
      </c>
      <c r="EK96" s="54">
        <v>6484.0</v>
      </c>
      <c r="EL96" s="54">
        <v>39384.0</v>
      </c>
      <c r="EM96" s="54">
        <v>32739.0</v>
      </c>
      <c r="EN96" s="54">
        <v>63530.0</v>
      </c>
      <c r="EO96" s="54">
        <v>233817.0</v>
      </c>
      <c r="EP96" s="54">
        <v>4321.0</v>
      </c>
      <c r="EQ96" s="54">
        <v>18579.0</v>
      </c>
      <c r="ER96" s="54">
        <v>430.0</v>
      </c>
      <c r="ES96" s="54">
        <v>6323.0</v>
      </c>
      <c r="ET96" s="54">
        <v>159766.0</v>
      </c>
      <c r="EU96" s="54">
        <v>736409.0</v>
      </c>
      <c r="EV96" s="54">
        <v>7807.0</v>
      </c>
      <c r="EW96" s="54">
        <v>11056.0</v>
      </c>
      <c r="EX96" s="54">
        <v>30236.0</v>
      </c>
      <c r="EY96" s="54">
        <v>227208.0</v>
      </c>
      <c r="EZ96" s="54">
        <v>155300.0</v>
      </c>
      <c r="FA96" s="54">
        <v>44310.0</v>
      </c>
      <c r="FB96" s="54">
        <v>3328496.0</v>
      </c>
      <c r="FC96" s="54">
        <v>9489.0</v>
      </c>
      <c r="FD96" s="54">
        <v>1112334.0</v>
      </c>
      <c r="FE96" s="54">
        <v>167721.0</v>
      </c>
      <c r="FF96" s="54">
        <v>121852.0</v>
      </c>
      <c r="FG96" s="54">
        <v>390569.0</v>
      </c>
      <c r="FH96" s="54">
        <v>513530.0</v>
      </c>
      <c r="FI96" s="54">
        <v>167883.0</v>
      </c>
      <c r="FJ96" s="54">
        <v>6068.0</v>
      </c>
      <c r="FK96" s="54">
        <v>2312.0</v>
      </c>
      <c r="FL96" s="54">
        <v>3168131.0</v>
      </c>
      <c r="FM96" s="54">
        <v>18082.0</v>
      </c>
      <c r="FN96" s="54">
        <v>7395.0</v>
      </c>
      <c r="FO96" s="54">
        <v>46740.0</v>
      </c>
      <c r="FP96" s="54">
        <v>17602.0</v>
      </c>
      <c r="FQ96" s="54">
        <v>77452.0</v>
      </c>
      <c r="FR96" s="54">
        <v>14.0</v>
      </c>
      <c r="FS96" s="54">
        <v>1027.0</v>
      </c>
      <c r="FT96" s="54">
        <v>31046.0</v>
      </c>
      <c r="FU96" s="54">
        <v>361277.0</v>
      </c>
      <c r="FV96" s="54">
        <v>363868.0</v>
      </c>
      <c r="FW96" s="54">
        <v>1930432.0</v>
      </c>
      <c r="FX96" s="54">
        <v>653115.0</v>
      </c>
      <c r="FY96" s="54">
        <v>2007340.0</v>
      </c>
      <c r="FZ96" s="54">
        <v>11521.0</v>
      </c>
      <c r="GA96" s="54">
        <v>782462.0</v>
      </c>
      <c r="GB96" s="54">
        <v>494464.0</v>
      </c>
      <c r="GC96" s="54">
        <v>32319.0</v>
      </c>
      <c r="GD96" s="54">
        <v>10467.0</v>
      </c>
      <c r="GE96" s="54">
        <v>2067095.0</v>
      </c>
      <c r="GF96" s="55">
        <v>5.4200522E7</v>
      </c>
      <c r="GG96" s="56">
        <v>1356062.0</v>
      </c>
      <c r="GH96" s="57">
        <v>0.0</v>
      </c>
      <c r="GI96" s="56">
        <v>0.0</v>
      </c>
      <c r="GJ96" s="56">
        <v>0.0</v>
      </c>
      <c r="GK96" s="56">
        <v>334124.0</v>
      </c>
      <c r="GL96" s="56">
        <v>5.4424514E7</v>
      </c>
      <c r="GM96" s="56">
        <v>0.0</v>
      </c>
      <c r="GN96" s="55">
        <v>5.61147E7</v>
      </c>
      <c r="GO96" s="58">
        <v>1.10315222E8</v>
      </c>
      <c r="GP96" s="56">
        <v>1.2844256E7</v>
      </c>
      <c r="GQ96" s="56">
        <v>0.0</v>
      </c>
      <c r="GR96" s="57">
        <v>0.0</v>
      </c>
      <c r="GS96" s="55">
        <v>1.2844256E7</v>
      </c>
      <c r="GT96" s="59">
        <v>6598562.0</v>
      </c>
      <c r="GU96" s="59">
        <v>6148745.0</v>
      </c>
      <c r="GV96" s="59">
        <v>2434084.0</v>
      </c>
      <c r="GW96" s="55">
        <v>1.5181391E7</v>
      </c>
      <c r="GX96" s="55">
        <v>1216336.0</v>
      </c>
      <c r="GY96" s="55">
        <v>8.1073239E7</v>
      </c>
      <c r="GZ96" s="58">
        <v>1.10315222E8</v>
      </c>
    </row>
    <row r="97" ht="15.75" customHeight="1">
      <c r="A97" s="60">
        <v>92.0</v>
      </c>
      <c r="B97" s="61" t="s">
        <v>137</v>
      </c>
      <c r="C97" s="62">
        <v>15766.0</v>
      </c>
      <c r="D97" s="62">
        <v>13078.0</v>
      </c>
      <c r="E97" s="62">
        <v>306.0</v>
      </c>
      <c r="F97" s="62">
        <v>14060.0</v>
      </c>
      <c r="G97" s="62">
        <v>403.0</v>
      </c>
      <c r="H97" s="62">
        <v>3377.0</v>
      </c>
      <c r="I97" s="62">
        <v>1643.0</v>
      </c>
      <c r="J97" s="62">
        <v>1008.0</v>
      </c>
      <c r="K97" s="62">
        <v>9.0</v>
      </c>
      <c r="L97" s="62">
        <v>363824.0</v>
      </c>
      <c r="M97" s="62">
        <v>5681.0</v>
      </c>
      <c r="N97" s="62">
        <v>3010.0</v>
      </c>
      <c r="O97" s="62">
        <v>20047.0</v>
      </c>
      <c r="P97" s="62">
        <v>246.0</v>
      </c>
      <c r="Q97" s="62">
        <v>1560.0</v>
      </c>
      <c r="R97" s="62">
        <v>74792.0</v>
      </c>
      <c r="S97" s="62">
        <v>238.0</v>
      </c>
      <c r="T97" s="62">
        <v>900.0</v>
      </c>
      <c r="U97" s="62">
        <v>439.0</v>
      </c>
      <c r="V97" s="62">
        <v>15609.0</v>
      </c>
      <c r="W97" s="62">
        <v>389.0</v>
      </c>
      <c r="X97" s="62">
        <v>231.0</v>
      </c>
      <c r="Y97" s="62">
        <v>421.0</v>
      </c>
      <c r="Z97" s="62">
        <v>983.0</v>
      </c>
      <c r="AA97" s="62">
        <v>701.0</v>
      </c>
      <c r="AB97" s="62">
        <v>2323.0</v>
      </c>
      <c r="AC97" s="62">
        <v>44.0</v>
      </c>
      <c r="AD97" s="62">
        <v>6177.0</v>
      </c>
      <c r="AE97" s="62">
        <v>419.0</v>
      </c>
      <c r="AF97" s="62">
        <v>177139.0</v>
      </c>
      <c r="AG97" s="62">
        <v>36015.0</v>
      </c>
      <c r="AH97" s="62">
        <v>20504.0</v>
      </c>
      <c r="AI97" s="62">
        <v>35155.0</v>
      </c>
      <c r="AJ97" s="62">
        <v>3564.0</v>
      </c>
      <c r="AK97" s="62">
        <v>409.0</v>
      </c>
      <c r="AL97" s="62">
        <v>1114.0</v>
      </c>
      <c r="AM97" s="62">
        <v>66259.0</v>
      </c>
      <c r="AN97" s="62">
        <v>36870.0</v>
      </c>
      <c r="AO97" s="62">
        <v>3138.0</v>
      </c>
      <c r="AP97" s="62">
        <v>83.0</v>
      </c>
      <c r="AQ97" s="62">
        <v>1774.0</v>
      </c>
      <c r="AR97" s="62">
        <v>244.0</v>
      </c>
      <c r="AS97" s="62">
        <v>2735.0</v>
      </c>
      <c r="AT97" s="62">
        <v>1252.0</v>
      </c>
      <c r="AU97" s="62">
        <v>3418.0</v>
      </c>
      <c r="AV97" s="62">
        <v>87146.0</v>
      </c>
      <c r="AW97" s="62">
        <v>403.0</v>
      </c>
      <c r="AX97" s="62">
        <v>494333.0</v>
      </c>
      <c r="AY97" s="62">
        <v>246.0</v>
      </c>
      <c r="AZ97" s="62">
        <v>232.0</v>
      </c>
      <c r="BA97" s="62">
        <v>140379.0</v>
      </c>
      <c r="BB97" s="62">
        <v>23356.0</v>
      </c>
      <c r="BC97" s="62">
        <v>10651.0</v>
      </c>
      <c r="BD97" s="62">
        <v>1735.0</v>
      </c>
      <c r="BE97" s="62">
        <v>13513.0</v>
      </c>
      <c r="BF97" s="62">
        <v>26808.0</v>
      </c>
      <c r="BG97" s="62">
        <v>22492.0</v>
      </c>
      <c r="BH97" s="62">
        <v>91448.0</v>
      </c>
      <c r="BI97" s="62">
        <v>5930.0</v>
      </c>
      <c r="BJ97" s="62">
        <v>107236.0</v>
      </c>
      <c r="BK97" s="62">
        <v>3115.0</v>
      </c>
      <c r="BL97" s="62">
        <v>568.0</v>
      </c>
      <c r="BM97" s="62">
        <v>17.0</v>
      </c>
      <c r="BN97" s="62">
        <v>761.0</v>
      </c>
      <c r="BO97" s="62">
        <v>11335.0</v>
      </c>
      <c r="BP97" s="62">
        <v>6238.0</v>
      </c>
      <c r="BQ97" s="62">
        <v>1698.0</v>
      </c>
      <c r="BR97" s="62">
        <v>7686.0</v>
      </c>
      <c r="BS97" s="62">
        <v>48829.0</v>
      </c>
      <c r="BT97" s="62">
        <v>3758.0</v>
      </c>
      <c r="BU97" s="62">
        <v>76538.0</v>
      </c>
      <c r="BV97" s="62">
        <v>12401.0</v>
      </c>
      <c r="BW97" s="62">
        <v>51.0</v>
      </c>
      <c r="BX97" s="62">
        <v>320190.0</v>
      </c>
      <c r="BY97" s="62">
        <v>5563540.0</v>
      </c>
      <c r="BZ97" s="62">
        <v>391411.0</v>
      </c>
      <c r="CA97" s="62">
        <v>359668.0</v>
      </c>
      <c r="CB97" s="62">
        <v>130555.0</v>
      </c>
      <c r="CC97" s="62">
        <v>23632.0</v>
      </c>
      <c r="CD97" s="62">
        <v>12977.0</v>
      </c>
      <c r="CE97" s="62">
        <v>20886.0</v>
      </c>
      <c r="CF97" s="62">
        <v>183001.0</v>
      </c>
      <c r="CG97" s="62">
        <v>5345.0</v>
      </c>
      <c r="CH97" s="62">
        <v>69995.0</v>
      </c>
      <c r="CI97" s="62">
        <v>243511.0</v>
      </c>
      <c r="CJ97" s="62">
        <v>15968.0</v>
      </c>
      <c r="CK97" s="62">
        <v>34684.0</v>
      </c>
      <c r="CL97" s="62">
        <v>24936.0</v>
      </c>
      <c r="CM97" s="62">
        <v>28667.0</v>
      </c>
      <c r="CN97" s="62">
        <v>2426094.0</v>
      </c>
      <c r="CO97" s="62">
        <v>2738480.0</v>
      </c>
      <c r="CP97" s="62">
        <v>4482583.0</v>
      </c>
      <c r="CQ97" s="62">
        <v>7663136.0</v>
      </c>
      <c r="CR97" s="62">
        <v>86367.0</v>
      </c>
      <c r="CS97" s="62">
        <v>20992.0</v>
      </c>
      <c r="CT97" s="62">
        <v>389105.0</v>
      </c>
      <c r="CU97" s="62">
        <v>124619.0</v>
      </c>
      <c r="CV97" s="62">
        <v>261429.0</v>
      </c>
      <c r="CW97" s="62">
        <v>287802.0</v>
      </c>
      <c r="CX97" s="62">
        <v>24118.0</v>
      </c>
      <c r="CY97" s="62">
        <v>4370.0</v>
      </c>
      <c r="CZ97" s="62">
        <v>492116.0</v>
      </c>
      <c r="DA97" s="62">
        <v>543243.0</v>
      </c>
      <c r="DB97" s="62">
        <v>74524.0</v>
      </c>
      <c r="DC97" s="62">
        <v>642407.0</v>
      </c>
      <c r="DD97" s="62">
        <v>178524.0</v>
      </c>
      <c r="DE97" s="62">
        <v>22143.0</v>
      </c>
      <c r="DF97" s="62">
        <v>5272.0</v>
      </c>
      <c r="DG97" s="62">
        <v>9751.0</v>
      </c>
      <c r="DH97" s="62">
        <v>77938.0</v>
      </c>
      <c r="DI97" s="62">
        <v>302415.0</v>
      </c>
      <c r="DJ97" s="62">
        <v>68423.0</v>
      </c>
      <c r="DK97" s="62">
        <v>162321.0</v>
      </c>
      <c r="DL97" s="62">
        <v>116606.0</v>
      </c>
      <c r="DM97" s="62">
        <v>129251.0</v>
      </c>
      <c r="DN97" s="62">
        <v>7121.0</v>
      </c>
      <c r="DO97" s="62">
        <v>5051.0</v>
      </c>
      <c r="DP97" s="62">
        <v>10222.0</v>
      </c>
      <c r="DQ97" s="62">
        <v>5108.0</v>
      </c>
      <c r="DR97" s="62">
        <v>4422.0</v>
      </c>
      <c r="DS97" s="62">
        <v>413787.0</v>
      </c>
      <c r="DT97" s="62">
        <v>15212.0</v>
      </c>
      <c r="DU97" s="62">
        <v>1340.0</v>
      </c>
      <c r="DV97" s="62">
        <v>10395.0</v>
      </c>
      <c r="DW97" s="62">
        <v>107175.0</v>
      </c>
      <c r="DX97" s="62">
        <v>3203.0</v>
      </c>
      <c r="DY97" s="62">
        <v>156.0</v>
      </c>
      <c r="DZ97" s="62">
        <v>283706.0</v>
      </c>
      <c r="EA97" s="62">
        <v>52681.0</v>
      </c>
      <c r="EB97" s="62">
        <v>441199.0</v>
      </c>
      <c r="EC97" s="62">
        <v>23362.0</v>
      </c>
      <c r="ED97" s="62">
        <v>5035.0</v>
      </c>
      <c r="EE97" s="62">
        <v>832.0</v>
      </c>
      <c r="EF97" s="62">
        <v>418.0</v>
      </c>
      <c r="EG97" s="62">
        <v>12583.0</v>
      </c>
      <c r="EH97" s="62">
        <v>25411.0</v>
      </c>
      <c r="EI97" s="62">
        <v>104345.0</v>
      </c>
      <c r="EJ97" s="62">
        <v>37783.0</v>
      </c>
      <c r="EK97" s="62">
        <v>12330.0</v>
      </c>
      <c r="EL97" s="62">
        <v>23976.0</v>
      </c>
      <c r="EM97" s="62">
        <v>72028.0</v>
      </c>
      <c r="EN97" s="62">
        <v>104320.0</v>
      </c>
      <c r="EO97" s="62">
        <v>330286.0</v>
      </c>
      <c r="EP97" s="62">
        <v>9630.0</v>
      </c>
      <c r="EQ97" s="62">
        <v>35649.0</v>
      </c>
      <c r="ER97" s="62">
        <v>1379.0</v>
      </c>
      <c r="ES97" s="62">
        <v>33345.0</v>
      </c>
      <c r="ET97" s="62">
        <v>483919.0</v>
      </c>
      <c r="EU97" s="62">
        <v>2646189.0</v>
      </c>
      <c r="EV97" s="62">
        <v>13344.0</v>
      </c>
      <c r="EW97" s="62">
        <v>17444.0</v>
      </c>
      <c r="EX97" s="62">
        <v>43181.0</v>
      </c>
      <c r="EY97" s="62">
        <v>1987597.0</v>
      </c>
      <c r="EZ97" s="62">
        <v>3428108.0</v>
      </c>
      <c r="FA97" s="62">
        <v>232811.0</v>
      </c>
      <c r="FB97" s="62">
        <v>3.7480501E7</v>
      </c>
      <c r="FC97" s="62">
        <v>20629.0</v>
      </c>
      <c r="FD97" s="62">
        <v>3936825.0</v>
      </c>
      <c r="FE97" s="62">
        <v>819478.0</v>
      </c>
      <c r="FF97" s="62">
        <v>368467.0</v>
      </c>
      <c r="FG97" s="62">
        <v>1371405.0</v>
      </c>
      <c r="FH97" s="62">
        <v>2396412.0</v>
      </c>
      <c r="FI97" s="62">
        <v>720984.0</v>
      </c>
      <c r="FJ97" s="62">
        <v>10863.0</v>
      </c>
      <c r="FK97" s="62">
        <v>237075.0</v>
      </c>
      <c r="FL97" s="62">
        <v>5260434.0</v>
      </c>
      <c r="FM97" s="62">
        <v>31745.0</v>
      </c>
      <c r="FN97" s="62">
        <v>1135279.0</v>
      </c>
      <c r="FO97" s="62">
        <v>151085.0</v>
      </c>
      <c r="FP97" s="62">
        <v>5984232.0</v>
      </c>
      <c r="FQ97" s="62">
        <v>1064180.0</v>
      </c>
      <c r="FR97" s="62">
        <v>6041.0</v>
      </c>
      <c r="FS97" s="62">
        <v>545788.0</v>
      </c>
      <c r="FT97" s="62">
        <v>3309411.0</v>
      </c>
      <c r="FU97" s="62">
        <v>5293010.0</v>
      </c>
      <c r="FV97" s="62">
        <v>2192512.0</v>
      </c>
      <c r="FW97" s="62">
        <v>1958861.0</v>
      </c>
      <c r="FX97" s="62">
        <v>1578093.0</v>
      </c>
      <c r="FY97" s="62">
        <v>2441306.0</v>
      </c>
      <c r="FZ97" s="62">
        <v>39739.0</v>
      </c>
      <c r="GA97" s="62">
        <v>7953849.0</v>
      </c>
      <c r="GB97" s="62">
        <v>345953.0</v>
      </c>
      <c r="GC97" s="62">
        <v>61501.0</v>
      </c>
      <c r="GD97" s="62">
        <v>19706.0</v>
      </c>
      <c r="GE97" s="62">
        <v>1100798.0</v>
      </c>
      <c r="GF97" s="63">
        <v>1.297815E8</v>
      </c>
      <c r="GG97" s="64">
        <v>1.2778356E7</v>
      </c>
      <c r="GH97" s="65">
        <v>0.0</v>
      </c>
      <c r="GI97" s="64">
        <v>0.0</v>
      </c>
      <c r="GJ97" s="64">
        <v>0.0</v>
      </c>
      <c r="GK97" s="64">
        <v>78384.0</v>
      </c>
      <c r="GL97" s="64">
        <v>8396777.0</v>
      </c>
      <c r="GM97" s="64">
        <v>0.0</v>
      </c>
      <c r="GN97" s="63">
        <v>2.1253517E7</v>
      </c>
      <c r="GO97" s="66">
        <v>1.51035017E8</v>
      </c>
      <c r="GP97" s="64">
        <v>1.3893609E7</v>
      </c>
      <c r="GQ97" s="64">
        <v>0.0</v>
      </c>
      <c r="GR97" s="65">
        <v>0.0</v>
      </c>
      <c r="GS97" s="63">
        <v>1.3893609E7</v>
      </c>
      <c r="GT97" s="67">
        <v>1.314556E7</v>
      </c>
      <c r="GU97" s="67">
        <v>1.25081E7</v>
      </c>
      <c r="GV97" s="67">
        <v>5668498.0</v>
      </c>
      <c r="GW97" s="63">
        <v>3.1322158E7</v>
      </c>
      <c r="GX97" s="63">
        <v>1551788.0</v>
      </c>
      <c r="GY97" s="63">
        <v>1.04267462E8</v>
      </c>
      <c r="GZ97" s="66">
        <v>1.51035017E8</v>
      </c>
    </row>
    <row r="98" ht="15.75" customHeight="1">
      <c r="A98" s="60">
        <v>93.0</v>
      </c>
      <c r="B98" s="61" t="s">
        <v>138</v>
      </c>
      <c r="C98" s="62">
        <v>0.0</v>
      </c>
      <c r="D98" s="62">
        <v>0.0</v>
      </c>
      <c r="E98" s="62">
        <v>0.0</v>
      </c>
      <c r="F98" s="62">
        <v>0.0</v>
      </c>
      <c r="G98" s="62">
        <v>0.0</v>
      </c>
      <c r="H98" s="62">
        <v>0.0</v>
      </c>
      <c r="I98" s="62">
        <v>0.0</v>
      </c>
      <c r="J98" s="62">
        <v>0.0</v>
      </c>
      <c r="K98" s="62">
        <v>0.0</v>
      </c>
      <c r="L98" s="62">
        <v>3066.0</v>
      </c>
      <c r="M98" s="62">
        <v>317.0</v>
      </c>
      <c r="N98" s="62">
        <v>128.0</v>
      </c>
      <c r="O98" s="62">
        <v>1115.0</v>
      </c>
      <c r="P98" s="62">
        <v>22.0</v>
      </c>
      <c r="Q98" s="62">
        <v>153.0</v>
      </c>
      <c r="R98" s="62">
        <v>4113.0</v>
      </c>
      <c r="S98" s="62">
        <v>84.0</v>
      </c>
      <c r="T98" s="62">
        <v>271.0</v>
      </c>
      <c r="U98" s="62">
        <v>17.0</v>
      </c>
      <c r="V98" s="62">
        <v>1264.0</v>
      </c>
      <c r="W98" s="62">
        <v>15.0</v>
      </c>
      <c r="X98" s="62">
        <v>423.0</v>
      </c>
      <c r="Y98" s="62">
        <v>63.0</v>
      </c>
      <c r="Z98" s="62">
        <v>87.0</v>
      </c>
      <c r="AA98" s="62">
        <v>50.0</v>
      </c>
      <c r="AB98" s="62">
        <v>87.0</v>
      </c>
      <c r="AC98" s="62">
        <v>104.0</v>
      </c>
      <c r="AD98" s="62">
        <v>588.0</v>
      </c>
      <c r="AE98" s="62">
        <v>112.0</v>
      </c>
      <c r="AF98" s="62">
        <v>175.0</v>
      </c>
      <c r="AG98" s="62">
        <v>1068.0</v>
      </c>
      <c r="AH98" s="62">
        <v>593.0</v>
      </c>
      <c r="AI98" s="62">
        <v>617.0</v>
      </c>
      <c r="AJ98" s="62">
        <v>147.0</v>
      </c>
      <c r="AK98" s="62">
        <v>75.0</v>
      </c>
      <c r="AL98" s="62">
        <v>61.0</v>
      </c>
      <c r="AM98" s="62">
        <v>28885.0</v>
      </c>
      <c r="AN98" s="62">
        <v>5670.0</v>
      </c>
      <c r="AO98" s="62">
        <v>5842.0</v>
      </c>
      <c r="AP98" s="62">
        <v>6.0</v>
      </c>
      <c r="AQ98" s="62">
        <v>394.0</v>
      </c>
      <c r="AR98" s="62">
        <v>20.0</v>
      </c>
      <c r="AS98" s="62">
        <v>1650.0</v>
      </c>
      <c r="AT98" s="62">
        <v>103.0</v>
      </c>
      <c r="AU98" s="62">
        <v>3848.0</v>
      </c>
      <c r="AV98" s="62">
        <v>16991.0</v>
      </c>
      <c r="AW98" s="62">
        <v>180.0</v>
      </c>
      <c r="AX98" s="62">
        <v>2806.0</v>
      </c>
      <c r="AY98" s="62">
        <v>929.0</v>
      </c>
      <c r="AZ98" s="62">
        <v>12.0</v>
      </c>
      <c r="BA98" s="62">
        <v>1308.0</v>
      </c>
      <c r="BB98" s="62">
        <v>2461.0</v>
      </c>
      <c r="BC98" s="62">
        <v>183.0</v>
      </c>
      <c r="BD98" s="62">
        <v>10.0</v>
      </c>
      <c r="BE98" s="62">
        <v>49.0</v>
      </c>
      <c r="BF98" s="62">
        <v>238.0</v>
      </c>
      <c r="BG98" s="62">
        <v>207.0</v>
      </c>
      <c r="BH98" s="62">
        <v>82594.0</v>
      </c>
      <c r="BI98" s="62">
        <v>25.0</v>
      </c>
      <c r="BJ98" s="62">
        <v>3589.0</v>
      </c>
      <c r="BK98" s="62">
        <v>163.0</v>
      </c>
      <c r="BL98" s="62">
        <v>85.0</v>
      </c>
      <c r="BM98" s="62">
        <v>15.0</v>
      </c>
      <c r="BN98" s="62">
        <v>75.0</v>
      </c>
      <c r="BO98" s="62">
        <v>1012.0</v>
      </c>
      <c r="BP98" s="62">
        <v>431.0</v>
      </c>
      <c r="BQ98" s="62">
        <v>1339.0</v>
      </c>
      <c r="BR98" s="62">
        <v>40.0</v>
      </c>
      <c r="BS98" s="62">
        <v>20174.0</v>
      </c>
      <c r="BT98" s="62">
        <v>3047.0</v>
      </c>
      <c r="BU98" s="62">
        <v>163.0</v>
      </c>
      <c r="BV98" s="62">
        <v>86.0</v>
      </c>
      <c r="BW98" s="62">
        <v>6.0</v>
      </c>
      <c r="BX98" s="62">
        <v>1317.0</v>
      </c>
      <c r="BY98" s="62">
        <v>3564.0</v>
      </c>
      <c r="BZ98" s="62">
        <v>2273.0</v>
      </c>
      <c r="CA98" s="62">
        <v>4605.0</v>
      </c>
      <c r="CB98" s="62">
        <v>7513.0</v>
      </c>
      <c r="CC98" s="62">
        <v>1571.0</v>
      </c>
      <c r="CD98" s="62">
        <v>2175.0</v>
      </c>
      <c r="CE98" s="62">
        <v>703.0</v>
      </c>
      <c r="CF98" s="62">
        <v>47243.0</v>
      </c>
      <c r="CG98" s="62">
        <v>656.0</v>
      </c>
      <c r="CH98" s="62">
        <v>141.0</v>
      </c>
      <c r="CI98" s="62">
        <v>2805.0</v>
      </c>
      <c r="CJ98" s="62">
        <v>5355.0</v>
      </c>
      <c r="CK98" s="62">
        <v>4411.0</v>
      </c>
      <c r="CL98" s="62">
        <v>5120.0</v>
      </c>
      <c r="CM98" s="62">
        <v>1507.0</v>
      </c>
      <c r="CN98" s="62">
        <v>37768.0</v>
      </c>
      <c r="CO98" s="62">
        <v>25665.0</v>
      </c>
      <c r="CP98" s="62">
        <v>60859.0</v>
      </c>
      <c r="CQ98" s="62">
        <v>967756.0</v>
      </c>
      <c r="CR98" s="62">
        <v>1134.0</v>
      </c>
      <c r="CS98" s="62">
        <v>104368.0</v>
      </c>
      <c r="CT98" s="62">
        <v>13906.0</v>
      </c>
      <c r="CU98" s="62">
        <v>873.0</v>
      </c>
      <c r="CV98" s="62">
        <v>2838.0</v>
      </c>
      <c r="CW98" s="62">
        <v>254.0</v>
      </c>
      <c r="CX98" s="62">
        <v>1164.0</v>
      </c>
      <c r="CY98" s="62">
        <v>85.0</v>
      </c>
      <c r="CZ98" s="62">
        <v>264.0</v>
      </c>
      <c r="DA98" s="62">
        <v>1192.0</v>
      </c>
      <c r="DB98" s="62">
        <v>1132.0</v>
      </c>
      <c r="DC98" s="62">
        <v>4382.0</v>
      </c>
      <c r="DD98" s="62">
        <v>95.0</v>
      </c>
      <c r="DE98" s="62">
        <v>164.0</v>
      </c>
      <c r="DF98" s="62">
        <v>70736.0</v>
      </c>
      <c r="DG98" s="62">
        <v>5092.0</v>
      </c>
      <c r="DH98" s="62">
        <v>25423.0</v>
      </c>
      <c r="DI98" s="62">
        <v>1955.0</v>
      </c>
      <c r="DJ98" s="62">
        <v>927.0</v>
      </c>
      <c r="DK98" s="62">
        <v>2289.0</v>
      </c>
      <c r="DL98" s="62">
        <v>3245.0</v>
      </c>
      <c r="DM98" s="62">
        <v>202.0</v>
      </c>
      <c r="DN98" s="62">
        <v>367.0</v>
      </c>
      <c r="DO98" s="62">
        <v>3489.0</v>
      </c>
      <c r="DP98" s="62">
        <v>793.0</v>
      </c>
      <c r="DQ98" s="62">
        <v>442.0</v>
      </c>
      <c r="DR98" s="62">
        <v>1431.0</v>
      </c>
      <c r="DS98" s="62">
        <v>5623.0</v>
      </c>
      <c r="DT98" s="62">
        <v>756.0</v>
      </c>
      <c r="DU98" s="62">
        <v>212.0</v>
      </c>
      <c r="DV98" s="62">
        <v>269.0</v>
      </c>
      <c r="DW98" s="62">
        <v>1067.0</v>
      </c>
      <c r="DX98" s="62">
        <v>2092.0</v>
      </c>
      <c r="DY98" s="62">
        <v>2743.0</v>
      </c>
      <c r="DZ98" s="62">
        <v>13950.0</v>
      </c>
      <c r="EA98" s="62">
        <v>1878.0</v>
      </c>
      <c r="EB98" s="62">
        <v>13517.0</v>
      </c>
      <c r="EC98" s="62">
        <v>32414.0</v>
      </c>
      <c r="ED98" s="62">
        <v>13754.0</v>
      </c>
      <c r="EE98" s="62">
        <v>792.0</v>
      </c>
      <c r="EF98" s="62">
        <v>190.0</v>
      </c>
      <c r="EG98" s="62">
        <v>16054.0</v>
      </c>
      <c r="EH98" s="62">
        <v>90724.0</v>
      </c>
      <c r="EI98" s="62">
        <v>204.0</v>
      </c>
      <c r="EJ98" s="62">
        <v>1488.0</v>
      </c>
      <c r="EK98" s="62">
        <v>265.0</v>
      </c>
      <c r="EL98" s="62">
        <v>1830.0</v>
      </c>
      <c r="EM98" s="62">
        <v>3975.0</v>
      </c>
      <c r="EN98" s="62">
        <v>6092.0</v>
      </c>
      <c r="EO98" s="62">
        <v>2873.0</v>
      </c>
      <c r="EP98" s="62">
        <v>7338.0</v>
      </c>
      <c r="EQ98" s="62">
        <v>8764.0</v>
      </c>
      <c r="ER98" s="62">
        <v>3967.0</v>
      </c>
      <c r="ES98" s="62">
        <v>14075.0</v>
      </c>
      <c r="ET98" s="62">
        <v>18541.0</v>
      </c>
      <c r="EU98" s="62">
        <v>352975.0</v>
      </c>
      <c r="EV98" s="62">
        <v>3293.0</v>
      </c>
      <c r="EW98" s="62">
        <v>2813.0</v>
      </c>
      <c r="EX98" s="62">
        <v>7905.0</v>
      </c>
      <c r="EY98" s="62">
        <v>59530.0</v>
      </c>
      <c r="EZ98" s="62">
        <v>102711.0</v>
      </c>
      <c r="FA98" s="62">
        <v>6165.0</v>
      </c>
      <c r="FB98" s="62">
        <v>1514420.0</v>
      </c>
      <c r="FC98" s="62">
        <v>14556.0</v>
      </c>
      <c r="FD98" s="62">
        <v>1908527.0</v>
      </c>
      <c r="FE98" s="62">
        <v>404796.0</v>
      </c>
      <c r="FF98" s="62">
        <v>269726.0</v>
      </c>
      <c r="FG98" s="62">
        <v>806486.0</v>
      </c>
      <c r="FH98" s="62">
        <v>1894580.0</v>
      </c>
      <c r="FI98" s="62">
        <v>208432.0</v>
      </c>
      <c r="FJ98" s="62">
        <v>10571.0</v>
      </c>
      <c r="FK98" s="62">
        <v>41307.0</v>
      </c>
      <c r="FL98" s="62">
        <v>1656863.0</v>
      </c>
      <c r="FM98" s="62">
        <v>881791.0</v>
      </c>
      <c r="FN98" s="62">
        <v>22392.0</v>
      </c>
      <c r="FO98" s="62">
        <v>30350.0</v>
      </c>
      <c r="FP98" s="62">
        <v>3596031.0</v>
      </c>
      <c r="FQ98" s="62">
        <v>342691.0</v>
      </c>
      <c r="FR98" s="62">
        <v>125.0</v>
      </c>
      <c r="FS98" s="62">
        <v>447301.0</v>
      </c>
      <c r="FT98" s="62">
        <v>74938.0</v>
      </c>
      <c r="FU98" s="62">
        <v>2017143.0</v>
      </c>
      <c r="FV98" s="62">
        <v>941915.0</v>
      </c>
      <c r="FW98" s="62">
        <v>1.2139343E7</v>
      </c>
      <c r="FX98" s="62">
        <v>5570898.0</v>
      </c>
      <c r="FY98" s="62">
        <v>8697682.0</v>
      </c>
      <c r="FZ98" s="62">
        <v>22142.0</v>
      </c>
      <c r="GA98" s="62">
        <v>9063552.0</v>
      </c>
      <c r="GB98" s="62">
        <v>46667.0</v>
      </c>
      <c r="GC98" s="62">
        <v>34562.0</v>
      </c>
      <c r="GD98" s="62">
        <v>1386.0</v>
      </c>
      <c r="GE98" s="62">
        <v>153677.0</v>
      </c>
      <c r="GF98" s="63">
        <v>5.5246389E7</v>
      </c>
      <c r="GG98" s="64">
        <v>3363490.0</v>
      </c>
      <c r="GH98" s="65">
        <v>0.0</v>
      </c>
      <c r="GI98" s="64">
        <v>0.0</v>
      </c>
      <c r="GJ98" s="64">
        <v>1.3590217E7</v>
      </c>
      <c r="GK98" s="64">
        <v>-141130.0</v>
      </c>
      <c r="GL98" s="64">
        <v>1270881.0</v>
      </c>
      <c r="GM98" s="64">
        <v>0.0</v>
      </c>
      <c r="GN98" s="63">
        <v>1.8083458E7</v>
      </c>
      <c r="GO98" s="66">
        <v>7.3329847E7</v>
      </c>
      <c r="GP98" s="64">
        <v>2285255.0</v>
      </c>
      <c r="GQ98" s="64">
        <v>0.0</v>
      </c>
      <c r="GR98" s="65">
        <v>0.0</v>
      </c>
      <c r="GS98" s="63">
        <v>2285255.0</v>
      </c>
      <c r="GT98" s="67">
        <v>6519745.0</v>
      </c>
      <c r="GU98" s="67">
        <v>1.2999661E7</v>
      </c>
      <c r="GV98" s="67">
        <v>1478670.0</v>
      </c>
      <c r="GW98" s="63">
        <v>2.0998076E7</v>
      </c>
      <c r="GX98" s="63">
        <v>525867.0</v>
      </c>
      <c r="GY98" s="63">
        <v>4.9520649E7</v>
      </c>
      <c r="GZ98" s="66">
        <v>7.3329847E7</v>
      </c>
    </row>
    <row r="99" ht="15.75" customHeight="1">
      <c r="A99" s="60">
        <v>94.0</v>
      </c>
      <c r="B99" s="61" t="s">
        <v>139</v>
      </c>
      <c r="C99" s="62">
        <v>0.0</v>
      </c>
      <c r="D99" s="62">
        <v>0.0</v>
      </c>
      <c r="E99" s="62">
        <v>0.0</v>
      </c>
      <c r="F99" s="62">
        <v>0.0</v>
      </c>
      <c r="G99" s="62">
        <v>0.0</v>
      </c>
      <c r="H99" s="62">
        <v>0.0</v>
      </c>
      <c r="I99" s="62">
        <v>0.0</v>
      </c>
      <c r="J99" s="62">
        <v>0.0</v>
      </c>
      <c r="K99" s="62">
        <v>0.0</v>
      </c>
      <c r="L99" s="62">
        <v>0.0</v>
      </c>
      <c r="M99" s="62">
        <v>0.0</v>
      </c>
      <c r="N99" s="62">
        <v>0.0</v>
      </c>
      <c r="O99" s="62">
        <v>0.0</v>
      </c>
      <c r="P99" s="62">
        <v>0.0</v>
      </c>
      <c r="Q99" s="62">
        <v>0.0</v>
      </c>
      <c r="R99" s="62">
        <v>0.0</v>
      </c>
      <c r="S99" s="62">
        <v>0.0</v>
      </c>
      <c r="T99" s="62">
        <v>0.0</v>
      </c>
      <c r="U99" s="62">
        <v>0.0</v>
      </c>
      <c r="V99" s="62">
        <v>0.0</v>
      </c>
      <c r="W99" s="62">
        <v>0.0</v>
      </c>
      <c r="X99" s="62">
        <v>0.0</v>
      </c>
      <c r="Y99" s="62">
        <v>0.0</v>
      </c>
      <c r="Z99" s="62">
        <v>0.0</v>
      </c>
      <c r="AA99" s="62">
        <v>0.0</v>
      </c>
      <c r="AB99" s="62">
        <v>0.0</v>
      </c>
      <c r="AC99" s="62">
        <v>0.0</v>
      </c>
      <c r="AD99" s="62">
        <v>0.0</v>
      </c>
      <c r="AE99" s="62">
        <v>0.0</v>
      </c>
      <c r="AF99" s="62">
        <v>0.0</v>
      </c>
      <c r="AG99" s="62">
        <v>0.0</v>
      </c>
      <c r="AH99" s="62">
        <v>0.0</v>
      </c>
      <c r="AI99" s="62">
        <v>0.0</v>
      </c>
      <c r="AJ99" s="62">
        <v>0.0</v>
      </c>
      <c r="AK99" s="62">
        <v>0.0</v>
      </c>
      <c r="AL99" s="62">
        <v>0.0</v>
      </c>
      <c r="AM99" s="62">
        <v>0.0</v>
      </c>
      <c r="AN99" s="62">
        <v>0.0</v>
      </c>
      <c r="AO99" s="62">
        <v>0.0</v>
      </c>
      <c r="AP99" s="62">
        <v>69.0</v>
      </c>
      <c r="AQ99" s="62">
        <v>2040.0</v>
      </c>
      <c r="AR99" s="62">
        <v>178.0</v>
      </c>
      <c r="AS99" s="62">
        <v>170.0</v>
      </c>
      <c r="AT99" s="62">
        <v>895.0</v>
      </c>
      <c r="AU99" s="62">
        <v>0.0</v>
      </c>
      <c r="AV99" s="62">
        <v>66.0</v>
      </c>
      <c r="AW99" s="62">
        <v>0.0</v>
      </c>
      <c r="AX99" s="62">
        <v>0.0</v>
      </c>
      <c r="AY99" s="62">
        <v>0.0</v>
      </c>
      <c r="AZ99" s="62">
        <v>0.0</v>
      </c>
      <c r="BA99" s="62">
        <v>0.0</v>
      </c>
      <c r="BB99" s="62">
        <v>0.0</v>
      </c>
      <c r="BC99" s="62">
        <v>9903.0</v>
      </c>
      <c r="BD99" s="62">
        <v>0.0</v>
      </c>
      <c r="BE99" s="62">
        <v>12651.0</v>
      </c>
      <c r="BF99" s="62">
        <v>49937.0</v>
      </c>
      <c r="BG99" s="62">
        <v>0.0</v>
      </c>
      <c r="BH99" s="62">
        <v>10376.0</v>
      </c>
      <c r="BI99" s="62">
        <v>231.0</v>
      </c>
      <c r="BJ99" s="62">
        <v>0.0</v>
      </c>
      <c r="BK99" s="62">
        <v>0.0</v>
      </c>
      <c r="BL99" s="62">
        <v>0.0</v>
      </c>
      <c r="BM99" s="62">
        <v>0.0</v>
      </c>
      <c r="BN99" s="62">
        <v>0.0</v>
      </c>
      <c r="BO99" s="62">
        <v>37471.0</v>
      </c>
      <c r="BP99" s="62">
        <v>141.0</v>
      </c>
      <c r="BQ99" s="62">
        <v>0.0</v>
      </c>
      <c r="BR99" s="62">
        <v>6606.0</v>
      </c>
      <c r="BS99" s="62">
        <v>0.0</v>
      </c>
      <c r="BT99" s="62">
        <v>0.0</v>
      </c>
      <c r="BU99" s="62">
        <v>14650.0</v>
      </c>
      <c r="BV99" s="62">
        <v>21118.0</v>
      </c>
      <c r="BW99" s="62">
        <v>2199.0</v>
      </c>
      <c r="BX99" s="62">
        <v>2741.0</v>
      </c>
      <c r="BY99" s="62">
        <v>280.0</v>
      </c>
      <c r="BZ99" s="62">
        <v>2888.0</v>
      </c>
      <c r="CA99" s="62">
        <v>245918.0</v>
      </c>
      <c r="CB99" s="62">
        <v>128024.0</v>
      </c>
      <c r="CC99" s="62">
        <v>0.0</v>
      </c>
      <c r="CD99" s="62">
        <v>14075.0</v>
      </c>
      <c r="CE99" s="62">
        <v>10957.0</v>
      </c>
      <c r="CF99" s="62">
        <v>21447.0</v>
      </c>
      <c r="CG99" s="62">
        <v>1119.0</v>
      </c>
      <c r="CH99" s="62">
        <v>12317.0</v>
      </c>
      <c r="CI99" s="62">
        <v>157005.0</v>
      </c>
      <c r="CJ99" s="62">
        <v>22424.0</v>
      </c>
      <c r="CK99" s="62">
        <v>97438.0</v>
      </c>
      <c r="CL99" s="62">
        <v>26320.0</v>
      </c>
      <c r="CM99" s="62">
        <v>17596.0</v>
      </c>
      <c r="CN99" s="62">
        <v>1233.0</v>
      </c>
      <c r="CO99" s="62">
        <v>20814.0</v>
      </c>
      <c r="CP99" s="62">
        <v>17439.0</v>
      </c>
      <c r="CQ99" s="62">
        <v>3741.0</v>
      </c>
      <c r="CR99" s="62">
        <v>872178.0</v>
      </c>
      <c r="CS99" s="62">
        <v>158345.0</v>
      </c>
      <c r="CT99" s="62">
        <v>93573.0</v>
      </c>
      <c r="CU99" s="62">
        <v>117370.0</v>
      </c>
      <c r="CV99" s="62">
        <v>136048.0</v>
      </c>
      <c r="CW99" s="62">
        <v>14570.0</v>
      </c>
      <c r="CX99" s="62">
        <v>26616.0</v>
      </c>
      <c r="CY99" s="62">
        <v>2536.0</v>
      </c>
      <c r="CZ99" s="62">
        <v>7269.0</v>
      </c>
      <c r="DA99" s="62">
        <v>9915.0</v>
      </c>
      <c r="DB99" s="62">
        <v>17252.0</v>
      </c>
      <c r="DC99" s="62">
        <v>468718.0</v>
      </c>
      <c r="DD99" s="62">
        <v>61569.0</v>
      </c>
      <c r="DE99" s="62">
        <v>25456.0</v>
      </c>
      <c r="DF99" s="62">
        <v>30438.0</v>
      </c>
      <c r="DG99" s="62">
        <v>7283.0</v>
      </c>
      <c r="DH99" s="62">
        <v>13157.0</v>
      </c>
      <c r="DI99" s="62">
        <v>67017.0</v>
      </c>
      <c r="DJ99" s="62">
        <v>279338.0</v>
      </c>
      <c r="DK99" s="62">
        <v>96995.0</v>
      </c>
      <c r="DL99" s="62">
        <v>193965.0</v>
      </c>
      <c r="DM99" s="62">
        <v>105160.0</v>
      </c>
      <c r="DN99" s="62">
        <v>11506.0</v>
      </c>
      <c r="DO99" s="62">
        <v>1007651.0</v>
      </c>
      <c r="DP99" s="62">
        <v>0.0</v>
      </c>
      <c r="DQ99" s="62">
        <v>748.0</v>
      </c>
      <c r="DR99" s="62">
        <v>6799.0</v>
      </c>
      <c r="DS99" s="62">
        <v>118176.0</v>
      </c>
      <c r="DT99" s="62">
        <v>941.0</v>
      </c>
      <c r="DU99" s="62">
        <v>0.0</v>
      </c>
      <c r="DV99" s="62">
        <v>0.0</v>
      </c>
      <c r="DW99" s="62">
        <v>0.0</v>
      </c>
      <c r="DX99" s="62">
        <v>4278.0</v>
      </c>
      <c r="DY99" s="62">
        <v>9.0</v>
      </c>
      <c r="DZ99" s="62">
        <v>469643.0</v>
      </c>
      <c r="EA99" s="62">
        <v>53397.0</v>
      </c>
      <c r="EB99" s="62">
        <v>87412.0</v>
      </c>
      <c r="EC99" s="62">
        <v>90845.0</v>
      </c>
      <c r="ED99" s="62">
        <v>6322.0</v>
      </c>
      <c r="EE99" s="62">
        <v>2609.0</v>
      </c>
      <c r="EF99" s="62">
        <v>7901.0</v>
      </c>
      <c r="EG99" s="62">
        <v>127320.0</v>
      </c>
      <c r="EH99" s="62">
        <v>43118.0</v>
      </c>
      <c r="EI99" s="62">
        <v>1264.0</v>
      </c>
      <c r="EJ99" s="62">
        <v>54929.0</v>
      </c>
      <c r="EK99" s="62">
        <v>303295.0</v>
      </c>
      <c r="EL99" s="62">
        <v>133123.0</v>
      </c>
      <c r="EM99" s="62">
        <v>99144.0</v>
      </c>
      <c r="EN99" s="62">
        <v>139936.0</v>
      </c>
      <c r="EO99" s="62">
        <v>18639.0</v>
      </c>
      <c r="EP99" s="62">
        <v>14170.0</v>
      </c>
      <c r="EQ99" s="62">
        <v>18259.0</v>
      </c>
      <c r="ER99" s="62">
        <v>0.0</v>
      </c>
      <c r="ES99" s="62">
        <v>39916.0</v>
      </c>
      <c r="ET99" s="62">
        <v>42325.0</v>
      </c>
      <c r="EU99" s="62">
        <v>9.9233888E7</v>
      </c>
      <c r="EV99" s="62">
        <v>3414390.0</v>
      </c>
      <c r="EW99" s="62">
        <v>1992373.0</v>
      </c>
      <c r="EX99" s="62">
        <v>9043704.0</v>
      </c>
      <c r="EY99" s="62">
        <v>1.2825519E7</v>
      </c>
      <c r="EZ99" s="62">
        <v>36626.0</v>
      </c>
      <c r="FA99" s="62">
        <v>25581.0</v>
      </c>
      <c r="FB99" s="62">
        <v>477980.0</v>
      </c>
      <c r="FC99" s="62">
        <v>195.0</v>
      </c>
      <c r="FD99" s="62">
        <v>0.0</v>
      </c>
      <c r="FE99" s="62">
        <v>0.0</v>
      </c>
      <c r="FF99" s="62">
        <v>0.0</v>
      </c>
      <c r="FG99" s="62">
        <v>0.0</v>
      </c>
      <c r="FH99" s="62">
        <v>9177.0</v>
      </c>
      <c r="FI99" s="62">
        <v>1572.0</v>
      </c>
      <c r="FJ99" s="62">
        <v>4406.0</v>
      </c>
      <c r="FK99" s="62">
        <v>83515.0</v>
      </c>
      <c r="FL99" s="62">
        <v>8569.0</v>
      </c>
      <c r="FM99" s="62">
        <v>18.0</v>
      </c>
      <c r="FN99" s="62">
        <v>0.0</v>
      </c>
      <c r="FO99" s="62">
        <v>126.0</v>
      </c>
      <c r="FP99" s="62">
        <v>76.0</v>
      </c>
      <c r="FQ99" s="62">
        <v>28.0</v>
      </c>
      <c r="FR99" s="62">
        <v>0.0</v>
      </c>
      <c r="FS99" s="62">
        <v>0.0</v>
      </c>
      <c r="FT99" s="62">
        <v>574311.0</v>
      </c>
      <c r="FU99" s="62">
        <v>84291.0</v>
      </c>
      <c r="FV99" s="62">
        <v>153795.0</v>
      </c>
      <c r="FW99" s="62">
        <v>1169887.0</v>
      </c>
      <c r="FX99" s="62">
        <v>574955.0</v>
      </c>
      <c r="FY99" s="62">
        <v>935724.0</v>
      </c>
      <c r="FZ99" s="62">
        <v>87.0</v>
      </c>
      <c r="GA99" s="62">
        <v>93249.0</v>
      </c>
      <c r="GB99" s="62">
        <v>85032.0</v>
      </c>
      <c r="GC99" s="62">
        <v>0.0</v>
      </c>
      <c r="GD99" s="62">
        <v>0.0</v>
      </c>
      <c r="GE99" s="62">
        <v>0.0</v>
      </c>
      <c r="GF99" s="63">
        <v>1.37509994E8</v>
      </c>
      <c r="GG99" s="64">
        <v>760091.0</v>
      </c>
      <c r="GH99" s="65">
        <v>0.0</v>
      </c>
      <c r="GI99" s="64">
        <v>0.0</v>
      </c>
      <c r="GJ99" s="64">
        <v>2479490.0</v>
      </c>
      <c r="GK99" s="64">
        <v>-1.5541314E7</v>
      </c>
      <c r="GL99" s="64">
        <v>2975843.0</v>
      </c>
      <c r="GM99" s="64">
        <v>25672.0</v>
      </c>
      <c r="GN99" s="63">
        <v>-9300218.0</v>
      </c>
      <c r="GO99" s="66">
        <v>1.28209776E8</v>
      </c>
      <c r="GP99" s="64">
        <v>9360653.0</v>
      </c>
      <c r="GQ99" s="64">
        <v>39782.0</v>
      </c>
      <c r="GR99" s="65">
        <v>0.0</v>
      </c>
      <c r="GS99" s="63">
        <v>9400435.0</v>
      </c>
      <c r="GT99" s="67">
        <v>1.6312374E7</v>
      </c>
      <c r="GU99" s="67">
        <v>1.4601122E7</v>
      </c>
      <c r="GV99" s="67">
        <v>2817759.0</v>
      </c>
      <c r="GW99" s="63">
        <v>3.3731255E7</v>
      </c>
      <c r="GX99" s="63">
        <v>1037386.0</v>
      </c>
      <c r="GY99" s="63">
        <v>8.40407E7</v>
      </c>
      <c r="GZ99" s="66">
        <v>1.28209776E8</v>
      </c>
    </row>
    <row r="100" ht="15.75" customHeight="1">
      <c r="A100" s="68">
        <v>95.0</v>
      </c>
      <c r="B100" s="69" t="s">
        <v>140</v>
      </c>
      <c r="C100" s="70">
        <v>17531.0</v>
      </c>
      <c r="D100" s="70">
        <v>16399.0</v>
      </c>
      <c r="E100" s="70">
        <v>1454.0</v>
      </c>
      <c r="F100" s="70">
        <v>12074.0</v>
      </c>
      <c r="G100" s="70">
        <v>93.0</v>
      </c>
      <c r="H100" s="70">
        <v>3848.0</v>
      </c>
      <c r="I100" s="70">
        <v>2155.0</v>
      </c>
      <c r="J100" s="70">
        <v>1422.0</v>
      </c>
      <c r="K100" s="70">
        <v>23.0</v>
      </c>
      <c r="L100" s="70">
        <v>127992.0</v>
      </c>
      <c r="M100" s="70">
        <v>16710.0</v>
      </c>
      <c r="N100" s="70">
        <v>14470.0</v>
      </c>
      <c r="O100" s="70">
        <v>366226.0</v>
      </c>
      <c r="P100" s="70">
        <v>1865.0</v>
      </c>
      <c r="Q100" s="70">
        <v>243201.0</v>
      </c>
      <c r="R100" s="70">
        <v>237308.0</v>
      </c>
      <c r="S100" s="70">
        <v>80750.0</v>
      </c>
      <c r="T100" s="70">
        <v>487751.0</v>
      </c>
      <c r="U100" s="70">
        <v>71276.0</v>
      </c>
      <c r="V100" s="70">
        <v>1375031.0</v>
      </c>
      <c r="W100" s="70">
        <v>9670.0</v>
      </c>
      <c r="X100" s="70">
        <v>74383.0</v>
      </c>
      <c r="Y100" s="70">
        <v>321468.0</v>
      </c>
      <c r="Z100" s="70">
        <v>358462.0</v>
      </c>
      <c r="AA100" s="70">
        <v>17093.0</v>
      </c>
      <c r="AB100" s="70">
        <v>70836.0</v>
      </c>
      <c r="AC100" s="70">
        <v>16362.0</v>
      </c>
      <c r="AD100" s="70">
        <v>318769.0</v>
      </c>
      <c r="AE100" s="70">
        <v>31496.0</v>
      </c>
      <c r="AF100" s="70">
        <v>2389141.0</v>
      </c>
      <c r="AG100" s="70">
        <v>1202914.0</v>
      </c>
      <c r="AH100" s="70">
        <v>696557.0</v>
      </c>
      <c r="AI100" s="70">
        <v>1.0062959E7</v>
      </c>
      <c r="AJ100" s="70">
        <v>934076.0</v>
      </c>
      <c r="AK100" s="70">
        <v>308278.0</v>
      </c>
      <c r="AL100" s="70">
        <v>122598.0</v>
      </c>
      <c r="AM100" s="70">
        <v>1.259964E7</v>
      </c>
      <c r="AN100" s="70">
        <v>2666486.0</v>
      </c>
      <c r="AO100" s="70">
        <v>4533965.0</v>
      </c>
      <c r="AP100" s="70">
        <v>91248.0</v>
      </c>
      <c r="AQ100" s="70">
        <v>339012.0</v>
      </c>
      <c r="AR100" s="70">
        <v>210420.0</v>
      </c>
      <c r="AS100" s="70">
        <v>1671839.0</v>
      </c>
      <c r="AT100" s="70">
        <v>184598.0</v>
      </c>
      <c r="AU100" s="70">
        <v>103775.0</v>
      </c>
      <c r="AV100" s="70">
        <v>1748769.0</v>
      </c>
      <c r="AW100" s="70">
        <v>40263.0</v>
      </c>
      <c r="AX100" s="70">
        <v>6037906.0</v>
      </c>
      <c r="AY100" s="70">
        <v>477215.0</v>
      </c>
      <c r="AZ100" s="70">
        <v>42231.0</v>
      </c>
      <c r="BA100" s="70">
        <v>639123.0</v>
      </c>
      <c r="BB100" s="70">
        <v>653735.0</v>
      </c>
      <c r="BC100" s="70">
        <v>2005206.0</v>
      </c>
      <c r="BD100" s="70">
        <v>1459845.0</v>
      </c>
      <c r="BE100" s="70">
        <v>19667.0</v>
      </c>
      <c r="BF100" s="70">
        <v>67389.0</v>
      </c>
      <c r="BG100" s="70">
        <v>172940.0</v>
      </c>
      <c r="BH100" s="70">
        <v>330434.0</v>
      </c>
      <c r="BI100" s="70">
        <v>18346.0</v>
      </c>
      <c r="BJ100" s="70">
        <v>89700.0</v>
      </c>
      <c r="BK100" s="70">
        <v>57740.0</v>
      </c>
      <c r="BL100" s="70">
        <v>3357.0</v>
      </c>
      <c r="BM100" s="70">
        <v>148820.0</v>
      </c>
      <c r="BN100" s="70">
        <v>101530.0</v>
      </c>
      <c r="BO100" s="70">
        <v>1536470.0</v>
      </c>
      <c r="BP100" s="70">
        <v>16285.0</v>
      </c>
      <c r="BQ100" s="70">
        <v>88487.0</v>
      </c>
      <c r="BR100" s="70">
        <v>98792.0</v>
      </c>
      <c r="BS100" s="70">
        <v>176651.0</v>
      </c>
      <c r="BT100" s="70">
        <v>713055.0</v>
      </c>
      <c r="BU100" s="70">
        <v>147624.0</v>
      </c>
      <c r="BV100" s="70">
        <v>41851.0</v>
      </c>
      <c r="BW100" s="70">
        <v>290.0</v>
      </c>
      <c r="BX100" s="70">
        <v>59714.0</v>
      </c>
      <c r="BY100" s="70">
        <v>1688385.0</v>
      </c>
      <c r="BZ100" s="70">
        <v>150713.0</v>
      </c>
      <c r="CA100" s="70">
        <v>2637898.0</v>
      </c>
      <c r="CB100" s="70">
        <v>313688.0</v>
      </c>
      <c r="CC100" s="70">
        <v>165657.0</v>
      </c>
      <c r="CD100" s="70">
        <v>125229.0</v>
      </c>
      <c r="CE100" s="70">
        <v>132515.0</v>
      </c>
      <c r="CF100" s="70">
        <v>933946.0</v>
      </c>
      <c r="CG100" s="70">
        <v>119465.0</v>
      </c>
      <c r="CH100" s="70">
        <v>72998.0</v>
      </c>
      <c r="CI100" s="70">
        <v>439806.0</v>
      </c>
      <c r="CJ100" s="70">
        <v>385945.0</v>
      </c>
      <c r="CK100" s="70">
        <v>769351.0</v>
      </c>
      <c r="CL100" s="70">
        <v>424832.0</v>
      </c>
      <c r="CM100" s="70">
        <v>158390.0</v>
      </c>
      <c r="CN100" s="70">
        <v>348020.0</v>
      </c>
      <c r="CO100" s="70">
        <v>328392.0</v>
      </c>
      <c r="CP100" s="70">
        <v>341513.0</v>
      </c>
      <c r="CQ100" s="70">
        <v>58835.0</v>
      </c>
      <c r="CR100" s="70">
        <v>3720952.0</v>
      </c>
      <c r="CS100" s="70">
        <v>3.276886E7</v>
      </c>
      <c r="CT100" s="70">
        <v>3684248.0</v>
      </c>
      <c r="CU100" s="70">
        <v>1588894.0</v>
      </c>
      <c r="CV100" s="70">
        <v>1565911.0</v>
      </c>
      <c r="CW100" s="70">
        <v>243987.0</v>
      </c>
      <c r="CX100" s="70">
        <v>591159.0</v>
      </c>
      <c r="CY100" s="70">
        <v>219660.0</v>
      </c>
      <c r="CZ100" s="70">
        <v>445695.0</v>
      </c>
      <c r="DA100" s="70">
        <v>517389.0</v>
      </c>
      <c r="DB100" s="70">
        <v>1875965.0</v>
      </c>
      <c r="DC100" s="70">
        <v>979575.0</v>
      </c>
      <c r="DD100" s="70">
        <v>201574.0</v>
      </c>
      <c r="DE100" s="70">
        <v>196408.0</v>
      </c>
      <c r="DF100" s="70">
        <v>260579.0</v>
      </c>
      <c r="DG100" s="70">
        <v>57662.0</v>
      </c>
      <c r="DH100" s="70">
        <v>322954.0</v>
      </c>
      <c r="DI100" s="70">
        <v>1735270.0</v>
      </c>
      <c r="DJ100" s="70">
        <v>1139926.0</v>
      </c>
      <c r="DK100" s="70">
        <v>1156816.0</v>
      </c>
      <c r="DL100" s="70">
        <v>3013638.0</v>
      </c>
      <c r="DM100" s="70">
        <v>787632.0</v>
      </c>
      <c r="DN100" s="70">
        <v>135650.0</v>
      </c>
      <c r="DO100" s="70">
        <v>718132.0</v>
      </c>
      <c r="DP100" s="70">
        <v>285656.0</v>
      </c>
      <c r="DQ100" s="70">
        <v>644502.0</v>
      </c>
      <c r="DR100" s="70">
        <v>1393779.0</v>
      </c>
      <c r="DS100" s="70">
        <v>102983.0</v>
      </c>
      <c r="DT100" s="70">
        <v>17337.0</v>
      </c>
      <c r="DU100" s="70">
        <v>1315.0</v>
      </c>
      <c r="DV100" s="70">
        <v>585.0</v>
      </c>
      <c r="DW100" s="70">
        <v>118148.0</v>
      </c>
      <c r="DX100" s="70">
        <v>18783.0</v>
      </c>
      <c r="DY100" s="70">
        <v>2542.0</v>
      </c>
      <c r="DZ100" s="70">
        <v>453200.0</v>
      </c>
      <c r="EA100" s="70">
        <v>162753.0</v>
      </c>
      <c r="EB100" s="70">
        <v>2026.0</v>
      </c>
      <c r="EC100" s="70">
        <v>1005009.0</v>
      </c>
      <c r="ED100" s="70">
        <v>259610.0</v>
      </c>
      <c r="EE100" s="70">
        <v>37494.0</v>
      </c>
      <c r="EF100" s="70">
        <v>19639.0</v>
      </c>
      <c r="EG100" s="70">
        <v>410203.0</v>
      </c>
      <c r="EH100" s="70">
        <v>2437196.0</v>
      </c>
      <c r="EI100" s="70">
        <v>1140255.0</v>
      </c>
      <c r="EJ100" s="70">
        <v>172834.0</v>
      </c>
      <c r="EK100" s="70">
        <v>75952.0</v>
      </c>
      <c r="EL100" s="70">
        <v>81046.0</v>
      </c>
      <c r="EM100" s="70">
        <v>455861.0</v>
      </c>
      <c r="EN100" s="70">
        <v>401468.0</v>
      </c>
      <c r="EO100" s="70">
        <v>83082.0</v>
      </c>
      <c r="EP100" s="70">
        <v>184426.0</v>
      </c>
      <c r="EQ100" s="70">
        <v>8823585.0</v>
      </c>
      <c r="ER100" s="70">
        <v>446577.0</v>
      </c>
      <c r="ES100" s="70">
        <v>1385137.0</v>
      </c>
      <c r="ET100" s="70">
        <v>880318.0</v>
      </c>
      <c r="EU100" s="70">
        <v>3.6265398E7</v>
      </c>
      <c r="EV100" s="70">
        <v>2536490.0</v>
      </c>
      <c r="EW100" s="70">
        <v>1065754.0</v>
      </c>
      <c r="EX100" s="70">
        <v>2840676.0</v>
      </c>
      <c r="EY100" s="70">
        <v>1.5473064E7</v>
      </c>
      <c r="EZ100" s="70">
        <v>8384342.0</v>
      </c>
      <c r="FA100" s="70">
        <v>4522949.0</v>
      </c>
      <c r="FB100" s="70">
        <v>9.5234651E7</v>
      </c>
      <c r="FC100" s="70">
        <v>1498585.0</v>
      </c>
      <c r="FD100" s="70">
        <v>1.51311375E8</v>
      </c>
      <c r="FE100" s="70">
        <v>2.0261785E7</v>
      </c>
      <c r="FF100" s="70">
        <v>4515695.0</v>
      </c>
      <c r="FG100" s="70">
        <v>5.8975308E7</v>
      </c>
      <c r="FH100" s="70">
        <v>5117327.0</v>
      </c>
      <c r="FI100" s="70">
        <v>3445361.0</v>
      </c>
      <c r="FJ100" s="70">
        <v>282843.0</v>
      </c>
      <c r="FK100" s="70">
        <v>4131551.0</v>
      </c>
      <c r="FL100" s="70">
        <v>1297129.0</v>
      </c>
      <c r="FM100" s="70">
        <v>708739.0</v>
      </c>
      <c r="FN100" s="70">
        <v>4227061.0</v>
      </c>
      <c r="FO100" s="70">
        <v>1607476.0</v>
      </c>
      <c r="FP100" s="70">
        <v>389520.0</v>
      </c>
      <c r="FQ100" s="70">
        <v>425508.0</v>
      </c>
      <c r="FR100" s="70">
        <v>21.0</v>
      </c>
      <c r="FS100" s="70">
        <v>315803.0</v>
      </c>
      <c r="FT100" s="70">
        <v>4540024.0</v>
      </c>
      <c r="FU100" s="70">
        <v>4000995.0</v>
      </c>
      <c r="FV100" s="70">
        <v>9465240.0</v>
      </c>
      <c r="FW100" s="70">
        <v>1.2924998E7</v>
      </c>
      <c r="FX100" s="70">
        <v>451790.0</v>
      </c>
      <c r="FY100" s="70">
        <v>4499221.0</v>
      </c>
      <c r="FZ100" s="70">
        <v>112376.0</v>
      </c>
      <c r="GA100" s="70">
        <v>3601826.0</v>
      </c>
      <c r="GB100" s="70">
        <v>3109218.0</v>
      </c>
      <c r="GC100" s="70">
        <v>429593.0</v>
      </c>
      <c r="GD100" s="70">
        <v>568991.0</v>
      </c>
      <c r="GE100" s="70">
        <v>4493845.0</v>
      </c>
      <c r="GF100" s="71">
        <v>6.21467002E8</v>
      </c>
      <c r="GG100" s="72">
        <v>2.518197E8</v>
      </c>
      <c r="GH100" s="73">
        <v>0.0</v>
      </c>
      <c r="GI100" s="72">
        <v>0.0</v>
      </c>
      <c r="GJ100" s="72">
        <v>0.0</v>
      </c>
      <c r="GK100" s="72">
        <v>2301491.0</v>
      </c>
      <c r="GL100" s="72">
        <v>3.2297027E7</v>
      </c>
      <c r="GM100" s="72">
        <v>0.0</v>
      </c>
      <c r="GN100" s="71">
        <v>2.86418218E8</v>
      </c>
      <c r="GO100" s="74">
        <v>9.0788522E8</v>
      </c>
      <c r="GP100" s="72">
        <v>1.75108043E8</v>
      </c>
      <c r="GQ100" s="72">
        <v>0.0</v>
      </c>
      <c r="GR100" s="73">
        <v>0.0</v>
      </c>
      <c r="GS100" s="71">
        <v>1.75108043E8</v>
      </c>
      <c r="GT100" s="75">
        <v>2.7646122E7</v>
      </c>
      <c r="GU100" s="75">
        <v>1.06878308E8</v>
      </c>
      <c r="GV100" s="75">
        <v>1.7798528E7</v>
      </c>
      <c r="GW100" s="71">
        <v>1.52322958E8</v>
      </c>
      <c r="GX100" s="71">
        <v>-5488537.0</v>
      </c>
      <c r="GY100" s="71">
        <v>5.85942756E8</v>
      </c>
      <c r="GZ100" s="74">
        <v>9.0788522E8</v>
      </c>
    </row>
    <row r="101" ht="15.75" customHeight="1">
      <c r="A101" s="52">
        <v>96.0</v>
      </c>
      <c r="B101" s="53" t="s">
        <v>141</v>
      </c>
      <c r="C101" s="54">
        <v>43269.0</v>
      </c>
      <c r="D101" s="54">
        <v>30796.0</v>
      </c>
      <c r="E101" s="54">
        <v>130.0</v>
      </c>
      <c r="F101" s="54">
        <v>1913.0</v>
      </c>
      <c r="G101" s="54">
        <v>91.0</v>
      </c>
      <c r="H101" s="54">
        <v>20014.0</v>
      </c>
      <c r="I101" s="54">
        <v>176.0</v>
      </c>
      <c r="J101" s="54">
        <v>6862.0</v>
      </c>
      <c r="K101" s="54">
        <v>16.0</v>
      </c>
      <c r="L101" s="54">
        <v>28368.0</v>
      </c>
      <c r="M101" s="54">
        <v>7133.0</v>
      </c>
      <c r="N101" s="54">
        <v>305229.0</v>
      </c>
      <c r="O101" s="54">
        <v>523.0</v>
      </c>
      <c r="P101" s="54">
        <v>45.0</v>
      </c>
      <c r="Q101" s="54">
        <v>25755.0</v>
      </c>
      <c r="R101" s="54">
        <v>6458.0</v>
      </c>
      <c r="S101" s="54">
        <v>169.0</v>
      </c>
      <c r="T101" s="54">
        <v>6491.0</v>
      </c>
      <c r="U101" s="54">
        <v>86995.0</v>
      </c>
      <c r="V101" s="54">
        <v>1412.0</v>
      </c>
      <c r="W101" s="54">
        <v>9385.0</v>
      </c>
      <c r="X101" s="54">
        <v>664.0</v>
      </c>
      <c r="Y101" s="54">
        <v>668.0</v>
      </c>
      <c r="Z101" s="54">
        <v>703.0</v>
      </c>
      <c r="AA101" s="54">
        <v>240.0</v>
      </c>
      <c r="AB101" s="54">
        <v>0.0</v>
      </c>
      <c r="AC101" s="54">
        <v>20.0</v>
      </c>
      <c r="AD101" s="54">
        <v>1651.0</v>
      </c>
      <c r="AE101" s="54">
        <v>0.0</v>
      </c>
      <c r="AF101" s="54">
        <v>37.0</v>
      </c>
      <c r="AG101" s="54">
        <v>1654.0</v>
      </c>
      <c r="AH101" s="54">
        <v>481.0</v>
      </c>
      <c r="AI101" s="54">
        <v>0.0</v>
      </c>
      <c r="AJ101" s="54">
        <v>0.0</v>
      </c>
      <c r="AK101" s="54">
        <v>0.0</v>
      </c>
      <c r="AL101" s="54">
        <v>0.0</v>
      </c>
      <c r="AM101" s="54">
        <v>730726.0</v>
      </c>
      <c r="AN101" s="54">
        <v>1421367.0</v>
      </c>
      <c r="AO101" s="54">
        <v>3095181.0</v>
      </c>
      <c r="AP101" s="54">
        <v>874.0</v>
      </c>
      <c r="AQ101" s="54">
        <v>104192.0</v>
      </c>
      <c r="AR101" s="54">
        <v>248183.0</v>
      </c>
      <c r="AS101" s="54">
        <v>479516.0</v>
      </c>
      <c r="AT101" s="54">
        <v>63672.0</v>
      </c>
      <c r="AU101" s="54">
        <v>6767.0</v>
      </c>
      <c r="AV101" s="54">
        <v>1243825.0</v>
      </c>
      <c r="AW101" s="54">
        <v>71133.0</v>
      </c>
      <c r="AX101" s="54">
        <v>501355.0</v>
      </c>
      <c r="AY101" s="54">
        <v>1151.0</v>
      </c>
      <c r="AZ101" s="54">
        <v>31352.0</v>
      </c>
      <c r="BA101" s="54">
        <v>63152.0</v>
      </c>
      <c r="BB101" s="54">
        <v>693389.0</v>
      </c>
      <c r="BC101" s="54">
        <v>470404.0</v>
      </c>
      <c r="BD101" s="54">
        <v>48227.0</v>
      </c>
      <c r="BE101" s="54">
        <v>60644.0</v>
      </c>
      <c r="BF101" s="54">
        <v>287389.0</v>
      </c>
      <c r="BG101" s="54">
        <v>658548.0</v>
      </c>
      <c r="BH101" s="54">
        <v>426751.0</v>
      </c>
      <c r="BI101" s="54">
        <v>13038.0</v>
      </c>
      <c r="BJ101" s="54">
        <v>995663.0</v>
      </c>
      <c r="BK101" s="54">
        <v>351076.0</v>
      </c>
      <c r="BL101" s="54">
        <v>5169.0</v>
      </c>
      <c r="BM101" s="54">
        <v>0.0</v>
      </c>
      <c r="BN101" s="54">
        <v>0.0</v>
      </c>
      <c r="BO101" s="54">
        <v>7519977.0</v>
      </c>
      <c r="BP101" s="54">
        <v>19186.0</v>
      </c>
      <c r="BQ101" s="54">
        <v>726998.0</v>
      </c>
      <c r="BR101" s="54">
        <v>2808.0</v>
      </c>
      <c r="BS101" s="54">
        <v>68630.0</v>
      </c>
      <c r="BT101" s="54">
        <v>612305.0</v>
      </c>
      <c r="BU101" s="54">
        <v>1294309.0</v>
      </c>
      <c r="BV101" s="54">
        <v>5905136.0</v>
      </c>
      <c r="BW101" s="54">
        <v>62481.0</v>
      </c>
      <c r="BX101" s="54">
        <v>1566015.0</v>
      </c>
      <c r="BY101" s="54">
        <v>1068051.0</v>
      </c>
      <c r="BZ101" s="54">
        <v>19413.0</v>
      </c>
      <c r="CA101" s="54">
        <v>1.1820797E7</v>
      </c>
      <c r="CB101" s="54">
        <v>2562430.0</v>
      </c>
      <c r="CC101" s="54">
        <v>672098.0</v>
      </c>
      <c r="CD101" s="54">
        <v>28381.0</v>
      </c>
      <c r="CE101" s="54">
        <v>68261.0</v>
      </c>
      <c r="CF101" s="54">
        <v>1645736.0</v>
      </c>
      <c r="CG101" s="54">
        <v>2108607.0</v>
      </c>
      <c r="CH101" s="54">
        <v>550913.0</v>
      </c>
      <c r="CI101" s="54">
        <v>2262598.0</v>
      </c>
      <c r="CJ101" s="54">
        <v>373860.0</v>
      </c>
      <c r="CK101" s="54">
        <v>2106738.0</v>
      </c>
      <c r="CL101" s="54">
        <v>1173003.0</v>
      </c>
      <c r="CM101" s="54">
        <v>332337.0</v>
      </c>
      <c r="CN101" s="54">
        <v>4213421.0</v>
      </c>
      <c r="CO101" s="54">
        <v>5765175.0</v>
      </c>
      <c r="CP101" s="54">
        <v>5289174.0</v>
      </c>
      <c r="CQ101" s="54">
        <v>627245.0</v>
      </c>
      <c r="CR101" s="54">
        <v>7355547.0</v>
      </c>
      <c r="CS101" s="54">
        <v>7070743.0</v>
      </c>
      <c r="CT101" s="54">
        <v>1.9162232E7</v>
      </c>
      <c r="CU101" s="54">
        <v>7012814.0</v>
      </c>
      <c r="CV101" s="54">
        <v>2.9375144E7</v>
      </c>
      <c r="CW101" s="54">
        <v>6673268.0</v>
      </c>
      <c r="CX101" s="54">
        <v>1.2435917E7</v>
      </c>
      <c r="CY101" s="54">
        <v>879509.0</v>
      </c>
      <c r="CZ101" s="54">
        <v>1.2320332E7</v>
      </c>
      <c r="DA101" s="54">
        <v>1.3995789E7</v>
      </c>
      <c r="DB101" s="54">
        <v>1.5072852E7</v>
      </c>
      <c r="DC101" s="54">
        <v>1.8889715E7</v>
      </c>
      <c r="DD101" s="54">
        <v>2061486.0</v>
      </c>
      <c r="DE101" s="54">
        <v>2000029.0</v>
      </c>
      <c r="DF101" s="54">
        <v>1903218.0</v>
      </c>
      <c r="DG101" s="54">
        <v>345278.0</v>
      </c>
      <c r="DH101" s="54">
        <v>2.1088337E7</v>
      </c>
      <c r="DI101" s="54">
        <v>6259470.0</v>
      </c>
      <c r="DJ101" s="54">
        <v>2847029.0</v>
      </c>
      <c r="DK101" s="54">
        <v>1918326.0</v>
      </c>
      <c r="DL101" s="54">
        <v>2826914.0</v>
      </c>
      <c r="DM101" s="54">
        <v>830099.0</v>
      </c>
      <c r="DN101" s="54">
        <v>133315.0</v>
      </c>
      <c r="DO101" s="54">
        <v>812303.0</v>
      </c>
      <c r="DP101" s="54">
        <v>419287.0</v>
      </c>
      <c r="DQ101" s="54">
        <v>796693.0</v>
      </c>
      <c r="DR101" s="54">
        <v>1305341.0</v>
      </c>
      <c r="DS101" s="54">
        <v>1866979.0</v>
      </c>
      <c r="DT101" s="54">
        <v>529789.0</v>
      </c>
      <c r="DU101" s="54">
        <v>2990284.0</v>
      </c>
      <c r="DV101" s="54">
        <v>4026518.0</v>
      </c>
      <c r="DW101" s="54">
        <v>6644320.0</v>
      </c>
      <c r="DX101" s="54">
        <v>1951094.0</v>
      </c>
      <c r="DY101" s="54">
        <v>3576769.0</v>
      </c>
      <c r="DZ101" s="54">
        <v>9162800.0</v>
      </c>
      <c r="EA101" s="54">
        <v>366501.0</v>
      </c>
      <c r="EB101" s="54">
        <v>5030899.0</v>
      </c>
      <c r="EC101" s="54">
        <v>138065.0</v>
      </c>
      <c r="ED101" s="54">
        <v>362027.0</v>
      </c>
      <c r="EE101" s="54">
        <v>0.0</v>
      </c>
      <c r="EF101" s="54">
        <v>26985.0</v>
      </c>
      <c r="EG101" s="54">
        <v>77352.0</v>
      </c>
      <c r="EH101" s="54">
        <v>254521.0</v>
      </c>
      <c r="EI101" s="54">
        <v>678296.0</v>
      </c>
      <c r="EJ101" s="54">
        <v>63853.0</v>
      </c>
      <c r="EK101" s="54">
        <v>31447.0</v>
      </c>
      <c r="EL101" s="54">
        <v>655452.0</v>
      </c>
      <c r="EM101" s="54">
        <v>119937.0</v>
      </c>
      <c r="EN101" s="54">
        <v>136854.0</v>
      </c>
      <c r="EO101" s="54">
        <v>3112313.0</v>
      </c>
      <c r="EP101" s="54">
        <v>64666.0</v>
      </c>
      <c r="EQ101" s="54">
        <v>219928.0</v>
      </c>
      <c r="ER101" s="54">
        <v>330.0</v>
      </c>
      <c r="ES101" s="54">
        <v>3600276.0</v>
      </c>
      <c r="ET101" s="54">
        <v>1609246.0</v>
      </c>
      <c r="EU101" s="54">
        <v>3499575.0</v>
      </c>
      <c r="EV101" s="54">
        <v>110843.0</v>
      </c>
      <c r="EW101" s="54">
        <v>15887.0</v>
      </c>
      <c r="EX101" s="54">
        <v>357797.0</v>
      </c>
      <c r="EY101" s="54">
        <v>2049303.0</v>
      </c>
      <c r="EZ101" s="54">
        <v>1455.0</v>
      </c>
      <c r="FA101" s="54">
        <v>1889571.0</v>
      </c>
      <c r="FB101" s="54">
        <v>2614891.0</v>
      </c>
      <c r="FC101" s="54">
        <v>0.0</v>
      </c>
      <c r="FD101" s="54">
        <v>706450.0</v>
      </c>
      <c r="FE101" s="54">
        <v>520586.0</v>
      </c>
      <c r="FF101" s="54">
        <v>6283.0</v>
      </c>
      <c r="FG101" s="54">
        <v>1358621.0</v>
      </c>
      <c r="FH101" s="54">
        <v>720322.0</v>
      </c>
      <c r="FI101" s="54">
        <v>2932.0</v>
      </c>
      <c r="FJ101" s="54">
        <v>10908.0</v>
      </c>
      <c r="FK101" s="54">
        <v>285565.0</v>
      </c>
      <c r="FL101" s="54">
        <v>0.0</v>
      </c>
      <c r="FM101" s="54">
        <v>0.0</v>
      </c>
      <c r="FN101" s="54">
        <v>0.0</v>
      </c>
      <c r="FO101" s="54">
        <v>0.0</v>
      </c>
      <c r="FP101" s="54">
        <v>0.0</v>
      </c>
      <c r="FQ101" s="54">
        <v>0.0</v>
      </c>
      <c r="FR101" s="54">
        <v>0.0</v>
      </c>
      <c r="FS101" s="54">
        <v>0.0</v>
      </c>
      <c r="FT101" s="54">
        <v>693.0</v>
      </c>
      <c r="FU101" s="54">
        <v>619416.0</v>
      </c>
      <c r="FV101" s="54">
        <v>457006.0</v>
      </c>
      <c r="FW101" s="54">
        <v>896975.0</v>
      </c>
      <c r="FX101" s="54">
        <v>219053.0</v>
      </c>
      <c r="FY101" s="54">
        <v>3.4627539E7</v>
      </c>
      <c r="FZ101" s="54">
        <v>14892.0</v>
      </c>
      <c r="GA101" s="54">
        <v>645022.0</v>
      </c>
      <c r="GB101" s="54">
        <v>1.3322264E7</v>
      </c>
      <c r="GC101" s="54">
        <v>33384.0</v>
      </c>
      <c r="GD101" s="54">
        <v>190480.0</v>
      </c>
      <c r="GE101" s="54">
        <v>1025891.0</v>
      </c>
      <c r="GF101" s="55">
        <v>3.82418267E8</v>
      </c>
      <c r="GG101" s="56">
        <v>510470.0</v>
      </c>
      <c r="GH101" s="57">
        <v>0.0</v>
      </c>
      <c r="GI101" s="56">
        <v>0.0</v>
      </c>
      <c r="GJ101" s="56">
        <v>0.0</v>
      </c>
      <c r="GK101" s="56">
        <v>-1.4117207E7</v>
      </c>
      <c r="GL101" s="56">
        <v>1.1104116E8</v>
      </c>
      <c r="GM101" s="56">
        <v>0.0</v>
      </c>
      <c r="GN101" s="55">
        <v>9.7434423E7</v>
      </c>
      <c r="GO101" s="58">
        <v>4.7985269E8</v>
      </c>
      <c r="GP101" s="56">
        <v>1.57593543E8</v>
      </c>
      <c r="GQ101" s="56">
        <v>0.0</v>
      </c>
      <c r="GR101" s="57">
        <v>0.0</v>
      </c>
      <c r="GS101" s="55">
        <v>1.57593543E8</v>
      </c>
      <c r="GT101" s="59">
        <v>3.5214043E7</v>
      </c>
      <c r="GU101" s="59">
        <v>7772417.0</v>
      </c>
      <c r="GV101" s="59">
        <v>7427009.0</v>
      </c>
      <c r="GW101" s="55">
        <v>5.0413469E7</v>
      </c>
      <c r="GX101" s="55">
        <v>6007189.0</v>
      </c>
      <c r="GY101" s="55">
        <v>2.65838489E8</v>
      </c>
      <c r="GZ101" s="58">
        <v>4.7985269E8</v>
      </c>
    </row>
    <row r="102" ht="15.75" customHeight="1">
      <c r="A102" s="60">
        <v>97.0</v>
      </c>
      <c r="B102" s="61" t="s">
        <v>142</v>
      </c>
      <c r="C102" s="62">
        <v>2.2783535E7</v>
      </c>
      <c r="D102" s="62">
        <v>5076418.0</v>
      </c>
      <c r="E102" s="62">
        <v>173009.0</v>
      </c>
      <c r="F102" s="62">
        <v>1334402.0</v>
      </c>
      <c r="G102" s="62">
        <v>77097.0</v>
      </c>
      <c r="H102" s="62">
        <v>201549.0</v>
      </c>
      <c r="I102" s="62">
        <v>146840.0</v>
      </c>
      <c r="J102" s="62">
        <v>364231.0</v>
      </c>
      <c r="K102" s="62">
        <v>3957.0</v>
      </c>
      <c r="L102" s="62">
        <v>1.0867124E7</v>
      </c>
      <c r="M102" s="62">
        <v>344173.0</v>
      </c>
      <c r="N102" s="62">
        <v>1230692.0</v>
      </c>
      <c r="O102" s="62">
        <v>1280030.0</v>
      </c>
      <c r="P102" s="62">
        <v>25113.0</v>
      </c>
      <c r="Q102" s="62">
        <v>898819.0</v>
      </c>
      <c r="R102" s="62">
        <v>9762141.0</v>
      </c>
      <c r="S102" s="62">
        <v>228273.0</v>
      </c>
      <c r="T102" s="62">
        <v>1480039.0</v>
      </c>
      <c r="U102" s="62">
        <v>1547080.0</v>
      </c>
      <c r="V102" s="62">
        <v>1.2978341E7</v>
      </c>
      <c r="W102" s="62">
        <v>758640.0</v>
      </c>
      <c r="X102" s="62">
        <v>512651.0</v>
      </c>
      <c r="Y102" s="62">
        <v>2203346.0</v>
      </c>
      <c r="Z102" s="62">
        <v>1044975.0</v>
      </c>
      <c r="AA102" s="62">
        <v>109992.0</v>
      </c>
      <c r="AB102" s="62">
        <v>0.0</v>
      </c>
      <c r="AC102" s="62">
        <v>0.0</v>
      </c>
      <c r="AD102" s="62">
        <v>0.0</v>
      </c>
      <c r="AE102" s="62">
        <v>0.0</v>
      </c>
      <c r="AF102" s="62">
        <v>151422.0</v>
      </c>
      <c r="AG102" s="62">
        <v>117061.0</v>
      </c>
      <c r="AH102" s="62">
        <v>56543.0</v>
      </c>
      <c r="AI102" s="62">
        <v>214906.0</v>
      </c>
      <c r="AJ102" s="62">
        <v>32874.0</v>
      </c>
      <c r="AK102" s="62">
        <v>20911.0</v>
      </c>
      <c r="AL102" s="62">
        <v>9336.0</v>
      </c>
      <c r="AM102" s="62">
        <v>0.0</v>
      </c>
      <c r="AN102" s="62">
        <v>0.0</v>
      </c>
      <c r="AO102" s="62">
        <v>0.0</v>
      </c>
      <c r="AP102" s="62">
        <v>0.0</v>
      </c>
      <c r="AQ102" s="62">
        <v>0.0</v>
      </c>
      <c r="AR102" s="62">
        <v>0.0</v>
      </c>
      <c r="AS102" s="62">
        <v>0.0</v>
      </c>
      <c r="AT102" s="62">
        <v>0.0</v>
      </c>
      <c r="AU102" s="62">
        <v>0.0</v>
      </c>
      <c r="AV102" s="62">
        <v>0.0</v>
      </c>
      <c r="AW102" s="62">
        <v>0.0</v>
      </c>
      <c r="AX102" s="62">
        <v>0.0</v>
      </c>
      <c r="AY102" s="62">
        <v>0.0</v>
      </c>
      <c r="AZ102" s="62">
        <v>0.0</v>
      </c>
      <c r="BA102" s="62">
        <v>0.0</v>
      </c>
      <c r="BB102" s="62">
        <v>0.0</v>
      </c>
      <c r="BC102" s="62">
        <v>0.0</v>
      </c>
      <c r="BD102" s="62">
        <v>0.0</v>
      </c>
      <c r="BE102" s="62">
        <v>0.0</v>
      </c>
      <c r="BF102" s="62">
        <v>126.0</v>
      </c>
      <c r="BG102" s="62">
        <v>0.0</v>
      </c>
      <c r="BH102" s="62">
        <v>0.0</v>
      </c>
      <c r="BI102" s="62">
        <v>0.0</v>
      </c>
      <c r="BJ102" s="62">
        <v>0.0</v>
      </c>
      <c r="BK102" s="62">
        <v>0.0</v>
      </c>
      <c r="BL102" s="62">
        <v>0.0</v>
      </c>
      <c r="BM102" s="62">
        <v>0.0</v>
      </c>
      <c r="BN102" s="62">
        <v>0.0</v>
      </c>
      <c r="BO102" s="62">
        <v>675.0</v>
      </c>
      <c r="BP102" s="62">
        <v>0.0</v>
      </c>
      <c r="BQ102" s="62">
        <v>0.0</v>
      </c>
      <c r="BR102" s="62">
        <v>0.0</v>
      </c>
      <c r="BS102" s="62">
        <v>0.0</v>
      </c>
      <c r="BT102" s="62">
        <v>0.0</v>
      </c>
      <c r="BU102" s="62">
        <v>0.0</v>
      </c>
      <c r="BV102" s="62">
        <v>0.0</v>
      </c>
      <c r="BW102" s="62">
        <v>0.0</v>
      </c>
      <c r="BX102" s="62">
        <v>0.0</v>
      </c>
      <c r="BY102" s="62">
        <v>0.0</v>
      </c>
      <c r="BZ102" s="62">
        <v>0.0</v>
      </c>
      <c r="CA102" s="62">
        <v>0.0</v>
      </c>
      <c r="CB102" s="62">
        <v>0.0</v>
      </c>
      <c r="CC102" s="62">
        <v>0.0</v>
      </c>
      <c r="CD102" s="62">
        <v>0.0</v>
      </c>
      <c r="CE102" s="62">
        <v>0.0</v>
      </c>
      <c r="CF102" s="62">
        <v>0.0</v>
      </c>
      <c r="CG102" s="62">
        <v>0.0</v>
      </c>
      <c r="CH102" s="62">
        <v>0.0</v>
      </c>
      <c r="CI102" s="62">
        <v>0.0</v>
      </c>
      <c r="CJ102" s="62">
        <v>0.0</v>
      </c>
      <c r="CK102" s="62">
        <v>0.0</v>
      </c>
      <c r="CL102" s="62">
        <v>0.0</v>
      </c>
      <c r="CM102" s="62">
        <v>0.0</v>
      </c>
      <c r="CN102" s="62">
        <v>0.0</v>
      </c>
      <c r="CO102" s="62">
        <v>0.0</v>
      </c>
      <c r="CP102" s="62">
        <v>0.0</v>
      </c>
      <c r="CQ102" s="62">
        <v>0.0</v>
      </c>
      <c r="CR102" s="62">
        <v>0.0</v>
      </c>
      <c r="CS102" s="62">
        <v>0.0</v>
      </c>
      <c r="CT102" s="62">
        <v>0.0</v>
      </c>
      <c r="CU102" s="62">
        <v>3014307.0</v>
      </c>
      <c r="CV102" s="62">
        <v>0.0</v>
      </c>
      <c r="CW102" s="62">
        <v>62014.0</v>
      </c>
      <c r="CX102" s="62">
        <v>0.0</v>
      </c>
      <c r="CY102" s="62">
        <v>0.0</v>
      </c>
      <c r="CZ102" s="62">
        <v>0.0</v>
      </c>
      <c r="DA102" s="62">
        <v>0.0</v>
      </c>
      <c r="DB102" s="62">
        <v>0.0</v>
      </c>
      <c r="DC102" s="62">
        <v>0.0</v>
      </c>
      <c r="DD102" s="62">
        <v>0.0</v>
      </c>
      <c r="DE102" s="62">
        <v>0.0</v>
      </c>
      <c r="DF102" s="62">
        <v>0.0</v>
      </c>
      <c r="DG102" s="62">
        <v>0.0</v>
      </c>
      <c r="DH102" s="62">
        <v>0.0</v>
      </c>
      <c r="DI102" s="62">
        <v>0.0</v>
      </c>
      <c r="DJ102" s="62">
        <v>0.0</v>
      </c>
      <c r="DK102" s="62">
        <v>0.0</v>
      </c>
      <c r="DL102" s="62">
        <v>0.0</v>
      </c>
      <c r="DM102" s="62">
        <v>0.0</v>
      </c>
      <c r="DN102" s="62">
        <v>0.0</v>
      </c>
      <c r="DO102" s="62">
        <v>0.0</v>
      </c>
      <c r="DP102" s="62">
        <v>0.0</v>
      </c>
      <c r="DQ102" s="62">
        <v>0.0</v>
      </c>
      <c r="DR102" s="62">
        <v>0.0</v>
      </c>
      <c r="DS102" s="62">
        <v>0.0</v>
      </c>
      <c r="DT102" s="62">
        <v>0.0</v>
      </c>
      <c r="DU102" s="62">
        <v>0.0</v>
      </c>
      <c r="DV102" s="62">
        <v>0.0</v>
      </c>
      <c r="DW102" s="62">
        <v>0.0</v>
      </c>
      <c r="DX102" s="62">
        <v>0.0</v>
      </c>
      <c r="DY102" s="62">
        <v>0.0</v>
      </c>
      <c r="DZ102" s="62">
        <v>8391.0</v>
      </c>
      <c r="EA102" s="62">
        <v>0.0</v>
      </c>
      <c r="EB102" s="62">
        <v>1252.0</v>
      </c>
      <c r="EC102" s="62">
        <v>0.0</v>
      </c>
      <c r="ED102" s="62">
        <v>0.0</v>
      </c>
      <c r="EE102" s="62">
        <v>0.0</v>
      </c>
      <c r="EF102" s="62">
        <v>0.0</v>
      </c>
      <c r="EG102" s="62">
        <v>0.0</v>
      </c>
      <c r="EH102" s="62">
        <v>0.0</v>
      </c>
      <c r="EI102" s="62">
        <v>0.0</v>
      </c>
      <c r="EJ102" s="62">
        <v>0.0</v>
      </c>
      <c r="EK102" s="62">
        <v>0.0</v>
      </c>
      <c r="EL102" s="62">
        <v>0.0</v>
      </c>
      <c r="EM102" s="62">
        <v>0.0</v>
      </c>
      <c r="EN102" s="62">
        <v>0.0</v>
      </c>
      <c r="EO102" s="62">
        <v>0.0</v>
      </c>
      <c r="EP102" s="62">
        <v>0.0</v>
      </c>
      <c r="EQ102" s="62">
        <v>10.0</v>
      </c>
      <c r="ER102" s="62">
        <v>0.0</v>
      </c>
      <c r="ES102" s="62">
        <v>0.0</v>
      </c>
      <c r="ET102" s="62">
        <v>279.0</v>
      </c>
      <c r="EU102" s="62">
        <v>25404.0</v>
      </c>
      <c r="EV102" s="62">
        <v>0.0</v>
      </c>
      <c r="EW102" s="62">
        <v>0.0</v>
      </c>
      <c r="EX102" s="62">
        <v>0.0</v>
      </c>
      <c r="EY102" s="62">
        <v>0.0</v>
      </c>
      <c r="EZ102" s="62">
        <v>0.0</v>
      </c>
      <c r="FA102" s="62">
        <v>0.0</v>
      </c>
      <c r="FB102" s="62">
        <v>0.0</v>
      </c>
      <c r="FC102" s="62">
        <v>0.0</v>
      </c>
      <c r="FD102" s="62">
        <v>0.0</v>
      </c>
      <c r="FE102" s="62">
        <v>0.0</v>
      </c>
      <c r="FF102" s="62">
        <v>0.0</v>
      </c>
      <c r="FG102" s="62">
        <v>0.0</v>
      </c>
      <c r="FH102" s="62">
        <v>274609.0</v>
      </c>
      <c r="FI102" s="62">
        <v>0.0</v>
      </c>
      <c r="FJ102" s="62">
        <v>11450.0</v>
      </c>
      <c r="FK102" s="62">
        <v>250.0</v>
      </c>
      <c r="FL102" s="62">
        <v>0.0</v>
      </c>
      <c r="FM102" s="62">
        <v>0.0</v>
      </c>
      <c r="FN102" s="62">
        <v>0.0</v>
      </c>
      <c r="FO102" s="62">
        <v>0.0</v>
      </c>
      <c r="FP102" s="62">
        <v>0.0</v>
      </c>
      <c r="FQ102" s="62">
        <v>0.0</v>
      </c>
      <c r="FR102" s="62">
        <v>0.0</v>
      </c>
      <c r="FS102" s="62">
        <v>0.0</v>
      </c>
      <c r="FT102" s="62">
        <v>42453.0</v>
      </c>
      <c r="FU102" s="62">
        <v>226786.0</v>
      </c>
      <c r="FV102" s="62">
        <v>64986.0</v>
      </c>
      <c r="FW102" s="62">
        <v>1225762.0</v>
      </c>
      <c r="FX102" s="62">
        <v>2699.0</v>
      </c>
      <c r="FY102" s="62">
        <v>211.0</v>
      </c>
      <c r="FZ102" s="62">
        <v>302.0</v>
      </c>
      <c r="GA102" s="62">
        <v>287.0</v>
      </c>
      <c r="GB102" s="62">
        <v>1636.0</v>
      </c>
      <c r="GC102" s="62">
        <v>8323.0</v>
      </c>
      <c r="GD102" s="62">
        <v>0.0</v>
      </c>
      <c r="GE102" s="62">
        <v>13375.0</v>
      </c>
      <c r="GF102" s="63">
        <v>8.1021107E7</v>
      </c>
      <c r="GG102" s="64">
        <v>3947750.0</v>
      </c>
      <c r="GH102" s="65">
        <v>0.0</v>
      </c>
      <c r="GI102" s="64">
        <v>0.0</v>
      </c>
      <c r="GJ102" s="64">
        <v>0.0</v>
      </c>
      <c r="GK102" s="64">
        <v>946869.0</v>
      </c>
      <c r="GL102" s="64">
        <v>1.5842135E7</v>
      </c>
      <c r="GM102" s="64">
        <v>0.0</v>
      </c>
      <c r="GN102" s="63">
        <v>2.0736754E7</v>
      </c>
      <c r="GO102" s="66">
        <v>1.01757861E8</v>
      </c>
      <c r="GP102" s="64">
        <v>3.0500014E7</v>
      </c>
      <c r="GQ102" s="64">
        <v>0.0</v>
      </c>
      <c r="GR102" s="65">
        <v>0.0</v>
      </c>
      <c r="GS102" s="63">
        <v>3.0500014E7</v>
      </c>
      <c r="GT102" s="67">
        <v>1.2898641E7</v>
      </c>
      <c r="GU102" s="67">
        <v>1.1609875E7</v>
      </c>
      <c r="GV102" s="67">
        <v>3187786.0</v>
      </c>
      <c r="GW102" s="63">
        <v>2.7696302E7</v>
      </c>
      <c r="GX102" s="63">
        <v>-2.8134492E7</v>
      </c>
      <c r="GY102" s="63">
        <v>7.1696037E7</v>
      </c>
      <c r="GZ102" s="66">
        <v>1.01757861E8</v>
      </c>
    </row>
    <row r="103" ht="15.75" customHeight="1">
      <c r="A103" s="60">
        <v>98.0</v>
      </c>
      <c r="B103" s="61" t="s">
        <v>143</v>
      </c>
      <c r="C103" s="62">
        <v>0.0</v>
      </c>
      <c r="D103" s="62">
        <v>0.0</v>
      </c>
      <c r="E103" s="62">
        <v>0.0</v>
      </c>
      <c r="F103" s="62">
        <v>0.0</v>
      </c>
      <c r="G103" s="62">
        <v>0.0</v>
      </c>
      <c r="H103" s="62">
        <v>0.0</v>
      </c>
      <c r="I103" s="62">
        <v>0.0</v>
      </c>
      <c r="J103" s="62">
        <v>0.0</v>
      </c>
      <c r="K103" s="62">
        <v>0.0</v>
      </c>
      <c r="L103" s="62">
        <v>0.0</v>
      </c>
      <c r="M103" s="62">
        <v>0.0</v>
      </c>
      <c r="N103" s="62">
        <v>0.0</v>
      </c>
      <c r="O103" s="62">
        <v>0.0</v>
      </c>
      <c r="P103" s="62">
        <v>0.0</v>
      </c>
      <c r="Q103" s="62">
        <v>0.0</v>
      </c>
      <c r="R103" s="62">
        <v>0.0</v>
      </c>
      <c r="S103" s="62">
        <v>0.0</v>
      </c>
      <c r="T103" s="62">
        <v>0.0</v>
      </c>
      <c r="U103" s="62">
        <v>0.0</v>
      </c>
      <c r="V103" s="62">
        <v>0.0</v>
      </c>
      <c r="W103" s="62">
        <v>0.0</v>
      </c>
      <c r="X103" s="62">
        <v>0.0</v>
      </c>
      <c r="Y103" s="62">
        <v>0.0</v>
      </c>
      <c r="Z103" s="62">
        <v>0.0</v>
      </c>
      <c r="AA103" s="62">
        <v>0.0</v>
      </c>
      <c r="AB103" s="62">
        <v>0.0</v>
      </c>
      <c r="AC103" s="62">
        <v>0.0</v>
      </c>
      <c r="AD103" s="62">
        <v>0.0</v>
      </c>
      <c r="AE103" s="62">
        <v>0.0</v>
      </c>
      <c r="AF103" s="62">
        <v>0.0</v>
      </c>
      <c r="AG103" s="62">
        <v>0.0</v>
      </c>
      <c r="AH103" s="62">
        <v>0.0</v>
      </c>
      <c r="AI103" s="62">
        <v>0.0</v>
      </c>
      <c r="AJ103" s="62">
        <v>0.0</v>
      </c>
      <c r="AK103" s="62">
        <v>0.0</v>
      </c>
      <c r="AL103" s="62">
        <v>0.0</v>
      </c>
      <c r="AM103" s="62">
        <v>0.0</v>
      </c>
      <c r="AN103" s="62">
        <v>0.0</v>
      </c>
      <c r="AO103" s="62">
        <v>0.0</v>
      </c>
      <c r="AP103" s="62">
        <v>0.0</v>
      </c>
      <c r="AQ103" s="62">
        <v>0.0</v>
      </c>
      <c r="AR103" s="62">
        <v>0.0</v>
      </c>
      <c r="AS103" s="62">
        <v>0.0</v>
      </c>
      <c r="AT103" s="62">
        <v>0.0</v>
      </c>
      <c r="AU103" s="62">
        <v>0.0</v>
      </c>
      <c r="AV103" s="62">
        <v>0.0</v>
      </c>
      <c r="AW103" s="62">
        <v>0.0</v>
      </c>
      <c r="AX103" s="62">
        <v>0.0</v>
      </c>
      <c r="AY103" s="62">
        <v>0.0</v>
      </c>
      <c r="AZ103" s="62">
        <v>0.0</v>
      </c>
      <c r="BA103" s="62">
        <v>0.0</v>
      </c>
      <c r="BB103" s="62">
        <v>0.0</v>
      </c>
      <c r="BC103" s="62">
        <v>0.0</v>
      </c>
      <c r="BD103" s="62">
        <v>0.0</v>
      </c>
      <c r="BE103" s="62">
        <v>0.0</v>
      </c>
      <c r="BF103" s="62">
        <v>0.0</v>
      </c>
      <c r="BG103" s="62">
        <v>0.0</v>
      </c>
      <c r="BH103" s="62">
        <v>0.0</v>
      </c>
      <c r="BI103" s="62">
        <v>0.0</v>
      </c>
      <c r="BJ103" s="62">
        <v>0.0</v>
      </c>
      <c r="BK103" s="62">
        <v>0.0</v>
      </c>
      <c r="BL103" s="62">
        <v>0.0</v>
      </c>
      <c r="BM103" s="62">
        <v>0.0</v>
      </c>
      <c r="BN103" s="62">
        <v>0.0</v>
      </c>
      <c r="BO103" s="62">
        <v>145.0</v>
      </c>
      <c r="BP103" s="62">
        <v>0.0</v>
      </c>
      <c r="BQ103" s="62">
        <v>0.0</v>
      </c>
      <c r="BR103" s="62">
        <v>0.0</v>
      </c>
      <c r="BS103" s="62">
        <v>93.0</v>
      </c>
      <c r="BT103" s="62">
        <v>0.0</v>
      </c>
      <c r="BU103" s="62">
        <v>0.0</v>
      </c>
      <c r="BV103" s="62">
        <v>0.0</v>
      </c>
      <c r="BW103" s="62">
        <v>0.0</v>
      </c>
      <c r="BX103" s="62">
        <v>0.0</v>
      </c>
      <c r="BY103" s="62">
        <v>0.0</v>
      </c>
      <c r="BZ103" s="62">
        <v>0.0</v>
      </c>
      <c r="CA103" s="62">
        <v>5222860.0</v>
      </c>
      <c r="CB103" s="62">
        <v>2610190.0</v>
      </c>
      <c r="CC103" s="62">
        <v>1005793.0</v>
      </c>
      <c r="CD103" s="62">
        <v>1031829.0</v>
      </c>
      <c r="CE103" s="62">
        <v>970523.0</v>
      </c>
      <c r="CF103" s="62">
        <v>723064.0</v>
      </c>
      <c r="CG103" s="62">
        <v>464257.0</v>
      </c>
      <c r="CH103" s="62">
        <v>445289.0</v>
      </c>
      <c r="CI103" s="62">
        <v>4513609.0</v>
      </c>
      <c r="CJ103" s="62">
        <v>8234.0</v>
      </c>
      <c r="CK103" s="62">
        <v>13109.0</v>
      </c>
      <c r="CL103" s="62">
        <v>34248.0</v>
      </c>
      <c r="CM103" s="62">
        <v>64726.0</v>
      </c>
      <c r="CN103" s="62">
        <v>643773.0</v>
      </c>
      <c r="CO103" s="62">
        <v>380552.0</v>
      </c>
      <c r="CP103" s="62">
        <v>523125.0</v>
      </c>
      <c r="CQ103" s="62">
        <v>27758.0</v>
      </c>
      <c r="CR103" s="62">
        <v>1819702.0</v>
      </c>
      <c r="CS103" s="62">
        <v>0.0</v>
      </c>
      <c r="CT103" s="62">
        <v>810693.0</v>
      </c>
      <c r="CU103" s="62">
        <v>796.0</v>
      </c>
      <c r="CV103" s="62">
        <v>7897134.0</v>
      </c>
      <c r="CW103" s="62">
        <v>47643.0</v>
      </c>
      <c r="CX103" s="62">
        <v>1548614.0</v>
      </c>
      <c r="CY103" s="62">
        <v>44977.0</v>
      </c>
      <c r="CZ103" s="62">
        <v>1368.0</v>
      </c>
      <c r="DA103" s="62">
        <v>241.0</v>
      </c>
      <c r="DB103" s="62">
        <v>157376.0</v>
      </c>
      <c r="DC103" s="62">
        <v>0.0</v>
      </c>
      <c r="DD103" s="62">
        <v>117591.0</v>
      </c>
      <c r="DE103" s="62">
        <v>2974840.0</v>
      </c>
      <c r="DF103" s="62">
        <v>397938.0</v>
      </c>
      <c r="DG103" s="62">
        <v>1240578.0</v>
      </c>
      <c r="DH103" s="62">
        <v>6.7005738E7</v>
      </c>
      <c r="DI103" s="62">
        <v>636.0</v>
      </c>
      <c r="DJ103" s="62">
        <v>30618.0</v>
      </c>
      <c r="DK103" s="62">
        <v>273661.0</v>
      </c>
      <c r="DL103" s="62">
        <v>1935272.0</v>
      </c>
      <c r="DM103" s="62">
        <v>0.0</v>
      </c>
      <c r="DN103" s="62">
        <v>36827.0</v>
      </c>
      <c r="DO103" s="62">
        <v>41421.0</v>
      </c>
      <c r="DP103" s="62">
        <v>0.0</v>
      </c>
      <c r="DQ103" s="62">
        <v>1087349.0</v>
      </c>
      <c r="DR103" s="62">
        <v>59002.0</v>
      </c>
      <c r="DS103" s="62">
        <v>3379375.0</v>
      </c>
      <c r="DT103" s="62">
        <v>1016206.0</v>
      </c>
      <c r="DU103" s="62">
        <v>55.0</v>
      </c>
      <c r="DV103" s="62">
        <v>0.0</v>
      </c>
      <c r="DW103" s="62">
        <v>1024769.0</v>
      </c>
      <c r="DX103" s="62">
        <v>37445.0</v>
      </c>
      <c r="DY103" s="62">
        <v>600598.0</v>
      </c>
      <c r="DZ103" s="62">
        <v>4542088.0</v>
      </c>
      <c r="EA103" s="62">
        <v>910168.0</v>
      </c>
      <c r="EB103" s="62">
        <v>3062773.0</v>
      </c>
      <c r="EC103" s="62">
        <v>927738.0</v>
      </c>
      <c r="ED103" s="62">
        <v>1021253.0</v>
      </c>
      <c r="EE103" s="62">
        <v>23740.0</v>
      </c>
      <c r="EF103" s="62">
        <v>2274.0</v>
      </c>
      <c r="EG103" s="62">
        <v>515443.0</v>
      </c>
      <c r="EH103" s="62">
        <v>1728557.0</v>
      </c>
      <c r="EI103" s="62">
        <v>679746.0</v>
      </c>
      <c r="EJ103" s="62">
        <v>128802.0</v>
      </c>
      <c r="EK103" s="62">
        <v>784341.0</v>
      </c>
      <c r="EL103" s="62">
        <v>1796596.0</v>
      </c>
      <c r="EM103" s="62">
        <v>2962297.0</v>
      </c>
      <c r="EN103" s="62">
        <v>43269.0</v>
      </c>
      <c r="EO103" s="62">
        <v>1277557.0</v>
      </c>
      <c r="EP103" s="62">
        <v>79253.0</v>
      </c>
      <c r="EQ103" s="62">
        <v>0.0</v>
      </c>
      <c r="ER103" s="62">
        <v>0.0</v>
      </c>
      <c r="ES103" s="62">
        <v>0.0</v>
      </c>
      <c r="ET103" s="62">
        <v>0.0</v>
      </c>
      <c r="EU103" s="62">
        <v>2517.0</v>
      </c>
      <c r="EV103" s="62">
        <v>20.0</v>
      </c>
      <c r="EW103" s="62">
        <v>259.0</v>
      </c>
      <c r="EX103" s="62">
        <v>30.0</v>
      </c>
      <c r="EY103" s="62">
        <v>44294.0</v>
      </c>
      <c r="EZ103" s="62">
        <v>0.0</v>
      </c>
      <c r="FA103" s="62">
        <v>0.0</v>
      </c>
      <c r="FB103" s="62">
        <v>0.0</v>
      </c>
      <c r="FC103" s="62">
        <v>0.0</v>
      </c>
      <c r="FD103" s="62">
        <v>0.0</v>
      </c>
      <c r="FE103" s="62">
        <v>0.0</v>
      </c>
      <c r="FF103" s="62">
        <v>0.0</v>
      </c>
      <c r="FG103" s="62">
        <v>0.0</v>
      </c>
      <c r="FH103" s="62">
        <v>0.0</v>
      </c>
      <c r="FI103" s="62">
        <v>0.0</v>
      </c>
      <c r="FJ103" s="62">
        <v>0.0</v>
      </c>
      <c r="FK103" s="62">
        <v>0.0</v>
      </c>
      <c r="FL103" s="62">
        <v>12235.0</v>
      </c>
      <c r="FM103" s="62">
        <v>0.0</v>
      </c>
      <c r="FN103" s="62">
        <v>0.0</v>
      </c>
      <c r="FO103" s="62">
        <v>0.0</v>
      </c>
      <c r="FP103" s="62">
        <v>0.0</v>
      </c>
      <c r="FQ103" s="62">
        <v>0.0</v>
      </c>
      <c r="FR103" s="62">
        <v>0.0</v>
      </c>
      <c r="FS103" s="62">
        <v>0.0</v>
      </c>
      <c r="FT103" s="62">
        <v>0.0</v>
      </c>
      <c r="FU103" s="62">
        <v>128234.0</v>
      </c>
      <c r="FV103" s="62">
        <v>0.0</v>
      </c>
      <c r="FW103" s="62">
        <v>4196.0</v>
      </c>
      <c r="FX103" s="62">
        <v>123.0</v>
      </c>
      <c r="FY103" s="62">
        <v>500941.0</v>
      </c>
      <c r="FZ103" s="62">
        <v>171.0</v>
      </c>
      <c r="GA103" s="62">
        <v>2537.0</v>
      </c>
      <c r="GB103" s="62">
        <v>0.0</v>
      </c>
      <c r="GC103" s="62">
        <v>0.0</v>
      </c>
      <c r="GD103" s="62">
        <v>0.0</v>
      </c>
      <c r="GE103" s="62">
        <v>0.0</v>
      </c>
      <c r="GF103" s="63">
        <v>1.33453092E8</v>
      </c>
      <c r="GG103" s="64">
        <v>0.0</v>
      </c>
      <c r="GH103" s="65">
        <v>0.0</v>
      </c>
      <c r="GI103" s="64">
        <v>0.0</v>
      </c>
      <c r="GJ103" s="64">
        <v>0.0</v>
      </c>
      <c r="GK103" s="64">
        <v>2438800.0</v>
      </c>
      <c r="GL103" s="64">
        <v>2.6910409E7</v>
      </c>
      <c r="GM103" s="64">
        <v>0.0</v>
      </c>
      <c r="GN103" s="63">
        <v>2.9349209E7</v>
      </c>
      <c r="GO103" s="66">
        <v>1.62802301E8</v>
      </c>
      <c r="GP103" s="64">
        <v>4.4873821E7</v>
      </c>
      <c r="GQ103" s="64">
        <v>0.0</v>
      </c>
      <c r="GR103" s="65">
        <v>0.0</v>
      </c>
      <c r="GS103" s="63">
        <v>4.4873821E7</v>
      </c>
      <c r="GT103" s="67">
        <v>1.0294687E7</v>
      </c>
      <c r="GU103" s="67">
        <v>0.0</v>
      </c>
      <c r="GV103" s="67">
        <v>956573.0</v>
      </c>
      <c r="GW103" s="63">
        <v>1.125126E7</v>
      </c>
      <c r="GX103" s="63">
        <v>3235977.0</v>
      </c>
      <c r="GY103" s="63">
        <v>1.03441243E8</v>
      </c>
      <c r="GZ103" s="66">
        <v>1.62802301E8</v>
      </c>
    </row>
    <row r="104" ht="15.75" customHeight="1">
      <c r="A104" s="60">
        <v>99.0</v>
      </c>
      <c r="B104" s="61" t="s">
        <v>144</v>
      </c>
      <c r="C104" s="62">
        <v>1105071.0</v>
      </c>
      <c r="D104" s="62">
        <v>338863.0</v>
      </c>
      <c r="E104" s="62">
        <v>92256.0</v>
      </c>
      <c r="F104" s="62">
        <v>481592.0</v>
      </c>
      <c r="G104" s="62">
        <v>38591.0</v>
      </c>
      <c r="H104" s="62">
        <v>143876.0</v>
      </c>
      <c r="I104" s="62">
        <v>131159.0</v>
      </c>
      <c r="J104" s="62">
        <v>579092.0</v>
      </c>
      <c r="K104" s="62">
        <v>2427.0</v>
      </c>
      <c r="L104" s="62">
        <v>8540198.0</v>
      </c>
      <c r="M104" s="62">
        <v>219141.0</v>
      </c>
      <c r="N104" s="62">
        <v>442181.0</v>
      </c>
      <c r="O104" s="62">
        <v>912801.0</v>
      </c>
      <c r="P104" s="62">
        <v>19161.0</v>
      </c>
      <c r="Q104" s="62">
        <v>551639.0</v>
      </c>
      <c r="R104" s="62">
        <v>8325040.0</v>
      </c>
      <c r="S104" s="62">
        <v>156747.0</v>
      </c>
      <c r="T104" s="62">
        <v>1301900.0</v>
      </c>
      <c r="U104" s="62">
        <v>445967.0</v>
      </c>
      <c r="V104" s="62">
        <v>4739578.0</v>
      </c>
      <c r="W104" s="62">
        <v>90173.0</v>
      </c>
      <c r="X104" s="62">
        <v>229008.0</v>
      </c>
      <c r="Y104" s="62">
        <v>1489648.0</v>
      </c>
      <c r="Z104" s="62">
        <v>617737.0</v>
      </c>
      <c r="AA104" s="62">
        <v>47359.0</v>
      </c>
      <c r="AB104" s="62">
        <v>2.0</v>
      </c>
      <c r="AC104" s="62">
        <v>405.0</v>
      </c>
      <c r="AD104" s="62">
        <v>34563.0</v>
      </c>
      <c r="AE104" s="62">
        <v>5.0</v>
      </c>
      <c r="AF104" s="62">
        <v>112471.0</v>
      </c>
      <c r="AG104" s="62">
        <v>55253.0</v>
      </c>
      <c r="AH104" s="62">
        <v>29043.0</v>
      </c>
      <c r="AI104" s="62">
        <v>147937.0</v>
      </c>
      <c r="AJ104" s="62">
        <v>22030.0</v>
      </c>
      <c r="AK104" s="62">
        <v>4916.0</v>
      </c>
      <c r="AL104" s="62">
        <v>3320.0</v>
      </c>
      <c r="AM104" s="62">
        <v>8442.0</v>
      </c>
      <c r="AN104" s="62">
        <v>5236.0</v>
      </c>
      <c r="AO104" s="62">
        <v>17755.0</v>
      </c>
      <c r="AP104" s="62">
        <v>87.0</v>
      </c>
      <c r="AQ104" s="62">
        <v>503.0</v>
      </c>
      <c r="AR104" s="62">
        <v>169.0</v>
      </c>
      <c r="AS104" s="62">
        <v>407.0</v>
      </c>
      <c r="AT104" s="62">
        <v>636.0</v>
      </c>
      <c r="AU104" s="62">
        <v>130.0</v>
      </c>
      <c r="AV104" s="62">
        <v>248.0</v>
      </c>
      <c r="AW104" s="62">
        <v>218.0</v>
      </c>
      <c r="AX104" s="62">
        <v>1607.0</v>
      </c>
      <c r="AY104" s="62">
        <v>943.0</v>
      </c>
      <c r="AZ104" s="62">
        <v>65.0</v>
      </c>
      <c r="BA104" s="62">
        <v>65.0</v>
      </c>
      <c r="BB104" s="62">
        <v>51.0</v>
      </c>
      <c r="BC104" s="62">
        <v>2207.0</v>
      </c>
      <c r="BD104" s="62">
        <v>159.0</v>
      </c>
      <c r="BE104" s="62">
        <v>77.0</v>
      </c>
      <c r="BF104" s="62">
        <v>268.0</v>
      </c>
      <c r="BG104" s="62">
        <v>691.0</v>
      </c>
      <c r="BH104" s="62">
        <v>3867.0</v>
      </c>
      <c r="BI104" s="62">
        <v>167.0</v>
      </c>
      <c r="BJ104" s="62">
        <v>345.0</v>
      </c>
      <c r="BK104" s="62">
        <v>243.0</v>
      </c>
      <c r="BL104" s="62">
        <v>66.0</v>
      </c>
      <c r="BM104" s="62">
        <v>21.0</v>
      </c>
      <c r="BN104" s="62">
        <v>8058.0</v>
      </c>
      <c r="BO104" s="62">
        <v>1983.0</v>
      </c>
      <c r="BP104" s="62">
        <v>338.0</v>
      </c>
      <c r="BQ104" s="62">
        <v>347.0</v>
      </c>
      <c r="BR104" s="62">
        <v>535.0</v>
      </c>
      <c r="BS104" s="62">
        <v>145.0</v>
      </c>
      <c r="BT104" s="62">
        <v>2511.0</v>
      </c>
      <c r="BU104" s="62">
        <v>5375.0</v>
      </c>
      <c r="BV104" s="62">
        <v>26212.0</v>
      </c>
      <c r="BW104" s="62">
        <v>122.0</v>
      </c>
      <c r="BX104" s="62">
        <v>684.0</v>
      </c>
      <c r="BY104" s="62">
        <v>750.0</v>
      </c>
      <c r="BZ104" s="62">
        <v>56.0</v>
      </c>
      <c r="CA104" s="62">
        <v>0.0</v>
      </c>
      <c r="CB104" s="62">
        <v>0.0</v>
      </c>
      <c r="CC104" s="62">
        <v>0.0</v>
      </c>
      <c r="CD104" s="62">
        <v>0.0</v>
      </c>
      <c r="CE104" s="62">
        <v>0.0</v>
      </c>
      <c r="CF104" s="62">
        <v>0.0</v>
      </c>
      <c r="CG104" s="62">
        <v>0.0</v>
      </c>
      <c r="CH104" s="62">
        <v>0.0</v>
      </c>
      <c r="CI104" s="62">
        <v>0.0</v>
      </c>
      <c r="CJ104" s="62">
        <v>928.0</v>
      </c>
      <c r="CK104" s="62">
        <v>709.0</v>
      </c>
      <c r="CL104" s="62">
        <v>14971.0</v>
      </c>
      <c r="CM104" s="62">
        <v>422.0</v>
      </c>
      <c r="CN104" s="62">
        <v>0.0</v>
      </c>
      <c r="CO104" s="62">
        <v>0.0</v>
      </c>
      <c r="CP104" s="62">
        <v>0.0</v>
      </c>
      <c r="CQ104" s="62">
        <v>0.0</v>
      </c>
      <c r="CR104" s="62">
        <v>129.0</v>
      </c>
      <c r="CS104" s="62">
        <v>828.0</v>
      </c>
      <c r="CT104" s="62">
        <v>93.0</v>
      </c>
      <c r="CU104" s="62">
        <v>6076.0</v>
      </c>
      <c r="CV104" s="62">
        <v>505.0</v>
      </c>
      <c r="CW104" s="62">
        <v>8451.0</v>
      </c>
      <c r="CX104" s="62">
        <v>1494.0</v>
      </c>
      <c r="CY104" s="62">
        <v>73.0</v>
      </c>
      <c r="CZ104" s="62">
        <v>0.0</v>
      </c>
      <c r="DA104" s="62">
        <v>4734.0</v>
      </c>
      <c r="DB104" s="62">
        <v>311.0</v>
      </c>
      <c r="DC104" s="62">
        <v>1933.0</v>
      </c>
      <c r="DD104" s="62">
        <v>52.0</v>
      </c>
      <c r="DE104" s="62">
        <v>15.0</v>
      </c>
      <c r="DF104" s="62">
        <v>0.0</v>
      </c>
      <c r="DG104" s="62">
        <v>1146.0</v>
      </c>
      <c r="DH104" s="62">
        <v>7542.0</v>
      </c>
      <c r="DI104" s="62">
        <v>533.0</v>
      </c>
      <c r="DJ104" s="62">
        <v>427.0</v>
      </c>
      <c r="DK104" s="62">
        <v>843.0</v>
      </c>
      <c r="DL104" s="62">
        <v>146.0</v>
      </c>
      <c r="DM104" s="62">
        <v>730.0</v>
      </c>
      <c r="DN104" s="62">
        <v>1191.0</v>
      </c>
      <c r="DO104" s="62">
        <v>6615.0</v>
      </c>
      <c r="DP104" s="62">
        <v>3103.0</v>
      </c>
      <c r="DQ104" s="62">
        <v>4957.0</v>
      </c>
      <c r="DR104" s="62">
        <v>16597.0</v>
      </c>
      <c r="DS104" s="62">
        <v>10573.0</v>
      </c>
      <c r="DT104" s="62">
        <v>12275.0</v>
      </c>
      <c r="DU104" s="62">
        <v>689.0</v>
      </c>
      <c r="DV104" s="62">
        <v>790.0</v>
      </c>
      <c r="DW104" s="62">
        <v>972.0</v>
      </c>
      <c r="DX104" s="62">
        <v>3237.0</v>
      </c>
      <c r="DY104" s="62">
        <v>1074.0</v>
      </c>
      <c r="DZ104" s="62">
        <v>1227.0</v>
      </c>
      <c r="EA104" s="62">
        <v>8.0</v>
      </c>
      <c r="EB104" s="62">
        <v>7.0</v>
      </c>
      <c r="EC104" s="62">
        <v>9.0</v>
      </c>
      <c r="ED104" s="62">
        <v>9.0</v>
      </c>
      <c r="EE104" s="62">
        <v>17.0</v>
      </c>
      <c r="EF104" s="62">
        <v>163.0</v>
      </c>
      <c r="EG104" s="62">
        <v>718.0</v>
      </c>
      <c r="EH104" s="62">
        <v>2836.0</v>
      </c>
      <c r="EI104" s="62">
        <v>427.0</v>
      </c>
      <c r="EJ104" s="62">
        <v>146.0</v>
      </c>
      <c r="EK104" s="62">
        <v>508.0</v>
      </c>
      <c r="EL104" s="62">
        <v>257.0</v>
      </c>
      <c r="EM104" s="62">
        <v>274.0</v>
      </c>
      <c r="EN104" s="62">
        <v>315.0</v>
      </c>
      <c r="EO104" s="62">
        <v>275.0</v>
      </c>
      <c r="EP104" s="62">
        <v>0.0</v>
      </c>
      <c r="EQ104" s="62">
        <v>218.0</v>
      </c>
      <c r="ER104" s="62">
        <v>162.0</v>
      </c>
      <c r="ES104" s="62">
        <v>145187.0</v>
      </c>
      <c r="ET104" s="62">
        <v>307.0</v>
      </c>
      <c r="EU104" s="62">
        <v>22881.0</v>
      </c>
      <c r="EV104" s="62">
        <v>44.0</v>
      </c>
      <c r="EW104" s="62">
        <v>172.0</v>
      </c>
      <c r="EX104" s="62">
        <v>429.0</v>
      </c>
      <c r="EY104" s="62">
        <v>68.0</v>
      </c>
      <c r="EZ104" s="62">
        <v>4771.0</v>
      </c>
      <c r="FA104" s="62">
        <v>16867.0</v>
      </c>
      <c r="FB104" s="62">
        <v>102412.0</v>
      </c>
      <c r="FC104" s="62">
        <v>157.0</v>
      </c>
      <c r="FD104" s="62">
        <v>237.0</v>
      </c>
      <c r="FE104" s="62">
        <v>184.0</v>
      </c>
      <c r="FF104" s="62">
        <v>170.0</v>
      </c>
      <c r="FG104" s="62">
        <v>0.0</v>
      </c>
      <c r="FH104" s="62">
        <v>1265.0</v>
      </c>
      <c r="FI104" s="62">
        <v>103.0</v>
      </c>
      <c r="FJ104" s="62">
        <v>3407.0</v>
      </c>
      <c r="FK104" s="62">
        <v>125.0</v>
      </c>
      <c r="FL104" s="62">
        <v>196.0</v>
      </c>
      <c r="FM104" s="62">
        <v>214.0</v>
      </c>
      <c r="FN104" s="62">
        <v>57.0</v>
      </c>
      <c r="FO104" s="62">
        <v>166.0</v>
      </c>
      <c r="FP104" s="62">
        <v>101850.0</v>
      </c>
      <c r="FQ104" s="62">
        <v>172.0</v>
      </c>
      <c r="FR104" s="62">
        <v>4.0</v>
      </c>
      <c r="FS104" s="62">
        <v>8.0</v>
      </c>
      <c r="FT104" s="62">
        <v>17571.0</v>
      </c>
      <c r="FU104" s="62">
        <v>3825.0</v>
      </c>
      <c r="FV104" s="62">
        <v>441.0</v>
      </c>
      <c r="FW104" s="62">
        <v>217978.0</v>
      </c>
      <c r="FX104" s="62">
        <v>31597.0</v>
      </c>
      <c r="FY104" s="62">
        <v>87423.0</v>
      </c>
      <c r="FZ104" s="62">
        <v>72.0</v>
      </c>
      <c r="GA104" s="62">
        <v>2839.0</v>
      </c>
      <c r="GB104" s="62">
        <v>19169.0</v>
      </c>
      <c r="GC104" s="62">
        <v>2970.0</v>
      </c>
      <c r="GD104" s="62">
        <v>76.0</v>
      </c>
      <c r="GE104" s="62">
        <v>8686.0</v>
      </c>
      <c r="GF104" s="63">
        <v>3.2459779E7</v>
      </c>
      <c r="GG104" s="64">
        <v>1798346.0</v>
      </c>
      <c r="GH104" s="65">
        <v>0.0</v>
      </c>
      <c r="GI104" s="64">
        <v>0.0</v>
      </c>
      <c r="GJ104" s="64">
        <v>0.0</v>
      </c>
      <c r="GK104" s="64">
        <v>19457.0</v>
      </c>
      <c r="GL104" s="64">
        <v>4240981.0</v>
      </c>
      <c r="GM104" s="64">
        <v>0.0</v>
      </c>
      <c r="GN104" s="63">
        <v>6058784.0</v>
      </c>
      <c r="GO104" s="66">
        <v>3.8518563E7</v>
      </c>
      <c r="GP104" s="64">
        <v>1.4234043E7</v>
      </c>
      <c r="GQ104" s="64">
        <v>0.0</v>
      </c>
      <c r="GR104" s="65">
        <v>0.0</v>
      </c>
      <c r="GS104" s="63">
        <v>1.4234043E7</v>
      </c>
      <c r="GT104" s="67">
        <v>4137673.0</v>
      </c>
      <c r="GU104" s="67">
        <v>2197415.0</v>
      </c>
      <c r="GV104" s="67">
        <v>1044055.0</v>
      </c>
      <c r="GW104" s="63">
        <v>7379143.0</v>
      </c>
      <c r="GX104" s="63">
        <v>1456773.0</v>
      </c>
      <c r="GY104" s="63">
        <v>1.5448604E7</v>
      </c>
      <c r="GZ104" s="66">
        <v>3.8518563E7</v>
      </c>
    </row>
    <row r="105" ht="15.75" customHeight="1">
      <c r="A105" s="68">
        <v>100.0</v>
      </c>
      <c r="B105" s="69" t="s">
        <v>145</v>
      </c>
      <c r="C105" s="70">
        <v>0.0</v>
      </c>
      <c r="D105" s="70">
        <v>0.0</v>
      </c>
      <c r="E105" s="70">
        <v>0.0</v>
      </c>
      <c r="F105" s="70">
        <v>0.0</v>
      </c>
      <c r="G105" s="70">
        <v>0.0</v>
      </c>
      <c r="H105" s="70">
        <v>0.0</v>
      </c>
      <c r="I105" s="70">
        <v>0.0</v>
      </c>
      <c r="J105" s="70">
        <v>0.0</v>
      </c>
      <c r="K105" s="70">
        <v>0.0</v>
      </c>
      <c r="L105" s="70">
        <v>0.0</v>
      </c>
      <c r="M105" s="70">
        <v>0.0</v>
      </c>
      <c r="N105" s="70">
        <v>0.0</v>
      </c>
      <c r="O105" s="70">
        <v>0.0</v>
      </c>
      <c r="P105" s="70">
        <v>0.0</v>
      </c>
      <c r="Q105" s="70">
        <v>0.0</v>
      </c>
      <c r="R105" s="70">
        <v>0.0</v>
      </c>
      <c r="S105" s="70">
        <v>0.0</v>
      </c>
      <c r="T105" s="70">
        <v>0.0</v>
      </c>
      <c r="U105" s="70">
        <v>0.0</v>
      </c>
      <c r="V105" s="70">
        <v>0.0</v>
      </c>
      <c r="W105" s="70">
        <v>0.0</v>
      </c>
      <c r="X105" s="70">
        <v>0.0</v>
      </c>
      <c r="Y105" s="70">
        <v>0.0</v>
      </c>
      <c r="Z105" s="70">
        <v>0.0</v>
      </c>
      <c r="AA105" s="70">
        <v>0.0</v>
      </c>
      <c r="AB105" s="70">
        <v>0.0</v>
      </c>
      <c r="AC105" s="70">
        <v>0.0</v>
      </c>
      <c r="AD105" s="70">
        <v>0.0</v>
      </c>
      <c r="AE105" s="70">
        <v>0.0</v>
      </c>
      <c r="AF105" s="70">
        <v>0.0</v>
      </c>
      <c r="AG105" s="70">
        <v>0.0</v>
      </c>
      <c r="AH105" s="70">
        <v>0.0</v>
      </c>
      <c r="AI105" s="70">
        <v>257644.0</v>
      </c>
      <c r="AJ105" s="70">
        <v>0.0</v>
      </c>
      <c r="AK105" s="70">
        <v>0.0</v>
      </c>
      <c r="AL105" s="70">
        <v>0.0</v>
      </c>
      <c r="AM105" s="70">
        <v>0.0</v>
      </c>
      <c r="AN105" s="70">
        <v>0.0</v>
      </c>
      <c r="AO105" s="70">
        <v>0.0</v>
      </c>
      <c r="AP105" s="70">
        <v>0.0</v>
      </c>
      <c r="AQ105" s="70">
        <v>0.0</v>
      </c>
      <c r="AR105" s="70">
        <v>0.0</v>
      </c>
      <c r="AS105" s="70">
        <v>0.0</v>
      </c>
      <c r="AT105" s="70">
        <v>0.0</v>
      </c>
      <c r="AU105" s="70">
        <v>0.0</v>
      </c>
      <c r="AV105" s="70">
        <v>0.0</v>
      </c>
      <c r="AW105" s="70">
        <v>0.0</v>
      </c>
      <c r="AX105" s="70">
        <v>0.0</v>
      </c>
      <c r="AY105" s="70">
        <v>0.0</v>
      </c>
      <c r="AZ105" s="70">
        <v>0.0</v>
      </c>
      <c r="BA105" s="70">
        <v>0.0</v>
      </c>
      <c r="BB105" s="70">
        <v>0.0</v>
      </c>
      <c r="BC105" s="70">
        <v>0.0</v>
      </c>
      <c r="BD105" s="70">
        <v>0.0</v>
      </c>
      <c r="BE105" s="70">
        <v>0.0</v>
      </c>
      <c r="BF105" s="70">
        <v>0.0</v>
      </c>
      <c r="BG105" s="70">
        <v>0.0</v>
      </c>
      <c r="BH105" s="70">
        <v>0.0</v>
      </c>
      <c r="BI105" s="70">
        <v>0.0</v>
      </c>
      <c r="BJ105" s="70">
        <v>0.0</v>
      </c>
      <c r="BK105" s="70">
        <v>0.0</v>
      </c>
      <c r="BL105" s="70">
        <v>0.0</v>
      </c>
      <c r="BM105" s="70">
        <v>0.0</v>
      </c>
      <c r="BN105" s="70">
        <v>0.0</v>
      </c>
      <c r="BO105" s="70">
        <v>0.0</v>
      </c>
      <c r="BP105" s="70">
        <v>0.0</v>
      </c>
      <c r="BQ105" s="70">
        <v>0.0</v>
      </c>
      <c r="BR105" s="70">
        <v>0.0</v>
      </c>
      <c r="BS105" s="70">
        <v>0.0</v>
      </c>
      <c r="BT105" s="70">
        <v>0.0</v>
      </c>
      <c r="BU105" s="70">
        <v>0.0</v>
      </c>
      <c r="BV105" s="70">
        <v>0.0</v>
      </c>
      <c r="BW105" s="70">
        <v>0.0</v>
      </c>
      <c r="BX105" s="70">
        <v>0.0</v>
      </c>
      <c r="BY105" s="70">
        <v>629.0</v>
      </c>
      <c r="BZ105" s="70">
        <v>26.0</v>
      </c>
      <c r="CA105" s="70">
        <v>4505.0</v>
      </c>
      <c r="CB105" s="70">
        <v>119503.0</v>
      </c>
      <c r="CC105" s="70">
        <v>235.0</v>
      </c>
      <c r="CD105" s="70">
        <v>334.0</v>
      </c>
      <c r="CE105" s="70">
        <v>10.0</v>
      </c>
      <c r="CF105" s="70">
        <v>80277.0</v>
      </c>
      <c r="CG105" s="70">
        <v>0.0</v>
      </c>
      <c r="CH105" s="70">
        <v>0.0</v>
      </c>
      <c r="CI105" s="70">
        <v>2603.0</v>
      </c>
      <c r="CJ105" s="70">
        <v>403925.0</v>
      </c>
      <c r="CK105" s="70">
        <v>633631.0</v>
      </c>
      <c r="CL105" s="70">
        <v>495851.0</v>
      </c>
      <c r="CM105" s="70">
        <v>326040.0</v>
      </c>
      <c r="CN105" s="70">
        <v>440659.0</v>
      </c>
      <c r="CO105" s="70">
        <v>398937.0</v>
      </c>
      <c r="CP105" s="70">
        <v>825600.0</v>
      </c>
      <c r="CQ105" s="70">
        <v>3095985.0</v>
      </c>
      <c r="CR105" s="70">
        <v>9016.0</v>
      </c>
      <c r="CS105" s="70">
        <v>0.0</v>
      </c>
      <c r="CT105" s="70">
        <v>0.0</v>
      </c>
      <c r="CU105" s="70">
        <v>0.0</v>
      </c>
      <c r="CV105" s="70">
        <v>0.0</v>
      </c>
      <c r="CW105" s="70">
        <v>0.0</v>
      </c>
      <c r="CX105" s="70">
        <v>0.0</v>
      </c>
      <c r="CY105" s="70">
        <v>0.0</v>
      </c>
      <c r="CZ105" s="70">
        <v>0.0</v>
      </c>
      <c r="DA105" s="70">
        <v>0.0</v>
      </c>
      <c r="DB105" s="70">
        <v>0.0</v>
      </c>
      <c r="DC105" s="70">
        <v>0.0</v>
      </c>
      <c r="DD105" s="70">
        <v>0.0</v>
      </c>
      <c r="DE105" s="70">
        <v>0.0</v>
      </c>
      <c r="DF105" s="70">
        <v>0.0</v>
      </c>
      <c r="DG105" s="70">
        <v>2428.0</v>
      </c>
      <c r="DH105" s="70">
        <v>6236.0</v>
      </c>
      <c r="DI105" s="70">
        <v>635.0</v>
      </c>
      <c r="DJ105" s="70">
        <v>48771.0</v>
      </c>
      <c r="DK105" s="70">
        <v>0.0</v>
      </c>
      <c r="DL105" s="70">
        <v>0.0</v>
      </c>
      <c r="DM105" s="70">
        <v>0.0</v>
      </c>
      <c r="DN105" s="70">
        <v>0.0</v>
      </c>
      <c r="DO105" s="70">
        <v>303397.0</v>
      </c>
      <c r="DP105" s="70">
        <v>0.0</v>
      </c>
      <c r="DQ105" s="70">
        <v>74.0</v>
      </c>
      <c r="DR105" s="70">
        <v>172938.0</v>
      </c>
      <c r="DS105" s="70">
        <v>0.0</v>
      </c>
      <c r="DT105" s="70">
        <v>0.0</v>
      </c>
      <c r="DU105" s="70">
        <v>0.0</v>
      </c>
      <c r="DV105" s="70">
        <v>0.0</v>
      </c>
      <c r="DW105" s="70">
        <v>0.0</v>
      </c>
      <c r="DX105" s="70">
        <v>5655.0</v>
      </c>
      <c r="DY105" s="70">
        <v>29.0</v>
      </c>
      <c r="DZ105" s="70">
        <v>0.0</v>
      </c>
      <c r="EA105" s="70">
        <v>0.0</v>
      </c>
      <c r="EB105" s="70">
        <v>191.0</v>
      </c>
      <c r="EC105" s="70">
        <v>1726800.0</v>
      </c>
      <c r="ED105" s="70">
        <v>243412.0</v>
      </c>
      <c r="EE105" s="70">
        <v>49692.0</v>
      </c>
      <c r="EF105" s="70">
        <v>19378.0</v>
      </c>
      <c r="EG105" s="70">
        <v>203143.0</v>
      </c>
      <c r="EH105" s="70">
        <v>2437185.0</v>
      </c>
      <c r="EI105" s="70">
        <v>296672.0</v>
      </c>
      <c r="EJ105" s="70">
        <v>19848.0</v>
      </c>
      <c r="EK105" s="70">
        <v>124355.0</v>
      </c>
      <c r="EL105" s="70">
        <v>85227.0</v>
      </c>
      <c r="EM105" s="70">
        <v>22320.0</v>
      </c>
      <c r="EN105" s="70">
        <v>15139.0</v>
      </c>
      <c r="EO105" s="70">
        <v>3287.0</v>
      </c>
      <c r="EP105" s="70">
        <v>50646.0</v>
      </c>
      <c r="EQ105" s="70">
        <v>1775.0</v>
      </c>
      <c r="ER105" s="70">
        <v>501.0</v>
      </c>
      <c r="ES105" s="70">
        <v>21144.0</v>
      </c>
      <c r="ET105" s="70">
        <v>5179.0</v>
      </c>
      <c r="EU105" s="70">
        <v>6506229.0</v>
      </c>
      <c r="EV105" s="70">
        <v>1283342.0</v>
      </c>
      <c r="EW105" s="70">
        <v>189443.0</v>
      </c>
      <c r="EX105" s="70">
        <v>1022247.0</v>
      </c>
      <c r="EY105" s="70">
        <v>3450437.0</v>
      </c>
      <c r="EZ105" s="70">
        <v>564.0</v>
      </c>
      <c r="FA105" s="70">
        <v>1921666.0</v>
      </c>
      <c r="FB105" s="70">
        <v>181002.0</v>
      </c>
      <c r="FC105" s="70">
        <v>467.0</v>
      </c>
      <c r="FD105" s="70">
        <v>146990.0</v>
      </c>
      <c r="FE105" s="70">
        <v>15160.0</v>
      </c>
      <c r="FF105" s="70">
        <v>882.0</v>
      </c>
      <c r="FG105" s="70">
        <v>141898.0</v>
      </c>
      <c r="FH105" s="70">
        <v>42523.0</v>
      </c>
      <c r="FI105" s="70">
        <v>6960.0</v>
      </c>
      <c r="FJ105" s="70">
        <v>3710.0</v>
      </c>
      <c r="FK105" s="70">
        <v>370.0</v>
      </c>
      <c r="FL105" s="70">
        <v>4397446.0</v>
      </c>
      <c r="FM105" s="70">
        <v>253049.0</v>
      </c>
      <c r="FN105" s="70">
        <v>730333.0</v>
      </c>
      <c r="FO105" s="70">
        <v>483329.0</v>
      </c>
      <c r="FP105" s="70">
        <v>47028.0</v>
      </c>
      <c r="FQ105" s="70">
        <v>488.0</v>
      </c>
      <c r="FR105" s="70">
        <v>20.0</v>
      </c>
      <c r="FS105" s="70">
        <v>4.0</v>
      </c>
      <c r="FT105" s="70">
        <v>333706.0</v>
      </c>
      <c r="FU105" s="70">
        <v>1205301.0</v>
      </c>
      <c r="FV105" s="70">
        <v>1400746.0</v>
      </c>
      <c r="FW105" s="70">
        <v>2175244.0</v>
      </c>
      <c r="FX105" s="70">
        <v>739218.0</v>
      </c>
      <c r="FY105" s="70">
        <v>961734.0</v>
      </c>
      <c r="FZ105" s="70">
        <v>29759.0</v>
      </c>
      <c r="GA105" s="70">
        <v>2434550.0</v>
      </c>
      <c r="GB105" s="70">
        <v>200323.0</v>
      </c>
      <c r="GC105" s="70">
        <v>1203.0</v>
      </c>
      <c r="GD105" s="70">
        <v>15115.0</v>
      </c>
      <c r="GE105" s="70">
        <v>5559.0</v>
      </c>
      <c r="GF105" s="71">
        <v>4.3289512E7</v>
      </c>
      <c r="GG105" s="72">
        <v>1.1762172E7</v>
      </c>
      <c r="GH105" s="73">
        <v>0.0</v>
      </c>
      <c r="GI105" s="72">
        <v>0.0</v>
      </c>
      <c r="GJ105" s="72">
        <v>0.0</v>
      </c>
      <c r="GK105" s="72">
        <v>5254784.0</v>
      </c>
      <c r="GL105" s="72">
        <v>1231635.0</v>
      </c>
      <c r="GM105" s="72">
        <v>0.0</v>
      </c>
      <c r="GN105" s="71">
        <v>1.8248591E7</v>
      </c>
      <c r="GO105" s="74">
        <v>6.1538103E7</v>
      </c>
      <c r="GP105" s="72">
        <v>2734325.0</v>
      </c>
      <c r="GQ105" s="72">
        <v>0.0</v>
      </c>
      <c r="GR105" s="73">
        <v>0.0</v>
      </c>
      <c r="GS105" s="71">
        <v>2734325.0</v>
      </c>
      <c r="GT105" s="75">
        <v>2456944.0</v>
      </c>
      <c r="GU105" s="75">
        <v>7251003.0</v>
      </c>
      <c r="GV105" s="75">
        <v>2005966.0</v>
      </c>
      <c r="GW105" s="71">
        <v>1.1713913E7</v>
      </c>
      <c r="GX105" s="71">
        <v>667325.0</v>
      </c>
      <c r="GY105" s="71">
        <v>4.642254E7</v>
      </c>
      <c r="GZ105" s="74">
        <v>6.1538103E7</v>
      </c>
    </row>
    <row r="106" ht="15.75" customHeight="1">
      <c r="A106" s="52">
        <v>101.0</v>
      </c>
      <c r="B106" s="53" t="s">
        <v>146</v>
      </c>
      <c r="C106" s="54">
        <v>0.0</v>
      </c>
      <c r="D106" s="54">
        <v>0.0</v>
      </c>
      <c r="E106" s="54">
        <v>0.0</v>
      </c>
      <c r="F106" s="54">
        <v>0.0</v>
      </c>
      <c r="G106" s="54">
        <v>0.0</v>
      </c>
      <c r="H106" s="54">
        <v>0.0</v>
      </c>
      <c r="I106" s="54">
        <v>0.0</v>
      </c>
      <c r="J106" s="54">
        <v>0.0</v>
      </c>
      <c r="K106" s="54">
        <v>0.0</v>
      </c>
      <c r="L106" s="54">
        <v>0.0</v>
      </c>
      <c r="M106" s="54">
        <v>0.0</v>
      </c>
      <c r="N106" s="54">
        <v>0.0</v>
      </c>
      <c r="O106" s="54">
        <v>0.0</v>
      </c>
      <c r="P106" s="54">
        <v>0.0</v>
      </c>
      <c r="Q106" s="54">
        <v>0.0</v>
      </c>
      <c r="R106" s="54">
        <v>0.0</v>
      </c>
      <c r="S106" s="54">
        <v>0.0</v>
      </c>
      <c r="T106" s="54">
        <v>0.0</v>
      </c>
      <c r="U106" s="54">
        <v>0.0</v>
      </c>
      <c r="V106" s="54">
        <v>0.0</v>
      </c>
      <c r="W106" s="54">
        <v>0.0</v>
      </c>
      <c r="X106" s="54">
        <v>0.0</v>
      </c>
      <c r="Y106" s="54">
        <v>0.0</v>
      </c>
      <c r="Z106" s="54">
        <v>0.0</v>
      </c>
      <c r="AA106" s="54">
        <v>0.0</v>
      </c>
      <c r="AB106" s="54">
        <v>0.0</v>
      </c>
      <c r="AC106" s="54">
        <v>0.0</v>
      </c>
      <c r="AD106" s="54">
        <v>0.0</v>
      </c>
      <c r="AE106" s="54">
        <v>0.0</v>
      </c>
      <c r="AF106" s="54">
        <v>0.0</v>
      </c>
      <c r="AG106" s="54">
        <v>0.0</v>
      </c>
      <c r="AH106" s="54">
        <v>0.0</v>
      </c>
      <c r="AI106" s="54">
        <v>0.0</v>
      </c>
      <c r="AJ106" s="54">
        <v>0.0</v>
      </c>
      <c r="AK106" s="54">
        <v>0.0</v>
      </c>
      <c r="AL106" s="54">
        <v>0.0</v>
      </c>
      <c r="AM106" s="54">
        <v>0.0</v>
      </c>
      <c r="AN106" s="54">
        <v>0.0</v>
      </c>
      <c r="AO106" s="54">
        <v>0.0</v>
      </c>
      <c r="AP106" s="54">
        <v>0.0</v>
      </c>
      <c r="AQ106" s="54">
        <v>0.0</v>
      </c>
      <c r="AR106" s="54">
        <v>0.0</v>
      </c>
      <c r="AS106" s="54">
        <v>0.0</v>
      </c>
      <c r="AT106" s="54">
        <v>0.0</v>
      </c>
      <c r="AU106" s="54">
        <v>0.0</v>
      </c>
      <c r="AV106" s="54">
        <v>0.0</v>
      </c>
      <c r="AW106" s="54">
        <v>0.0</v>
      </c>
      <c r="AX106" s="54">
        <v>0.0</v>
      </c>
      <c r="AY106" s="54">
        <v>0.0</v>
      </c>
      <c r="AZ106" s="54">
        <v>0.0</v>
      </c>
      <c r="BA106" s="54">
        <v>0.0</v>
      </c>
      <c r="BB106" s="54">
        <v>0.0</v>
      </c>
      <c r="BC106" s="54">
        <v>0.0</v>
      </c>
      <c r="BD106" s="54">
        <v>0.0</v>
      </c>
      <c r="BE106" s="54">
        <v>0.0</v>
      </c>
      <c r="BF106" s="54">
        <v>0.0</v>
      </c>
      <c r="BG106" s="54">
        <v>0.0</v>
      </c>
      <c r="BH106" s="54">
        <v>0.0</v>
      </c>
      <c r="BI106" s="54">
        <v>0.0</v>
      </c>
      <c r="BJ106" s="54">
        <v>0.0</v>
      </c>
      <c r="BK106" s="54">
        <v>0.0</v>
      </c>
      <c r="BL106" s="54">
        <v>0.0</v>
      </c>
      <c r="BM106" s="54">
        <v>0.0</v>
      </c>
      <c r="BN106" s="54">
        <v>0.0</v>
      </c>
      <c r="BO106" s="54">
        <v>0.0</v>
      </c>
      <c r="BP106" s="54">
        <v>0.0</v>
      </c>
      <c r="BQ106" s="54">
        <v>0.0</v>
      </c>
      <c r="BR106" s="54">
        <v>0.0</v>
      </c>
      <c r="BS106" s="54">
        <v>0.0</v>
      </c>
      <c r="BT106" s="54">
        <v>0.0</v>
      </c>
      <c r="BU106" s="54">
        <v>0.0</v>
      </c>
      <c r="BV106" s="54">
        <v>0.0</v>
      </c>
      <c r="BW106" s="54">
        <v>0.0</v>
      </c>
      <c r="BX106" s="54">
        <v>0.0</v>
      </c>
      <c r="BY106" s="54">
        <v>190.0</v>
      </c>
      <c r="BZ106" s="54">
        <v>0.0</v>
      </c>
      <c r="CA106" s="54">
        <v>0.0</v>
      </c>
      <c r="CB106" s="54">
        <v>0.0</v>
      </c>
      <c r="CC106" s="54">
        <v>337.0</v>
      </c>
      <c r="CD106" s="54">
        <v>106.0</v>
      </c>
      <c r="CE106" s="54">
        <v>0.0</v>
      </c>
      <c r="CF106" s="54">
        <v>2405.0</v>
      </c>
      <c r="CG106" s="54">
        <v>13.0</v>
      </c>
      <c r="CH106" s="54">
        <v>474.0</v>
      </c>
      <c r="CI106" s="54">
        <v>10621.0</v>
      </c>
      <c r="CJ106" s="54">
        <v>740237.0</v>
      </c>
      <c r="CK106" s="54">
        <v>1300522.0</v>
      </c>
      <c r="CL106" s="54">
        <v>705522.0</v>
      </c>
      <c r="CM106" s="54">
        <v>363969.0</v>
      </c>
      <c r="CN106" s="54">
        <v>36334.0</v>
      </c>
      <c r="CO106" s="54">
        <v>53814.0</v>
      </c>
      <c r="CP106" s="54">
        <v>262876.0</v>
      </c>
      <c r="CQ106" s="54">
        <v>557919.0</v>
      </c>
      <c r="CR106" s="54">
        <v>28917.0</v>
      </c>
      <c r="CS106" s="54">
        <v>0.0</v>
      </c>
      <c r="CT106" s="54">
        <v>0.0</v>
      </c>
      <c r="CU106" s="54">
        <v>0.0</v>
      </c>
      <c r="CV106" s="54">
        <v>0.0</v>
      </c>
      <c r="CW106" s="54">
        <v>0.0</v>
      </c>
      <c r="CX106" s="54">
        <v>58228.0</v>
      </c>
      <c r="CY106" s="54">
        <v>1691.0</v>
      </c>
      <c r="CZ106" s="54">
        <v>0.0</v>
      </c>
      <c r="DA106" s="54">
        <v>0.0</v>
      </c>
      <c r="DB106" s="54">
        <v>0.0</v>
      </c>
      <c r="DC106" s="54">
        <v>0.0</v>
      </c>
      <c r="DD106" s="54">
        <v>0.0</v>
      </c>
      <c r="DE106" s="54">
        <v>0.0</v>
      </c>
      <c r="DF106" s="54">
        <v>0.0</v>
      </c>
      <c r="DG106" s="54">
        <v>282.0</v>
      </c>
      <c r="DH106" s="54">
        <v>15558.0</v>
      </c>
      <c r="DI106" s="54">
        <v>2211.0</v>
      </c>
      <c r="DJ106" s="54">
        <v>12701.0</v>
      </c>
      <c r="DK106" s="54">
        <v>0.0</v>
      </c>
      <c r="DL106" s="54">
        <v>164221.0</v>
      </c>
      <c r="DM106" s="54">
        <v>24109.0</v>
      </c>
      <c r="DN106" s="54">
        <v>3558.0</v>
      </c>
      <c r="DO106" s="54">
        <v>56606.0</v>
      </c>
      <c r="DP106" s="54">
        <v>0.0</v>
      </c>
      <c r="DQ106" s="54">
        <v>460.0</v>
      </c>
      <c r="DR106" s="54">
        <v>11469.0</v>
      </c>
      <c r="DS106" s="54">
        <v>540.0</v>
      </c>
      <c r="DT106" s="54">
        <v>971.0</v>
      </c>
      <c r="DU106" s="54">
        <v>0.0</v>
      </c>
      <c r="DV106" s="54">
        <v>0.0</v>
      </c>
      <c r="DW106" s="54">
        <v>29998.0</v>
      </c>
      <c r="DX106" s="54">
        <v>1502.0</v>
      </c>
      <c r="DY106" s="54">
        <v>49.0</v>
      </c>
      <c r="DZ106" s="54">
        <v>203194.0</v>
      </c>
      <c r="EA106" s="54">
        <v>310.0</v>
      </c>
      <c r="EB106" s="54">
        <v>293527.0</v>
      </c>
      <c r="EC106" s="54">
        <v>519065.0</v>
      </c>
      <c r="ED106" s="54">
        <v>455361.0</v>
      </c>
      <c r="EE106" s="54">
        <v>0.0</v>
      </c>
      <c r="EF106" s="54">
        <v>0.0</v>
      </c>
      <c r="EG106" s="54">
        <v>51982.0</v>
      </c>
      <c r="EH106" s="54">
        <v>222332.0</v>
      </c>
      <c r="EI106" s="54">
        <v>2166552.0</v>
      </c>
      <c r="EJ106" s="54">
        <v>542.0</v>
      </c>
      <c r="EK106" s="54">
        <v>166121.0</v>
      </c>
      <c r="EL106" s="54">
        <v>207454.0</v>
      </c>
      <c r="EM106" s="54">
        <v>44521.0</v>
      </c>
      <c r="EN106" s="54">
        <v>11869.0</v>
      </c>
      <c r="EO106" s="54">
        <v>12306.0</v>
      </c>
      <c r="EP106" s="54">
        <v>24648.0</v>
      </c>
      <c r="EQ106" s="54">
        <v>269.0</v>
      </c>
      <c r="ER106" s="54">
        <v>0.0</v>
      </c>
      <c r="ES106" s="54">
        <v>42873.0</v>
      </c>
      <c r="ET106" s="54">
        <v>0.0</v>
      </c>
      <c r="EU106" s="54">
        <v>1271102.0</v>
      </c>
      <c r="EV106" s="54">
        <v>435071.0</v>
      </c>
      <c r="EW106" s="54">
        <v>3123.0</v>
      </c>
      <c r="EX106" s="54">
        <v>182227.0</v>
      </c>
      <c r="EY106" s="54">
        <v>26123.0</v>
      </c>
      <c r="EZ106" s="54">
        <v>0.0</v>
      </c>
      <c r="FA106" s="54">
        <v>874666.0</v>
      </c>
      <c r="FB106" s="54">
        <v>0.0</v>
      </c>
      <c r="FC106" s="54">
        <v>0.0</v>
      </c>
      <c r="FD106" s="54">
        <v>0.0</v>
      </c>
      <c r="FE106" s="54">
        <v>0.0</v>
      </c>
      <c r="FF106" s="54">
        <v>0.0</v>
      </c>
      <c r="FG106" s="54">
        <v>0.0</v>
      </c>
      <c r="FH106" s="54">
        <v>0.0</v>
      </c>
      <c r="FI106" s="54">
        <v>0.0</v>
      </c>
      <c r="FJ106" s="54">
        <v>0.0</v>
      </c>
      <c r="FK106" s="54">
        <v>0.0</v>
      </c>
      <c r="FL106" s="54">
        <v>0.0</v>
      </c>
      <c r="FM106" s="54">
        <v>0.0</v>
      </c>
      <c r="FN106" s="54">
        <v>0.0</v>
      </c>
      <c r="FO106" s="54">
        <v>0.0</v>
      </c>
      <c r="FP106" s="54">
        <v>0.0</v>
      </c>
      <c r="FQ106" s="54">
        <v>0.0</v>
      </c>
      <c r="FR106" s="54">
        <v>0.0</v>
      </c>
      <c r="FS106" s="54">
        <v>0.0</v>
      </c>
      <c r="FT106" s="54">
        <v>1204.0</v>
      </c>
      <c r="FU106" s="54">
        <v>38465.0</v>
      </c>
      <c r="FV106" s="54">
        <v>5795.0</v>
      </c>
      <c r="FW106" s="54">
        <v>7834.0</v>
      </c>
      <c r="FX106" s="54">
        <v>227.0</v>
      </c>
      <c r="FY106" s="54">
        <v>806.0</v>
      </c>
      <c r="FZ106" s="54">
        <v>58.0</v>
      </c>
      <c r="GA106" s="54">
        <v>22819.0</v>
      </c>
      <c r="GB106" s="54">
        <v>0.0</v>
      </c>
      <c r="GC106" s="54">
        <v>0.0</v>
      </c>
      <c r="GD106" s="54">
        <v>0.0</v>
      </c>
      <c r="GE106" s="54">
        <v>0.0</v>
      </c>
      <c r="GF106" s="55">
        <v>1.1740856E7</v>
      </c>
      <c r="GG106" s="56">
        <v>663400.0</v>
      </c>
      <c r="GH106" s="57">
        <v>0.0</v>
      </c>
      <c r="GI106" s="56">
        <v>0.0</v>
      </c>
      <c r="GJ106" s="56">
        <v>0.0</v>
      </c>
      <c r="GK106" s="56">
        <v>-217164.0</v>
      </c>
      <c r="GL106" s="56">
        <v>1512876.0</v>
      </c>
      <c r="GM106" s="56">
        <v>0.0</v>
      </c>
      <c r="GN106" s="55">
        <v>1959112.0</v>
      </c>
      <c r="GO106" s="58">
        <v>1.3699968E7</v>
      </c>
      <c r="GP106" s="56">
        <v>5946732.0</v>
      </c>
      <c r="GQ106" s="56">
        <v>0.0</v>
      </c>
      <c r="GR106" s="57">
        <v>0.0</v>
      </c>
      <c r="GS106" s="55">
        <v>5946732.0</v>
      </c>
      <c r="GT106" s="59">
        <v>1732735.0</v>
      </c>
      <c r="GU106" s="59">
        <v>1048039.0</v>
      </c>
      <c r="GV106" s="59">
        <v>1173229.0</v>
      </c>
      <c r="GW106" s="55">
        <v>3954003.0</v>
      </c>
      <c r="GX106" s="55">
        <v>594065.0</v>
      </c>
      <c r="GY106" s="55">
        <v>3205168.0</v>
      </c>
      <c r="GZ106" s="58">
        <v>1.3699968E7</v>
      </c>
    </row>
    <row r="107" ht="15.75" customHeight="1">
      <c r="A107" s="60">
        <v>102.0</v>
      </c>
      <c r="B107" s="61" t="s">
        <v>147</v>
      </c>
      <c r="C107" s="62">
        <v>46.0</v>
      </c>
      <c r="D107" s="62">
        <v>682.0</v>
      </c>
      <c r="E107" s="62">
        <v>145.0</v>
      </c>
      <c r="F107" s="62">
        <v>371.0</v>
      </c>
      <c r="G107" s="62">
        <v>74.0</v>
      </c>
      <c r="H107" s="62">
        <v>79.0</v>
      </c>
      <c r="I107" s="62">
        <v>90.0</v>
      </c>
      <c r="J107" s="62">
        <v>151.0</v>
      </c>
      <c r="K107" s="62">
        <v>15.0</v>
      </c>
      <c r="L107" s="62">
        <v>6321.0</v>
      </c>
      <c r="M107" s="62">
        <v>1425.0</v>
      </c>
      <c r="N107" s="62">
        <v>124.0</v>
      </c>
      <c r="O107" s="62">
        <v>3165.0</v>
      </c>
      <c r="P107" s="62">
        <v>21.0</v>
      </c>
      <c r="Q107" s="62">
        <v>1249.0</v>
      </c>
      <c r="R107" s="62">
        <v>9726.0</v>
      </c>
      <c r="S107" s="62">
        <v>234.0</v>
      </c>
      <c r="T107" s="62">
        <v>1488.0</v>
      </c>
      <c r="U107" s="62">
        <v>1288.0</v>
      </c>
      <c r="V107" s="62">
        <v>1378.0</v>
      </c>
      <c r="W107" s="62">
        <v>479.0</v>
      </c>
      <c r="X107" s="62">
        <v>1097.0</v>
      </c>
      <c r="Y107" s="62">
        <v>2297.0</v>
      </c>
      <c r="Z107" s="62">
        <v>883.0</v>
      </c>
      <c r="AA107" s="62">
        <v>144.0</v>
      </c>
      <c r="AB107" s="62">
        <v>387.0</v>
      </c>
      <c r="AC107" s="62">
        <v>672.0</v>
      </c>
      <c r="AD107" s="62">
        <v>2331.0</v>
      </c>
      <c r="AE107" s="62">
        <v>1730.0</v>
      </c>
      <c r="AF107" s="62">
        <v>163955.0</v>
      </c>
      <c r="AG107" s="62">
        <v>624.0</v>
      </c>
      <c r="AH107" s="62">
        <v>172.0</v>
      </c>
      <c r="AI107" s="62">
        <v>634991.0</v>
      </c>
      <c r="AJ107" s="62">
        <v>22579.0</v>
      </c>
      <c r="AK107" s="62">
        <v>1271.0</v>
      </c>
      <c r="AL107" s="62">
        <v>65.0</v>
      </c>
      <c r="AM107" s="62">
        <v>32822.0</v>
      </c>
      <c r="AN107" s="62">
        <v>11243.0</v>
      </c>
      <c r="AO107" s="62">
        <v>24362.0</v>
      </c>
      <c r="AP107" s="62">
        <v>1245.0</v>
      </c>
      <c r="AQ107" s="62">
        <v>10243.0</v>
      </c>
      <c r="AR107" s="62">
        <v>22.0</v>
      </c>
      <c r="AS107" s="62">
        <v>208394.0</v>
      </c>
      <c r="AT107" s="62">
        <v>934.0</v>
      </c>
      <c r="AU107" s="62">
        <v>31331.0</v>
      </c>
      <c r="AV107" s="62">
        <v>96734.0</v>
      </c>
      <c r="AW107" s="62">
        <v>1444.0</v>
      </c>
      <c r="AX107" s="62">
        <v>411106.0</v>
      </c>
      <c r="AY107" s="62">
        <v>526.0</v>
      </c>
      <c r="AZ107" s="62">
        <v>570.0</v>
      </c>
      <c r="BA107" s="62">
        <v>1524.0</v>
      </c>
      <c r="BB107" s="62">
        <v>40729.0</v>
      </c>
      <c r="BC107" s="62">
        <v>4495.0</v>
      </c>
      <c r="BD107" s="62">
        <v>2089.0</v>
      </c>
      <c r="BE107" s="62">
        <v>15526.0</v>
      </c>
      <c r="BF107" s="62">
        <v>305.0</v>
      </c>
      <c r="BG107" s="62">
        <v>3441.0</v>
      </c>
      <c r="BH107" s="62">
        <v>38137.0</v>
      </c>
      <c r="BI107" s="62">
        <v>7182.0</v>
      </c>
      <c r="BJ107" s="62">
        <v>4650.0</v>
      </c>
      <c r="BK107" s="62">
        <v>5090.0</v>
      </c>
      <c r="BL107" s="62">
        <v>748.0</v>
      </c>
      <c r="BM107" s="62">
        <v>21.0</v>
      </c>
      <c r="BN107" s="62">
        <v>389.0</v>
      </c>
      <c r="BO107" s="62">
        <v>1310.0</v>
      </c>
      <c r="BP107" s="62">
        <v>224.0</v>
      </c>
      <c r="BQ107" s="62">
        <v>248.0</v>
      </c>
      <c r="BR107" s="62">
        <v>183.0</v>
      </c>
      <c r="BS107" s="62">
        <v>292.0</v>
      </c>
      <c r="BT107" s="62">
        <v>45052.0</v>
      </c>
      <c r="BU107" s="62">
        <v>3944.0</v>
      </c>
      <c r="BV107" s="62">
        <v>15374.0</v>
      </c>
      <c r="BW107" s="62">
        <v>11.0</v>
      </c>
      <c r="BX107" s="62">
        <v>580.0</v>
      </c>
      <c r="BY107" s="62">
        <v>639.0</v>
      </c>
      <c r="BZ107" s="62">
        <v>47.0</v>
      </c>
      <c r="CA107" s="62">
        <v>87619.0</v>
      </c>
      <c r="CB107" s="62">
        <v>561.0</v>
      </c>
      <c r="CC107" s="62">
        <v>3981.0</v>
      </c>
      <c r="CD107" s="62">
        <v>1082.0</v>
      </c>
      <c r="CE107" s="62">
        <v>142.0</v>
      </c>
      <c r="CF107" s="62">
        <v>104355.0</v>
      </c>
      <c r="CG107" s="62">
        <v>44.0</v>
      </c>
      <c r="CH107" s="62">
        <v>541.0</v>
      </c>
      <c r="CI107" s="62">
        <v>1390.0</v>
      </c>
      <c r="CJ107" s="62">
        <v>116108.0</v>
      </c>
      <c r="CK107" s="62">
        <v>178579.0</v>
      </c>
      <c r="CL107" s="62">
        <v>76004.0</v>
      </c>
      <c r="CM107" s="62">
        <v>34750.0</v>
      </c>
      <c r="CN107" s="62">
        <v>45624.0</v>
      </c>
      <c r="CO107" s="62">
        <v>16559.0</v>
      </c>
      <c r="CP107" s="62">
        <v>32602.0</v>
      </c>
      <c r="CQ107" s="62">
        <v>6194.0</v>
      </c>
      <c r="CR107" s="62">
        <v>739.0</v>
      </c>
      <c r="CS107" s="62">
        <v>1627.0</v>
      </c>
      <c r="CT107" s="62">
        <v>13098.0</v>
      </c>
      <c r="CU107" s="62">
        <v>69246.0</v>
      </c>
      <c r="CV107" s="62">
        <v>142433.0</v>
      </c>
      <c r="CW107" s="62">
        <v>29955.0</v>
      </c>
      <c r="CX107" s="62">
        <v>1788.0</v>
      </c>
      <c r="CY107" s="62">
        <v>614.0</v>
      </c>
      <c r="CZ107" s="62">
        <v>3669.0</v>
      </c>
      <c r="DA107" s="62">
        <v>27830.0</v>
      </c>
      <c r="DB107" s="62">
        <v>4087.0</v>
      </c>
      <c r="DC107" s="62">
        <v>468174.0</v>
      </c>
      <c r="DD107" s="62">
        <v>50017.0</v>
      </c>
      <c r="DE107" s="62">
        <v>581.0</v>
      </c>
      <c r="DF107" s="62">
        <v>3070.0</v>
      </c>
      <c r="DG107" s="62">
        <v>499.0</v>
      </c>
      <c r="DH107" s="62">
        <v>6080.0</v>
      </c>
      <c r="DI107" s="62">
        <v>347592.0</v>
      </c>
      <c r="DJ107" s="62">
        <v>7435.0</v>
      </c>
      <c r="DK107" s="62">
        <v>54418.0</v>
      </c>
      <c r="DL107" s="62">
        <v>7810.0</v>
      </c>
      <c r="DM107" s="62">
        <v>53.0</v>
      </c>
      <c r="DN107" s="62">
        <v>1687.0</v>
      </c>
      <c r="DO107" s="62">
        <v>169.0</v>
      </c>
      <c r="DP107" s="62">
        <v>3844.0</v>
      </c>
      <c r="DQ107" s="62">
        <v>121.0</v>
      </c>
      <c r="DR107" s="62">
        <v>1376.0</v>
      </c>
      <c r="DS107" s="62">
        <v>1339.0</v>
      </c>
      <c r="DT107" s="62">
        <v>6616.0</v>
      </c>
      <c r="DU107" s="62">
        <v>136.0</v>
      </c>
      <c r="DV107" s="62">
        <v>2681.0</v>
      </c>
      <c r="DW107" s="62">
        <v>394.0</v>
      </c>
      <c r="DX107" s="62">
        <v>725.0</v>
      </c>
      <c r="DY107" s="62">
        <v>1148.0</v>
      </c>
      <c r="DZ107" s="62">
        <v>28166.0</v>
      </c>
      <c r="EA107" s="62">
        <v>442.0</v>
      </c>
      <c r="EB107" s="62">
        <v>326.0</v>
      </c>
      <c r="EC107" s="62">
        <v>72855.0</v>
      </c>
      <c r="ED107" s="62">
        <v>171.0</v>
      </c>
      <c r="EE107" s="62">
        <v>1005.0</v>
      </c>
      <c r="EF107" s="62">
        <v>338.0</v>
      </c>
      <c r="EG107" s="62">
        <v>993.0</v>
      </c>
      <c r="EH107" s="62">
        <v>3775.0</v>
      </c>
      <c r="EI107" s="62">
        <v>3276.0</v>
      </c>
      <c r="EJ107" s="62">
        <v>497.0</v>
      </c>
      <c r="EK107" s="62">
        <v>13043.0</v>
      </c>
      <c r="EL107" s="62">
        <v>5522.0</v>
      </c>
      <c r="EM107" s="62">
        <v>28928.0</v>
      </c>
      <c r="EN107" s="62">
        <v>11054.0</v>
      </c>
      <c r="EO107" s="62">
        <v>1364.0</v>
      </c>
      <c r="EP107" s="62">
        <v>2855.0</v>
      </c>
      <c r="EQ107" s="62">
        <v>8392.0</v>
      </c>
      <c r="ER107" s="62">
        <v>190.0</v>
      </c>
      <c r="ES107" s="62">
        <v>11368.0</v>
      </c>
      <c r="ET107" s="62">
        <v>146826.0</v>
      </c>
      <c r="EU107" s="62">
        <v>64485.0</v>
      </c>
      <c r="EV107" s="62">
        <v>1993.0</v>
      </c>
      <c r="EW107" s="62">
        <v>15752.0</v>
      </c>
      <c r="EX107" s="62">
        <v>4874.0</v>
      </c>
      <c r="EY107" s="62">
        <v>54158.0</v>
      </c>
      <c r="EZ107" s="62">
        <v>219217.0</v>
      </c>
      <c r="FA107" s="62">
        <v>972504.0</v>
      </c>
      <c r="FB107" s="62">
        <v>1846222.0</v>
      </c>
      <c r="FC107" s="62">
        <v>95363.0</v>
      </c>
      <c r="FD107" s="62">
        <v>1006373.0</v>
      </c>
      <c r="FE107" s="62">
        <v>339885.0</v>
      </c>
      <c r="FF107" s="62">
        <v>48360.0</v>
      </c>
      <c r="FG107" s="62">
        <v>444906.0</v>
      </c>
      <c r="FH107" s="62">
        <v>584408.0</v>
      </c>
      <c r="FI107" s="62">
        <v>44340.0</v>
      </c>
      <c r="FJ107" s="62">
        <v>120491.0</v>
      </c>
      <c r="FK107" s="62">
        <v>85358.0</v>
      </c>
      <c r="FL107" s="62">
        <v>33191.0</v>
      </c>
      <c r="FM107" s="62">
        <v>13369.0</v>
      </c>
      <c r="FN107" s="62">
        <v>3154.0</v>
      </c>
      <c r="FO107" s="62">
        <v>2408.0</v>
      </c>
      <c r="FP107" s="62">
        <v>8862.0</v>
      </c>
      <c r="FQ107" s="62">
        <v>124.0</v>
      </c>
      <c r="FR107" s="62">
        <v>4.0</v>
      </c>
      <c r="FS107" s="62">
        <v>485.0</v>
      </c>
      <c r="FT107" s="62">
        <v>248867.0</v>
      </c>
      <c r="FU107" s="62">
        <v>579100.0</v>
      </c>
      <c r="FV107" s="62">
        <v>264527.0</v>
      </c>
      <c r="FW107" s="62">
        <v>2631246.0</v>
      </c>
      <c r="FX107" s="62">
        <v>2122728.0</v>
      </c>
      <c r="FY107" s="62">
        <v>1044721.0</v>
      </c>
      <c r="FZ107" s="62">
        <v>550.0</v>
      </c>
      <c r="GA107" s="62">
        <v>182670.0</v>
      </c>
      <c r="GB107" s="62">
        <v>1002922.0</v>
      </c>
      <c r="GC107" s="62">
        <v>45248.0</v>
      </c>
      <c r="GD107" s="62">
        <v>7541.0</v>
      </c>
      <c r="GE107" s="62">
        <v>2433849.0</v>
      </c>
      <c r="GF107" s="63">
        <v>2.0767782E7</v>
      </c>
      <c r="GG107" s="64">
        <v>9.8974992E7</v>
      </c>
      <c r="GH107" s="65">
        <v>0.0</v>
      </c>
      <c r="GI107" s="64">
        <v>0.0</v>
      </c>
      <c r="GJ107" s="64">
        <v>0.0</v>
      </c>
      <c r="GK107" s="64">
        <v>411821.0</v>
      </c>
      <c r="GL107" s="64">
        <v>1.3978518E7</v>
      </c>
      <c r="GM107" s="64">
        <v>172624.0</v>
      </c>
      <c r="GN107" s="63">
        <v>1.13537955E8</v>
      </c>
      <c r="GO107" s="66">
        <v>1.34305737E8</v>
      </c>
      <c r="GP107" s="64">
        <v>3337827.0</v>
      </c>
      <c r="GQ107" s="64">
        <v>121812.0</v>
      </c>
      <c r="GR107" s="65">
        <v>0.0</v>
      </c>
      <c r="GS107" s="63">
        <v>3459639.0</v>
      </c>
      <c r="GT107" s="67">
        <v>1.7839684E7</v>
      </c>
      <c r="GU107" s="67">
        <v>1.8223287E7</v>
      </c>
      <c r="GV107" s="67">
        <v>8319049.0</v>
      </c>
      <c r="GW107" s="63">
        <v>4.438202E7</v>
      </c>
      <c r="GX107" s="63">
        <v>4393170.0</v>
      </c>
      <c r="GY107" s="63">
        <v>8.2070908E7</v>
      </c>
      <c r="GZ107" s="66">
        <v>1.34305737E8</v>
      </c>
    </row>
    <row r="108" ht="15.75" customHeight="1">
      <c r="A108" s="60">
        <v>103.0</v>
      </c>
      <c r="B108" s="61" t="s">
        <v>148</v>
      </c>
      <c r="C108" s="62">
        <v>0.0</v>
      </c>
      <c r="D108" s="62">
        <v>0.0</v>
      </c>
      <c r="E108" s="62">
        <v>0.0</v>
      </c>
      <c r="F108" s="62">
        <v>0.0</v>
      </c>
      <c r="G108" s="62">
        <v>0.0</v>
      </c>
      <c r="H108" s="62">
        <v>0.0</v>
      </c>
      <c r="I108" s="62">
        <v>0.0</v>
      </c>
      <c r="J108" s="62">
        <v>0.0</v>
      </c>
      <c r="K108" s="62">
        <v>0.0</v>
      </c>
      <c r="L108" s="62">
        <v>0.0</v>
      </c>
      <c r="M108" s="62">
        <v>0.0</v>
      </c>
      <c r="N108" s="62">
        <v>0.0</v>
      </c>
      <c r="O108" s="62">
        <v>0.0</v>
      </c>
      <c r="P108" s="62">
        <v>0.0</v>
      </c>
      <c r="Q108" s="62">
        <v>0.0</v>
      </c>
      <c r="R108" s="62">
        <v>0.0</v>
      </c>
      <c r="S108" s="62">
        <v>0.0</v>
      </c>
      <c r="T108" s="62">
        <v>0.0</v>
      </c>
      <c r="U108" s="62">
        <v>0.0</v>
      </c>
      <c r="V108" s="62">
        <v>0.0</v>
      </c>
      <c r="W108" s="62">
        <v>0.0</v>
      </c>
      <c r="X108" s="62">
        <v>0.0</v>
      </c>
      <c r="Y108" s="62">
        <v>0.0</v>
      </c>
      <c r="Z108" s="62">
        <v>0.0</v>
      </c>
      <c r="AA108" s="62">
        <v>0.0</v>
      </c>
      <c r="AB108" s="62">
        <v>0.0</v>
      </c>
      <c r="AC108" s="62">
        <v>0.0</v>
      </c>
      <c r="AD108" s="62">
        <v>0.0</v>
      </c>
      <c r="AE108" s="62">
        <v>0.0</v>
      </c>
      <c r="AF108" s="62">
        <v>0.0</v>
      </c>
      <c r="AG108" s="62">
        <v>0.0</v>
      </c>
      <c r="AH108" s="62">
        <v>0.0</v>
      </c>
      <c r="AI108" s="62">
        <v>0.0</v>
      </c>
      <c r="AJ108" s="62">
        <v>0.0</v>
      </c>
      <c r="AK108" s="62">
        <v>0.0</v>
      </c>
      <c r="AL108" s="62">
        <v>0.0</v>
      </c>
      <c r="AM108" s="62">
        <v>0.0</v>
      </c>
      <c r="AN108" s="62">
        <v>0.0</v>
      </c>
      <c r="AO108" s="62">
        <v>0.0</v>
      </c>
      <c r="AP108" s="62">
        <v>0.0</v>
      </c>
      <c r="AQ108" s="62">
        <v>0.0</v>
      </c>
      <c r="AR108" s="62">
        <v>0.0</v>
      </c>
      <c r="AS108" s="62">
        <v>0.0</v>
      </c>
      <c r="AT108" s="62">
        <v>0.0</v>
      </c>
      <c r="AU108" s="62">
        <v>0.0</v>
      </c>
      <c r="AV108" s="62">
        <v>0.0</v>
      </c>
      <c r="AW108" s="62">
        <v>0.0</v>
      </c>
      <c r="AX108" s="62">
        <v>0.0</v>
      </c>
      <c r="AY108" s="62">
        <v>0.0</v>
      </c>
      <c r="AZ108" s="62">
        <v>0.0</v>
      </c>
      <c r="BA108" s="62">
        <v>0.0</v>
      </c>
      <c r="BB108" s="62">
        <v>0.0</v>
      </c>
      <c r="BC108" s="62">
        <v>0.0</v>
      </c>
      <c r="BD108" s="62">
        <v>0.0</v>
      </c>
      <c r="BE108" s="62">
        <v>0.0</v>
      </c>
      <c r="BF108" s="62">
        <v>0.0</v>
      </c>
      <c r="BG108" s="62">
        <v>0.0</v>
      </c>
      <c r="BH108" s="62">
        <v>0.0</v>
      </c>
      <c r="BI108" s="62">
        <v>0.0</v>
      </c>
      <c r="BJ108" s="62">
        <v>21097.0</v>
      </c>
      <c r="BK108" s="62">
        <v>0.0</v>
      </c>
      <c r="BL108" s="62">
        <v>0.0</v>
      </c>
      <c r="BM108" s="62">
        <v>0.0</v>
      </c>
      <c r="BN108" s="62">
        <v>0.0</v>
      </c>
      <c r="BO108" s="62">
        <v>0.0</v>
      </c>
      <c r="BP108" s="62">
        <v>0.0</v>
      </c>
      <c r="BQ108" s="62">
        <v>11931.0</v>
      </c>
      <c r="BR108" s="62">
        <v>223.0</v>
      </c>
      <c r="BS108" s="62">
        <v>9028.0</v>
      </c>
      <c r="BT108" s="62">
        <v>0.0</v>
      </c>
      <c r="BU108" s="62">
        <v>624.0</v>
      </c>
      <c r="BV108" s="62">
        <v>0.0</v>
      </c>
      <c r="BW108" s="62">
        <v>0.0</v>
      </c>
      <c r="BX108" s="62">
        <v>0.0</v>
      </c>
      <c r="BY108" s="62">
        <v>0.0</v>
      </c>
      <c r="BZ108" s="62">
        <v>0.0</v>
      </c>
      <c r="CA108" s="62">
        <v>0.0</v>
      </c>
      <c r="CB108" s="62">
        <v>0.0</v>
      </c>
      <c r="CC108" s="62">
        <v>0.0</v>
      </c>
      <c r="CD108" s="62">
        <v>0.0</v>
      </c>
      <c r="CE108" s="62">
        <v>0.0</v>
      </c>
      <c r="CF108" s="62">
        <v>0.0</v>
      </c>
      <c r="CG108" s="62">
        <v>0.0</v>
      </c>
      <c r="CH108" s="62">
        <v>0.0</v>
      </c>
      <c r="CI108" s="62">
        <v>0.0</v>
      </c>
      <c r="CJ108" s="62">
        <v>0.0</v>
      </c>
      <c r="CK108" s="62">
        <v>0.0</v>
      </c>
      <c r="CL108" s="62">
        <v>0.0</v>
      </c>
      <c r="CM108" s="62">
        <v>0.0</v>
      </c>
      <c r="CN108" s="62">
        <v>0.0</v>
      </c>
      <c r="CO108" s="62">
        <v>0.0</v>
      </c>
      <c r="CP108" s="62">
        <v>0.0</v>
      </c>
      <c r="CQ108" s="62">
        <v>0.0</v>
      </c>
      <c r="CR108" s="62">
        <v>0.0</v>
      </c>
      <c r="CS108" s="62">
        <v>0.0</v>
      </c>
      <c r="CT108" s="62">
        <v>0.0</v>
      </c>
      <c r="CU108" s="62">
        <v>0.0</v>
      </c>
      <c r="CV108" s="62">
        <v>0.0</v>
      </c>
      <c r="CW108" s="62">
        <v>0.0</v>
      </c>
      <c r="CX108" s="62">
        <v>0.0</v>
      </c>
      <c r="CY108" s="62">
        <v>0.0</v>
      </c>
      <c r="CZ108" s="62">
        <v>0.0</v>
      </c>
      <c r="DA108" s="62">
        <v>331138.0</v>
      </c>
      <c r="DB108" s="62">
        <v>0.0</v>
      </c>
      <c r="DC108" s="62">
        <v>1283.0</v>
      </c>
      <c r="DD108" s="62">
        <v>6065.0</v>
      </c>
      <c r="DE108" s="62">
        <v>0.0</v>
      </c>
      <c r="DF108" s="62">
        <v>0.0</v>
      </c>
      <c r="DG108" s="62">
        <v>0.0</v>
      </c>
      <c r="DH108" s="62">
        <v>0.0</v>
      </c>
      <c r="DI108" s="62">
        <v>0.0</v>
      </c>
      <c r="DJ108" s="62">
        <v>0.0</v>
      </c>
      <c r="DK108" s="62">
        <v>0.0</v>
      </c>
      <c r="DL108" s="62">
        <v>0.0</v>
      </c>
      <c r="DM108" s="62">
        <v>0.0</v>
      </c>
      <c r="DN108" s="62">
        <v>0.0</v>
      </c>
      <c r="DO108" s="62">
        <v>0.0</v>
      </c>
      <c r="DP108" s="62">
        <v>0.0</v>
      </c>
      <c r="DQ108" s="62">
        <v>0.0</v>
      </c>
      <c r="DR108" s="62">
        <v>0.0</v>
      </c>
      <c r="DS108" s="62">
        <v>0.0</v>
      </c>
      <c r="DT108" s="62">
        <v>0.0</v>
      </c>
      <c r="DU108" s="62">
        <v>0.0</v>
      </c>
      <c r="DV108" s="62">
        <v>0.0</v>
      </c>
      <c r="DW108" s="62">
        <v>0.0</v>
      </c>
      <c r="DX108" s="62">
        <v>0.0</v>
      </c>
      <c r="DY108" s="62">
        <v>0.0</v>
      </c>
      <c r="DZ108" s="62">
        <v>0.0</v>
      </c>
      <c r="EA108" s="62">
        <v>0.0</v>
      </c>
      <c r="EB108" s="62">
        <v>0.0</v>
      </c>
      <c r="EC108" s="62">
        <v>0.0</v>
      </c>
      <c r="ED108" s="62">
        <v>0.0</v>
      </c>
      <c r="EE108" s="62">
        <v>0.0</v>
      </c>
      <c r="EF108" s="62">
        <v>0.0</v>
      </c>
      <c r="EG108" s="62">
        <v>0.0</v>
      </c>
      <c r="EH108" s="62">
        <v>0.0</v>
      </c>
      <c r="EI108" s="62">
        <v>99.0</v>
      </c>
      <c r="EJ108" s="62">
        <v>1541.0</v>
      </c>
      <c r="EK108" s="62">
        <v>322.0</v>
      </c>
      <c r="EL108" s="62">
        <v>38094.0</v>
      </c>
      <c r="EM108" s="62">
        <v>194505.0</v>
      </c>
      <c r="EN108" s="62">
        <v>365.0</v>
      </c>
      <c r="EO108" s="62">
        <v>2999.0</v>
      </c>
      <c r="EP108" s="62">
        <v>1081.0</v>
      </c>
      <c r="EQ108" s="62">
        <v>0.0</v>
      </c>
      <c r="ER108" s="62">
        <v>0.0</v>
      </c>
      <c r="ES108" s="62">
        <v>12812.0</v>
      </c>
      <c r="ET108" s="62">
        <v>0.0</v>
      </c>
      <c r="EU108" s="62">
        <v>0.0</v>
      </c>
      <c r="EV108" s="62">
        <v>0.0</v>
      </c>
      <c r="EW108" s="62">
        <v>0.0</v>
      </c>
      <c r="EX108" s="62">
        <v>0.0</v>
      </c>
      <c r="EY108" s="62">
        <v>0.0</v>
      </c>
      <c r="EZ108" s="62">
        <v>1268627.0</v>
      </c>
      <c r="FA108" s="62">
        <v>1626503.0</v>
      </c>
      <c r="FB108" s="62">
        <v>713268.0</v>
      </c>
      <c r="FC108" s="62">
        <v>404.0</v>
      </c>
      <c r="FD108" s="62">
        <v>10938.0</v>
      </c>
      <c r="FE108" s="62">
        <v>444.0</v>
      </c>
      <c r="FF108" s="62">
        <v>268.0</v>
      </c>
      <c r="FG108" s="62">
        <v>614.0</v>
      </c>
      <c r="FH108" s="62">
        <v>399551.0</v>
      </c>
      <c r="FI108" s="62">
        <v>2066.0</v>
      </c>
      <c r="FJ108" s="62">
        <v>189141.0</v>
      </c>
      <c r="FK108" s="62">
        <v>166214.0</v>
      </c>
      <c r="FL108" s="62">
        <v>79446.0</v>
      </c>
      <c r="FM108" s="62">
        <v>103931.0</v>
      </c>
      <c r="FN108" s="62">
        <v>0.0</v>
      </c>
      <c r="FO108" s="62">
        <v>0.0</v>
      </c>
      <c r="FP108" s="62">
        <v>37714.0</v>
      </c>
      <c r="FQ108" s="62">
        <v>268.0</v>
      </c>
      <c r="FR108" s="62">
        <v>3.0</v>
      </c>
      <c r="FS108" s="62">
        <v>0.0</v>
      </c>
      <c r="FT108" s="62">
        <v>78665.0</v>
      </c>
      <c r="FU108" s="62">
        <v>947301.0</v>
      </c>
      <c r="FV108" s="62">
        <v>91724.0</v>
      </c>
      <c r="FW108" s="62">
        <v>266671.0</v>
      </c>
      <c r="FX108" s="62">
        <v>92625.0</v>
      </c>
      <c r="FY108" s="62">
        <v>42193.0</v>
      </c>
      <c r="FZ108" s="62">
        <v>13.0</v>
      </c>
      <c r="GA108" s="62">
        <v>534594.0</v>
      </c>
      <c r="GB108" s="62">
        <v>23979.0</v>
      </c>
      <c r="GC108" s="62">
        <v>645346.0</v>
      </c>
      <c r="GD108" s="62">
        <v>2450.0</v>
      </c>
      <c r="GE108" s="62">
        <v>5926822.0</v>
      </c>
      <c r="GF108" s="63">
        <v>1.388499E7</v>
      </c>
      <c r="GG108" s="64">
        <v>9.4729714E7</v>
      </c>
      <c r="GH108" s="65">
        <v>0.0</v>
      </c>
      <c r="GI108" s="64">
        <v>0.0</v>
      </c>
      <c r="GJ108" s="64">
        <v>0.0</v>
      </c>
      <c r="GK108" s="64">
        <v>1736511.0</v>
      </c>
      <c r="GL108" s="64">
        <v>5514571.0</v>
      </c>
      <c r="GM108" s="64">
        <v>196628.0</v>
      </c>
      <c r="GN108" s="63">
        <v>1.02177424E8</v>
      </c>
      <c r="GO108" s="66">
        <v>1.16062414E8</v>
      </c>
      <c r="GP108" s="64">
        <v>7994900.0</v>
      </c>
      <c r="GQ108" s="64">
        <v>141277.0</v>
      </c>
      <c r="GR108" s="65">
        <v>0.0</v>
      </c>
      <c r="GS108" s="63">
        <v>8136177.0</v>
      </c>
      <c r="GT108" s="67">
        <v>9665106.0</v>
      </c>
      <c r="GU108" s="67">
        <v>1.6212155E7</v>
      </c>
      <c r="GV108" s="67">
        <v>8205998.0</v>
      </c>
      <c r="GW108" s="63">
        <v>3.4083259E7</v>
      </c>
      <c r="GX108" s="63">
        <v>4864358.0</v>
      </c>
      <c r="GY108" s="63">
        <v>6.897862E7</v>
      </c>
      <c r="GZ108" s="66">
        <v>1.16062414E8</v>
      </c>
    </row>
    <row r="109" ht="15.75" customHeight="1">
      <c r="A109" s="60">
        <v>104.0</v>
      </c>
      <c r="B109" s="61" t="s">
        <v>149</v>
      </c>
      <c r="C109" s="62">
        <v>29534.0</v>
      </c>
      <c r="D109" s="62">
        <v>10976.0</v>
      </c>
      <c r="E109" s="62">
        <v>788.0</v>
      </c>
      <c r="F109" s="62">
        <v>2199.0</v>
      </c>
      <c r="G109" s="62">
        <v>193.0</v>
      </c>
      <c r="H109" s="62">
        <v>359.0</v>
      </c>
      <c r="I109" s="62">
        <v>263.0</v>
      </c>
      <c r="J109" s="62">
        <v>496.0</v>
      </c>
      <c r="K109" s="62">
        <v>9.0</v>
      </c>
      <c r="L109" s="62">
        <v>0.0</v>
      </c>
      <c r="M109" s="62">
        <v>0.0</v>
      </c>
      <c r="N109" s="62">
        <v>111.0</v>
      </c>
      <c r="O109" s="62">
        <v>233.0</v>
      </c>
      <c r="P109" s="62">
        <v>0.0</v>
      </c>
      <c r="Q109" s="62">
        <v>0.0</v>
      </c>
      <c r="R109" s="62">
        <v>0.0</v>
      </c>
      <c r="S109" s="62">
        <v>0.0</v>
      </c>
      <c r="T109" s="62">
        <v>0.0</v>
      </c>
      <c r="U109" s="62">
        <v>3895.0</v>
      </c>
      <c r="V109" s="62">
        <v>800.0</v>
      </c>
      <c r="W109" s="62">
        <v>1472.0</v>
      </c>
      <c r="X109" s="62">
        <v>0.0</v>
      </c>
      <c r="Y109" s="62">
        <v>0.0</v>
      </c>
      <c r="Z109" s="62">
        <v>0.0</v>
      </c>
      <c r="AA109" s="62">
        <v>0.0</v>
      </c>
      <c r="AB109" s="62">
        <v>1176.0</v>
      </c>
      <c r="AC109" s="62">
        <v>138.0</v>
      </c>
      <c r="AD109" s="62">
        <v>15269.0</v>
      </c>
      <c r="AE109" s="62">
        <v>0.0</v>
      </c>
      <c r="AF109" s="62">
        <v>9931.0</v>
      </c>
      <c r="AG109" s="62">
        <v>92362.0</v>
      </c>
      <c r="AH109" s="62">
        <v>25827.0</v>
      </c>
      <c r="AI109" s="62">
        <v>41336.0</v>
      </c>
      <c r="AJ109" s="62">
        <v>8177.0</v>
      </c>
      <c r="AK109" s="62">
        <v>700.0</v>
      </c>
      <c r="AL109" s="62">
        <v>59.0</v>
      </c>
      <c r="AM109" s="62">
        <v>346216.0</v>
      </c>
      <c r="AN109" s="62">
        <v>587569.0</v>
      </c>
      <c r="AO109" s="62">
        <v>58526.0</v>
      </c>
      <c r="AP109" s="62">
        <v>97279.0</v>
      </c>
      <c r="AQ109" s="62">
        <v>189506.0</v>
      </c>
      <c r="AR109" s="62">
        <v>4672.0</v>
      </c>
      <c r="AS109" s="62">
        <v>1071996.0</v>
      </c>
      <c r="AT109" s="62">
        <v>221110.0</v>
      </c>
      <c r="AU109" s="62">
        <v>3343.0</v>
      </c>
      <c r="AV109" s="62">
        <v>1072539.0</v>
      </c>
      <c r="AW109" s="62">
        <v>113306.0</v>
      </c>
      <c r="AX109" s="62">
        <v>9781980.0</v>
      </c>
      <c r="AY109" s="62">
        <v>658288.0</v>
      </c>
      <c r="AZ109" s="62">
        <v>31860.0</v>
      </c>
      <c r="BA109" s="62">
        <v>865506.0</v>
      </c>
      <c r="BB109" s="62">
        <v>791496.0</v>
      </c>
      <c r="BC109" s="62">
        <v>8184.0</v>
      </c>
      <c r="BD109" s="62">
        <v>10793.0</v>
      </c>
      <c r="BE109" s="62">
        <v>0.0</v>
      </c>
      <c r="BF109" s="62">
        <v>0.0</v>
      </c>
      <c r="BG109" s="62">
        <v>2138.0</v>
      </c>
      <c r="BH109" s="62">
        <v>11570.0</v>
      </c>
      <c r="BI109" s="62">
        <v>4075.0</v>
      </c>
      <c r="BJ109" s="62">
        <v>16997.0</v>
      </c>
      <c r="BK109" s="62">
        <v>120418.0</v>
      </c>
      <c r="BL109" s="62">
        <v>2439.0</v>
      </c>
      <c r="BM109" s="62">
        <v>45.0</v>
      </c>
      <c r="BN109" s="62">
        <v>0.0</v>
      </c>
      <c r="BO109" s="62">
        <v>0.0</v>
      </c>
      <c r="BP109" s="62">
        <v>116256.0</v>
      </c>
      <c r="BQ109" s="62">
        <v>0.0</v>
      </c>
      <c r="BR109" s="62">
        <v>0.0</v>
      </c>
      <c r="BS109" s="62">
        <v>100651.0</v>
      </c>
      <c r="BT109" s="62">
        <v>0.0</v>
      </c>
      <c r="BU109" s="62">
        <v>1167657.0</v>
      </c>
      <c r="BV109" s="62">
        <v>761.0</v>
      </c>
      <c r="BW109" s="62">
        <v>52.0</v>
      </c>
      <c r="BX109" s="62">
        <v>22547.0</v>
      </c>
      <c r="BY109" s="62">
        <v>569735.0</v>
      </c>
      <c r="BZ109" s="62">
        <v>80557.0</v>
      </c>
      <c r="CA109" s="62">
        <v>324215.0</v>
      </c>
      <c r="CB109" s="62">
        <v>137317.0</v>
      </c>
      <c r="CC109" s="62">
        <v>14959.0</v>
      </c>
      <c r="CD109" s="62">
        <v>4178.0</v>
      </c>
      <c r="CE109" s="62">
        <v>6906.0</v>
      </c>
      <c r="CF109" s="62">
        <v>227855.0</v>
      </c>
      <c r="CG109" s="62">
        <v>6444.0</v>
      </c>
      <c r="CH109" s="62">
        <v>160934.0</v>
      </c>
      <c r="CI109" s="62">
        <v>407786.0</v>
      </c>
      <c r="CJ109" s="62">
        <v>1415319.0</v>
      </c>
      <c r="CK109" s="62">
        <v>2475451.0</v>
      </c>
      <c r="CL109" s="62">
        <v>1233677.0</v>
      </c>
      <c r="CM109" s="62">
        <v>453901.0</v>
      </c>
      <c r="CN109" s="62">
        <v>843156.0</v>
      </c>
      <c r="CO109" s="62">
        <v>1326258.0</v>
      </c>
      <c r="CP109" s="62">
        <v>1736894.0</v>
      </c>
      <c r="CQ109" s="62">
        <v>4216488.0</v>
      </c>
      <c r="CR109" s="62">
        <v>507638.0</v>
      </c>
      <c r="CS109" s="62">
        <v>2078910.0</v>
      </c>
      <c r="CT109" s="62">
        <v>1374286.0</v>
      </c>
      <c r="CU109" s="62">
        <v>19867.0</v>
      </c>
      <c r="CV109" s="62">
        <v>16741.0</v>
      </c>
      <c r="CW109" s="62">
        <v>65533.0</v>
      </c>
      <c r="CX109" s="62">
        <v>258071.0</v>
      </c>
      <c r="CY109" s="62">
        <v>6703.0</v>
      </c>
      <c r="CZ109" s="62">
        <v>74252.0</v>
      </c>
      <c r="DA109" s="62">
        <v>76261.0</v>
      </c>
      <c r="DB109" s="62">
        <v>1377509.0</v>
      </c>
      <c r="DC109" s="62">
        <v>822300.0</v>
      </c>
      <c r="DD109" s="62">
        <v>184302.0</v>
      </c>
      <c r="DE109" s="62">
        <v>342975.0</v>
      </c>
      <c r="DF109" s="62">
        <v>58780.0</v>
      </c>
      <c r="DG109" s="62">
        <v>43368.0</v>
      </c>
      <c r="DH109" s="62">
        <v>579953.0</v>
      </c>
      <c r="DI109" s="62">
        <v>89376.0</v>
      </c>
      <c r="DJ109" s="62">
        <v>452280.0</v>
      </c>
      <c r="DK109" s="62">
        <v>292163.0</v>
      </c>
      <c r="DL109" s="62">
        <v>32385.0</v>
      </c>
      <c r="DM109" s="62">
        <v>59243.0</v>
      </c>
      <c r="DN109" s="62">
        <v>14497.0</v>
      </c>
      <c r="DO109" s="62">
        <v>651575.0</v>
      </c>
      <c r="DP109" s="62">
        <v>0.0</v>
      </c>
      <c r="DQ109" s="62">
        <v>14042.0</v>
      </c>
      <c r="DR109" s="62">
        <v>120381.0</v>
      </c>
      <c r="DS109" s="62">
        <v>5106.0</v>
      </c>
      <c r="DT109" s="62">
        <v>500559.0</v>
      </c>
      <c r="DU109" s="62">
        <v>45.0</v>
      </c>
      <c r="DV109" s="62">
        <v>0.0</v>
      </c>
      <c r="DW109" s="62">
        <v>6127493.0</v>
      </c>
      <c r="DX109" s="62">
        <v>2485.0</v>
      </c>
      <c r="DY109" s="62">
        <v>207.0</v>
      </c>
      <c r="DZ109" s="62">
        <v>456336.0</v>
      </c>
      <c r="EA109" s="62">
        <v>200.0</v>
      </c>
      <c r="EB109" s="62">
        <v>2250644.0</v>
      </c>
      <c r="EC109" s="62">
        <v>250556.0</v>
      </c>
      <c r="ED109" s="62">
        <v>152309.0</v>
      </c>
      <c r="EE109" s="62">
        <v>3934.0</v>
      </c>
      <c r="EF109" s="62">
        <v>3744.0</v>
      </c>
      <c r="EG109" s="62">
        <v>134165.0</v>
      </c>
      <c r="EH109" s="62">
        <v>51881.0</v>
      </c>
      <c r="EI109" s="62">
        <v>1484050.0</v>
      </c>
      <c r="EJ109" s="62">
        <v>43237.0</v>
      </c>
      <c r="EK109" s="62">
        <v>250856.0</v>
      </c>
      <c r="EL109" s="62">
        <v>84323.0</v>
      </c>
      <c r="EM109" s="62">
        <v>365123.0</v>
      </c>
      <c r="EN109" s="62">
        <v>27593.0</v>
      </c>
      <c r="EO109" s="62">
        <v>197314.0</v>
      </c>
      <c r="EP109" s="62">
        <v>20139.0</v>
      </c>
      <c r="EQ109" s="62">
        <v>489277.0</v>
      </c>
      <c r="ER109" s="62">
        <v>197.0</v>
      </c>
      <c r="ES109" s="62">
        <v>358135.0</v>
      </c>
      <c r="ET109" s="62">
        <v>191612.0</v>
      </c>
      <c r="EU109" s="62">
        <v>2862025.0</v>
      </c>
      <c r="EV109" s="62">
        <v>194370.0</v>
      </c>
      <c r="EW109" s="62">
        <v>443628.0</v>
      </c>
      <c r="EX109" s="62">
        <v>185992.0</v>
      </c>
      <c r="EY109" s="62">
        <v>3792274.0</v>
      </c>
      <c r="EZ109" s="62">
        <v>217090.0</v>
      </c>
      <c r="FA109" s="62">
        <v>278146.0</v>
      </c>
      <c r="FB109" s="62">
        <v>1.3687732E7</v>
      </c>
      <c r="FC109" s="62">
        <v>5631.0</v>
      </c>
      <c r="FD109" s="62">
        <v>3779737.0</v>
      </c>
      <c r="FE109" s="62">
        <v>301040.0</v>
      </c>
      <c r="FF109" s="62">
        <v>69534.0</v>
      </c>
      <c r="FG109" s="62">
        <v>1155857.0</v>
      </c>
      <c r="FH109" s="62">
        <v>499448.0</v>
      </c>
      <c r="FI109" s="62">
        <v>68697.0</v>
      </c>
      <c r="FJ109" s="62">
        <v>18245.0</v>
      </c>
      <c r="FK109" s="62">
        <v>278470.0</v>
      </c>
      <c r="FL109" s="62">
        <v>411912.0</v>
      </c>
      <c r="FM109" s="62">
        <v>20.0</v>
      </c>
      <c r="FN109" s="62">
        <v>0.0</v>
      </c>
      <c r="FO109" s="62">
        <v>6698.0</v>
      </c>
      <c r="FP109" s="62">
        <v>1805729.0</v>
      </c>
      <c r="FQ109" s="62">
        <v>256586.0</v>
      </c>
      <c r="FR109" s="62">
        <v>23.0</v>
      </c>
      <c r="FS109" s="62">
        <v>191992.0</v>
      </c>
      <c r="FT109" s="62">
        <v>1349297.0</v>
      </c>
      <c r="FU109" s="62">
        <v>1794341.0</v>
      </c>
      <c r="FV109" s="62">
        <v>925636.0</v>
      </c>
      <c r="FW109" s="62">
        <v>14517.0</v>
      </c>
      <c r="FX109" s="62">
        <v>8839.0</v>
      </c>
      <c r="FY109" s="62">
        <v>2076571.0</v>
      </c>
      <c r="FZ109" s="62">
        <v>69.0</v>
      </c>
      <c r="GA109" s="62">
        <v>4678578.0</v>
      </c>
      <c r="GB109" s="62">
        <v>940880.0</v>
      </c>
      <c r="GC109" s="62">
        <v>193803.0</v>
      </c>
      <c r="GD109" s="62">
        <v>18671.0</v>
      </c>
      <c r="GE109" s="62">
        <v>952819.0</v>
      </c>
      <c r="GF109" s="63">
        <v>9.9897916E7</v>
      </c>
      <c r="GG109" s="64">
        <v>2342253.0</v>
      </c>
      <c r="GH109" s="65">
        <v>0.0</v>
      </c>
      <c r="GI109" s="64">
        <v>0.0</v>
      </c>
      <c r="GJ109" s="64">
        <v>0.0</v>
      </c>
      <c r="GK109" s="64">
        <v>1313059.0</v>
      </c>
      <c r="GL109" s="64">
        <v>1.5643563E7</v>
      </c>
      <c r="GM109" s="64">
        <v>16967.0</v>
      </c>
      <c r="GN109" s="63">
        <v>1.9315842E7</v>
      </c>
      <c r="GO109" s="66">
        <v>1.19213758E8</v>
      </c>
      <c r="GP109" s="64">
        <v>3.4383374E7</v>
      </c>
      <c r="GQ109" s="64">
        <v>50797.0</v>
      </c>
      <c r="GR109" s="65">
        <v>0.0</v>
      </c>
      <c r="GS109" s="63">
        <v>3.4434171E7</v>
      </c>
      <c r="GT109" s="67">
        <v>1.0585217E7</v>
      </c>
      <c r="GU109" s="67">
        <v>8633371.0</v>
      </c>
      <c r="GV109" s="67">
        <v>9566526.0</v>
      </c>
      <c r="GW109" s="63">
        <v>2.8785114E7</v>
      </c>
      <c r="GX109" s="63">
        <v>3326426.0</v>
      </c>
      <c r="GY109" s="63">
        <v>5.2668047E7</v>
      </c>
      <c r="GZ109" s="66">
        <v>1.19213758E8</v>
      </c>
    </row>
    <row r="110" ht="15.75" customHeight="1">
      <c r="A110" s="68">
        <v>105.0</v>
      </c>
      <c r="B110" s="69" t="s">
        <v>150</v>
      </c>
      <c r="C110" s="70">
        <v>4955.0</v>
      </c>
      <c r="D110" s="70">
        <v>2793.0</v>
      </c>
      <c r="E110" s="70">
        <v>0.0</v>
      </c>
      <c r="F110" s="70">
        <v>0.0</v>
      </c>
      <c r="G110" s="70">
        <v>3.0</v>
      </c>
      <c r="H110" s="70">
        <v>724.0</v>
      </c>
      <c r="I110" s="70">
        <v>1952.0</v>
      </c>
      <c r="J110" s="70">
        <v>1499.0</v>
      </c>
      <c r="K110" s="70">
        <v>10.0</v>
      </c>
      <c r="L110" s="70">
        <v>578.0</v>
      </c>
      <c r="M110" s="70">
        <v>1923.0</v>
      </c>
      <c r="N110" s="70">
        <v>303.0</v>
      </c>
      <c r="O110" s="70">
        <v>11090.0</v>
      </c>
      <c r="P110" s="70">
        <v>22.0</v>
      </c>
      <c r="Q110" s="70">
        <v>456.0</v>
      </c>
      <c r="R110" s="70">
        <v>385.0</v>
      </c>
      <c r="S110" s="70">
        <v>103.0</v>
      </c>
      <c r="T110" s="70">
        <v>241.0</v>
      </c>
      <c r="U110" s="70">
        <v>16421.0</v>
      </c>
      <c r="V110" s="70">
        <v>4835.0</v>
      </c>
      <c r="W110" s="70">
        <v>771.0</v>
      </c>
      <c r="X110" s="70">
        <v>113.0</v>
      </c>
      <c r="Y110" s="70">
        <v>578.0</v>
      </c>
      <c r="Z110" s="70">
        <v>443.0</v>
      </c>
      <c r="AA110" s="70">
        <v>76.0</v>
      </c>
      <c r="AB110" s="70">
        <v>329220.0</v>
      </c>
      <c r="AC110" s="70">
        <v>58531.0</v>
      </c>
      <c r="AD110" s="70">
        <v>1212409.0</v>
      </c>
      <c r="AE110" s="70">
        <v>117068.0</v>
      </c>
      <c r="AF110" s="70">
        <v>20773.0</v>
      </c>
      <c r="AG110" s="70">
        <v>26089.0</v>
      </c>
      <c r="AH110" s="70">
        <v>4552.0</v>
      </c>
      <c r="AI110" s="70">
        <v>150146.0</v>
      </c>
      <c r="AJ110" s="70">
        <v>47456.0</v>
      </c>
      <c r="AK110" s="70">
        <v>4351.0</v>
      </c>
      <c r="AL110" s="70">
        <v>2089.0</v>
      </c>
      <c r="AM110" s="70">
        <v>1133.0</v>
      </c>
      <c r="AN110" s="70">
        <v>9109.0</v>
      </c>
      <c r="AO110" s="70">
        <v>3069.0</v>
      </c>
      <c r="AP110" s="70">
        <v>38.0</v>
      </c>
      <c r="AQ110" s="70">
        <v>150.0</v>
      </c>
      <c r="AR110" s="70">
        <v>79.0</v>
      </c>
      <c r="AS110" s="70">
        <v>581.0</v>
      </c>
      <c r="AT110" s="70">
        <v>69.0</v>
      </c>
      <c r="AU110" s="70">
        <v>51.0</v>
      </c>
      <c r="AV110" s="70">
        <v>957.0</v>
      </c>
      <c r="AW110" s="70">
        <v>122.0</v>
      </c>
      <c r="AX110" s="70">
        <v>438850.0</v>
      </c>
      <c r="AY110" s="70">
        <v>15218.0</v>
      </c>
      <c r="AZ110" s="70">
        <v>135.0</v>
      </c>
      <c r="BA110" s="70">
        <v>1160.0</v>
      </c>
      <c r="BB110" s="70">
        <v>7728.0</v>
      </c>
      <c r="BC110" s="70">
        <v>6750.0</v>
      </c>
      <c r="BD110" s="70">
        <v>13.0</v>
      </c>
      <c r="BE110" s="70">
        <v>13.0</v>
      </c>
      <c r="BF110" s="70">
        <v>31.0</v>
      </c>
      <c r="BG110" s="70">
        <v>280.0</v>
      </c>
      <c r="BH110" s="70">
        <v>1906.0</v>
      </c>
      <c r="BI110" s="70">
        <v>328.0</v>
      </c>
      <c r="BJ110" s="70">
        <v>170.0</v>
      </c>
      <c r="BK110" s="70">
        <v>251.0</v>
      </c>
      <c r="BL110" s="70">
        <v>3798.0</v>
      </c>
      <c r="BM110" s="70">
        <v>39.0</v>
      </c>
      <c r="BN110" s="70">
        <v>314.0</v>
      </c>
      <c r="BO110" s="70">
        <v>4346.0</v>
      </c>
      <c r="BP110" s="70">
        <v>2553.0</v>
      </c>
      <c r="BQ110" s="70">
        <v>79.0</v>
      </c>
      <c r="BR110" s="70">
        <v>654.0</v>
      </c>
      <c r="BS110" s="70">
        <v>138.0</v>
      </c>
      <c r="BT110" s="70">
        <v>1351.0</v>
      </c>
      <c r="BU110" s="70">
        <v>2061.0</v>
      </c>
      <c r="BV110" s="70">
        <v>28610.0</v>
      </c>
      <c r="BW110" s="70">
        <v>23.0</v>
      </c>
      <c r="BX110" s="70">
        <v>51581.0</v>
      </c>
      <c r="BY110" s="70">
        <v>860.0</v>
      </c>
      <c r="BZ110" s="70">
        <v>50.0</v>
      </c>
      <c r="CA110" s="70">
        <v>332.0</v>
      </c>
      <c r="CB110" s="70">
        <v>117.0</v>
      </c>
      <c r="CC110" s="70">
        <v>0.0</v>
      </c>
      <c r="CD110" s="70">
        <v>49.0</v>
      </c>
      <c r="CE110" s="70">
        <v>7.0</v>
      </c>
      <c r="CF110" s="70">
        <v>4860.0</v>
      </c>
      <c r="CG110" s="70">
        <v>1587.0</v>
      </c>
      <c r="CH110" s="70">
        <v>1999.0</v>
      </c>
      <c r="CI110" s="70">
        <v>3843.0</v>
      </c>
      <c r="CJ110" s="70">
        <v>14118.0</v>
      </c>
      <c r="CK110" s="70">
        <v>45875.0</v>
      </c>
      <c r="CL110" s="70">
        <v>19199.0</v>
      </c>
      <c r="CM110" s="70">
        <v>8949.0</v>
      </c>
      <c r="CN110" s="70">
        <v>508534.0</v>
      </c>
      <c r="CO110" s="70">
        <v>146817.0</v>
      </c>
      <c r="CP110" s="70">
        <v>166364.0</v>
      </c>
      <c r="CQ110" s="70">
        <v>2003.0</v>
      </c>
      <c r="CR110" s="70">
        <v>583.0</v>
      </c>
      <c r="CS110" s="70">
        <v>115346.0</v>
      </c>
      <c r="CT110" s="70">
        <v>5385.0</v>
      </c>
      <c r="CU110" s="70">
        <v>88.0</v>
      </c>
      <c r="CV110" s="70">
        <v>67604.0</v>
      </c>
      <c r="CW110" s="70">
        <v>2657.0</v>
      </c>
      <c r="CX110" s="70">
        <v>1091.0</v>
      </c>
      <c r="CY110" s="70">
        <v>32.0</v>
      </c>
      <c r="CZ110" s="70">
        <v>103.0</v>
      </c>
      <c r="DA110" s="70">
        <v>597508.0</v>
      </c>
      <c r="DB110" s="70">
        <v>865088.0</v>
      </c>
      <c r="DC110" s="70">
        <v>5684637.0</v>
      </c>
      <c r="DD110" s="70">
        <v>1141036.0</v>
      </c>
      <c r="DE110" s="70">
        <v>499.0</v>
      </c>
      <c r="DF110" s="70">
        <v>18185.0</v>
      </c>
      <c r="DG110" s="70">
        <v>5019.0</v>
      </c>
      <c r="DH110" s="70">
        <v>8662.0</v>
      </c>
      <c r="DI110" s="70">
        <v>2685.0</v>
      </c>
      <c r="DJ110" s="70">
        <v>2236.0</v>
      </c>
      <c r="DK110" s="70">
        <v>35.0</v>
      </c>
      <c r="DL110" s="70">
        <v>8078.0</v>
      </c>
      <c r="DM110" s="70">
        <v>33547.0</v>
      </c>
      <c r="DN110" s="70">
        <v>24.0</v>
      </c>
      <c r="DO110" s="70">
        <v>196859.0</v>
      </c>
      <c r="DP110" s="70">
        <v>5607.0</v>
      </c>
      <c r="DQ110" s="70">
        <v>123.0</v>
      </c>
      <c r="DR110" s="70">
        <v>1848.0</v>
      </c>
      <c r="DS110" s="70">
        <v>25236.0</v>
      </c>
      <c r="DT110" s="70">
        <v>279549.0</v>
      </c>
      <c r="DU110" s="70">
        <v>4843.0</v>
      </c>
      <c r="DV110" s="70">
        <v>48754.0</v>
      </c>
      <c r="DW110" s="70">
        <v>31151.0</v>
      </c>
      <c r="DX110" s="70">
        <v>1987.0</v>
      </c>
      <c r="DY110" s="70">
        <v>1416.0</v>
      </c>
      <c r="DZ110" s="70">
        <v>30729.0</v>
      </c>
      <c r="EA110" s="70">
        <v>18.0</v>
      </c>
      <c r="EB110" s="70">
        <v>890.0</v>
      </c>
      <c r="EC110" s="70">
        <v>54803.0</v>
      </c>
      <c r="ED110" s="70">
        <v>84.0</v>
      </c>
      <c r="EE110" s="70">
        <v>29.0</v>
      </c>
      <c r="EF110" s="70">
        <v>2078.0</v>
      </c>
      <c r="EG110" s="70">
        <v>234.0</v>
      </c>
      <c r="EH110" s="70">
        <v>8828.0</v>
      </c>
      <c r="EI110" s="70">
        <v>64434.0</v>
      </c>
      <c r="EJ110" s="70">
        <v>709.0</v>
      </c>
      <c r="EK110" s="70">
        <v>501.0</v>
      </c>
      <c r="EL110" s="70">
        <v>638.0</v>
      </c>
      <c r="EM110" s="70">
        <v>191.0</v>
      </c>
      <c r="EN110" s="70">
        <v>279.0</v>
      </c>
      <c r="EO110" s="70">
        <v>1399.0</v>
      </c>
      <c r="EP110" s="70">
        <v>0.0</v>
      </c>
      <c r="EQ110" s="70">
        <v>3057.0</v>
      </c>
      <c r="ER110" s="70">
        <v>269.0</v>
      </c>
      <c r="ES110" s="70">
        <v>4528.0</v>
      </c>
      <c r="ET110" s="70">
        <v>421957.0</v>
      </c>
      <c r="EU110" s="70">
        <v>91492.0</v>
      </c>
      <c r="EV110" s="70">
        <v>19.0</v>
      </c>
      <c r="EW110" s="70">
        <v>150.0</v>
      </c>
      <c r="EX110" s="70">
        <v>163.0</v>
      </c>
      <c r="EY110" s="70">
        <v>0.0</v>
      </c>
      <c r="EZ110" s="70">
        <v>116972.0</v>
      </c>
      <c r="FA110" s="70">
        <v>4770.0</v>
      </c>
      <c r="FB110" s="70">
        <v>688354.0</v>
      </c>
      <c r="FC110" s="70">
        <v>5798.0</v>
      </c>
      <c r="FD110" s="70">
        <v>1182822.0</v>
      </c>
      <c r="FE110" s="70">
        <v>203026.0</v>
      </c>
      <c r="FF110" s="70">
        <v>33160.0</v>
      </c>
      <c r="FG110" s="70">
        <v>117619.0</v>
      </c>
      <c r="FH110" s="70">
        <v>673722.0</v>
      </c>
      <c r="FI110" s="70">
        <v>4235.0</v>
      </c>
      <c r="FJ110" s="70">
        <v>1386.0</v>
      </c>
      <c r="FK110" s="70">
        <v>58709.0</v>
      </c>
      <c r="FL110" s="70">
        <v>38963.0</v>
      </c>
      <c r="FM110" s="70">
        <v>1753.0</v>
      </c>
      <c r="FN110" s="70">
        <v>38610.0</v>
      </c>
      <c r="FO110" s="70">
        <v>36486.0</v>
      </c>
      <c r="FP110" s="70">
        <v>52181.0</v>
      </c>
      <c r="FQ110" s="70">
        <v>1282.0</v>
      </c>
      <c r="FR110" s="70">
        <v>3.0</v>
      </c>
      <c r="FS110" s="70">
        <v>2831.0</v>
      </c>
      <c r="FT110" s="70">
        <v>31125.0</v>
      </c>
      <c r="FU110" s="70">
        <v>455596.0</v>
      </c>
      <c r="FV110" s="70">
        <v>259626.0</v>
      </c>
      <c r="FW110" s="70">
        <v>2433527.0</v>
      </c>
      <c r="FX110" s="70">
        <v>205962.0</v>
      </c>
      <c r="FY110" s="70">
        <v>3.9226849E7</v>
      </c>
      <c r="FZ110" s="70">
        <v>4080.0</v>
      </c>
      <c r="GA110" s="70">
        <v>745880.0</v>
      </c>
      <c r="GB110" s="70">
        <v>2.1278765E7</v>
      </c>
      <c r="GC110" s="70">
        <v>48384.0</v>
      </c>
      <c r="GD110" s="70">
        <v>1224.0</v>
      </c>
      <c r="GE110" s="70">
        <v>1928466.0</v>
      </c>
      <c r="GF110" s="71">
        <v>8.3259405E7</v>
      </c>
      <c r="GG110" s="72">
        <v>6.2051612E7</v>
      </c>
      <c r="GH110" s="73">
        <v>0.0</v>
      </c>
      <c r="GI110" s="72">
        <v>0.0</v>
      </c>
      <c r="GJ110" s="72">
        <v>0.0</v>
      </c>
      <c r="GK110" s="72">
        <v>1.4714504E7</v>
      </c>
      <c r="GL110" s="72">
        <v>8856625.0</v>
      </c>
      <c r="GM110" s="72">
        <v>190279.0</v>
      </c>
      <c r="GN110" s="71">
        <v>8.581302E7</v>
      </c>
      <c r="GO110" s="74">
        <v>1.69072425E8</v>
      </c>
      <c r="GP110" s="72">
        <v>1.7230216E7</v>
      </c>
      <c r="GQ110" s="72">
        <v>169017.0</v>
      </c>
      <c r="GR110" s="73">
        <v>0.0</v>
      </c>
      <c r="GS110" s="71">
        <v>1.7399233E7</v>
      </c>
      <c r="GT110" s="75">
        <v>2.3364288E7</v>
      </c>
      <c r="GU110" s="75">
        <v>1.9247057E7</v>
      </c>
      <c r="GV110" s="75">
        <v>1.0785843E7</v>
      </c>
      <c r="GW110" s="71">
        <v>5.3397188E7</v>
      </c>
      <c r="GX110" s="71">
        <v>4230340.0</v>
      </c>
      <c r="GY110" s="71">
        <v>9.4045664E7</v>
      </c>
      <c r="GZ110" s="74">
        <v>1.69072425E8</v>
      </c>
    </row>
    <row r="111" ht="15.75" customHeight="1">
      <c r="A111" s="52">
        <v>106.0</v>
      </c>
      <c r="B111" s="53" t="s">
        <v>151</v>
      </c>
      <c r="C111" s="54">
        <v>0.0</v>
      </c>
      <c r="D111" s="54">
        <v>0.0</v>
      </c>
      <c r="E111" s="54">
        <v>0.0</v>
      </c>
      <c r="F111" s="54">
        <v>0.0</v>
      </c>
      <c r="G111" s="54">
        <v>0.0</v>
      </c>
      <c r="H111" s="54">
        <v>0.0</v>
      </c>
      <c r="I111" s="54">
        <v>0.0</v>
      </c>
      <c r="J111" s="54">
        <v>0.0</v>
      </c>
      <c r="K111" s="54">
        <v>0.0</v>
      </c>
      <c r="L111" s="54">
        <v>0.0</v>
      </c>
      <c r="M111" s="54">
        <v>0.0</v>
      </c>
      <c r="N111" s="54">
        <v>0.0</v>
      </c>
      <c r="O111" s="54">
        <v>0.0</v>
      </c>
      <c r="P111" s="54">
        <v>0.0</v>
      </c>
      <c r="Q111" s="54">
        <v>0.0</v>
      </c>
      <c r="R111" s="54">
        <v>0.0</v>
      </c>
      <c r="S111" s="54">
        <v>0.0</v>
      </c>
      <c r="T111" s="54">
        <v>0.0</v>
      </c>
      <c r="U111" s="54">
        <v>0.0</v>
      </c>
      <c r="V111" s="54">
        <v>0.0</v>
      </c>
      <c r="W111" s="54">
        <v>0.0</v>
      </c>
      <c r="X111" s="54">
        <v>0.0</v>
      </c>
      <c r="Y111" s="54">
        <v>0.0</v>
      </c>
      <c r="Z111" s="54">
        <v>0.0</v>
      </c>
      <c r="AA111" s="54">
        <v>0.0</v>
      </c>
      <c r="AB111" s="54">
        <v>0.0</v>
      </c>
      <c r="AC111" s="54">
        <v>0.0</v>
      </c>
      <c r="AD111" s="54">
        <v>0.0</v>
      </c>
      <c r="AE111" s="54">
        <v>0.0</v>
      </c>
      <c r="AF111" s="54">
        <v>0.0</v>
      </c>
      <c r="AG111" s="54">
        <v>0.0</v>
      </c>
      <c r="AH111" s="54">
        <v>0.0</v>
      </c>
      <c r="AI111" s="54">
        <v>0.0</v>
      </c>
      <c r="AJ111" s="54">
        <v>0.0</v>
      </c>
      <c r="AK111" s="54">
        <v>0.0</v>
      </c>
      <c r="AL111" s="54">
        <v>0.0</v>
      </c>
      <c r="AM111" s="54">
        <v>0.0</v>
      </c>
      <c r="AN111" s="54">
        <v>0.0</v>
      </c>
      <c r="AO111" s="54">
        <v>0.0</v>
      </c>
      <c r="AP111" s="54">
        <v>0.0</v>
      </c>
      <c r="AQ111" s="54">
        <v>0.0</v>
      </c>
      <c r="AR111" s="54">
        <v>0.0</v>
      </c>
      <c r="AS111" s="54">
        <v>0.0</v>
      </c>
      <c r="AT111" s="54">
        <v>0.0</v>
      </c>
      <c r="AU111" s="54">
        <v>0.0</v>
      </c>
      <c r="AV111" s="54">
        <v>0.0</v>
      </c>
      <c r="AW111" s="54">
        <v>0.0</v>
      </c>
      <c r="AX111" s="54">
        <v>0.0</v>
      </c>
      <c r="AY111" s="54">
        <v>0.0</v>
      </c>
      <c r="AZ111" s="54">
        <v>0.0</v>
      </c>
      <c r="BA111" s="54">
        <v>0.0</v>
      </c>
      <c r="BB111" s="54">
        <v>0.0</v>
      </c>
      <c r="BC111" s="54">
        <v>0.0</v>
      </c>
      <c r="BD111" s="54">
        <v>0.0</v>
      </c>
      <c r="BE111" s="54">
        <v>0.0</v>
      </c>
      <c r="BF111" s="54">
        <v>0.0</v>
      </c>
      <c r="BG111" s="54">
        <v>0.0</v>
      </c>
      <c r="BH111" s="54">
        <v>0.0</v>
      </c>
      <c r="BI111" s="54">
        <v>0.0</v>
      </c>
      <c r="BJ111" s="54">
        <v>0.0</v>
      </c>
      <c r="BK111" s="54">
        <v>0.0</v>
      </c>
      <c r="BL111" s="54">
        <v>0.0</v>
      </c>
      <c r="BM111" s="54">
        <v>0.0</v>
      </c>
      <c r="BN111" s="54">
        <v>0.0</v>
      </c>
      <c r="BO111" s="54">
        <v>0.0</v>
      </c>
      <c r="BP111" s="54">
        <v>0.0</v>
      </c>
      <c r="BQ111" s="54">
        <v>0.0</v>
      </c>
      <c r="BR111" s="54">
        <v>0.0</v>
      </c>
      <c r="BS111" s="54">
        <v>0.0</v>
      </c>
      <c r="BT111" s="54">
        <v>0.0</v>
      </c>
      <c r="BU111" s="54">
        <v>0.0</v>
      </c>
      <c r="BV111" s="54">
        <v>0.0</v>
      </c>
      <c r="BW111" s="54">
        <v>0.0</v>
      </c>
      <c r="BX111" s="54">
        <v>0.0</v>
      </c>
      <c r="BY111" s="54">
        <v>0.0</v>
      </c>
      <c r="BZ111" s="54">
        <v>0.0</v>
      </c>
      <c r="CA111" s="54">
        <v>0.0</v>
      </c>
      <c r="CB111" s="54">
        <v>0.0</v>
      </c>
      <c r="CC111" s="54">
        <v>0.0</v>
      </c>
      <c r="CD111" s="54">
        <v>0.0</v>
      </c>
      <c r="CE111" s="54">
        <v>0.0</v>
      </c>
      <c r="CF111" s="54">
        <v>0.0</v>
      </c>
      <c r="CG111" s="54">
        <v>0.0</v>
      </c>
      <c r="CH111" s="54">
        <v>0.0</v>
      </c>
      <c r="CI111" s="54">
        <v>0.0</v>
      </c>
      <c r="CJ111" s="54">
        <v>0.0</v>
      </c>
      <c r="CK111" s="54">
        <v>0.0</v>
      </c>
      <c r="CL111" s="54">
        <v>0.0</v>
      </c>
      <c r="CM111" s="54">
        <v>0.0</v>
      </c>
      <c r="CN111" s="54">
        <v>0.0</v>
      </c>
      <c r="CO111" s="54">
        <v>0.0</v>
      </c>
      <c r="CP111" s="54">
        <v>0.0</v>
      </c>
      <c r="CQ111" s="54">
        <v>0.0</v>
      </c>
      <c r="CR111" s="54">
        <v>0.0</v>
      </c>
      <c r="CS111" s="54">
        <v>0.0</v>
      </c>
      <c r="CT111" s="54">
        <v>0.0</v>
      </c>
      <c r="CU111" s="54">
        <v>0.0</v>
      </c>
      <c r="CV111" s="54">
        <v>0.0</v>
      </c>
      <c r="CW111" s="54">
        <v>0.0</v>
      </c>
      <c r="CX111" s="54">
        <v>0.0</v>
      </c>
      <c r="CY111" s="54">
        <v>0.0</v>
      </c>
      <c r="CZ111" s="54">
        <v>0.0</v>
      </c>
      <c r="DA111" s="54">
        <v>0.0</v>
      </c>
      <c r="DB111" s="54">
        <v>0.0</v>
      </c>
      <c r="DC111" s="54">
        <v>0.0</v>
      </c>
      <c r="DD111" s="54">
        <v>0.0</v>
      </c>
      <c r="DE111" s="54">
        <v>0.0</v>
      </c>
      <c r="DF111" s="54">
        <v>0.0</v>
      </c>
      <c r="DG111" s="54">
        <v>0.0</v>
      </c>
      <c r="DH111" s="54">
        <v>0.0</v>
      </c>
      <c r="DI111" s="54">
        <v>0.0</v>
      </c>
      <c r="DJ111" s="54">
        <v>0.0</v>
      </c>
      <c r="DK111" s="54">
        <v>0.0</v>
      </c>
      <c r="DL111" s="54">
        <v>0.0</v>
      </c>
      <c r="DM111" s="54">
        <v>0.0</v>
      </c>
      <c r="DN111" s="54">
        <v>0.0</v>
      </c>
      <c r="DO111" s="54">
        <v>0.0</v>
      </c>
      <c r="DP111" s="54">
        <v>0.0</v>
      </c>
      <c r="DQ111" s="54">
        <v>0.0</v>
      </c>
      <c r="DR111" s="54">
        <v>0.0</v>
      </c>
      <c r="DS111" s="54">
        <v>0.0</v>
      </c>
      <c r="DT111" s="54">
        <v>0.0</v>
      </c>
      <c r="DU111" s="54">
        <v>0.0</v>
      </c>
      <c r="DV111" s="54">
        <v>0.0</v>
      </c>
      <c r="DW111" s="54">
        <v>0.0</v>
      </c>
      <c r="DX111" s="54">
        <v>0.0</v>
      </c>
      <c r="DY111" s="54">
        <v>0.0</v>
      </c>
      <c r="DZ111" s="54">
        <v>0.0</v>
      </c>
      <c r="EA111" s="54">
        <v>0.0</v>
      </c>
      <c r="EB111" s="54">
        <v>0.0</v>
      </c>
      <c r="EC111" s="54">
        <v>0.0</v>
      </c>
      <c r="ED111" s="54">
        <v>0.0</v>
      </c>
      <c r="EE111" s="54">
        <v>0.0</v>
      </c>
      <c r="EF111" s="54">
        <v>0.0</v>
      </c>
      <c r="EG111" s="54">
        <v>0.0</v>
      </c>
      <c r="EH111" s="54">
        <v>0.0</v>
      </c>
      <c r="EI111" s="54">
        <v>0.0</v>
      </c>
      <c r="EJ111" s="54">
        <v>0.0</v>
      </c>
      <c r="EK111" s="54">
        <v>0.0</v>
      </c>
      <c r="EL111" s="54">
        <v>0.0</v>
      </c>
      <c r="EM111" s="54">
        <v>0.0</v>
      </c>
      <c r="EN111" s="54">
        <v>0.0</v>
      </c>
      <c r="EO111" s="54">
        <v>0.0</v>
      </c>
      <c r="EP111" s="54">
        <v>0.0</v>
      </c>
      <c r="EQ111" s="54">
        <v>0.0</v>
      </c>
      <c r="ER111" s="54">
        <v>0.0</v>
      </c>
      <c r="ES111" s="54">
        <v>0.0</v>
      </c>
      <c r="ET111" s="54">
        <v>0.0</v>
      </c>
      <c r="EU111" s="54">
        <v>0.0</v>
      </c>
      <c r="EV111" s="54">
        <v>0.0</v>
      </c>
      <c r="EW111" s="54">
        <v>0.0</v>
      </c>
      <c r="EX111" s="54">
        <v>0.0</v>
      </c>
      <c r="EY111" s="54">
        <v>0.0</v>
      </c>
      <c r="EZ111" s="54">
        <v>0.0</v>
      </c>
      <c r="FA111" s="54">
        <v>0.0</v>
      </c>
      <c r="FB111" s="54">
        <v>0.0</v>
      </c>
      <c r="FC111" s="54">
        <v>0.0</v>
      </c>
      <c r="FD111" s="54">
        <v>0.0</v>
      </c>
      <c r="FE111" s="54">
        <v>0.0</v>
      </c>
      <c r="FF111" s="54">
        <v>0.0</v>
      </c>
      <c r="FG111" s="54">
        <v>0.0</v>
      </c>
      <c r="FH111" s="54">
        <v>0.0</v>
      </c>
      <c r="FI111" s="54">
        <v>0.0</v>
      </c>
      <c r="FJ111" s="54">
        <v>0.0</v>
      </c>
      <c r="FK111" s="54">
        <v>0.0</v>
      </c>
      <c r="FL111" s="54">
        <v>21.0</v>
      </c>
      <c r="FM111" s="54">
        <v>0.0</v>
      </c>
      <c r="FN111" s="54">
        <v>0.0</v>
      </c>
      <c r="FO111" s="54">
        <v>0.0</v>
      </c>
      <c r="FP111" s="54">
        <v>0.0</v>
      </c>
      <c r="FQ111" s="54">
        <v>0.0</v>
      </c>
      <c r="FR111" s="54">
        <v>0.0</v>
      </c>
      <c r="FS111" s="54">
        <v>0.0</v>
      </c>
      <c r="FT111" s="54">
        <v>0.0</v>
      </c>
      <c r="FU111" s="54">
        <v>0.0</v>
      </c>
      <c r="FV111" s="54">
        <v>0.0</v>
      </c>
      <c r="FW111" s="54">
        <v>92764.0</v>
      </c>
      <c r="FX111" s="54">
        <v>14795.0</v>
      </c>
      <c r="FY111" s="54">
        <v>2408574.0</v>
      </c>
      <c r="FZ111" s="54">
        <v>0.0</v>
      </c>
      <c r="GA111" s="54">
        <v>2792.0</v>
      </c>
      <c r="GB111" s="54">
        <v>92441.0</v>
      </c>
      <c r="GC111" s="54">
        <v>4371.0</v>
      </c>
      <c r="GD111" s="54">
        <v>0.0</v>
      </c>
      <c r="GE111" s="54">
        <v>19852.0</v>
      </c>
      <c r="GF111" s="55">
        <v>2635610.0</v>
      </c>
      <c r="GG111" s="56">
        <v>2.6140551E7</v>
      </c>
      <c r="GH111" s="57">
        <v>0.0</v>
      </c>
      <c r="GI111" s="56">
        <v>0.0</v>
      </c>
      <c r="GJ111" s="56">
        <v>0.0</v>
      </c>
      <c r="GK111" s="56">
        <v>24600.0</v>
      </c>
      <c r="GL111" s="56">
        <v>109894.0</v>
      </c>
      <c r="GM111" s="56">
        <v>16625.0</v>
      </c>
      <c r="GN111" s="55">
        <v>2.629167E7</v>
      </c>
      <c r="GO111" s="58">
        <v>2.892728E7</v>
      </c>
      <c r="GP111" s="56">
        <v>1350007.0</v>
      </c>
      <c r="GQ111" s="56">
        <v>11729.0</v>
      </c>
      <c r="GR111" s="57">
        <v>0.0</v>
      </c>
      <c r="GS111" s="55">
        <v>1361736.0</v>
      </c>
      <c r="GT111" s="59">
        <v>3016714.0</v>
      </c>
      <c r="GU111" s="59">
        <v>2882529.0</v>
      </c>
      <c r="GV111" s="59">
        <v>1416327.0</v>
      </c>
      <c r="GW111" s="55">
        <v>7315570.0</v>
      </c>
      <c r="GX111" s="55">
        <v>1193376.0</v>
      </c>
      <c r="GY111" s="55">
        <v>1.9056598E7</v>
      </c>
      <c r="GZ111" s="58">
        <v>2.892728E7</v>
      </c>
    </row>
    <row r="112" ht="15.75" customHeight="1">
      <c r="A112" s="60">
        <v>107.0</v>
      </c>
      <c r="B112" s="61" t="s">
        <v>152</v>
      </c>
      <c r="C112" s="62">
        <v>356.0</v>
      </c>
      <c r="D112" s="62">
        <v>1590.0</v>
      </c>
      <c r="E112" s="62">
        <v>241.0</v>
      </c>
      <c r="F112" s="62">
        <v>417.0</v>
      </c>
      <c r="G112" s="62">
        <v>36.0</v>
      </c>
      <c r="H112" s="62">
        <v>431.0</v>
      </c>
      <c r="I112" s="62">
        <v>169.0</v>
      </c>
      <c r="J112" s="62">
        <v>189.0</v>
      </c>
      <c r="K112" s="62">
        <v>9.0</v>
      </c>
      <c r="L112" s="62">
        <v>8979.0</v>
      </c>
      <c r="M112" s="62">
        <v>5395.0</v>
      </c>
      <c r="N112" s="62">
        <v>2628.0</v>
      </c>
      <c r="O112" s="62">
        <v>22721.0</v>
      </c>
      <c r="P112" s="62">
        <v>246.0</v>
      </c>
      <c r="Q112" s="62">
        <v>853.0</v>
      </c>
      <c r="R112" s="62">
        <v>12169.0</v>
      </c>
      <c r="S112" s="62">
        <v>346.0</v>
      </c>
      <c r="T112" s="62">
        <v>685.0</v>
      </c>
      <c r="U112" s="62">
        <v>129.0</v>
      </c>
      <c r="V112" s="62">
        <v>4911.0</v>
      </c>
      <c r="W112" s="62">
        <v>111.0</v>
      </c>
      <c r="X112" s="62">
        <v>0.0</v>
      </c>
      <c r="Y112" s="62">
        <v>533.0</v>
      </c>
      <c r="Z112" s="62">
        <v>280.0</v>
      </c>
      <c r="AA112" s="62">
        <v>212.0</v>
      </c>
      <c r="AB112" s="62">
        <v>1226.0</v>
      </c>
      <c r="AC112" s="62">
        <v>26.0</v>
      </c>
      <c r="AD112" s="62">
        <v>3050.0</v>
      </c>
      <c r="AE112" s="62">
        <v>16.0</v>
      </c>
      <c r="AF112" s="62">
        <v>33156.0</v>
      </c>
      <c r="AG112" s="62">
        <v>24218.0</v>
      </c>
      <c r="AH112" s="62">
        <v>3128.0</v>
      </c>
      <c r="AI112" s="62">
        <v>17085.0</v>
      </c>
      <c r="AJ112" s="62">
        <v>5215.0</v>
      </c>
      <c r="AK112" s="62">
        <v>441.0</v>
      </c>
      <c r="AL112" s="62">
        <v>2045.0</v>
      </c>
      <c r="AM112" s="62">
        <v>699750.0</v>
      </c>
      <c r="AN112" s="62">
        <v>12339.0</v>
      </c>
      <c r="AO112" s="62">
        <v>86900.0</v>
      </c>
      <c r="AP112" s="62">
        <v>107.0</v>
      </c>
      <c r="AQ112" s="62">
        <v>7510.0</v>
      </c>
      <c r="AR112" s="62">
        <v>718.0</v>
      </c>
      <c r="AS112" s="62">
        <v>31303.0</v>
      </c>
      <c r="AT112" s="62">
        <v>2299.0</v>
      </c>
      <c r="AU112" s="62">
        <v>30940.0</v>
      </c>
      <c r="AV112" s="62">
        <v>9575.0</v>
      </c>
      <c r="AW112" s="62">
        <v>106.0</v>
      </c>
      <c r="AX112" s="62">
        <v>200655.0</v>
      </c>
      <c r="AY112" s="62">
        <v>888.0</v>
      </c>
      <c r="AZ112" s="62">
        <v>215.0</v>
      </c>
      <c r="BA112" s="62">
        <v>15448.0</v>
      </c>
      <c r="BB112" s="62">
        <v>27472.0</v>
      </c>
      <c r="BC112" s="62">
        <v>1612.0</v>
      </c>
      <c r="BD112" s="62">
        <v>84.0</v>
      </c>
      <c r="BE112" s="62">
        <v>286.0</v>
      </c>
      <c r="BF112" s="62">
        <v>1057.0</v>
      </c>
      <c r="BG112" s="62">
        <v>692.0</v>
      </c>
      <c r="BH112" s="62">
        <v>44196.0</v>
      </c>
      <c r="BI112" s="62">
        <v>448.0</v>
      </c>
      <c r="BJ112" s="62">
        <v>7577.0</v>
      </c>
      <c r="BK112" s="62">
        <v>895.0</v>
      </c>
      <c r="BL112" s="62">
        <v>176.0</v>
      </c>
      <c r="BM112" s="62">
        <v>14.0</v>
      </c>
      <c r="BN112" s="62">
        <v>472.0</v>
      </c>
      <c r="BO112" s="62">
        <v>3787.0</v>
      </c>
      <c r="BP112" s="62">
        <v>414.0</v>
      </c>
      <c r="BQ112" s="62">
        <v>735.0</v>
      </c>
      <c r="BR112" s="62">
        <v>543.0</v>
      </c>
      <c r="BS112" s="62">
        <v>58.0</v>
      </c>
      <c r="BT112" s="62">
        <v>152929.0</v>
      </c>
      <c r="BU112" s="62">
        <v>3906.0</v>
      </c>
      <c r="BV112" s="62">
        <v>2816.0</v>
      </c>
      <c r="BW112" s="62">
        <v>156.0</v>
      </c>
      <c r="BX112" s="62">
        <v>1174.0</v>
      </c>
      <c r="BY112" s="62">
        <v>95381.0</v>
      </c>
      <c r="BZ112" s="62">
        <v>6355.0</v>
      </c>
      <c r="CA112" s="62">
        <v>86813.0</v>
      </c>
      <c r="CB112" s="62">
        <v>34563.0</v>
      </c>
      <c r="CC112" s="62">
        <v>7210.0</v>
      </c>
      <c r="CD112" s="62">
        <v>11543.0</v>
      </c>
      <c r="CE112" s="62">
        <v>0.0</v>
      </c>
      <c r="CF112" s="62">
        <v>0.0</v>
      </c>
      <c r="CG112" s="62">
        <v>1525.0</v>
      </c>
      <c r="CH112" s="62">
        <v>27141.0</v>
      </c>
      <c r="CI112" s="62">
        <v>389505.0</v>
      </c>
      <c r="CJ112" s="62">
        <v>170475.0</v>
      </c>
      <c r="CK112" s="62">
        <v>392649.0</v>
      </c>
      <c r="CL112" s="62">
        <v>89303.0</v>
      </c>
      <c r="CM112" s="62">
        <v>18444.0</v>
      </c>
      <c r="CN112" s="62">
        <v>2860.0</v>
      </c>
      <c r="CO112" s="62">
        <v>42280.0</v>
      </c>
      <c r="CP112" s="62">
        <v>35126.0</v>
      </c>
      <c r="CQ112" s="62">
        <v>0.0</v>
      </c>
      <c r="CR112" s="62">
        <v>55590.0</v>
      </c>
      <c r="CS112" s="62">
        <v>3185.0</v>
      </c>
      <c r="CT112" s="62">
        <v>47276.0</v>
      </c>
      <c r="CU112" s="62">
        <v>18995.0</v>
      </c>
      <c r="CV112" s="62">
        <v>24416.0</v>
      </c>
      <c r="CW112" s="62">
        <v>1527.0</v>
      </c>
      <c r="CX112" s="62">
        <v>15189.0</v>
      </c>
      <c r="CY112" s="62">
        <v>774.0</v>
      </c>
      <c r="CZ112" s="62">
        <v>9097.0</v>
      </c>
      <c r="DA112" s="62">
        <v>18052.0</v>
      </c>
      <c r="DB112" s="62">
        <v>8410.0</v>
      </c>
      <c r="DC112" s="62">
        <v>2042.0</v>
      </c>
      <c r="DD112" s="62">
        <v>3469.0</v>
      </c>
      <c r="DE112" s="62">
        <v>5449.0</v>
      </c>
      <c r="DF112" s="62">
        <v>353215.0</v>
      </c>
      <c r="DG112" s="62">
        <v>24360.0</v>
      </c>
      <c r="DH112" s="62">
        <v>16477.0</v>
      </c>
      <c r="DI112" s="62">
        <v>8011.0</v>
      </c>
      <c r="DJ112" s="62">
        <v>19825.0</v>
      </c>
      <c r="DK112" s="62">
        <v>24987.0</v>
      </c>
      <c r="DL112" s="62">
        <v>24363.0</v>
      </c>
      <c r="DM112" s="62">
        <v>338.0</v>
      </c>
      <c r="DN112" s="62">
        <v>875.0</v>
      </c>
      <c r="DO112" s="62">
        <v>681.0</v>
      </c>
      <c r="DP112" s="62">
        <v>8597.0</v>
      </c>
      <c r="DQ112" s="62">
        <v>719.0</v>
      </c>
      <c r="DR112" s="62">
        <v>346944.0</v>
      </c>
      <c r="DS112" s="62">
        <v>3193.0</v>
      </c>
      <c r="DT112" s="62">
        <v>3897.0</v>
      </c>
      <c r="DU112" s="62">
        <v>111.0</v>
      </c>
      <c r="DV112" s="62">
        <v>262.0</v>
      </c>
      <c r="DW112" s="62">
        <v>337.0</v>
      </c>
      <c r="DX112" s="62">
        <v>52676.0</v>
      </c>
      <c r="DY112" s="62">
        <v>417.0</v>
      </c>
      <c r="DZ112" s="62">
        <v>366545.0</v>
      </c>
      <c r="EA112" s="62">
        <v>15651.0</v>
      </c>
      <c r="EB112" s="62">
        <v>75007.0</v>
      </c>
      <c r="EC112" s="62">
        <v>1.3200717E7</v>
      </c>
      <c r="ED112" s="62">
        <v>41834.0</v>
      </c>
      <c r="EE112" s="62">
        <v>0.0</v>
      </c>
      <c r="EF112" s="62">
        <v>119746.0</v>
      </c>
      <c r="EG112" s="62">
        <v>870406.0</v>
      </c>
      <c r="EH112" s="62">
        <v>7844407.0</v>
      </c>
      <c r="EI112" s="62">
        <v>8614.0</v>
      </c>
      <c r="EJ112" s="62">
        <v>7214.0</v>
      </c>
      <c r="EK112" s="62">
        <v>2689.0</v>
      </c>
      <c r="EL112" s="62">
        <v>15081.0</v>
      </c>
      <c r="EM112" s="62">
        <v>23296.0</v>
      </c>
      <c r="EN112" s="62">
        <v>101147.0</v>
      </c>
      <c r="EO112" s="62">
        <v>16582.0</v>
      </c>
      <c r="EP112" s="62">
        <v>161066.0</v>
      </c>
      <c r="EQ112" s="62">
        <v>35208.0</v>
      </c>
      <c r="ER112" s="62">
        <v>380.0</v>
      </c>
      <c r="ES112" s="62">
        <v>22155.0</v>
      </c>
      <c r="ET112" s="62">
        <v>47668.0</v>
      </c>
      <c r="EU112" s="62">
        <v>142653.0</v>
      </c>
      <c r="EV112" s="62">
        <v>3495.0</v>
      </c>
      <c r="EW112" s="62">
        <v>2062.0</v>
      </c>
      <c r="EX112" s="62">
        <v>17798.0</v>
      </c>
      <c r="EY112" s="62">
        <v>55082.0</v>
      </c>
      <c r="EZ112" s="62">
        <v>571536.0</v>
      </c>
      <c r="FA112" s="62">
        <v>916649.0</v>
      </c>
      <c r="FB112" s="62">
        <v>512046.0</v>
      </c>
      <c r="FC112" s="62">
        <v>432.0</v>
      </c>
      <c r="FD112" s="62">
        <v>8143670.0</v>
      </c>
      <c r="FE112" s="62">
        <v>506990.0</v>
      </c>
      <c r="FF112" s="62">
        <v>303945.0</v>
      </c>
      <c r="FG112" s="62">
        <v>1433341.0</v>
      </c>
      <c r="FH112" s="62">
        <v>504150.0</v>
      </c>
      <c r="FI112" s="62">
        <v>148770.0</v>
      </c>
      <c r="FJ112" s="62">
        <v>28377.0</v>
      </c>
      <c r="FK112" s="62">
        <v>5441.0</v>
      </c>
      <c r="FL112" s="62">
        <v>15801.0</v>
      </c>
      <c r="FM112" s="62">
        <v>4444.0</v>
      </c>
      <c r="FN112" s="62">
        <v>10042.0</v>
      </c>
      <c r="FO112" s="62">
        <v>3805.0</v>
      </c>
      <c r="FP112" s="62">
        <v>6566.0</v>
      </c>
      <c r="FQ112" s="62">
        <v>9181.0</v>
      </c>
      <c r="FR112" s="62">
        <v>10.0</v>
      </c>
      <c r="FS112" s="62">
        <v>1421.0</v>
      </c>
      <c r="FT112" s="62">
        <v>32313.0</v>
      </c>
      <c r="FU112" s="62">
        <v>631810.0</v>
      </c>
      <c r="FV112" s="62">
        <v>1204189.0</v>
      </c>
      <c r="FW112" s="62">
        <v>195489.0</v>
      </c>
      <c r="FX112" s="62">
        <v>1285.0</v>
      </c>
      <c r="FY112" s="62">
        <v>214553.0</v>
      </c>
      <c r="FZ112" s="62">
        <v>475.0</v>
      </c>
      <c r="GA112" s="62">
        <v>8417.0</v>
      </c>
      <c r="GB112" s="62">
        <v>3165.0</v>
      </c>
      <c r="GC112" s="62">
        <v>8810.0</v>
      </c>
      <c r="GD112" s="62">
        <v>27274.0</v>
      </c>
      <c r="GE112" s="62">
        <v>14648.0</v>
      </c>
      <c r="GF112" s="63">
        <v>4.2683971E7</v>
      </c>
      <c r="GG112" s="64">
        <v>4886388.0</v>
      </c>
      <c r="GH112" s="65">
        <v>0.0</v>
      </c>
      <c r="GI112" s="64">
        <v>0.0</v>
      </c>
      <c r="GJ112" s="64">
        <v>0.0</v>
      </c>
      <c r="GK112" s="64">
        <v>-3198770.0</v>
      </c>
      <c r="GL112" s="64">
        <v>2.4722538E7</v>
      </c>
      <c r="GM112" s="64">
        <v>0.0</v>
      </c>
      <c r="GN112" s="63">
        <v>2.6410156E7</v>
      </c>
      <c r="GO112" s="66">
        <v>6.9094127E7</v>
      </c>
      <c r="GP112" s="64">
        <v>1.4052582E7</v>
      </c>
      <c r="GQ112" s="64">
        <v>0.0</v>
      </c>
      <c r="GR112" s="65">
        <v>0.0</v>
      </c>
      <c r="GS112" s="63">
        <v>1.4052582E7</v>
      </c>
      <c r="GT112" s="67">
        <v>2971348.0</v>
      </c>
      <c r="GU112" s="67">
        <v>2748119.0</v>
      </c>
      <c r="GV112" s="67">
        <v>530061.0</v>
      </c>
      <c r="GW112" s="63">
        <v>6249528.0</v>
      </c>
      <c r="GX112" s="63">
        <v>1304187.0</v>
      </c>
      <c r="GY112" s="63">
        <v>4.748783E7</v>
      </c>
      <c r="GZ112" s="66">
        <v>6.9094127E7</v>
      </c>
    </row>
    <row r="113" ht="15.75" customHeight="1">
      <c r="A113" s="60">
        <v>108.0</v>
      </c>
      <c r="B113" s="61" t="s">
        <v>153</v>
      </c>
      <c r="C113" s="62">
        <v>0.0</v>
      </c>
      <c r="D113" s="62">
        <v>0.0</v>
      </c>
      <c r="E113" s="62">
        <v>0.0</v>
      </c>
      <c r="F113" s="62">
        <v>0.0</v>
      </c>
      <c r="G113" s="62">
        <v>0.0</v>
      </c>
      <c r="H113" s="62">
        <v>0.0</v>
      </c>
      <c r="I113" s="62">
        <v>0.0</v>
      </c>
      <c r="J113" s="62">
        <v>0.0</v>
      </c>
      <c r="K113" s="62">
        <v>0.0</v>
      </c>
      <c r="L113" s="62">
        <v>0.0</v>
      </c>
      <c r="M113" s="62">
        <v>0.0</v>
      </c>
      <c r="N113" s="62">
        <v>0.0</v>
      </c>
      <c r="O113" s="62">
        <v>0.0</v>
      </c>
      <c r="P113" s="62">
        <v>0.0</v>
      </c>
      <c r="Q113" s="62">
        <v>0.0</v>
      </c>
      <c r="R113" s="62">
        <v>0.0</v>
      </c>
      <c r="S113" s="62">
        <v>0.0</v>
      </c>
      <c r="T113" s="62">
        <v>0.0</v>
      </c>
      <c r="U113" s="62">
        <v>0.0</v>
      </c>
      <c r="V113" s="62">
        <v>0.0</v>
      </c>
      <c r="W113" s="62">
        <v>0.0</v>
      </c>
      <c r="X113" s="62">
        <v>0.0</v>
      </c>
      <c r="Y113" s="62">
        <v>0.0</v>
      </c>
      <c r="Z113" s="62">
        <v>0.0</v>
      </c>
      <c r="AA113" s="62">
        <v>0.0</v>
      </c>
      <c r="AB113" s="62">
        <v>0.0</v>
      </c>
      <c r="AC113" s="62">
        <v>0.0</v>
      </c>
      <c r="AD113" s="62">
        <v>0.0</v>
      </c>
      <c r="AE113" s="62">
        <v>0.0</v>
      </c>
      <c r="AF113" s="62">
        <v>0.0</v>
      </c>
      <c r="AG113" s="62">
        <v>0.0</v>
      </c>
      <c r="AH113" s="62">
        <v>0.0</v>
      </c>
      <c r="AI113" s="62">
        <v>0.0</v>
      </c>
      <c r="AJ113" s="62">
        <v>0.0</v>
      </c>
      <c r="AK113" s="62">
        <v>0.0</v>
      </c>
      <c r="AL113" s="62">
        <v>0.0</v>
      </c>
      <c r="AM113" s="62">
        <v>0.0</v>
      </c>
      <c r="AN113" s="62">
        <v>0.0</v>
      </c>
      <c r="AO113" s="62">
        <v>0.0</v>
      </c>
      <c r="AP113" s="62">
        <v>0.0</v>
      </c>
      <c r="AQ113" s="62">
        <v>0.0</v>
      </c>
      <c r="AR113" s="62">
        <v>0.0</v>
      </c>
      <c r="AS113" s="62">
        <v>0.0</v>
      </c>
      <c r="AT113" s="62">
        <v>0.0</v>
      </c>
      <c r="AU113" s="62">
        <v>0.0</v>
      </c>
      <c r="AV113" s="62">
        <v>0.0</v>
      </c>
      <c r="AW113" s="62">
        <v>0.0</v>
      </c>
      <c r="AX113" s="62">
        <v>0.0</v>
      </c>
      <c r="AY113" s="62">
        <v>0.0</v>
      </c>
      <c r="AZ113" s="62">
        <v>0.0</v>
      </c>
      <c r="BA113" s="62">
        <v>0.0</v>
      </c>
      <c r="BB113" s="62">
        <v>0.0</v>
      </c>
      <c r="BC113" s="62">
        <v>0.0</v>
      </c>
      <c r="BD113" s="62">
        <v>0.0</v>
      </c>
      <c r="BE113" s="62">
        <v>0.0</v>
      </c>
      <c r="BF113" s="62">
        <v>0.0</v>
      </c>
      <c r="BG113" s="62">
        <v>0.0</v>
      </c>
      <c r="BH113" s="62">
        <v>0.0</v>
      </c>
      <c r="BI113" s="62">
        <v>0.0</v>
      </c>
      <c r="BJ113" s="62">
        <v>0.0</v>
      </c>
      <c r="BK113" s="62">
        <v>0.0</v>
      </c>
      <c r="BL113" s="62">
        <v>0.0</v>
      </c>
      <c r="BM113" s="62">
        <v>0.0</v>
      </c>
      <c r="BN113" s="62">
        <v>0.0</v>
      </c>
      <c r="BO113" s="62">
        <v>0.0</v>
      </c>
      <c r="BP113" s="62">
        <v>0.0</v>
      </c>
      <c r="BQ113" s="62">
        <v>0.0</v>
      </c>
      <c r="BR113" s="62">
        <v>0.0</v>
      </c>
      <c r="BS113" s="62">
        <v>0.0</v>
      </c>
      <c r="BT113" s="62">
        <v>0.0</v>
      </c>
      <c r="BU113" s="62">
        <v>0.0</v>
      </c>
      <c r="BV113" s="62">
        <v>0.0</v>
      </c>
      <c r="BW113" s="62">
        <v>0.0</v>
      </c>
      <c r="BX113" s="62">
        <v>0.0</v>
      </c>
      <c r="BY113" s="62">
        <v>0.0</v>
      </c>
      <c r="BZ113" s="62">
        <v>0.0</v>
      </c>
      <c r="CA113" s="62">
        <v>0.0</v>
      </c>
      <c r="CB113" s="62">
        <v>0.0</v>
      </c>
      <c r="CC113" s="62">
        <v>31.0</v>
      </c>
      <c r="CD113" s="62">
        <v>23.0</v>
      </c>
      <c r="CE113" s="62">
        <v>3306.0</v>
      </c>
      <c r="CF113" s="62">
        <v>9836.0</v>
      </c>
      <c r="CG113" s="62">
        <v>0.0</v>
      </c>
      <c r="CH113" s="62">
        <v>215500.0</v>
      </c>
      <c r="CI113" s="62">
        <v>4081771.0</v>
      </c>
      <c r="CJ113" s="62">
        <v>0.0</v>
      </c>
      <c r="CK113" s="62">
        <v>0.0</v>
      </c>
      <c r="CL113" s="62">
        <v>0.0</v>
      </c>
      <c r="CM113" s="62">
        <v>0.0</v>
      </c>
      <c r="CN113" s="62">
        <v>0.0</v>
      </c>
      <c r="CO113" s="62">
        <v>0.0</v>
      </c>
      <c r="CP113" s="62">
        <v>0.0</v>
      </c>
      <c r="CQ113" s="62">
        <v>0.0</v>
      </c>
      <c r="CR113" s="62">
        <v>2315.0</v>
      </c>
      <c r="CS113" s="62">
        <v>30.0</v>
      </c>
      <c r="CT113" s="62">
        <v>0.0</v>
      </c>
      <c r="CU113" s="62">
        <v>0.0</v>
      </c>
      <c r="CV113" s="62">
        <v>0.0</v>
      </c>
      <c r="CW113" s="62">
        <v>0.0</v>
      </c>
      <c r="CX113" s="62">
        <v>0.0</v>
      </c>
      <c r="CY113" s="62">
        <v>0.0</v>
      </c>
      <c r="CZ113" s="62">
        <v>0.0</v>
      </c>
      <c r="DA113" s="62">
        <v>0.0</v>
      </c>
      <c r="DB113" s="62">
        <v>0.0</v>
      </c>
      <c r="DC113" s="62">
        <v>0.0</v>
      </c>
      <c r="DD113" s="62">
        <v>0.0</v>
      </c>
      <c r="DE113" s="62">
        <v>1.5250818E7</v>
      </c>
      <c r="DF113" s="62">
        <v>455798.0</v>
      </c>
      <c r="DG113" s="62">
        <v>4781237.0</v>
      </c>
      <c r="DH113" s="62">
        <v>3312764.0</v>
      </c>
      <c r="DI113" s="62">
        <v>394715.0</v>
      </c>
      <c r="DJ113" s="62">
        <v>1019.0</v>
      </c>
      <c r="DK113" s="62">
        <v>0.0</v>
      </c>
      <c r="DL113" s="62">
        <v>0.0</v>
      </c>
      <c r="DM113" s="62">
        <v>0.0</v>
      </c>
      <c r="DN113" s="62">
        <v>0.0</v>
      </c>
      <c r="DO113" s="62">
        <v>0.0</v>
      </c>
      <c r="DP113" s="62">
        <v>80693.0</v>
      </c>
      <c r="DQ113" s="62">
        <v>1331257.0</v>
      </c>
      <c r="DR113" s="62">
        <v>61412.0</v>
      </c>
      <c r="DS113" s="62">
        <v>122565.0</v>
      </c>
      <c r="DT113" s="62">
        <v>0.0</v>
      </c>
      <c r="DU113" s="62">
        <v>0.0</v>
      </c>
      <c r="DV113" s="62">
        <v>40729.0</v>
      </c>
      <c r="DW113" s="62">
        <v>0.0</v>
      </c>
      <c r="DX113" s="62">
        <v>43794.0</v>
      </c>
      <c r="DY113" s="62">
        <v>76724.0</v>
      </c>
      <c r="DZ113" s="62">
        <v>106327.0</v>
      </c>
      <c r="EA113" s="62">
        <v>0.0</v>
      </c>
      <c r="EB113" s="62">
        <v>0.0</v>
      </c>
      <c r="EC113" s="62">
        <v>1152464.0</v>
      </c>
      <c r="ED113" s="62">
        <v>5225.0</v>
      </c>
      <c r="EE113" s="62">
        <v>0.0</v>
      </c>
      <c r="EF113" s="62">
        <v>0.0</v>
      </c>
      <c r="EG113" s="62">
        <v>107312.0</v>
      </c>
      <c r="EH113" s="62">
        <v>24838.0</v>
      </c>
      <c r="EI113" s="62">
        <v>922393.0</v>
      </c>
      <c r="EJ113" s="62">
        <v>259.0</v>
      </c>
      <c r="EK113" s="62">
        <v>24648.0</v>
      </c>
      <c r="EL113" s="62">
        <v>1803833.0</v>
      </c>
      <c r="EM113" s="62">
        <v>813864.0</v>
      </c>
      <c r="EN113" s="62">
        <v>574586.0</v>
      </c>
      <c r="EO113" s="62">
        <v>1790720.0</v>
      </c>
      <c r="EP113" s="62">
        <v>21947.0</v>
      </c>
      <c r="EQ113" s="62">
        <v>0.0</v>
      </c>
      <c r="ER113" s="62">
        <v>0.0</v>
      </c>
      <c r="ES113" s="62">
        <v>0.0</v>
      </c>
      <c r="ET113" s="62">
        <v>0.0</v>
      </c>
      <c r="EU113" s="62">
        <v>11913.0</v>
      </c>
      <c r="EV113" s="62">
        <v>42215.0</v>
      </c>
      <c r="EW113" s="62">
        <v>1481.0</v>
      </c>
      <c r="EX113" s="62">
        <v>390760.0</v>
      </c>
      <c r="EY113" s="62">
        <v>31401.0</v>
      </c>
      <c r="EZ113" s="62">
        <v>0.0</v>
      </c>
      <c r="FA113" s="62">
        <v>0.0</v>
      </c>
      <c r="FB113" s="62">
        <v>0.0</v>
      </c>
      <c r="FC113" s="62">
        <v>0.0</v>
      </c>
      <c r="FD113" s="62">
        <v>0.0</v>
      </c>
      <c r="FE113" s="62">
        <v>0.0</v>
      </c>
      <c r="FF113" s="62">
        <v>0.0</v>
      </c>
      <c r="FG113" s="62">
        <v>0.0</v>
      </c>
      <c r="FH113" s="62">
        <v>0.0</v>
      </c>
      <c r="FI113" s="62">
        <v>0.0</v>
      </c>
      <c r="FJ113" s="62">
        <v>0.0</v>
      </c>
      <c r="FK113" s="62">
        <v>0.0</v>
      </c>
      <c r="FL113" s="62">
        <v>0.0</v>
      </c>
      <c r="FM113" s="62">
        <v>0.0</v>
      </c>
      <c r="FN113" s="62">
        <v>0.0</v>
      </c>
      <c r="FO113" s="62">
        <v>0.0</v>
      </c>
      <c r="FP113" s="62">
        <v>0.0</v>
      </c>
      <c r="FQ113" s="62">
        <v>0.0</v>
      </c>
      <c r="FR113" s="62">
        <v>0.0</v>
      </c>
      <c r="FS113" s="62">
        <v>0.0</v>
      </c>
      <c r="FT113" s="62">
        <v>0.0</v>
      </c>
      <c r="FU113" s="62">
        <v>0.0</v>
      </c>
      <c r="FV113" s="62">
        <v>0.0</v>
      </c>
      <c r="FW113" s="62">
        <v>0.0</v>
      </c>
      <c r="FX113" s="62">
        <v>0.0</v>
      </c>
      <c r="FY113" s="62">
        <v>0.0</v>
      </c>
      <c r="FZ113" s="62">
        <v>0.0</v>
      </c>
      <c r="GA113" s="62">
        <v>0.0</v>
      </c>
      <c r="GB113" s="62">
        <v>0.0</v>
      </c>
      <c r="GC113" s="62">
        <v>0.0</v>
      </c>
      <c r="GD113" s="62">
        <v>0.0</v>
      </c>
      <c r="GE113" s="62">
        <v>0.0</v>
      </c>
      <c r="GF113" s="63">
        <v>3.8092523E7</v>
      </c>
      <c r="GG113" s="64">
        <v>0.0</v>
      </c>
      <c r="GH113" s="65">
        <v>0.0</v>
      </c>
      <c r="GI113" s="64">
        <v>0.0</v>
      </c>
      <c r="GJ113" s="64">
        <v>0.0</v>
      </c>
      <c r="GK113" s="64">
        <v>1334932.0</v>
      </c>
      <c r="GL113" s="64">
        <v>4.3638934E7</v>
      </c>
      <c r="GM113" s="64">
        <v>0.0</v>
      </c>
      <c r="GN113" s="63">
        <v>4.4973866E7</v>
      </c>
      <c r="GO113" s="66">
        <v>8.3066389E7</v>
      </c>
      <c r="GP113" s="64">
        <v>165374.0</v>
      </c>
      <c r="GQ113" s="64">
        <v>0.0</v>
      </c>
      <c r="GR113" s="65">
        <v>0.0</v>
      </c>
      <c r="GS113" s="63">
        <v>165374.0</v>
      </c>
      <c r="GT113" s="67">
        <v>1916277.0</v>
      </c>
      <c r="GU113" s="67">
        <v>160519.0</v>
      </c>
      <c r="GV113" s="67">
        <v>561915.0</v>
      </c>
      <c r="GW113" s="63">
        <v>2638711.0</v>
      </c>
      <c r="GX113" s="63">
        <v>8194.0</v>
      </c>
      <c r="GY113" s="63">
        <v>8.025411E7</v>
      </c>
      <c r="GZ113" s="66">
        <v>8.3066389E7</v>
      </c>
    </row>
    <row r="114" ht="15.75" customHeight="1">
      <c r="A114" s="60">
        <v>109.0</v>
      </c>
      <c r="B114" s="61" t="s">
        <v>154</v>
      </c>
      <c r="C114" s="62">
        <v>0.0</v>
      </c>
      <c r="D114" s="62">
        <v>643.0</v>
      </c>
      <c r="E114" s="62">
        <v>36.0</v>
      </c>
      <c r="F114" s="62">
        <v>0.0</v>
      </c>
      <c r="G114" s="62">
        <v>0.0</v>
      </c>
      <c r="H114" s="62">
        <v>77.0</v>
      </c>
      <c r="I114" s="62">
        <v>36.0</v>
      </c>
      <c r="J114" s="62">
        <v>20.0</v>
      </c>
      <c r="K114" s="62">
        <v>9.0</v>
      </c>
      <c r="L114" s="62">
        <v>780.0</v>
      </c>
      <c r="M114" s="62">
        <v>252.0</v>
      </c>
      <c r="N114" s="62">
        <v>101.0</v>
      </c>
      <c r="O114" s="62">
        <v>901.0</v>
      </c>
      <c r="P114" s="62">
        <v>0.0</v>
      </c>
      <c r="Q114" s="62">
        <v>0.0</v>
      </c>
      <c r="R114" s="62">
        <v>637.0</v>
      </c>
      <c r="S114" s="62">
        <v>33.0</v>
      </c>
      <c r="T114" s="62">
        <v>0.0</v>
      </c>
      <c r="U114" s="62">
        <v>14.0</v>
      </c>
      <c r="V114" s="62">
        <v>383.0</v>
      </c>
      <c r="W114" s="62">
        <v>12.0</v>
      </c>
      <c r="X114" s="62">
        <v>0.0</v>
      </c>
      <c r="Y114" s="62">
        <v>82.0</v>
      </c>
      <c r="Z114" s="62">
        <v>0.0</v>
      </c>
      <c r="AA114" s="62">
        <v>0.0</v>
      </c>
      <c r="AB114" s="62">
        <v>205.0</v>
      </c>
      <c r="AC114" s="62">
        <v>21.0</v>
      </c>
      <c r="AD114" s="62">
        <v>147.0</v>
      </c>
      <c r="AE114" s="62">
        <v>66.0</v>
      </c>
      <c r="AF114" s="62">
        <v>23125.0</v>
      </c>
      <c r="AG114" s="62">
        <v>3817.0</v>
      </c>
      <c r="AH114" s="62">
        <v>1579.0</v>
      </c>
      <c r="AI114" s="62">
        <v>1792.0</v>
      </c>
      <c r="AJ114" s="62">
        <v>665.0</v>
      </c>
      <c r="AK114" s="62">
        <v>46.0</v>
      </c>
      <c r="AL114" s="62">
        <v>289.0</v>
      </c>
      <c r="AM114" s="62">
        <v>393621.0</v>
      </c>
      <c r="AN114" s="62">
        <v>15450.0</v>
      </c>
      <c r="AO114" s="62">
        <v>50303.0</v>
      </c>
      <c r="AP114" s="62">
        <v>621.0</v>
      </c>
      <c r="AQ114" s="62">
        <v>39080.0</v>
      </c>
      <c r="AR114" s="62">
        <v>524.0</v>
      </c>
      <c r="AS114" s="62">
        <v>20971.0</v>
      </c>
      <c r="AT114" s="62">
        <v>1794.0</v>
      </c>
      <c r="AU114" s="62">
        <v>18960.0</v>
      </c>
      <c r="AV114" s="62">
        <v>9177.0</v>
      </c>
      <c r="AW114" s="62">
        <v>113.0</v>
      </c>
      <c r="AX114" s="62">
        <v>6953.0</v>
      </c>
      <c r="AY114" s="62">
        <v>89.0</v>
      </c>
      <c r="AZ114" s="62">
        <v>30.0</v>
      </c>
      <c r="BA114" s="62">
        <v>4189.0</v>
      </c>
      <c r="BB114" s="62">
        <v>16238.0</v>
      </c>
      <c r="BC114" s="62">
        <v>2547.0</v>
      </c>
      <c r="BD114" s="62">
        <v>198.0</v>
      </c>
      <c r="BE114" s="62">
        <v>1422.0</v>
      </c>
      <c r="BF114" s="62">
        <v>4955.0</v>
      </c>
      <c r="BG114" s="62">
        <v>3313.0</v>
      </c>
      <c r="BH114" s="62">
        <v>884.0</v>
      </c>
      <c r="BI114" s="62">
        <v>1459.0</v>
      </c>
      <c r="BJ114" s="62">
        <v>26824.0</v>
      </c>
      <c r="BK114" s="62">
        <v>2018.0</v>
      </c>
      <c r="BL114" s="62">
        <v>275.0</v>
      </c>
      <c r="BM114" s="62">
        <v>21.0</v>
      </c>
      <c r="BN114" s="62">
        <v>0.0</v>
      </c>
      <c r="BO114" s="62">
        <v>113.0</v>
      </c>
      <c r="BP114" s="62">
        <v>0.0</v>
      </c>
      <c r="BQ114" s="62">
        <v>0.0</v>
      </c>
      <c r="BR114" s="62">
        <v>49.0</v>
      </c>
      <c r="BS114" s="62">
        <v>0.0</v>
      </c>
      <c r="BT114" s="62">
        <v>37299.0</v>
      </c>
      <c r="BU114" s="62">
        <v>20799.0</v>
      </c>
      <c r="BV114" s="62">
        <v>6036.0</v>
      </c>
      <c r="BW114" s="62">
        <v>312.0</v>
      </c>
      <c r="BX114" s="62">
        <v>33792.0</v>
      </c>
      <c r="BY114" s="62">
        <v>17262.0</v>
      </c>
      <c r="BZ114" s="62">
        <v>1151.0</v>
      </c>
      <c r="CA114" s="62">
        <v>120734.0</v>
      </c>
      <c r="CB114" s="62">
        <v>25547.0</v>
      </c>
      <c r="CC114" s="62">
        <v>79336.0</v>
      </c>
      <c r="CD114" s="62">
        <v>1200.0</v>
      </c>
      <c r="CE114" s="62">
        <v>3177.0</v>
      </c>
      <c r="CF114" s="62">
        <v>945.0</v>
      </c>
      <c r="CG114" s="62">
        <v>18197.0</v>
      </c>
      <c r="CH114" s="62">
        <v>236225.0</v>
      </c>
      <c r="CI114" s="62">
        <v>423565.0</v>
      </c>
      <c r="CJ114" s="62">
        <v>59324.0</v>
      </c>
      <c r="CK114" s="62">
        <v>108939.0</v>
      </c>
      <c r="CL114" s="62">
        <v>29184.0</v>
      </c>
      <c r="CM114" s="62">
        <v>7390.0</v>
      </c>
      <c r="CN114" s="62">
        <v>3678.0</v>
      </c>
      <c r="CO114" s="62">
        <v>63551.0</v>
      </c>
      <c r="CP114" s="62">
        <v>51928.0</v>
      </c>
      <c r="CQ114" s="62">
        <v>305.0</v>
      </c>
      <c r="CR114" s="62">
        <v>15631.0</v>
      </c>
      <c r="CS114" s="62">
        <v>6060.0</v>
      </c>
      <c r="CT114" s="62">
        <v>88248.0</v>
      </c>
      <c r="CU114" s="62">
        <v>22280.0</v>
      </c>
      <c r="CV114" s="62">
        <v>58611.0</v>
      </c>
      <c r="CW114" s="62">
        <v>7621.0</v>
      </c>
      <c r="CX114" s="62">
        <v>3213.0</v>
      </c>
      <c r="CY114" s="62">
        <v>561.0</v>
      </c>
      <c r="CZ114" s="62">
        <v>16630.0</v>
      </c>
      <c r="DA114" s="62">
        <v>10944.0</v>
      </c>
      <c r="DB114" s="62">
        <v>21645.0</v>
      </c>
      <c r="DC114" s="62">
        <v>259903.0</v>
      </c>
      <c r="DD114" s="62">
        <v>7958.0</v>
      </c>
      <c r="DE114" s="62">
        <v>3904.0</v>
      </c>
      <c r="DF114" s="62">
        <v>53345.0</v>
      </c>
      <c r="DG114" s="62">
        <v>12511.0</v>
      </c>
      <c r="DH114" s="62">
        <v>659710.0</v>
      </c>
      <c r="DI114" s="62">
        <v>8898.0</v>
      </c>
      <c r="DJ114" s="62">
        <v>19731.0</v>
      </c>
      <c r="DK114" s="62">
        <v>25286.0</v>
      </c>
      <c r="DL114" s="62">
        <v>6551.0</v>
      </c>
      <c r="DM114" s="62">
        <v>13697.0</v>
      </c>
      <c r="DN114" s="62">
        <v>670.0</v>
      </c>
      <c r="DO114" s="62">
        <v>497.0</v>
      </c>
      <c r="DP114" s="62">
        <v>0.0</v>
      </c>
      <c r="DQ114" s="62">
        <v>9480.0</v>
      </c>
      <c r="DR114" s="62">
        <v>9780.0</v>
      </c>
      <c r="DS114" s="62">
        <v>2051.0</v>
      </c>
      <c r="DT114" s="62">
        <v>1776.0</v>
      </c>
      <c r="DU114" s="62">
        <v>270.0</v>
      </c>
      <c r="DV114" s="62">
        <v>0.0</v>
      </c>
      <c r="DW114" s="62">
        <v>20179.0</v>
      </c>
      <c r="DX114" s="62">
        <v>3067.0</v>
      </c>
      <c r="DY114" s="62">
        <v>161.0</v>
      </c>
      <c r="DZ114" s="62">
        <v>30626.0</v>
      </c>
      <c r="EA114" s="62">
        <v>10.0</v>
      </c>
      <c r="EB114" s="62">
        <v>85994.0</v>
      </c>
      <c r="EC114" s="62">
        <v>352597.0</v>
      </c>
      <c r="ED114" s="62">
        <v>66136.0</v>
      </c>
      <c r="EE114" s="62">
        <v>51855.0</v>
      </c>
      <c r="EF114" s="62">
        <v>50745.0</v>
      </c>
      <c r="EG114" s="62">
        <v>251704.0</v>
      </c>
      <c r="EH114" s="62">
        <v>385210.0</v>
      </c>
      <c r="EI114" s="62">
        <v>517.0</v>
      </c>
      <c r="EJ114" s="62">
        <v>7610.0</v>
      </c>
      <c r="EK114" s="62">
        <v>204944.0</v>
      </c>
      <c r="EL114" s="62">
        <v>90672.0</v>
      </c>
      <c r="EM114" s="62">
        <v>273918.0</v>
      </c>
      <c r="EN114" s="62">
        <v>42246.0</v>
      </c>
      <c r="EO114" s="62">
        <v>2827.0</v>
      </c>
      <c r="EP114" s="62">
        <v>60678.0</v>
      </c>
      <c r="EQ114" s="62">
        <v>34308.0</v>
      </c>
      <c r="ER114" s="62">
        <v>1170.0</v>
      </c>
      <c r="ES114" s="62">
        <v>15546.0</v>
      </c>
      <c r="ET114" s="62">
        <v>12261.0</v>
      </c>
      <c r="EU114" s="62">
        <v>990386.0</v>
      </c>
      <c r="EV114" s="62">
        <v>5391.0</v>
      </c>
      <c r="EW114" s="62">
        <v>6175.0</v>
      </c>
      <c r="EX114" s="62">
        <v>22297.0</v>
      </c>
      <c r="EY114" s="62">
        <v>2565135.0</v>
      </c>
      <c r="EZ114" s="62">
        <v>526251.0</v>
      </c>
      <c r="FA114" s="62">
        <v>433535.0</v>
      </c>
      <c r="FB114" s="62">
        <v>2197941.0</v>
      </c>
      <c r="FC114" s="62">
        <v>501.0</v>
      </c>
      <c r="FD114" s="62">
        <v>702800.0</v>
      </c>
      <c r="FE114" s="62">
        <v>445818.0</v>
      </c>
      <c r="FF114" s="62">
        <v>42539.0</v>
      </c>
      <c r="FG114" s="62">
        <v>365256.0</v>
      </c>
      <c r="FH114" s="62">
        <v>367366.0</v>
      </c>
      <c r="FI114" s="62">
        <v>113691.0</v>
      </c>
      <c r="FJ114" s="62">
        <v>6551.0</v>
      </c>
      <c r="FK114" s="62">
        <v>32138.0</v>
      </c>
      <c r="FL114" s="62">
        <v>9928.0</v>
      </c>
      <c r="FM114" s="62">
        <v>122932.0</v>
      </c>
      <c r="FN114" s="62">
        <v>71863.0</v>
      </c>
      <c r="FO114" s="62">
        <v>3347.0</v>
      </c>
      <c r="FP114" s="62">
        <v>14705.0</v>
      </c>
      <c r="FQ114" s="62">
        <v>726.0</v>
      </c>
      <c r="FR114" s="62">
        <v>4.0</v>
      </c>
      <c r="FS114" s="62">
        <v>16355.0</v>
      </c>
      <c r="FT114" s="62">
        <v>94584.0</v>
      </c>
      <c r="FU114" s="62">
        <v>182317.0</v>
      </c>
      <c r="FV114" s="62">
        <v>82584.0</v>
      </c>
      <c r="FW114" s="62">
        <v>67580.0</v>
      </c>
      <c r="FX114" s="62">
        <v>24697.0</v>
      </c>
      <c r="FY114" s="62">
        <v>2105654.0</v>
      </c>
      <c r="FZ114" s="62">
        <v>157.0</v>
      </c>
      <c r="GA114" s="62">
        <v>210151.0</v>
      </c>
      <c r="GB114" s="62">
        <v>76376.0</v>
      </c>
      <c r="GC114" s="62">
        <v>15523.0</v>
      </c>
      <c r="GD114" s="62">
        <v>5969.0</v>
      </c>
      <c r="GE114" s="62">
        <v>16817.0</v>
      </c>
      <c r="GF114" s="63">
        <v>1.7346318E7</v>
      </c>
      <c r="GG114" s="64">
        <v>298916.0</v>
      </c>
      <c r="GH114" s="65">
        <v>0.0</v>
      </c>
      <c r="GI114" s="64">
        <v>0.0</v>
      </c>
      <c r="GJ114" s="64">
        <v>1138564.0</v>
      </c>
      <c r="GK114" s="64">
        <v>-3938097.0</v>
      </c>
      <c r="GL114" s="64">
        <v>8338015.0</v>
      </c>
      <c r="GM114" s="64">
        <v>0.0</v>
      </c>
      <c r="GN114" s="63">
        <v>5837398.0</v>
      </c>
      <c r="GO114" s="66">
        <v>2.3183716E7</v>
      </c>
      <c r="GP114" s="64">
        <v>3913162.0</v>
      </c>
      <c r="GQ114" s="64">
        <v>0.0</v>
      </c>
      <c r="GR114" s="65">
        <v>0.0</v>
      </c>
      <c r="GS114" s="63">
        <v>3913162.0</v>
      </c>
      <c r="GT114" s="67">
        <v>1853534.0</v>
      </c>
      <c r="GU114" s="67">
        <v>1350136.0</v>
      </c>
      <c r="GV114" s="67">
        <v>203055.0</v>
      </c>
      <c r="GW114" s="63">
        <v>3406725.0</v>
      </c>
      <c r="GX114" s="63">
        <v>401110.0</v>
      </c>
      <c r="GY114" s="63">
        <v>1.5462719E7</v>
      </c>
      <c r="GZ114" s="66">
        <v>2.3183716E7</v>
      </c>
    </row>
    <row r="115" ht="15.75" customHeight="1">
      <c r="A115" s="68">
        <v>110.0</v>
      </c>
      <c r="B115" s="69" t="s">
        <v>155</v>
      </c>
      <c r="C115" s="70">
        <v>35367.0</v>
      </c>
      <c r="D115" s="70">
        <v>28866.0</v>
      </c>
      <c r="E115" s="70">
        <v>3291.0</v>
      </c>
      <c r="F115" s="70">
        <v>366.0</v>
      </c>
      <c r="G115" s="70">
        <v>494.0</v>
      </c>
      <c r="H115" s="70">
        <v>8045.0</v>
      </c>
      <c r="I115" s="70">
        <v>4926.0</v>
      </c>
      <c r="J115" s="70">
        <v>1944.0</v>
      </c>
      <c r="K115" s="70">
        <v>10.0</v>
      </c>
      <c r="L115" s="70">
        <v>317136.0</v>
      </c>
      <c r="M115" s="70">
        <v>12302.0</v>
      </c>
      <c r="N115" s="70">
        <v>19216.0</v>
      </c>
      <c r="O115" s="70">
        <v>71974.0</v>
      </c>
      <c r="P115" s="70">
        <v>1032.0</v>
      </c>
      <c r="Q115" s="70">
        <v>90931.0</v>
      </c>
      <c r="R115" s="70">
        <v>521761.0</v>
      </c>
      <c r="S115" s="70">
        <v>35805.0</v>
      </c>
      <c r="T115" s="70">
        <v>172588.0</v>
      </c>
      <c r="U115" s="70">
        <v>157223.0</v>
      </c>
      <c r="V115" s="70">
        <v>189708.0</v>
      </c>
      <c r="W115" s="70">
        <v>23519.0</v>
      </c>
      <c r="X115" s="70">
        <v>17409.0</v>
      </c>
      <c r="Y115" s="70">
        <v>146753.0</v>
      </c>
      <c r="Z115" s="70">
        <v>203562.0</v>
      </c>
      <c r="AA115" s="70">
        <v>14014.0</v>
      </c>
      <c r="AB115" s="70">
        <v>27342.0</v>
      </c>
      <c r="AC115" s="70">
        <v>4206.0</v>
      </c>
      <c r="AD115" s="70">
        <v>49983.0</v>
      </c>
      <c r="AE115" s="70">
        <v>6018.0</v>
      </c>
      <c r="AF115" s="70">
        <v>364102.0</v>
      </c>
      <c r="AG115" s="70">
        <v>63103.0</v>
      </c>
      <c r="AH115" s="70">
        <v>19427.0</v>
      </c>
      <c r="AI115" s="70">
        <v>276564.0</v>
      </c>
      <c r="AJ115" s="70">
        <v>32879.0</v>
      </c>
      <c r="AK115" s="70">
        <v>3739.0</v>
      </c>
      <c r="AL115" s="70">
        <v>9158.0</v>
      </c>
      <c r="AM115" s="70">
        <v>400899.0</v>
      </c>
      <c r="AN115" s="70">
        <v>190893.0</v>
      </c>
      <c r="AO115" s="70">
        <v>153492.0</v>
      </c>
      <c r="AP115" s="70">
        <v>1273.0</v>
      </c>
      <c r="AQ115" s="70">
        <v>80745.0</v>
      </c>
      <c r="AR115" s="70">
        <v>7534.0</v>
      </c>
      <c r="AS115" s="70">
        <v>224323.0</v>
      </c>
      <c r="AT115" s="70">
        <v>32455.0</v>
      </c>
      <c r="AU115" s="70">
        <v>69601.0</v>
      </c>
      <c r="AV115" s="70">
        <v>129806.0</v>
      </c>
      <c r="AW115" s="70">
        <v>239.0</v>
      </c>
      <c r="AX115" s="70">
        <v>786831.0</v>
      </c>
      <c r="AY115" s="70">
        <v>3744.0</v>
      </c>
      <c r="AZ115" s="70">
        <v>4274.0</v>
      </c>
      <c r="BA115" s="70">
        <v>29442.0</v>
      </c>
      <c r="BB115" s="70">
        <v>79275.0</v>
      </c>
      <c r="BC115" s="70">
        <v>126585.0</v>
      </c>
      <c r="BD115" s="70">
        <v>870659.0</v>
      </c>
      <c r="BE115" s="70">
        <v>18759.0</v>
      </c>
      <c r="BF115" s="70">
        <v>65980.0</v>
      </c>
      <c r="BG115" s="70">
        <v>86448.0</v>
      </c>
      <c r="BH115" s="70">
        <v>99781.0</v>
      </c>
      <c r="BI115" s="70">
        <v>17340.0</v>
      </c>
      <c r="BJ115" s="70">
        <v>94.0</v>
      </c>
      <c r="BK115" s="70">
        <v>20571.0</v>
      </c>
      <c r="BL115" s="70">
        <v>81.0</v>
      </c>
      <c r="BM115" s="70">
        <v>188.0</v>
      </c>
      <c r="BN115" s="70">
        <v>416.0</v>
      </c>
      <c r="BO115" s="70">
        <v>111208.0</v>
      </c>
      <c r="BP115" s="70">
        <v>100.0</v>
      </c>
      <c r="BQ115" s="70">
        <v>21605.0</v>
      </c>
      <c r="BR115" s="70">
        <v>336737.0</v>
      </c>
      <c r="BS115" s="70">
        <v>24189.0</v>
      </c>
      <c r="BT115" s="70">
        <v>821136.0</v>
      </c>
      <c r="BU115" s="70">
        <v>127830.0</v>
      </c>
      <c r="BV115" s="70">
        <v>12186.0</v>
      </c>
      <c r="BW115" s="70">
        <v>3734.0</v>
      </c>
      <c r="BX115" s="70">
        <v>722308.0</v>
      </c>
      <c r="BY115" s="70">
        <v>1263499.0</v>
      </c>
      <c r="BZ115" s="70">
        <v>84215.0</v>
      </c>
      <c r="CA115" s="70">
        <v>161700.0</v>
      </c>
      <c r="CB115" s="70">
        <v>345255.0</v>
      </c>
      <c r="CC115" s="70">
        <v>81082.0</v>
      </c>
      <c r="CD115" s="70">
        <v>37798.0</v>
      </c>
      <c r="CE115" s="70">
        <v>51386.0</v>
      </c>
      <c r="CF115" s="70">
        <v>501677.0</v>
      </c>
      <c r="CG115" s="70">
        <v>892764.0</v>
      </c>
      <c r="CH115" s="70">
        <v>127234.0</v>
      </c>
      <c r="CI115" s="70">
        <v>224042.0</v>
      </c>
      <c r="CJ115" s="70">
        <v>187739.0</v>
      </c>
      <c r="CK115" s="70">
        <v>399724.0</v>
      </c>
      <c r="CL115" s="70">
        <v>228155.0</v>
      </c>
      <c r="CM115" s="70">
        <v>94367.0</v>
      </c>
      <c r="CN115" s="70">
        <v>173801.0</v>
      </c>
      <c r="CO115" s="70">
        <v>203216.0</v>
      </c>
      <c r="CP115" s="70">
        <v>305273.0</v>
      </c>
      <c r="CQ115" s="70">
        <v>167971.0</v>
      </c>
      <c r="CR115" s="70">
        <v>241151.0</v>
      </c>
      <c r="CS115" s="70">
        <v>125269.0</v>
      </c>
      <c r="CT115" s="70">
        <v>834527.0</v>
      </c>
      <c r="CU115" s="70">
        <v>248133.0</v>
      </c>
      <c r="CV115" s="70">
        <v>1360176.0</v>
      </c>
      <c r="CW115" s="70">
        <v>247725.0</v>
      </c>
      <c r="CX115" s="70">
        <v>121755.0</v>
      </c>
      <c r="CY115" s="70">
        <v>5028.0</v>
      </c>
      <c r="CZ115" s="70">
        <v>213492.0</v>
      </c>
      <c r="DA115" s="70">
        <v>703778.0</v>
      </c>
      <c r="DB115" s="70">
        <v>172329.0</v>
      </c>
      <c r="DC115" s="70">
        <v>665458.0</v>
      </c>
      <c r="DD115" s="70">
        <v>364391.0</v>
      </c>
      <c r="DE115" s="70">
        <v>155526.0</v>
      </c>
      <c r="DF115" s="70">
        <v>186743.0</v>
      </c>
      <c r="DG115" s="70">
        <v>59925.0</v>
      </c>
      <c r="DH115" s="70">
        <v>543279.0</v>
      </c>
      <c r="DI115" s="70">
        <v>784042.0</v>
      </c>
      <c r="DJ115" s="70">
        <v>129750.0</v>
      </c>
      <c r="DK115" s="70">
        <v>160713.0</v>
      </c>
      <c r="DL115" s="70">
        <v>535596.0</v>
      </c>
      <c r="DM115" s="70">
        <v>195967.0</v>
      </c>
      <c r="DN115" s="70">
        <v>24208.0</v>
      </c>
      <c r="DO115" s="70">
        <v>293749.0</v>
      </c>
      <c r="DP115" s="70">
        <v>33563.0</v>
      </c>
      <c r="DQ115" s="70">
        <v>210478.0</v>
      </c>
      <c r="DR115" s="70">
        <v>427583.0</v>
      </c>
      <c r="DS115" s="70">
        <v>2613754.0</v>
      </c>
      <c r="DT115" s="70">
        <v>287949.0</v>
      </c>
      <c r="DU115" s="70">
        <v>642477.0</v>
      </c>
      <c r="DV115" s="70">
        <v>1901646.0</v>
      </c>
      <c r="DW115" s="70">
        <v>1220910.0</v>
      </c>
      <c r="DX115" s="70">
        <v>1116455.0</v>
      </c>
      <c r="DY115" s="70">
        <v>3524554.0</v>
      </c>
      <c r="DZ115" s="70">
        <v>2792087.0</v>
      </c>
      <c r="EA115" s="70">
        <v>313577.0</v>
      </c>
      <c r="EB115" s="70">
        <v>2823793.0</v>
      </c>
      <c r="EC115" s="70">
        <v>571323.0</v>
      </c>
      <c r="ED115" s="70">
        <v>99756.0</v>
      </c>
      <c r="EE115" s="70">
        <v>112637.0</v>
      </c>
      <c r="EF115" s="70">
        <v>6634.0</v>
      </c>
      <c r="EG115" s="70">
        <v>520284.0</v>
      </c>
      <c r="EH115" s="70">
        <v>3292214.0</v>
      </c>
      <c r="EI115" s="70">
        <v>1600226.0</v>
      </c>
      <c r="EJ115" s="70">
        <v>103587.0</v>
      </c>
      <c r="EK115" s="70">
        <v>342296.0</v>
      </c>
      <c r="EL115" s="70">
        <v>186518.0</v>
      </c>
      <c r="EM115" s="70">
        <v>649401.0</v>
      </c>
      <c r="EN115" s="70">
        <v>1222639.0</v>
      </c>
      <c r="EO115" s="70">
        <v>3268994.0</v>
      </c>
      <c r="EP115" s="70">
        <v>151837.0</v>
      </c>
      <c r="EQ115" s="70">
        <v>26283.0</v>
      </c>
      <c r="ER115" s="70">
        <v>461.0</v>
      </c>
      <c r="ES115" s="70">
        <v>23391.0</v>
      </c>
      <c r="ET115" s="70">
        <v>139020.0</v>
      </c>
      <c r="EU115" s="70">
        <v>3.4364548E7</v>
      </c>
      <c r="EV115" s="70">
        <v>4906646.0</v>
      </c>
      <c r="EW115" s="70">
        <v>120326.0</v>
      </c>
      <c r="EX115" s="70">
        <v>1614425.0</v>
      </c>
      <c r="EY115" s="70">
        <v>1.638596E7</v>
      </c>
      <c r="EZ115" s="70">
        <v>1706300.0</v>
      </c>
      <c r="FA115" s="70">
        <v>841898.0</v>
      </c>
      <c r="FB115" s="70">
        <v>3.5163448E7</v>
      </c>
      <c r="FC115" s="70">
        <v>7285.0</v>
      </c>
      <c r="FD115" s="70">
        <v>3038358.0</v>
      </c>
      <c r="FE115" s="70">
        <v>310827.0</v>
      </c>
      <c r="FF115" s="70">
        <v>137295.0</v>
      </c>
      <c r="FG115" s="70">
        <v>1472182.0</v>
      </c>
      <c r="FH115" s="70">
        <v>1409467.0</v>
      </c>
      <c r="FI115" s="70">
        <v>812470.0</v>
      </c>
      <c r="FJ115" s="70">
        <v>44494.0</v>
      </c>
      <c r="FK115" s="70">
        <v>443407.0</v>
      </c>
      <c r="FL115" s="70">
        <v>264697.0</v>
      </c>
      <c r="FM115" s="70">
        <v>269719.0</v>
      </c>
      <c r="FN115" s="70">
        <v>1022276.0</v>
      </c>
      <c r="FO115" s="70">
        <v>32515.0</v>
      </c>
      <c r="FP115" s="70">
        <v>3601123.0</v>
      </c>
      <c r="FQ115" s="70">
        <v>242207.0</v>
      </c>
      <c r="FR115" s="70">
        <v>21.0</v>
      </c>
      <c r="FS115" s="70">
        <v>419149.0</v>
      </c>
      <c r="FT115" s="70">
        <v>2586447.0</v>
      </c>
      <c r="FU115" s="70">
        <v>2909525.0</v>
      </c>
      <c r="FV115" s="70">
        <v>333238.0</v>
      </c>
      <c r="FW115" s="70">
        <v>1007054.0</v>
      </c>
      <c r="FX115" s="70">
        <v>426501.0</v>
      </c>
      <c r="FY115" s="70">
        <v>2458820.0</v>
      </c>
      <c r="FZ115" s="70">
        <v>61181.0</v>
      </c>
      <c r="GA115" s="70">
        <v>1887344.0</v>
      </c>
      <c r="GB115" s="70">
        <v>500192.0</v>
      </c>
      <c r="GC115" s="70">
        <v>222805.0</v>
      </c>
      <c r="GD115" s="70">
        <v>95704.0</v>
      </c>
      <c r="GE115" s="70">
        <v>510305.0</v>
      </c>
      <c r="GF115" s="71">
        <v>1.74377618E8</v>
      </c>
      <c r="GG115" s="72">
        <v>5.3866137E7</v>
      </c>
      <c r="GH115" s="73">
        <v>0.0</v>
      </c>
      <c r="GI115" s="72">
        <v>0.0</v>
      </c>
      <c r="GJ115" s="72">
        <v>3.2045694E7</v>
      </c>
      <c r="GK115" s="72">
        <v>-3.4037578E7</v>
      </c>
      <c r="GL115" s="72">
        <v>2.0898873E7</v>
      </c>
      <c r="GM115" s="72">
        <v>238777.0</v>
      </c>
      <c r="GN115" s="71">
        <v>7.3011903E7</v>
      </c>
      <c r="GO115" s="74">
        <v>2.47389521E8</v>
      </c>
      <c r="GP115" s="72">
        <v>4.2015847E7</v>
      </c>
      <c r="GQ115" s="72">
        <v>168467.0</v>
      </c>
      <c r="GR115" s="73">
        <v>0.0</v>
      </c>
      <c r="GS115" s="71">
        <v>4.2184314E7</v>
      </c>
      <c r="GT115" s="75">
        <v>1.0992086E7</v>
      </c>
      <c r="GU115" s="75">
        <v>1.8085211E7</v>
      </c>
      <c r="GV115" s="75">
        <v>1.2025216E7</v>
      </c>
      <c r="GW115" s="71">
        <v>4.1102513E7</v>
      </c>
      <c r="GX115" s="71">
        <v>7538689.0</v>
      </c>
      <c r="GY115" s="71">
        <v>1.56564005E8</v>
      </c>
      <c r="GZ115" s="74">
        <v>2.47389521E8</v>
      </c>
    </row>
    <row r="116" ht="15.75" customHeight="1">
      <c r="A116" s="52">
        <v>111.0</v>
      </c>
      <c r="B116" s="53" t="s">
        <v>156</v>
      </c>
      <c r="C116" s="54">
        <v>0.0</v>
      </c>
      <c r="D116" s="54">
        <v>0.0</v>
      </c>
      <c r="E116" s="54">
        <v>0.0</v>
      </c>
      <c r="F116" s="54">
        <v>0.0</v>
      </c>
      <c r="G116" s="54">
        <v>0.0</v>
      </c>
      <c r="H116" s="54">
        <v>0.0</v>
      </c>
      <c r="I116" s="54">
        <v>0.0</v>
      </c>
      <c r="J116" s="54">
        <v>0.0</v>
      </c>
      <c r="K116" s="54">
        <v>0.0</v>
      </c>
      <c r="L116" s="54">
        <v>4812.0</v>
      </c>
      <c r="M116" s="54">
        <v>408.0</v>
      </c>
      <c r="N116" s="54">
        <v>0.0</v>
      </c>
      <c r="O116" s="54">
        <v>0.0</v>
      </c>
      <c r="P116" s="54">
        <v>0.0</v>
      </c>
      <c r="Q116" s="54">
        <v>0.0</v>
      </c>
      <c r="R116" s="54">
        <v>20731.0</v>
      </c>
      <c r="S116" s="54">
        <v>24.0</v>
      </c>
      <c r="T116" s="54">
        <v>0.0</v>
      </c>
      <c r="U116" s="54">
        <v>0.0</v>
      </c>
      <c r="V116" s="54">
        <v>0.0</v>
      </c>
      <c r="W116" s="54">
        <v>0.0</v>
      </c>
      <c r="X116" s="54">
        <v>0.0</v>
      </c>
      <c r="Y116" s="54">
        <v>0.0</v>
      </c>
      <c r="Z116" s="54">
        <v>0.0</v>
      </c>
      <c r="AA116" s="54">
        <v>0.0</v>
      </c>
      <c r="AB116" s="54">
        <v>0.0</v>
      </c>
      <c r="AC116" s="54">
        <v>56.0</v>
      </c>
      <c r="AD116" s="54">
        <v>4786.0</v>
      </c>
      <c r="AE116" s="54">
        <v>0.0</v>
      </c>
      <c r="AF116" s="54">
        <v>35.0</v>
      </c>
      <c r="AG116" s="54">
        <v>74.0</v>
      </c>
      <c r="AH116" s="54">
        <v>20.0</v>
      </c>
      <c r="AI116" s="54">
        <v>26915.0</v>
      </c>
      <c r="AJ116" s="54">
        <v>1293.0</v>
      </c>
      <c r="AK116" s="54">
        <v>235.0</v>
      </c>
      <c r="AL116" s="54">
        <v>70.0</v>
      </c>
      <c r="AM116" s="54">
        <v>1292316.0</v>
      </c>
      <c r="AN116" s="54">
        <v>12399.0</v>
      </c>
      <c r="AO116" s="54">
        <v>135908.0</v>
      </c>
      <c r="AP116" s="54">
        <v>964.0</v>
      </c>
      <c r="AQ116" s="54">
        <v>4126.0</v>
      </c>
      <c r="AR116" s="54">
        <v>2014.0</v>
      </c>
      <c r="AS116" s="54">
        <v>14840.0</v>
      </c>
      <c r="AT116" s="54">
        <v>1765.0</v>
      </c>
      <c r="AU116" s="54">
        <v>0.0</v>
      </c>
      <c r="AV116" s="54">
        <v>0.0</v>
      </c>
      <c r="AW116" s="54">
        <v>0.0</v>
      </c>
      <c r="AX116" s="54">
        <v>0.0</v>
      </c>
      <c r="AY116" s="54">
        <v>0.0</v>
      </c>
      <c r="AZ116" s="54">
        <v>0.0</v>
      </c>
      <c r="BA116" s="54">
        <v>0.0</v>
      </c>
      <c r="BB116" s="54">
        <v>0.0</v>
      </c>
      <c r="BC116" s="54">
        <v>0.0</v>
      </c>
      <c r="BD116" s="54">
        <v>0.0</v>
      </c>
      <c r="BE116" s="54">
        <v>4712.0</v>
      </c>
      <c r="BF116" s="54">
        <v>17563.0</v>
      </c>
      <c r="BG116" s="54">
        <v>79859.0</v>
      </c>
      <c r="BH116" s="54">
        <v>10765.0</v>
      </c>
      <c r="BI116" s="54">
        <v>4717.0</v>
      </c>
      <c r="BJ116" s="54">
        <v>75663.0</v>
      </c>
      <c r="BK116" s="54">
        <v>15023.0</v>
      </c>
      <c r="BL116" s="54">
        <v>861.0</v>
      </c>
      <c r="BM116" s="54">
        <v>50.0</v>
      </c>
      <c r="BN116" s="54">
        <v>1068.0</v>
      </c>
      <c r="BO116" s="54">
        <v>400275.0</v>
      </c>
      <c r="BP116" s="54">
        <v>0.0</v>
      </c>
      <c r="BQ116" s="54">
        <v>0.0</v>
      </c>
      <c r="BR116" s="54">
        <v>44.0</v>
      </c>
      <c r="BS116" s="54">
        <v>7059.0</v>
      </c>
      <c r="BT116" s="54">
        <v>154039.0</v>
      </c>
      <c r="BU116" s="54">
        <v>5496.0</v>
      </c>
      <c r="BV116" s="54">
        <v>6159.0</v>
      </c>
      <c r="BW116" s="54">
        <v>8082.0</v>
      </c>
      <c r="BX116" s="54">
        <v>115519.0</v>
      </c>
      <c r="BY116" s="54">
        <v>157432.0</v>
      </c>
      <c r="BZ116" s="54">
        <v>2860.0</v>
      </c>
      <c r="CA116" s="54">
        <v>135353.0</v>
      </c>
      <c r="CB116" s="54">
        <v>84424.0</v>
      </c>
      <c r="CC116" s="54">
        <v>0.0</v>
      </c>
      <c r="CD116" s="54">
        <v>10540.0</v>
      </c>
      <c r="CE116" s="54">
        <v>0.0</v>
      </c>
      <c r="CF116" s="54">
        <v>130959.0</v>
      </c>
      <c r="CG116" s="54">
        <v>0.0</v>
      </c>
      <c r="CH116" s="54">
        <v>7624.0</v>
      </c>
      <c r="CI116" s="54">
        <v>76234.0</v>
      </c>
      <c r="CJ116" s="54">
        <v>0.0</v>
      </c>
      <c r="CK116" s="54">
        <v>0.0</v>
      </c>
      <c r="CL116" s="54">
        <v>131094.0</v>
      </c>
      <c r="CM116" s="54">
        <v>30250.0</v>
      </c>
      <c r="CN116" s="54">
        <v>0.0</v>
      </c>
      <c r="CO116" s="54">
        <v>0.0</v>
      </c>
      <c r="CP116" s="54">
        <v>0.0</v>
      </c>
      <c r="CQ116" s="54">
        <v>880.0</v>
      </c>
      <c r="CR116" s="54">
        <v>27164.0</v>
      </c>
      <c r="CS116" s="54">
        <v>2231.0</v>
      </c>
      <c r="CT116" s="54">
        <v>635184.0</v>
      </c>
      <c r="CU116" s="54">
        <v>61221.0</v>
      </c>
      <c r="CV116" s="54">
        <v>84754.0</v>
      </c>
      <c r="CW116" s="54">
        <v>24316.0</v>
      </c>
      <c r="CX116" s="54">
        <v>82690.0</v>
      </c>
      <c r="CY116" s="54">
        <v>3580.0</v>
      </c>
      <c r="CZ116" s="54">
        <v>34171.0</v>
      </c>
      <c r="DA116" s="54">
        <v>213897.0</v>
      </c>
      <c r="DB116" s="54">
        <v>189030.0</v>
      </c>
      <c r="DC116" s="54">
        <v>174512.0</v>
      </c>
      <c r="DD116" s="54">
        <v>13888.0</v>
      </c>
      <c r="DE116" s="54">
        <v>18260.0</v>
      </c>
      <c r="DF116" s="54">
        <v>12969.0</v>
      </c>
      <c r="DG116" s="54">
        <v>3877.0</v>
      </c>
      <c r="DH116" s="54">
        <v>155690.0</v>
      </c>
      <c r="DI116" s="54">
        <v>1413833.0</v>
      </c>
      <c r="DJ116" s="54">
        <v>331798.0</v>
      </c>
      <c r="DK116" s="54">
        <v>217784.0</v>
      </c>
      <c r="DL116" s="54">
        <v>524779.0</v>
      </c>
      <c r="DM116" s="54">
        <v>102611.0</v>
      </c>
      <c r="DN116" s="54">
        <v>21068.0</v>
      </c>
      <c r="DO116" s="54">
        <v>14321.0</v>
      </c>
      <c r="DP116" s="54">
        <v>0.0</v>
      </c>
      <c r="DQ116" s="54">
        <v>8427.0</v>
      </c>
      <c r="DR116" s="54">
        <v>48926.0</v>
      </c>
      <c r="DS116" s="54">
        <v>5184711.0</v>
      </c>
      <c r="DT116" s="54">
        <v>731589.0</v>
      </c>
      <c r="DU116" s="54">
        <v>792.0</v>
      </c>
      <c r="DV116" s="54">
        <v>3989.0</v>
      </c>
      <c r="DW116" s="54">
        <v>0.0</v>
      </c>
      <c r="DX116" s="54">
        <v>10029.0</v>
      </c>
      <c r="DY116" s="54">
        <v>109.0</v>
      </c>
      <c r="DZ116" s="54">
        <v>449487.0</v>
      </c>
      <c r="EA116" s="54">
        <v>45908.0</v>
      </c>
      <c r="EB116" s="54">
        <v>74935.0</v>
      </c>
      <c r="EC116" s="54">
        <v>1631041.0</v>
      </c>
      <c r="ED116" s="54">
        <v>911067.0</v>
      </c>
      <c r="EE116" s="54">
        <v>17171.0</v>
      </c>
      <c r="EF116" s="54">
        <v>15521.0</v>
      </c>
      <c r="EG116" s="54">
        <v>177353.0</v>
      </c>
      <c r="EH116" s="54">
        <v>1333662.0</v>
      </c>
      <c r="EI116" s="54">
        <v>7423.0</v>
      </c>
      <c r="EJ116" s="54">
        <v>21280.0</v>
      </c>
      <c r="EK116" s="54">
        <v>9402.0</v>
      </c>
      <c r="EL116" s="54">
        <v>12904.0</v>
      </c>
      <c r="EM116" s="54">
        <v>25313.0</v>
      </c>
      <c r="EN116" s="54">
        <v>113332.0</v>
      </c>
      <c r="EO116" s="54">
        <v>275534.0</v>
      </c>
      <c r="EP116" s="54">
        <v>117018.0</v>
      </c>
      <c r="EQ116" s="54">
        <v>0.0</v>
      </c>
      <c r="ER116" s="54">
        <v>0.0</v>
      </c>
      <c r="ES116" s="54">
        <v>0.0</v>
      </c>
      <c r="ET116" s="54">
        <v>8.0</v>
      </c>
      <c r="EU116" s="54">
        <v>1.9795243E7</v>
      </c>
      <c r="EV116" s="54">
        <v>1232905.0</v>
      </c>
      <c r="EW116" s="54">
        <v>40130.0</v>
      </c>
      <c r="EX116" s="54">
        <v>110687.0</v>
      </c>
      <c r="EY116" s="54">
        <v>1.101106E7</v>
      </c>
      <c r="EZ116" s="54">
        <v>24997.0</v>
      </c>
      <c r="FA116" s="54">
        <v>89145.0</v>
      </c>
      <c r="FB116" s="54">
        <v>484606.0</v>
      </c>
      <c r="FC116" s="54">
        <v>299288.0</v>
      </c>
      <c r="FD116" s="54">
        <v>4599231.0</v>
      </c>
      <c r="FE116" s="54">
        <v>718315.0</v>
      </c>
      <c r="FF116" s="54">
        <v>879.0</v>
      </c>
      <c r="FG116" s="54">
        <v>1632785.0</v>
      </c>
      <c r="FH116" s="54">
        <v>1108401.0</v>
      </c>
      <c r="FI116" s="54">
        <v>881.0</v>
      </c>
      <c r="FJ116" s="54">
        <v>6173.0</v>
      </c>
      <c r="FK116" s="54">
        <v>40836.0</v>
      </c>
      <c r="FL116" s="54">
        <v>26788.0</v>
      </c>
      <c r="FM116" s="54">
        <v>403977.0</v>
      </c>
      <c r="FN116" s="54">
        <v>8838.0</v>
      </c>
      <c r="FO116" s="54">
        <v>18117.0</v>
      </c>
      <c r="FP116" s="54">
        <v>3471.0</v>
      </c>
      <c r="FQ116" s="54">
        <v>0.0</v>
      </c>
      <c r="FR116" s="54">
        <v>0.0</v>
      </c>
      <c r="FS116" s="54">
        <v>0.0</v>
      </c>
      <c r="FT116" s="54">
        <v>115375.0</v>
      </c>
      <c r="FU116" s="54">
        <v>896621.0</v>
      </c>
      <c r="FV116" s="54">
        <v>95571.0</v>
      </c>
      <c r="FW116" s="54">
        <v>12686.0</v>
      </c>
      <c r="FX116" s="54">
        <v>26150.0</v>
      </c>
      <c r="FY116" s="54">
        <v>28089.0</v>
      </c>
      <c r="FZ116" s="54">
        <v>168.0</v>
      </c>
      <c r="GA116" s="54">
        <v>333632.0</v>
      </c>
      <c r="GB116" s="54">
        <v>67778.0</v>
      </c>
      <c r="GC116" s="54">
        <v>4892.0</v>
      </c>
      <c r="GD116" s="54">
        <v>4471.0</v>
      </c>
      <c r="GE116" s="54">
        <v>26438.0</v>
      </c>
      <c r="GF116" s="55">
        <v>6.2057578E7</v>
      </c>
      <c r="GG116" s="56">
        <v>3981710.0</v>
      </c>
      <c r="GH116" s="57">
        <v>0.0</v>
      </c>
      <c r="GI116" s="56">
        <v>0.0</v>
      </c>
      <c r="GJ116" s="56">
        <v>5806105.0</v>
      </c>
      <c r="GK116" s="56">
        <v>-2771468.0</v>
      </c>
      <c r="GL116" s="56">
        <v>4034096.0</v>
      </c>
      <c r="GM116" s="56">
        <v>50887.0</v>
      </c>
      <c r="GN116" s="55">
        <v>1.110133E7</v>
      </c>
      <c r="GO116" s="58">
        <v>7.3158908E7</v>
      </c>
      <c r="GP116" s="56">
        <v>5212708.0</v>
      </c>
      <c r="GQ116" s="56">
        <v>35913.0</v>
      </c>
      <c r="GR116" s="57">
        <v>0.0</v>
      </c>
      <c r="GS116" s="55">
        <v>5248621.0</v>
      </c>
      <c r="GT116" s="59">
        <v>1.0791021E7</v>
      </c>
      <c r="GU116" s="59">
        <v>8427628.0</v>
      </c>
      <c r="GV116" s="59">
        <v>1052450.0</v>
      </c>
      <c r="GW116" s="55">
        <v>2.0271099E7</v>
      </c>
      <c r="GX116" s="55">
        <v>893219.0</v>
      </c>
      <c r="GY116" s="55">
        <v>4.6745969E7</v>
      </c>
      <c r="GZ116" s="58">
        <v>7.3158908E7</v>
      </c>
    </row>
    <row r="117" ht="15.75" customHeight="1">
      <c r="A117" s="60">
        <v>112.0</v>
      </c>
      <c r="B117" s="61" t="s">
        <v>157</v>
      </c>
      <c r="C117" s="62">
        <v>0.0</v>
      </c>
      <c r="D117" s="62">
        <v>0.0</v>
      </c>
      <c r="E117" s="62">
        <v>0.0</v>
      </c>
      <c r="F117" s="62">
        <v>0.0</v>
      </c>
      <c r="G117" s="62">
        <v>0.0</v>
      </c>
      <c r="H117" s="62">
        <v>0.0</v>
      </c>
      <c r="I117" s="62">
        <v>0.0</v>
      </c>
      <c r="J117" s="62">
        <v>0.0</v>
      </c>
      <c r="K117" s="62">
        <v>0.0</v>
      </c>
      <c r="L117" s="62">
        <v>2971.0</v>
      </c>
      <c r="M117" s="62">
        <v>239.0</v>
      </c>
      <c r="N117" s="62">
        <v>119.0</v>
      </c>
      <c r="O117" s="62">
        <v>115.0</v>
      </c>
      <c r="P117" s="62">
        <v>0.0</v>
      </c>
      <c r="Q117" s="62">
        <v>0.0</v>
      </c>
      <c r="R117" s="62">
        <v>9732.0</v>
      </c>
      <c r="S117" s="62">
        <v>195.0</v>
      </c>
      <c r="T117" s="62">
        <v>0.0</v>
      </c>
      <c r="U117" s="62">
        <v>0.0</v>
      </c>
      <c r="V117" s="62">
        <v>0.0</v>
      </c>
      <c r="W117" s="62">
        <v>0.0</v>
      </c>
      <c r="X117" s="62">
        <v>0.0</v>
      </c>
      <c r="Y117" s="62">
        <v>0.0</v>
      </c>
      <c r="Z117" s="62">
        <v>0.0</v>
      </c>
      <c r="AA117" s="62">
        <v>0.0</v>
      </c>
      <c r="AB117" s="62">
        <v>360.0</v>
      </c>
      <c r="AC117" s="62">
        <v>27.0</v>
      </c>
      <c r="AD117" s="62">
        <v>2271.0</v>
      </c>
      <c r="AE117" s="62">
        <v>0.0</v>
      </c>
      <c r="AF117" s="62">
        <v>44.0</v>
      </c>
      <c r="AG117" s="62">
        <v>46.0</v>
      </c>
      <c r="AH117" s="62">
        <v>13.0</v>
      </c>
      <c r="AI117" s="62">
        <v>6416.0</v>
      </c>
      <c r="AJ117" s="62">
        <v>590.0</v>
      </c>
      <c r="AK117" s="62">
        <v>110.0</v>
      </c>
      <c r="AL117" s="62">
        <v>71.0</v>
      </c>
      <c r="AM117" s="62">
        <v>0.0</v>
      </c>
      <c r="AN117" s="62">
        <v>0.0</v>
      </c>
      <c r="AO117" s="62">
        <v>0.0</v>
      </c>
      <c r="AP117" s="62">
        <v>0.0</v>
      </c>
      <c r="AQ117" s="62">
        <v>0.0</v>
      </c>
      <c r="AR117" s="62">
        <v>0.0</v>
      </c>
      <c r="AS117" s="62">
        <v>0.0</v>
      </c>
      <c r="AT117" s="62">
        <v>0.0</v>
      </c>
      <c r="AU117" s="62">
        <v>0.0</v>
      </c>
      <c r="AV117" s="62">
        <v>0.0</v>
      </c>
      <c r="AW117" s="62">
        <v>0.0</v>
      </c>
      <c r="AX117" s="62">
        <v>0.0</v>
      </c>
      <c r="AY117" s="62">
        <v>0.0</v>
      </c>
      <c r="AZ117" s="62">
        <v>0.0</v>
      </c>
      <c r="BA117" s="62">
        <v>0.0</v>
      </c>
      <c r="BB117" s="62">
        <v>0.0</v>
      </c>
      <c r="BC117" s="62">
        <v>0.0</v>
      </c>
      <c r="BD117" s="62">
        <v>0.0</v>
      </c>
      <c r="BE117" s="62">
        <v>2.0</v>
      </c>
      <c r="BF117" s="62">
        <v>46.0</v>
      </c>
      <c r="BG117" s="62">
        <v>0.0</v>
      </c>
      <c r="BH117" s="62">
        <v>0.0</v>
      </c>
      <c r="BI117" s="62">
        <v>0.0</v>
      </c>
      <c r="BJ117" s="62">
        <v>0.0</v>
      </c>
      <c r="BK117" s="62">
        <v>0.0</v>
      </c>
      <c r="BL117" s="62">
        <v>0.0</v>
      </c>
      <c r="BM117" s="62">
        <v>0.0</v>
      </c>
      <c r="BN117" s="62">
        <v>0.0</v>
      </c>
      <c r="BO117" s="62">
        <v>0.0</v>
      </c>
      <c r="BP117" s="62">
        <v>0.0</v>
      </c>
      <c r="BQ117" s="62">
        <v>0.0</v>
      </c>
      <c r="BR117" s="62">
        <v>0.0</v>
      </c>
      <c r="BS117" s="62">
        <v>0.0</v>
      </c>
      <c r="BT117" s="62">
        <v>0.0</v>
      </c>
      <c r="BU117" s="62">
        <v>292.0</v>
      </c>
      <c r="BV117" s="62">
        <v>0.0</v>
      </c>
      <c r="BW117" s="62">
        <v>0.0</v>
      </c>
      <c r="BX117" s="62">
        <v>202.0</v>
      </c>
      <c r="BY117" s="62">
        <v>49.0</v>
      </c>
      <c r="BZ117" s="62">
        <v>0.0</v>
      </c>
      <c r="CA117" s="62">
        <v>0.0</v>
      </c>
      <c r="CB117" s="62">
        <v>0.0</v>
      </c>
      <c r="CC117" s="62">
        <v>0.0</v>
      </c>
      <c r="CD117" s="62">
        <v>0.0</v>
      </c>
      <c r="CE117" s="62">
        <v>0.0</v>
      </c>
      <c r="CF117" s="62">
        <v>0.0</v>
      </c>
      <c r="CG117" s="62">
        <v>0.0</v>
      </c>
      <c r="CH117" s="62">
        <v>0.0</v>
      </c>
      <c r="CI117" s="62">
        <v>0.0</v>
      </c>
      <c r="CJ117" s="62">
        <v>0.0</v>
      </c>
      <c r="CK117" s="62">
        <v>0.0</v>
      </c>
      <c r="CL117" s="62">
        <v>0.0</v>
      </c>
      <c r="CM117" s="62">
        <v>0.0</v>
      </c>
      <c r="CN117" s="62">
        <v>0.0</v>
      </c>
      <c r="CO117" s="62">
        <v>0.0</v>
      </c>
      <c r="CP117" s="62">
        <v>0.0</v>
      </c>
      <c r="CQ117" s="62">
        <v>0.0</v>
      </c>
      <c r="CR117" s="62">
        <v>16893.0</v>
      </c>
      <c r="CS117" s="62">
        <v>0.0</v>
      </c>
      <c r="CT117" s="62">
        <v>0.0</v>
      </c>
      <c r="CU117" s="62">
        <v>0.0</v>
      </c>
      <c r="CV117" s="62">
        <v>0.0</v>
      </c>
      <c r="CW117" s="62">
        <v>0.0</v>
      </c>
      <c r="CX117" s="62">
        <v>0.0</v>
      </c>
      <c r="CY117" s="62">
        <v>0.0</v>
      </c>
      <c r="CZ117" s="62">
        <v>0.0</v>
      </c>
      <c r="DA117" s="62">
        <v>0.0</v>
      </c>
      <c r="DB117" s="62">
        <v>0.0</v>
      </c>
      <c r="DC117" s="62">
        <v>0.0</v>
      </c>
      <c r="DD117" s="62">
        <v>0.0</v>
      </c>
      <c r="DE117" s="62">
        <v>0.0</v>
      </c>
      <c r="DF117" s="62">
        <v>55.0</v>
      </c>
      <c r="DG117" s="62">
        <v>4.0</v>
      </c>
      <c r="DH117" s="62">
        <v>1888.0</v>
      </c>
      <c r="DI117" s="62">
        <v>0.0</v>
      </c>
      <c r="DJ117" s="62">
        <v>444091.0</v>
      </c>
      <c r="DK117" s="62">
        <v>311.0</v>
      </c>
      <c r="DL117" s="62">
        <v>1302.0</v>
      </c>
      <c r="DM117" s="62">
        <v>4.0</v>
      </c>
      <c r="DN117" s="62">
        <v>2456.0</v>
      </c>
      <c r="DO117" s="62">
        <v>609.0</v>
      </c>
      <c r="DP117" s="62">
        <v>0.0</v>
      </c>
      <c r="DQ117" s="62">
        <v>28.0</v>
      </c>
      <c r="DR117" s="62">
        <v>5837.0</v>
      </c>
      <c r="DS117" s="62">
        <v>2499.0</v>
      </c>
      <c r="DT117" s="62">
        <v>92914.0</v>
      </c>
      <c r="DU117" s="62">
        <v>0.0</v>
      </c>
      <c r="DV117" s="62">
        <v>0.0</v>
      </c>
      <c r="DW117" s="62">
        <v>0.0</v>
      </c>
      <c r="DX117" s="62">
        <v>420.0</v>
      </c>
      <c r="DY117" s="62">
        <v>0.0</v>
      </c>
      <c r="DZ117" s="62">
        <v>46.0</v>
      </c>
      <c r="EA117" s="62">
        <v>22.0</v>
      </c>
      <c r="EB117" s="62">
        <v>72835.0</v>
      </c>
      <c r="EC117" s="62">
        <v>0.0</v>
      </c>
      <c r="ED117" s="62">
        <v>349454.0</v>
      </c>
      <c r="EE117" s="62">
        <v>0.0</v>
      </c>
      <c r="EF117" s="62">
        <v>0.0</v>
      </c>
      <c r="EG117" s="62">
        <v>0.0</v>
      </c>
      <c r="EH117" s="62">
        <v>161.0</v>
      </c>
      <c r="EI117" s="62">
        <v>12.0</v>
      </c>
      <c r="EJ117" s="62">
        <v>410.0</v>
      </c>
      <c r="EK117" s="62">
        <v>0.0</v>
      </c>
      <c r="EL117" s="62">
        <v>0.0</v>
      </c>
      <c r="EM117" s="62">
        <v>296.0</v>
      </c>
      <c r="EN117" s="62">
        <v>0.0</v>
      </c>
      <c r="EO117" s="62">
        <v>152.0</v>
      </c>
      <c r="EP117" s="62">
        <v>7807.0</v>
      </c>
      <c r="EQ117" s="62">
        <v>0.0</v>
      </c>
      <c r="ER117" s="62">
        <v>0.0</v>
      </c>
      <c r="ES117" s="62">
        <v>0.0</v>
      </c>
      <c r="ET117" s="62">
        <v>5.0</v>
      </c>
      <c r="EU117" s="62">
        <v>4.7471184E7</v>
      </c>
      <c r="EV117" s="62">
        <v>2379916.0</v>
      </c>
      <c r="EW117" s="62">
        <v>685315.0</v>
      </c>
      <c r="EX117" s="62">
        <v>1044815.0</v>
      </c>
      <c r="EY117" s="62">
        <v>1.0602811E7</v>
      </c>
      <c r="EZ117" s="62">
        <v>0.0</v>
      </c>
      <c r="FA117" s="62">
        <v>0.0</v>
      </c>
      <c r="FB117" s="62">
        <v>0.0</v>
      </c>
      <c r="FC117" s="62">
        <v>0.0</v>
      </c>
      <c r="FD117" s="62">
        <v>0.0</v>
      </c>
      <c r="FE117" s="62">
        <v>0.0</v>
      </c>
      <c r="FF117" s="62">
        <v>0.0</v>
      </c>
      <c r="FG117" s="62">
        <v>0.0</v>
      </c>
      <c r="FH117" s="62">
        <v>3019.0</v>
      </c>
      <c r="FI117" s="62">
        <v>0.0</v>
      </c>
      <c r="FJ117" s="62">
        <v>351.0</v>
      </c>
      <c r="FK117" s="62">
        <v>1312.0</v>
      </c>
      <c r="FL117" s="62">
        <v>96.0</v>
      </c>
      <c r="FM117" s="62">
        <v>41.0</v>
      </c>
      <c r="FN117" s="62">
        <v>0.0</v>
      </c>
      <c r="FO117" s="62">
        <v>0.0</v>
      </c>
      <c r="FP117" s="62">
        <v>8851.0</v>
      </c>
      <c r="FQ117" s="62">
        <v>0.0</v>
      </c>
      <c r="FR117" s="62">
        <v>0.0</v>
      </c>
      <c r="FS117" s="62">
        <v>0.0</v>
      </c>
      <c r="FT117" s="62">
        <v>2435386.0</v>
      </c>
      <c r="FU117" s="62">
        <v>99.0</v>
      </c>
      <c r="FV117" s="62">
        <v>359475.0</v>
      </c>
      <c r="FW117" s="62">
        <v>353.0</v>
      </c>
      <c r="FX117" s="62">
        <v>641.0</v>
      </c>
      <c r="FY117" s="62">
        <v>833.0</v>
      </c>
      <c r="FZ117" s="62">
        <v>92.0</v>
      </c>
      <c r="GA117" s="62">
        <v>253419.0</v>
      </c>
      <c r="GB117" s="62">
        <v>206293.0</v>
      </c>
      <c r="GC117" s="62">
        <v>5063.0</v>
      </c>
      <c r="GD117" s="62">
        <v>152.0</v>
      </c>
      <c r="GE117" s="62">
        <v>1799.0</v>
      </c>
      <c r="GF117" s="63">
        <v>6.6485737E7</v>
      </c>
      <c r="GG117" s="64">
        <v>4845876.0</v>
      </c>
      <c r="GH117" s="65">
        <v>0.0</v>
      </c>
      <c r="GI117" s="64">
        <v>0.0</v>
      </c>
      <c r="GJ117" s="64">
        <v>5712670.0</v>
      </c>
      <c r="GK117" s="64">
        <v>-6105674.0</v>
      </c>
      <c r="GL117" s="64">
        <v>4024886.0</v>
      </c>
      <c r="GM117" s="64">
        <v>254418.0</v>
      </c>
      <c r="GN117" s="63">
        <v>8732176.0</v>
      </c>
      <c r="GO117" s="66">
        <v>7.5217913E7</v>
      </c>
      <c r="GP117" s="64">
        <v>1.0171301E7</v>
      </c>
      <c r="GQ117" s="64">
        <v>82279.0</v>
      </c>
      <c r="GR117" s="65">
        <v>0.0</v>
      </c>
      <c r="GS117" s="63">
        <v>1.025358E7</v>
      </c>
      <c r="GT117" s="67">
        <v>8830687.0</v>
      </c>
      <c r="GU117" s="67">
        <v>6174043.0</v>
      </c>
      <c r="GV117" s="67">
        <v>1338643.0</v>
      </c>
      <c r="GW117" s="63">
        <v>1.6343373E7</v>
      </c>
      <c r="GX117" s="63">
        <v>1446270.0</v>
      </c>
      <c r="GY117" s="63">
        <v>4.717469E7</v>
      </c>
      <c r="GZ117" s="66">
        <v>7.5217913E7</v>
      </c>
    </row>
    <row r="118" ht="15.75" customHeight="1">
      <c r="A118" s="60">
        <v>113.0</v>
      </c>
      <c r="B118" s="61" t="s">
        <v>158</v>
      </c>
      <c r="C118" s="62">
        <v>0.0</v>
      </c>
      <c r="D118" s="62">
        <v>0.0</v>
      </c>
      <c r="E118" s="62">
        <v>0.0</v>
      </c>
      <c r="F118" s="62">
        <v>0.0</v>
      </c>
      <c r="G118" s="62">
        <v>0.0</v>
      </c>
      <c r="H118" s="62">
        <v>0.0</v>
      </c>
      <c r="I118" s="62">
        <v>0.0</v>
      </c>
      <c r="J118" s="62">
        <v>0.0</v>
      </c>
      <c r="K118" s="62">
        <v>0.0</v>
      </c>
      <c r="L118" s="62">
        <v>0.0</v>
      </c>
      <c r="M118" s="62">
        <v>0.0</v>
      </c>
      <c r="N118" s="62">
        <v>0.0</v>
      </c>
      <c r="O118" s="62">
        <v>0.0</v>
      </c>
      <c r="P118" s="62">
        <v>0.0</v>
      </c>
      <c r="Q118" s="62">
        <v>0.0</v>
      </c>
      <c r="R118" s="62">
        <v>0.0</v>
      </c>
      <c r="S118" s="62">
        <v>0.0</v>
      </c>
      <c r="T118" s="62">
        <v>0.0</v>
      </c>
      <c r="U118" s="62">
        <v>0.0</v>
      </c>
      <c r="V118" s="62">
        <v>0.0</v>
      </c>
      <c r="W118" s="62">
        <v>0.0</v>
      </c>
      <c r="X118" s="62">
        <v>0.0</v>
      </c>
      <c r="Y118" s="62">
        <v>0.0</v>
      </c>
      <c r="Z118" s="62">
        <v>0.0</v>
      </c>
      <c r="AA118" s="62">
        <v>0.0</v>
      </c>
      <c r="AB118" s="62">
        <v>0.0</v>
      </c>
      <c r="AC118" s="62">
        <v>0.0</v>
      </c>
      <c r="AD118" s="62">
        <v>0.0</v>
      </c>
      <c r="AE118" s="62">
        <v>0.0</v>
      </c>
      <c r="AF118" s="62">
        <v>0.0</v>
      </c>
      <c r="AG118" s="62">
        <v>0.0</v>
      </c>
      <c r="AH118" s="62">
        <v>0.0</v>
      </c>
      <c r="AI118" s="62">
        <v>0.0</v>
      </c>
      <c r="AJ118" s="62">
        <v>0.0</v>
      </c>
      <c r="AK118" s="62">
        <v>0.0</v>
      </c>
      <c r="AL118" s="62">
        <v>0.0</v>
      </c>
      <c r="AM118" s="62">
        <v>0.0</v>
      </c>
      <c r="AN118" s="62">
        <v>0.0</v>
      </c>
      <c r="AO118" s="62">
        <v>0.0</v>
      </c>
      <c r="AP118" s="62">
        <v>0.0</v>
      </c>
      <c r="AQ118" s="62">
        <v>0.0</v>
      </c>
      <c r="AR118" s="62">
        <v>0.0</v>
      </c>
      <c r="AS118" s="62">
        <v>0.0</v>
      </c>
      <c r="AT118" s="62">
        <v>0.0</v>
      </c>
      <c r="AU118" s="62">
        <v>0.0</v>
      </c>
      <c r="AV118" s="62">
        <v>0.0</v>
      </c>
      <c r="AW118" s="62">
        <v>0.0</v>
      </c>
      <c r="AX118" s="62">
        <v>0.0</v>
      </c>
      <c r="AY118" s="62">
        <v>0.0</v>
      </c>
      <c r="AZ118" s="62">
        <v>0.0</v>
      </c>
      <c r="BA118" s="62">
        <v>0.0</v>
      </c>
      <c r="BB118" s="62">
        <v>0.0</v>
      </c>
      <c r="BC118" s="62">
        <v>0.0</v>
      </c>
      <c r="BD118" s="62">
        <v>0.0</v>
      </c>
      <c r="BE118" s="62">
        <v>0.0</v>
      </c>
      <c r="BF118" s="62">
        <v>0.0</v>
      </c>
      <c r="BG118" s="62">
        <v>0.0</v>
      </c>
      <c r="BH118" s="62">
        <v>0.0</v>
      </c>
      <c r="BI118" s="62">
        <v>0.0</v>
      </c>
      <c r="BJ118" s="62">
        <v>0.0</v>
      </c>
      <c r="BK118" s="62">
        <v>0.0</v>
      </c>
      <c r="BL118" s="62">
        <v>0.0</v>
      </c>
      <c r="BM118" s="62">
        <v>0.0</v>
      </c>
      <c r="BN118" s="62">
        <v>0.0</v>
      </c>
      <c r="BO118" s="62">
        <v>0.0</v>
      </c>
      <c r="BP118" s="62">
        <v>0.0</v>
      </c>
      <c r="BQ118" s="62">
        <v>0.0</v>
      </c>
      <c r="BR118" s="62">
        <v>0.0</v>
      </c>
      <c r="BS118" s="62">
        <v>0.0</v>
      </c>
      <c r="BT118" s="62">
        <v>0.0</v>
      </c>
      <c r="BU118" s="62">
        <v>0.0</v>
      </c>
      <c r="BV118" s="62">
        <v>0.0</v>
      </c>
      <c r="BW118" s="62">
        <v>0.0</v>
      </c>
      <c r="BX118" s="62">
        <v>0.0</v>
      </c>
      <c r="BY118" s="62">
        <v>0.0</v>
      </c>
      <c r="BZ118" s="62">
        <v>0.0</v>
      </c>
      <c r="CA118" s="62">
        <v>0.0</v>
      </c>
      <c r="CB118" s="62">
        <v>0.0</v>
      </c>
      <c r="CC118" s="62">
        <v>0.0</v>
      </c>
      <c r="CD118" s="62">
        <v>0.0</v>
      </c>
      <c r="CE118" s="62">
        <v>0.0</v>
      </c>
      <c r="CF118" s="62">
        <v>0.0</v>
      </c>
      <c r="CG118" s="62">
        <v>0.0</v>
      </c>
      <c r="CH118" s="62">
        <v>0.0</v>
      </c>
      <c r="CI118" s="62">
        <v>0.0</v>
      </c>
      <c r="CJ118" s="62">
        <v>0.0</v>
      </c>
      <c r="CK118" s="62">
        <v>0.0</v>
      </c>
      <c r="CL118" s="62">
        <v>0.0</v>
      </c>
      <c r="CM118" s="62">
        <v>0.0</v>
      </c>
      <c r="CN118" s="62">
        <v>0.0</v>
      </c>
      <c r="CO118" s="62">
        <v>0.0</v>
      </c>
      <c r="CP118" s="62">
        <v>0.0</v>
      </c>
      <c r="CQ118" s="62">
        <v>0.0</v>
      </c>
      <c r="CR118" s="62">
        <v>1428617.0</v>
      </c>
      <c r="CS118" s="62">
        <v>0.0</v>
      </c>
      <c r="CT118" s="62">
        <v>0.0</v>
      </c>
      <c r="CU118" s="62">
        <v>0.0</v>
      </c>
      <c r="CV118" s="62">
        <v>0.0</v>
      </c>
      <c r="CW118" s="62">
        <v>0.0</v>
      </c>
      <c r="CX118" s="62">
        <v>0.0</v>
      </c>
      <c r="CY118" s="62">
        <v>0.0</v>
      </c>
      <c r="CZ118" s="62">
        <v>0.0</v>
      </c>
      <c r="DA118" s="62">
        <v>0.0</v>
      </c>
      <c r="DB118" s="62">
        <v>0.0</v>
      </c>
      <c r="DC118" s="62">
        <v>0.0</v>
      </c>
      <c r="DD118" s="62">
        <v>0.0</v>
      </c>
      <c r="DE118" s="62">
        <v>0.0</v>
      </c>
      <c r="DF118" s="62">
        <v>0.0</v>
      </c>
      <c r="DG118" s="62">
        <v>0.0</v>
      </c>
      <c r="DH118" s="62">
        <v>0.0</v>
      </c>
      <c r="DI118" s="62">
        <v>0.0</v>
      </c>
      <c r="DJ118" s="62">
        <v>2330996.0</v>
      </c>
      <c r="DK118" s="62">
        <v>1189888.0</v>
      </c>
      <c r="DL118" s="62">
        <v>0.0</v>
      </c>
      <c r="DM118" s="62">
        <v>0.0</v>
      </c>
      <c r="DN118" s="62">
        <v>12246.0</v>
      </c>
      <c r="DO118" s="62">
        <v>588.0</v>
      </c>
      <c r="DP118" s="62">
        <v>0.0</v>
      </c>
      <c r="DQ118" s="62">
        <v>0.0</v>
      </c>
      <c r="DR118" s="62">
        <v>0.0</v>
      </c>
      <c r="DS118" s="62">
        <v>0.0</v>
      </c>
      <c r="DT118" s="62">
        <v>0.0</v>
      </c>
      <c r="DU118" s="62">
        <v>0.0</v>
      </c>
      <c r="DV118" s="62">
        <v>0.0</v>
      </c>
      <c r="DW118" s="62">
        <v>0.0</v>
      </c>
      <c r="DX118" s="62">
        <v>0.0</v>
      </c>
      <c r="DY118" s="62">
        <v>0.0</v>
      </c>
      <c r="DZ118" s="62">
        <v>0.0</v>
      </c>
      <c r="EA118" s="62">
        <v>0.0</v>
      </c>
      <c r="EB118" s="62">
        <v>0.0</v>
      </c>
      <c r="EC118" s="62">
        <v>0.0</v>
      </c>
      <c r="ED118" s="62">
        <v>0.0</v>
      </c>
      <c r="EE118" s="62">
        <v>0.0</v>
      </c>
      <c r="EF118" s="62">
        <v>0.0</v>
      </c>
      <c r="EG118" s="62">
        <v>0.0</v>
      </c>
      <c r="EH118" s="62">
        <v>0.0</v>
      </c>
      <c r="EI118" s="62">
        <v>0.0</v>
      </c>
      <c r="EJ118" s="62">
        <v>0.0</v>
      </c>
      <c r="EK118" s="62">
        <v>0.0</v>
      </c>
      <c r="EL118" s="62">
        <v>0.0</v>
      </c>
      <c r="EM118" s="62">
        <v>0.0</v>
      </c>
      <c r="EN118" s="62">
        <v>0.0</v>
      </c>
      <c r="EO118" s="62">
        <v>2572.0</v>
      </c>
      <c r="EP118" s="62">
        <v>9816.0</v>
      </c>
      <c r="EQ118" s="62">
        <v>0.0</v>
      </c>
      <c r="ER118" s="62">
        <v>0.0</v>
      </c>
      <c r="ES118" s="62">
        <v>0.0</v>
      </c>
      <c r="ET118" s="62">
        <v>0.0</v>
      </c>
      <c r="EU118" s="62">
        <v>6.788239E7</v>
      </c>
      <c r="EV118" s="62">
        <v>1319811.0</v>
      </c>
      <c r="EW118" s="62">
        <v>1339555.0</v>
      </c>
      <c r="EX118" s="62">
        <v>6129043.0</v>
      </c>
      <c r="EY118" s="62">
        <v>9734991.0</v>
      </c>
      <c r="EZ118" s="62">
        <v>0.0</v>
      </c>
      <c r="FA118" s="62">
        <v>0.0</v>
      </c>
      <c r="FB118" s="62">
        <v>0.0</v>
      </c>
      <c r="FC118" s="62">
        <v>0.0</v>
      </c>
      <c r="FD118" s="62">
        <v>0.0</v>
      </c>
      <c r="FE118" s="62">
        <v>0.0</v>
      </c>
      <c r="FF118" s="62">
        <v>0.0</v>
      </c>
      <c r="FG118" s="62">
        <v>0.0</v>
      </c>
      <c r="FH118" s="62">
        <v>0.0</v>
      </c>
      <c r="FI118" s="62">
        <v>0.0</v>
      </c>
      <c r="FJ118" s="62">
        <v>0.0</v>
      </c>
      <c r="FK118" s="62">
        <v>0.0</v>
      </c>
      <c r="FL118" s="62">
        <v>0.0</v>
      </c>
      <c r="FM118" s="62">
        <v>0.0</v>
      </c>
      <c r="FN118" s="62">
        <v>0.0</v>
      </c>
      <c r="FO118" s="62">
        <v>0.0</v>
      </c>
      <c r="FP118" s="62">
        <v>0.0</v>
      </c>
      <c r="FQ118" s="62">
        <v>0.0</v>
      </c>
      <c r="FR118" s="62">
        <v>0.0</v>
      </c>
      <c r="FS118" s="62">
        <v>0.0</v>
      </c>
      <c r="FT118" s="62">
        <v>0.0</v>
      </c>
      <c r="FU118" s="62">
        <v>0.0</v>
      </c>
      <c r="FV118" s="62">
        <v>0.0</v>
      </c>
      <c r="FW118" s="62">
        <v>563532.0</v>
      </c>
      <c r="FX118" s="62">
        <v>0.0</v>
      </c>
      <c r="FY118" s="62">
        <v>339.0</v>
      </c>
      <c r="FZ118" s="62">
        <v>0.0</v>
      </c>
      <c r="GA118" s="62">
        <v>0.0</v>
      </c>
      <c r="GB118" s="62">
        <v>0.0</v>
      </c>
      <c r="GC118" s="62">
        <v>0.0</v>
      </c>
      <c r="GD118" s="62">
        <v>0.0</v>
      </c>
      <c r="GE118" s="62">
        <v>0.0</v>
      </c>
      <c r="GF118" s="63">
        <v>9.1944384E7</v>
      </c>
      <c r="GG118" s="64">
        <v>2269770.0</v>
      </c>
      <c r="GH118" s="65">
        <v>0.0</v>
      </c>
      <c r="GI118" s="64">
        <v>0.0</v>
      </c>
      <c r="GJ118" s="64">
        <v>0.0</v>
      </c>
      <c r="GK118" s="64">
        <v>-3356327.0</v>
      </c>
      <c r="GL118" s="64">
        <v>4692430.0</v>
      </c>
      <c r="GM118" s="64">
        <v>0.0</v>
      </c>
      <c r="GN118" s="63">
        <v>3605873.0</v>
      </c>
      <c r="GO118" s="66">
        <v>9.5550257E7</v>
      </c>
      <c r="GP118" s="64">
        <v>72921.0</v>
      </c>
      <c r="GQ118" s="64">
        <v>0.0</v>
      </c>
      <c r="GR118" s="65">
        <v>0.0</v>
      </c>
      <c r="GS118" s="63">
        <v>72921.0</v>
      </c>
      <c r="GT118" s="67">
        <v>1.5620252E7</v>
      </c>
      <c r="GU118" s="67">
        <v>1.0262897E7</v>
      </c>
      <c r="GV118" s="67">
        <v>2781696.0</v>
      </c>
      <c r="GW118" s="63">
        <v>2.8664845E7</v>
      </c>
      <c r="GX118" s="63">
        <v>99361.0</v>
      </c>
      <c r="GY118" s="63">
        <v>6.671313E7</v>
      </c>
      <c r="GZ118" s="66">
        <v>9.5550257E7</v>
      </c>
    </row>
    <row r="119" ht="15.75" customHeight="1">
      <c r="A119" s="60">
        <v>114.0</v>
      </c>
      <c r="B119" s="61" t="s">
        <v>159</v>
      </c>
      <c r="C119" s="62">
        <v>0.0</v>
      </c>
      <c r="D119" s="62">
        <v>0.0</v>
      </c>
      <c r="E119" s="62">
        <v>0.0</v>
      </c>
      <c r="F119" s="62">
        <v>0.0</v>
      </c>
      <c r="G119" s="62">
        <v>0.0</v>
      </c>
      <c r="H119" s="62">
        <v>0.0</v>
      </c>
      <c r="I119" s="62">
        <v>0.0</v>
      </c>
      <c r="J119" s="62">
        <v>0.0</v>
      </c>
      <c r="K119" s="62">
        <v>0.0</v>
      </c>
      <c r="L119" s="62">
        <v>0.0</v>
      </c>
      <c r="M119" s="62">
        <v>0.0</v>
      </c>
      <c r="N119" s="62">
        <v>0.0</v>
      </c>
      <c r="O119" s="62">
        <v>0.0</v>
      </c>
      <c r="P119" s="62">
        <v>0.0</v>
      </c>
      <c r="Q119" s="62">
        <v>0.0</v>
      </c>
      <c r="R119" s="62">
        <v>0.0</v>
      </c>
      <c r="S119" s="62">
        <v>0.0</v>
      </c>
      <c r="T119" s="62">
        <v>0.0</v>
      </c>
      <c r="U119" s="62">
        <v>0.0</v>
      </c>
      <c r="V119" s="62">
        <v>0.0</v>
      </c>
      <c r="W119" s="62">
        <v>0.0</v>
      </c>
      <c r="X119" s="62">
        <v>0.0</v>
      </c>
      <c r="Y119" s="62">
        <v>0.0</v>
      </c>
      <c r="Z119" s="62">
        <v>0.0</v>
      </c>
      <c r="AA119" s="62">
        <v>0.0</v>
      </c>
      <c r="AB119" s="62">
        <v>0.0</v>
      </c>
      <c r="AC119" s="62">
        <v>0.0</v>
      </c>
      <c r="AD119" s="62">
        <v>0.0</v>
      </c>
      <c r="AE119" s="62">
        <v>0.0</v>
      </c>
      <c r="AF119" s="62">
        <v>0.0</v>
      </c>
      <c r="AG119" s="62">
        <v>0.0</v>
      </c>
      <c r="AH119" s="62">
        <v>0.0</v>
      </c>
      <c r="AI119" s="62">
        <v>0.0</v>
      </c>
      <c r="AJ119" s="62">
        <v>0.0</v>
      </c>
      <c r="AK119" s="62">
        <v>0.0</v>
      </c>
      <c r="AL119" s="62">
        <v>0.0</v>
      </c>
      <c r="AM119" s="62">
        <v>0.0</v>
      </c>
      <c r="AN119" s="62">
        <v>0.0</v>
      </c>
      <c r="AO119" s="62">
        <v>0.0</v>
      </c>
      <c r="AP119" s="62">
        <v>47.0</v>
      </c>
      <c r="AQ119" s="62">
        <v>11876.0</v>
      </c>
      <c r="AR119" s="62">
        <v>0.0</v>
      </c>
      <c r="AS119" s="62">
        <v>230984.0</v>
      </c>
      <c r="AT119" s="62">
        <v>0.0</v>
      </c>
      <c r="AU119" s="62">
        <v>0.0</v>
      </c>
      <c r="AV119" s="62">
        <v>89762.0</v>
      </c>
      <c r="AW119" s="62">
        <v>0.0</v>
      </c>
      <c r="AX119" s="62">
        <v>0.0</v>
      </c>
      <c r="AY119" s="62">
        <v>0.0</v>
      </c>
      <c r="AZ119" s="62">
        <v>0.0</v>
      </c>
      <c r="BA119" s="62">
        <v>0.0</v>
      </c>
      <c r="BB119" s="62">
        <v>0.0</v>
      </c>
      <c r="BC119" s="62">
        <v>0.0</v>
      </c>
      <c r="BD119" s="62">
        <v>0.0</v>
      </c>
      <c r="BE119" s="62">
        <v>0.0</v>
      </c>
      <c r="BF119" s="62">
        <v>0.0</v>
      </c>
      <c r="BG119" s="62">
        <v>0.0</v>
      </c>
      <c r="BH119" s="62">
        <v>0.0</v>
      </c>
      <c r="BI119" s="62">
        <v>0.0</v>
      </c>
      <c r="BJ119" s="62">
        <v>0.0</v>
      </c>
      <c r="BK119" s="62">
        <v>0.0</v>
      </c>
      <c r="BL119" s="62">
        <v>0.0</v>
      </c>
      <c r="BM119" s="62">
        <v>0.0</v>
      </c>
      <c r="BN119" s="62">
        <v>0.0</v>
      </c>
      <c r="BO119" s="62">
        <v>0.0</v>
      </c>
      <c r="BP119" s="62">
        <v>0.0</v>
      </c>
      <c r="BQ119" s="62">
        <v>0.0</v>
      </c>
      <c r="BR119" s="62">
        <v>0.0</v>
      </c>
      <c r="BS119" s="62">
        <v>0.0</v>
      </c>
      <c r="BT119" s="62">
        <v>0.0</v>
      </c>
      <c r="BU119" s="62">
        <v>0.0</v>
      </c>
      <c r="BV119" s="62">
        <v>0.0</v>
      </c>
      <c r="BW119" s="62">
        <v>0.0</v>
      </c>
      <c r="BX119" s="62">
        <v>0.0</v>
      </c>
      <c r="BY119" s="62">
        <v>0.0</v>
      </c>
      <c r="BZ119" s="62">
        <v>0.0</v>
      </c>
      <c r="CA119" s="62">
        <v>0.0</v>
      </c>
      <c r="CB119" s="62">
        <v>0.0</v>
      </c>
      <c r="CC119" s="62">
        <v>0.0</v>
      </c>
      <c r="CD119" s="62">
        <v>0.0</v>
      </c>
      <c r="CE119" s="62">
        <v>0.0</v>
      </c>
      <c r="CF119" s="62">
        <v>0.0</v>
      </c>
      <c r="CG119" s="62">
        <v>0.0</v>
      </c>
      <c r="CH119" s="62">
        <v>0.0</v>
      </c>
      <c r="CI119" s="62">
        <v>0.0</v>
      </c>
      <c r="CJ119" s="62">
        <v>0.0</v>
      </c>
      <c r="CK119" s="62">
        <v>0.0</v>
      </c>
      <c r="CL119" s="62">
        <v>0.0</v>
      </c>
      <c r="CM119" s="62">
        <v>0.0</v>
      </c>
      <c r="CN119" s="62">
        <v>0.0</v>
      </c>
      <c r="CO119" s="62">
        <v>0.0</v>
      </c>
      <c r="CP119" s="62">
        <v>0.0</v>
      </c>
      <c r="CQ119" s="62">
        <v>0.0</v>
      </c>
      <c r="CR119" s="62">
        <v>14057.0</v>
      </c>
      <c r="CS119" s="62">
        <v>5251.0</v>
      </c>
      <c r="CT119" s="62">
        <v>0.0</v>
      </c>
      <c r="CU119" s="62">
        <v>0.0</v>
      </c>
      <c r="CV119" s="62">
        <v>0.0</v>
      </c>
      <c r="CW119" s="62">
        <v>0.0</v>
      </c>
      <c r="CX119" s="62">
        <v>0.0</v>
      </c>
      <c r="CY119" s="62">
        <v>0.0</v>
      </c>
      <c r="CZ119" s="62">
        <v>0.0</v>
      </c>
      <c r="DA119" s="62">
        <v>0.0</v>
      </c>
      <c r="DB119" s="62">
        <v>0.0</v>
      </c>
      <c r="DC119" s="62">
        <v>0.0</v>
      </c>
      <c r="DD119" s="62">
        <v>0.0</v>
      </c>
      <c r="DE119" s="62">
        <v>1122.0</v>
      </c>
      <c r="DF119" s="62">
        <v>0.0</v>
      </c>
      <c r="DG119" s="62">
        <v>668.0</v>
      </c>
      <c r="DH119" s="62">
        <v>15446.0</v>
      </c>
      <c r="DI119" s="62">
        <v>7026.0</v>
      </c>
      <c r="DJ119" s="62">
        <v>6839.0</v>
      </c>
      <c r="DK119" s="62">
        <v>0.0</v>
      </c>
      <c r="DL119" s="62">
        <v>1.2759949E7</v>
      </c>
      <c r="DM119" s="62">
        <v>34604.0</v>
      </c>
      <c r="DN119" s="62">
        <v>2020567.0</v>
      </c>
      <c r="DO119" s="62">
        <v>1.3194348E7</v>
      </c>
      <c r="DP119" s="62">
        <v>948976.0</v>
      </c>
      <c r="DQ119" s="62">
        <v>7179869.0</v>
      </c>
      <c r="DR119" s="62">
        <v>2.0877816E7</v>
      </c>
      <c r="DS119" s="62">
        <v>717718.0</v>
      </c>
      <c r="DT119" s="62">
        <v>345835.0</v>
      </c>
      <c r="DU119" s="62">
        <v>1940950.0</v>
      </c>
      <c r="DV119" s="62">
        <v>5744949.0</v>
      </c>
      <c r="DW119" s="62">
        <v>369135.0</v>
      </c>
      <c r="DX119" s="62">
        <v>2641738.0</v>
      </c>
      <c r="DY119" s="62">
        <v>8254984.0</v>
      </c>
      <c r="DZ119" s="62">
        <v>7825977.0</v>
      </c>
      <c r="EA119" s="62">
        <v>528658.0</v>
      </c>
      <c r="EB119" s="62">
        <v>5469286.0</v>
      </c>
      <c r="EC119" s="62">
        <v>1.3074899E7</v>
      </c>
      <c r="ED119" s="62">
        <v>2049600.0</v>
      </c>
      <c r="EE119" s="62">
        <v>324068.0</v>
      </c>
      <c r="EF119" s="62">
        <v>754417.0</v>
      </c>
      <c r="EG119" s="62">
        <v>2332979.0</v>
      </c>
      <c r="EH119" s="62">
        <v>9282924.0</v>
      </c>
      <c r="EI119" s="62">
        <v>3691849.0</v>
      </c>
      <c r="EJ119" s="62">
        <v>8349.0</v>
      </c>
      <c r="EK119" s="62">
        <v>128195.0</v>
      </c>
      <c r="EL119" s="62">
        <v>49023.0</v>
      </c>
      <c r="EM119" s="62">
        <v>11906.0</v>
      </c>
      <c r="EN119" s="62">
        <v>52788.0</v>
      </c>
      <c r="EO119" s="62">
        <v>33008.0</v>
      </c>
      <c r="EP119" s="62">
        <v>1144033.0</v>
      </c>
      <c r="EQ119" s="62">
        <v>0.0</v>
      </c>
      <c r="ER119" s="62">
        <v>0.0</v>
      </c>
      <c r="ES119" s="62">
        <v>0.0</v>
      </c>
      <c r="ET119" s="62">
        <v>0.0</v>
      </c>
      <c r="EU119" s="62">
        <v>7.1083216E7</v>
      </c>
      <c r="EV119" s="62">
        <v>2703250.0</v>
      </c>
      <c r="EW119" s="62">
        <v>603855.0</v>
      </c>
      <c r="EX119" s="62">
        <v>3544113.0</v>
      </c>
      <c r="EY119" s="62">
        <v>3.0586127E7</v>
      </c>
      <c r="EZ119" s="62">
        <v>0.0</v>
      </c>
      <c r="FA119" s="62">
        <v>0.0</v>
      </c>
      <c r="FB119" s="62">
        <v>0.0</v>
      </c>
      <c r="FC119" s="62">
        <v>0.0</v>
      </c>
      <c r="FD119" s="62">
        <v>0.0</v>
      </c>
      <c r="FE119" s="62">
        <v>0.0</v>
      </c>
      <c r="FF119" s="62">
        <v>0.0</v>
      </c>
      <c r="FG119" s="62">
        <v>0.0</v>
      </c>
      <c r="FH119" s="62">
        <v>0.0</v>
      </c>
      <c r="FI119" s="62">
        <v>0.0</v>
      </c>
      <c r="FJ119" s="62">
        <v>0.0</v>
      </c>
      <c r="FK119" s="62">
        <v>0.0</v>
      </c>
      <c r="FL119" s="62">
        <v>0.0</v>
      </c>
      <c r="FM119" s="62">
        <v>21.0</v>
      </c>
      <c r="FN119" s="62">
        <v>0.0</v>
      </c>
      <c r="FO119" s="62">
        <v>0.0</v>
      </c>
      <c r="FP119" s="62">
        <v>0.0</v>
      </c>
      <c r="FQ119" s="62">
        <v>0.0</v>
      </c>
      <c r="FR119" s="62">
        <v>0.0</v>
      </c>
      <c r="FS119" s="62">
        <v>0.0</v>
      </c>
      <c r="FT119" s="62">
        <v>0.0</v>
      </c>
      <c r="FU119" s="62">
        <v>0.0</v>
      </c>
      <c r="FV119" s="62">
        <v>0.0</v>
      </c>
      <c r="FW119" s="62">
        <v>857.0</v>
      </c>
      <c r="FX119" s="62">
        <v>93392.0</v>
      </c>
      <c r="FY119" s="62">
        <v>0.0</v>
      </c>
      <c r="FZ119" s="62">
        <v>4876.0</v>
      </c>
      <c r="GA119" s="62">
        <v>8371.0</v>
      </c>
      <c r="GB119" s="62">
        <v>0.0</v>
      </c>
      <c r="GC119" s="62">
        <v>0.0</v>
      </c>
      <c r="GD119" s="62">
        <v>0.0</v>
      </c>
      <c r="GE119" s="62">
        <v>0.0</v>
      </c>
      <c r="GF119" s="63">
        <v>2.32804553E8</v>
      </c>
      <c r="GG119" s="64">
        <v>0.0</v>
      </c>
      <c r="GH119" s="65">
        <v>0.0</v>
      </c>
      <c r="GI119" s="64">
        <v>0.0</v>
      </c>
      <c r="GJ119" s="64">
        <v>0.0</v>
      </c>
      <c r="GK119" s="64">
        <v>-2.971946E7</v>
      </c>
      <c r="GL119" s="64">
        <v>1.62789735E8</v>
      </c>
      <c r="GM119" s="64">
        <v>0.0</v>
      </c>
      <c r="GN119" s="63">
        <v>1.33070275E8</v>
      </c>
      <c r="GO119" s="66">
        <v>3.65874828E8</v>
      </c>
      <c r="GP119" s="64">
        <v>1.2138513E8</v>
      </c>
      <c r="GQ119" s="64">
        <v>0.0</v>
      </c>
      <c r="GR119" s="65">
        <v>0.0</v>
      </c>
      <c r="GS119" s="63">
        <v>1.2138513E8</v>
      </c>
      <c r="GT119" s="67">
        <v>3.774913E7</v>
      </c>
      <c r="GU119" s="67">
        <v>1.4098752E7</v>
      </c>
      <c r="GV119" s="67">
        <v>4095772.0</v>
      </c>
      <c r="GW119" s="63">
        <v>5.5943654E7</v>
      </c>
      <c r="GX119" s="63">
        <v>9987418.0</v>
      </c>
      <c r="GY119" s="63">
        <v>1.78558626E8</v>
      </c>
      <c r="GZ119" s="66">
        <v>3.65874828E8</v>
      </c>
    </row>
    <row r="120" ht="15.75" customHeight="1">
      <c r="A120" s="68">
        <v>115.0</v>
      </c>
      <c r="B120" s="69" t="s">
        <v>160</v>
      </c>
      <c r="C120" s="70">
        <v>0.0</v>
      </c>
      <c r="D120" s="70">
        <v>0.0</v>
      </c>
      <c r="E120" s="70">
        <v>0.0</v>
      </c>
      <c r="F120" s="70">
        <v>0.0</v>
      </c>
      <c r="G120" s="70">
        <v>0.0</v>
      </c>
      <c r="H120" s="70">
        <v>0.0</v>
      </c>
      <c r="I120" s="70">
        <v>0.0</v>
      </c>
      <c r="J120" s="70">
        <v>0.0</v>
      </c>
      <c r="K120" s="70">
        <v>0.0</v>
      </c>
      <c r="L120" s="70">
        <v>0.0</v>
      </c>
      <c r="M120" s="70">
        <v>0.0</v>
      </c>
      <c r="N120" s="70">
        <v>0.0</v>
      </c>
      <c r="O120" s="70">
        <v>0.0</v>
      </c>
      <c r="P120" s="70">
        <v>0.0</v>
      </c>
      <c r="Q120" s="70">
        <v>0.0</v>
      </c>
      <c r="R120" s="70">
        <v>0.0</v>
      </c>
      <c r="S120" s="70">
        <v>0.0</v>
      </c>
      <c r="T120" s="70">
        <v>0.0</v>
      </c>
      <c r="U120" s="70">
        <v>0.0</v>
      </c>
      <c r="V120" s="70">
        <v>0.0</v>
      </c>
      <c r="W120" s="70">
        <v>0.0</v>
      </c>
      <c r="X120" s="70">
        <v>0.0</v>
      </c>
      <c r="Y120" s="70">
        <v>0.0</v>
      </c>
      <c r="Z120" s="70">
        <v>0.0</v>
      </c>
      <c r="AA120" s="70">
        <v>0.0</v>
      </c>
      <c r="AB120" s="70">
        <v>0.0</v>
      </c>
      <c r="AC120" s="70">
        <v>0.0</v>
      </c>
      <c r="AD120" s="70">
        <v>0.0</v>
      </c>
      <c r="AE120" s="70">
        <v>0.0</v>
      </c>
      <c r="AF120" s="70">
        <v>0.0</v>
      </c>
      <c r="AG120" s="70">
        <v>0.0</v>
      </c>
      <c r="AH120" s="70">
        <v>0.0</v>
      </c>
      <c r="AI120" s="70">
        <v>0.0</v>
      </c>
      <c r="AJ120" s="70">
        <v>0.0</v>
      </c>
      <c r="AK120" s="70">
        <v>0.0</v>
      </c>
      <c r="AL120" s="70">
        <v>0.0</v>
      </c>
      <c r="AM120" s="70">
        <v>0.0</v>
      </c>
      <c r="AN120" s="70">
        <v>0.0</v>
      </c>
      <c r="AO120" s="70">
        <v>0.0</v>
      </c>
      <c r="AP120" s="70">
        <v>781.0</v>
      </c>
      <c r="AQ120" s="70">
        <v>7685.0</v>
      </c>
      <c r="AR120" s="70">
        <v>0.0</v>
      </c>
      <c r="AS120" s="70">
        <v>0.0</v>
      </c>
      <c r="AT120" s="70">
        <v>0.0</v>
      </c>
      <c r="AU120" s="70">
        <v>3698.0</v>
      </c>
      <c r="AV120" s="70">
        <v>841484.0</v>
      </c>
      <c r="AW120" s="70">
        <v>9638.0</v>
      </c>
      <c r="AX120" s="70">
        <v>0.0</v>
      </c>
      <c r="AY120" s="70">
        <v>0.0</v>
      </c>
      <c r="AZ120" s="70">
        <v>0.0</v>
      </c>
      <c r="BA120" s="70">
        <v>0.0</v>
      </c>
      <c r="BB120" s="70">
        <v>0.0</v>
      </c>
      <c r="BC120" s="70">
        <v>0.0</v>
      </c>
      <c r="BD120" s="70">
        <v>0.0</v>
      </c>
      <c r="BE120" s="70">
        <v>0.0</v>
      </c>
      <c r="BF120" s="70">
        <v>0.0</v>
      </c>
      <c r="BG120" s="70">
        <v>0.0</v>
      </c>
      <c r="BH120" s="70">
        <v>0.0</v>
      </c>
      <c r="BI120" s="70">
        <v>0.0</v>
      </c>
      <c r="BJ120" s="70">
        <v>0.0</v>
      </c>
      <c r="BK120" s="70">
        <v>0.0</v>
      </c>
      <c r="BL120" s="70">
        <v>0.0</v>
      </c>
      <c r="BM120" s="70">
        <v>0.0</v>
      </c>
      <c r="BN120" s="70">
        <v>0.0</v>
      </c>
      <c r="BO120" s="70">
        <v>0.0</v>
      </c>
      <c r="BP120" s="70">
        <v>0.0</v>
      </c>
      <c r="BQ120" s="70">
        <v>0.0</v>
      </c>
      <c r="BR120" s="70">
        <v>0.0</v>
      </c>
      <c r="BS120" s="70">
        <v>0.0</v>
      </c>
      <c r="BT120" s="70">
        <v>0.0</v>
      </c>
      <c r="BU120" s="70">
        <v>0.0</v>
      </c>
      <c r="BV120" s="70">
        <v>0.0</v>
      </c>
      <c r="BW120" s="70">
        <v>0.0</v>
      </c>
      <c r="BX120" s="70">
        <v>0.0</v>
      </c>
      <c r="BY120" s="70">
        <v>0.0</v>
      </c>
      <c r="BZ120" s="70">
        <v>0.0</v>
      </c>
      <c r="CA120" s="70">
        <v>0.0</v>
      </c>
      <c r="CB120" s="70">
        <v>0.0</v>
      </c>
      <c r="CC120" s="70">
        <v>0.0</v>
      </c>
      <c r="CD120" s="70">
        <v>0.0</v>
      </c>
      <c r="CE120" s="70">
        <v>0.0</v>
      </c>
      <c r="CF120" s="70">
        <v>0.0</v>
      </c>
      <c r="CG120" s="70">
        <v>0.0</v>
      </c>
      <c r="CH120" s="70">
        <v>0.0</v>
      </c>
      <c r="CI120" s="70">
        <v>0.0</v>
      </c>
      <c r="CJ120" s="70">
        <v>0.0</v>
      </c>
      <c r="CK120" s="70">
        <v>0.0</v>
      </c>
      <c r="CL120" s="70">
        <v>0.0</v>
      </c>
      <c r="CM120" s="70">
        <v>0.0</v>
      </c>
      <c r="CN120" s="70">
        <v>0.0</v>
      </c>
      <c r="CO120" s="70">
        <v>0.0</v>
      </c>
      <c r="CP120" s="70">
        <v>0.0</v>
      </c>
      <c r="CQ120" s="70">
        <v>10554.0</v>
      </c>
      <c r="CR120" s="70">
        <v>8366.0</v>
      </c>
      <c r="CS120" s="70">
        <v>0.0</v>
      </c>
      <c r="CT120" s="70">
        <v>0.0</v>
      </c>
      <c r="CU120" s="70">
        <v>0.0</v>
      </c>
      <c r="CV120" s="70">
        <v>0.0</v>
      </c>
      <c r="CW120" s="70">
        <v>0.0</v>
      </c>
      <c r="CX120" s="70">
        <v>0.0</v>
      </c>
      <c r="CY120" s="70">
        <v>0.0</v>
      </c>
      <c r="CZ120" s="70">
        <v>0.0</v>
      </c>
      <c r="DA120" s="70">
        <v>0.0</v>
      </c>
      <c r="DB120" s="70">
        <v>0.0</v>
      </c>
      <c r="DC120" s="70">
        <v>0.0</v>
      </c>
      <c r="DD120" s="70">
        <v>0.0</v>
      </c>
      <c r="DE120" s="70">
        <v>3115.0</v>
      </c>
      <c r="DF120" s="70">
        <v>0.0</v>
      </c>
      <c r="DG120" s="70">
        <v>1044.0</v>
      </c>
      <c r="DH120" s="70">
        <v>15323.0</v>
      </c>
      <c r="DI120" s="70">
        <v>2596.0</v>
      </c>
      <c r="DJ120" s="70">
        <v>2413.0</v>
      </c>
      <c r="DK120" s="70">
        <v>0.0</v>
      </c>
      <c r="DL120" s="70">
        <v>868694.0</v>
      </c>
      <c r="DM120" s="70">
        <v>36301.0</v>
      </c>
      <c r="DN120" s="70">
        <v>42619.0</v>
      </c>
      <c r="DO120" s="70">
        <v>5782589.0</v>
      </c>
      <c r="DP120" s="70">
        <v>172494.0</v>
      </c>
      <c r="DQ120" s="70">
        <v>2695.0</v>
      </c>
      <c r="DR120" s="70">
        <v>6178474.0</v>
      </c>
      <c r="DS120" s="70">
        <v>1373173.0</v>
      </c>
      <c r="DT120" s="70">
        <v>166124.0</v>
      </c>
      <c r="DU120" s="70">
        <v>26750.0</v>
      </c>
      <c r="DV120" s="70">
        <v>4220019.0</v>
      </c>
      <c r="DW120" s="70">
        <v>2794713.0</v>
      </c>
      <c r="DX120" s="70">
        <v>3708176.0</v>
      </c>
      <c r="DY120" s="70">
        <v>30823.0</v>
      </c>
      <c r="DZ120" s="70">
        <v>844239.0</v>
      </c>
      <c r="EA120" s="70">
        <v>94060.0</v>
      </c>
      <c r="EB120" s="70">
        <v>677834.0</v>
      </c>
      <c r="EC120" s="70">
        <v>400480.0</v>
      </c>
      <c r="ED120" s="70">
        <v>149555.0</v>
      </c>
      <c r="EE120" s="70">
        <v>10494.0</v>
      </c>
      <c r="EF120" s="70">
        <v>603022.0</v>
      </c>
      <c r="EG120" s="70">
        <v>933175.0</v>
      </c>
      <c r="EH120" s="70">
        <v>5089146.0</v>
      </c>
      <c r="EI120" s="70">
        <v>980539.0</v>
      </c>
      <c r="EJ120" s="70">
        <v>1.8762418E7</v>
      </c>
      <c r="EK120" s="70">
        <v>719740.0</v>
      </c>
      <c r="EL120" s="70">
        <v>275625.0</v>
      </c>
      <c r="EM120" s="70">
        <v>2321.0</v>
      </c>
      <c r="EN120" s="70">
        <v>1825121.0</v>
      </c>
      <c r="EO120" s="70">
        <v>78200.0</v>
      </c>
      <c r="EP120" s="70">
        <v>1452840.0</v>
      </c>
      <c r="EQ120" s="70">
        <v>0.0</v>
      </c>
      <c r="ER120" s="70">
        <v>0.0</v>
      </c>
      <c r="ES120" s="70">
        <v>0.0</v>
      </c>
      <c r="ET120" s="70">
        <v>0.0</v>
      </c>
      <c r="EU120" s="70">
        <v>3.7894308E7</v>
      </c>
      <c r="EV120" s="70">
        <v>1041804.0</v>
      </c>
      <c r="EW120" s="70">
        <v>85380.0</v>
      </c>
      <c r="EX120" s="70">
        <v>425515.0</v>
      </c>
      <c r="EY120" s="70">
        <v>2.9175657E7</v>
      </c>
      <c r="EZ120" s="70">
        <v>0.0</v>
      </c>
      <c r="FA120" s="70">
        <v>0.0</v>
      </c>
      <c r="FB120" s="70">
        <v>0.0</v>
      </c>
      <c r="FC120" s="70">
        <v>0.0</v>
      </c>
      <c r="FD120" s="70">
        <v>0.0</v>
      </c>
      <c r="FE120" s="70">
        <v>0.0</v>
      </c>
      <c r="FF120" s="70">
        <v>0.0</v>
      </c>
      <c r="FG120" s="70">
        <v>0.0</v>
      </c>
      <c r="FH120" s="70">
        <v>0.0</v>
      </c>
      <c r="FI120" s="70">
        <v>0.0</v>
      </c>
      <c r="FJ120" s="70">
        <v>0.0</v>
      </c>
      <c r="FK120" s="70">
        <v>0.0</v>
      </c>
      <c r="FL120" s="70">
        <v>0.0</v>
      </c>
      <c r="FM120" s="70">
        <v>0.0</v>
      </c>
      <c r="FN120" s="70">
        <v>0.0</v>
      </c>
      <c r="FO120" s="70">
        <v>0.0</v>
      </c>
      <c r="FP120" s="70">
        <v>0.0</v>
      </c>
      <c r="FQ120" s="70">
        <v>0.0</v>
      </c>
      <c r="FR120" s="70">
        <v>0.0</v>
      </c>
      <c r="FS120" s="70">
        <v>0.0</v>
      </c>
      <c r="FT120" s="70">
        <v>0.0</v>
      </c>
      <c r="FU120" s="70">
        <v>0.0</v>
      </c>
      <c r="FV120" s="70">
        <v>0.0</v>
      </c>
      <c r="FW120" s="70">
        <v>0.0</v>
      </c>
      <c r="FX120" s="70">
        <v>0.0</v>
      </c>
      <c r="FY120" s="70">
        <v>14.0</v>
      </c>
      <c r="FZ120" s="70">
        <v>0.0</v>
      </c>
      <c r="GA120" s="70">
        <v>0.0</v>
      </c>
      <c r="GB120" s="70">
        <v>0.0</v>
      </c>
      <c r="GC120" s="70">
        <v>0.0</v>
      </c>
      <c r="GD120" s="70">
        <v>0.0</v>
      </c>
      <c r="GE120" s="70">
        <v>0.0</v>
      </c>
      <c r="GF120" s="71">
        <v>1.27831828E8</v>
      </c>
      <c r="GG120" s="72">
        <v>0.0</v>
      </c>
      <c r="GH120" s="73">
        <v>0.0</v>
      </c>
      <c r="GI120" s="72">
        <v>0.0</v>
      </c>
      <c r="GJ120" s="72">
        <v>0.0</v>
      </c>
      <c r="GK120" s="72">
        <v>-1453775.0</v>
      </c>
      <c r="GL120" s="72">
        <v>1.64844454E8</v>
      </c>
      <c r="GM120" s="72">
        <v>0.0</v>
      </c>
      <c r="GN120" s="71">
        <v>1.63390679E8</v>
      </c>
      <c r="GO120" s="74">
        <v>2.91222507E8</v>
      </c>
      <c r="GP120" s="72">
        <v>7.3047516E7</v>
      </c>
      <c r="GQ120" s="72">
        <v>0.0</v>
      </c>
      <c r="GR120" s="73">
        <v>0.0</v>
      </c>
      <c r="GS120" s="71">
        <v>7.3047516E7</v>
      </c>
      <c r="GT120" s="75">
        <v>2.893617E7</v>
      </c>
      <c r="GU120" s="75">
        <v>4648665.0</v>
      </c>
      <c r="GV120" s="75">
        <v>4486841.0</v>
      </c>
      <c r="GW120" s="71">
        <v>3.8071676E7</v>
      </c>
      <c r="GX120" s="71">
        <v>5587821.0</v>
      </c>
      <c r="GY120" s="71">
        <v>1.74515494E8</v>
      </c>
      <c r="GZ120" s="74">
        <v>2.91222507E8</v>
      </c>
    </row>
    <row r="121" ht="15.75" customHeight="1">
      <c r="A121" s="52">
        <v>116.0</v>
      </c>
      <c r="B121" s="53" t="s">
        <v>161</v>
      </c>
      <c r="C121" s="54">
        <v>0.0</v>
      </c>
      <c r="D121" s="54">
        <v>0.0</v>
      </c>
      <c r="E121" s="54">
        <v>0.0</v>
      </c>
      <c r="F121" s="54">
        <v>0.0</v>
      </c>
      <c r="G121" s="54">
        <v>0.0</v>
      </c>
      <c r="H121" s="54">
        <v>0.0</v>
      </c>
      <c r="I121" s="54">
        <v>0.0</v>
      </c>
      <c r="J121" s="54">
        <v>0.0</v>
      </c>
      <c r="K121" s="54">
        <v>0.0</v>
      </c>
      <c r="L121" s="54">
        <v>0.0</v>
      </c>
      <c r="M121" s="54">
        <v>0.0</v>
      </c>
      <c r="N121" s="54">
        <v>0.0</v>
      </c>
      <c r="O121" s="54">
        <v>0.0</v>
      </c>
      <c r="P121" s="54">
        <v>0.0</v>
      </c>
      <c r="Q121" s="54">
        <v>0.0</v>
      </c>
      <c r="R121" s="54">
        <v>0.0</v>
      </c>
      <c r="S121" s="54">
        <v>0.0</v>
      </c>
      <c r="T121" s="54">
        <v>0.0</v>
      </c>
      <c r="U121" s="54">
        <v>0.0</v>
      </c>
      <c r="V121" s="54">
        <v>0.0</v>
      </c>
      <c r="W121" s="54">
        <v>0.0</v>
      </c>
      <c r="X121" s="54">
        <v>0.0</v>
      </c>
      <c r="Y121" s="54">
        <v>0.0</v>
      </c>
      <c r="Z121" s="54">
        <v>0.0</v>
      </c>
      <c r="AA121" s="54">
        <v>0.0</v>
      </c>
      <c r="AB121" s="54">
        <v>0.0</v>
      </c>
      <c r="AC121" s="54">
        <v>0.0</v>
      </c>
      <c r="AD121" s="54">
        <v>0.0</v>
      </c>
      <c r="AE121" s="54">
        <v>0.0</v>
      </c>
      <c r="AF121" s="54">
        <v>0.0</v>
      </c>
      <c r="AG121" s="54">
        <v>0.0</v>
      </c>
      <c r="AH121" s="54">
        <v>0.0</v>
      </c>
      <c r="AI121" s="54">
        <v>0.0</v>
      </c>
      <c r="AJ121" s="54">
        <v>0.0</v>
      </c>
      <c r="AK121" s="54">
        <v>0.0</v>
      </c>
      <c r="AL121" s="54">
        <v>0.0</v>
      </c>
      <c r="AM121" s="54">
        <v>0.0</v>
      </c>
      <c r="AN121" s="54">
        <v>0.0</v>
      </c>
      <c r="AO121" s="54">
        <v>0.0</v>
      </c>
      <c r="AP121" s="54">
        <v>0.0</v>
      </c>
      <c r="AQ121" s="54">
        <v>0.0</v>
      </c>
      <c r="AR121" s="54">
        <v>0.0</v>
      </c>
      <c r="AS121" s="54">
        <v>0.0</v>
      </c>
      <c r="AT121" s="54">
        <v>0.0</v>
      </c>
      <c r="AU121" s="54">
        <v>0.0</v>
      </c>
      <c r="AV121" s="54">
        <v>0.0</v>
      </c>
      <c r="AW121" s="54">
        <v>0.0</v>
      </c>
      <c r="AX121" s="54">
        <v>0.0</v>
      </c>
      <c r="AY121" s="54">
        <v>0.0</v>
      </c>
      <c r="AZ121" s="54">
        <v>0.0</v>
      </c>
      <c r="BA121" s="54">
        <v>0.0</v>
      </c>
      <c r="BB121" s="54">
        <v>0.0</v>
      </c>
      <c r="BC121" s="54">
        <v>0.0</v>
      </c>
      <c r="BD121" s="54">
        <v>0.0</v>
      </c>
      <c r="BE121" s="54">
        <v>0.0</v>
      </c>
      <c r="BF121" s="54">
        <v>0.0</v>
      </c>
      <c r="BG121" s="54">
        <v>0.0</v>
      </c>
      <c r="BH121" s="54">
        <v>0.0</v>
      </c>
      <c r="BI121" s="54">
        <v>0.0</v>
      </c>
      <c r="BJ121" s="54">
        <v>0.0</v>
      </c>
      <c r="BK121" s="54">
        <v>0.0</v>
      </c>
      <c r="BL121" s="54">
        <v>0.0</v>
      </c>
      <c r="BM121" s="54">
        <v>0.0</v>
      </c>
      <c r="BN121" s="54">
        <v>0.0</v>
      </c>
      <c r="BO121" s="54">
        <v>0.0</v>
      </c>
      <c r="BP121" s="54">
        <v>0.0</v>
      </c>
      <c r="BQ121" s="54">
        <v>0.0</v>
      </c>
      <c r="BR121" s="54">
        <v>0.0</v>
      </c>
      <c r="BS121" s="54">
        <v>0.0</v>
      </c>
      <c r="BT121" s="54">
        <v>0.0</v>
      </c>
      <c r="BU121" s="54">
        <v>0.0</v>
      </c>
      <c r="BV121" s="54">
        <v>0.0</v>
      </c>
      <c r="BW121" s="54">
        <v>0.0</v>
      </c>
      <c r="BX121" s="54">
        <v>0.0</v>
      </c>
      <c r="BY121" s="54">
        <v>0.0</v>
      </c>
      <c r="BZ121" s="54">
        <v>0.0</v>
      </c>
      <c r="CA121" s="54">
        <v>0.0</v>
      </c>
      <c r="CB121" s="54">
        <v>0.0</v>
      </c>
      <c r="CC121" s="54">
        <v>0.0</v>
      </c>
      <c r="CD121" s="54">
        <v>0.0</v>
      </c>
      <c r="CE121" s="54">
        <v>0.0</v>
      </c>
      <c r="CF121" s="54">
        <v>0.0</v>
      </c>
      <c r="CG121" s="54">
        <v>0.0</v>
      </c>
      <c r="CH121" s="54">
        <v>0.0</v>
      </c>
      <c r="CI121" s="54">
        <v>0.0</v>
      </c>
      <c r="CJ121" s="54">
        <v>0.0</v>
      </c>
      <c r="CK121" s="54">
        <v>0.0</v>
      </c>
      <c r="CL121" s="54">
        <v>0.0</v>
      </c>
      <c r="CM121" s="54">
        <v>0.0</v>
      </c>
      <c r="CN121" s="54">
        <v>0.0</v>
      </c>
      <c r="CO121" s="54">
        <v>0.0</v>
      </c>
      <c r="CP121" s="54">
        <v>0.0</v>
      </c>
      <c r="CQ121" s="54">
        <v>0.0</v>
      </c>
      <c r="CR121" s="54">
        <v>2148.0</v>
      </c>
      <c r="CS121" s="54">
        <v>0.0</v>
      </c>
      <c r="CT121" s="54">
        <v>0.0</v>
      </c>
      <c r="CU121" s="54">
        <v>0.0</v>
      </c>
      <c r="CV121" s="54">
        <v>0.0</v>
      </c>
      <c r="CW121" s="54">
        <v>0.0</v>
      </c>
      <c r="CX121" s="54">
        <v>0.0</v>
      </c>
      <c r="CY121" s="54">
        <v>0.0</v>
      </c>
      <c r="CZ121" s="54">
        <v>0.0</v>
      </c>
      <c r="DA121" s="54">
        <v>0.0</v>
      </c>
      <c r="DB121" s="54">
        <v>0.0</v>
      </c>
      <c r="DC121" s="54">
        <v>0.0</v>
      </c>
      <c r="DD121" s="54">
        <v>0.0</v>
      </c>
      <c r="DE121" s="54">
        <v>0.0</v>
      </c>
      <c r="DF121" s="54">
        <v>0.0</v>
      </c>
      <c r="DG121" s="54">
        <v>0.0</v>
      </c>
      <c r="DH121" s="54">
        <v>0.0</v>
      </c>
      <c r="DI121" s="54">
        <v>0.0</v>
      </c>
      <c r="DJ121" s="54">
        <v>1077.0</v>
      </c>
      <c r="DK121" s="54">
        <v>0.0</v>
      </c>
      <c r="DL121" s="54">
        <v>1439109.0</v>
      </c>
      <c r="DM121" s="54">
        <v>2203.0</v>
      </c>
      <c r="DN121" s="54">
        <v>59084.0</v>
      </c>
      <c r="DO121" s="54">
        <v>2000697.0</v>
      </c>
      <c r="DP121" s="54">
        <v>0.0</v>
      </c>
      <c r="DQ121" s="54">
        <v>323456.0</v>
      </c>
      <c r="DR121" s="54">
        <v>2323654.0</v>
      </c>
      <c r="DS121" s="54">
        <v>0.0</v>
      </c>
      <c r="DT121" s="54">
        <v>0.0</v>
      </c>
      <c r="DU121" s="54">
        <v>0.0</v>
      </c>
      <c r="DV121" s="54">
        <v>0.0</v>
      </c>
      <c r="DW121" s="54">
        <v>0.0</v>
      </c>
      <c r="DX121" s="54">
        <v>647.0</v>
      </c>
      <c r="DY121" s="54">
        <v>0.0</v>
      </c>
      <c r="DZ121" s="54">
        <v>4652.0</v>
      </c>
      <c r="EA121" s="54">
        <v>0.0</v>
      </c>
      <c r="EB121" s="54">
        <v>82756.0</v>
      </c>
      <c r="EC121" s="54">
        <v>226437.0</v>
      </c>
      <c r="ED121" s="54">
        <v>0.0</v>
      </c>
      <c r="EE121" s="54">
        <v>0.0</v>
      </c>
      <c r="EF121" s="54">
        <v>0.0</v>
      </c>
      <c r="EG121" s="54">
        <v>0.0</v>
      </c>
      <c r="EH121" s="54">
        <v>5232.0</v>
      </c>
      <c r="EI121" s="54">
        <v>12.0</v>
      </c>
      <c r="EJ121" s="54">
        <v>0.0</v>
      </c>
      <c r="EK121" s="54">
        <v>0.0</v>
      </c>
      <c r="EL121" s="54">
        <v>0.0</v>
      </c>
      <c r="EM121" s="54">
        <v>0.0</v>
      </c>
      <c r="EN121" s="54">
        <v>0.0</v>
      </c>
      <c r="EO121" s="54">
        <v>0.0</v>
      </c>
      <c r="EP121" s="54">
        <v>278642.0</v>
      </c>
      <c r="EQ121" s="54">
        <v>0.0</v>
      </c>
      <c r="ER121" s="54">
        <v>0.0</v>
      </c>
      <c r="ES121" s="54">
        <v>0.0</v>
      </c>
      <c r="ET121" s="54">
        <v>0.0</v>
      </c>
      <c r="EU121" s="54">
        <v>8882350.0</v>
      </c>
      <c r="EV121" s="54">
        <v>147869.0</v>
      </c>
      <c r="EW121" s="54">
        <v>12317.0</v>
      </c>
      <c r="EX121" s="54">
        <v>104511.0</v>
      </c>
      <c r="EY121" s="54">
        <v>3712344.0</v>
      </c>
      <c r="EZ121" s="54">
        <v>0.0</v>
      </c>
      <c r="FA121" s="54">
        <v>0.0</v>
      </c>
      <c r="FB121" s="54">
        <v>0.0</v>
      </c>
      <c r="FC121" s="54">
        <v>0.0</v>
      </c>
      <c r="FD121" s="54">
        <v>0.0</v>
      </c>
      <c r="FE121" s="54">
        <v>0.0</v>
      </c>
      <c r="FF121" s="54">
        <v>0.0</v>
      </c>
      <c r="FG121" s="54">
        <v>0.0</v>
      </c>
      <c r="FH121" s="54">
        <v>0.0</v>
      </c>
      <c r="FI121" s="54">
        <v>0.0</v>
      </c>
      <c r="FJ121" s="54">
        <v>0.0</v>
      </c>
      <c r="FK121" s="54">
        <v>0.0</v>
      </c>
      <c r="FL121" s="54">
        <v>0.0</v>
      </c>
      <c r="FM121" s="54">
        <v>0.0</v>
      </c>
      <c r="FN121" s="54">
        <v>0.0</v>
      </c>
      <c r="FO121" s="54">
        <v>0.0</v>
      </c>
      <c r="FP121" s="54">
        <v>0.0</v>
      </c>
      <c r="FQ121" s="54">
        <v>0.0</v>
      </c>
      <c r="FR121" s="54">
        <v>0.0</v>
      </c>
      <c r="FS121" s="54">
        <v>0.0</v>
      </c>
      <c r="FT121" s="54">
        <v>0.0</v>
      </c>
      <c r="FU121" s="54">
        <v>0.0</v>
      </c>
      <c r="FV121" s="54">
        <v>0.0</v>
      </c>
      <c r="FW121" s="54">
        <v>0.0</v>
      </c>
      <c r="FX121" s="54">
        <v>0.0</v>
      </c>
      <c r="FY121" s="54">
        <v>0.0</v>
      </c>
      <c r="FZ121" s="54">
        <v>0.0</v>
      </c>
      <c r="GA121" s="54">
        <v>0.0</v>
      </c>
      <c r="GB121" s="54">
        <v>0.0</v>
      </c>
      <c r="GC121" s="54">
        <v>0.0</v>
      </c>
      <c r="GD121" s="54">
        <v>0.0</v>
      </c>
      <c r="GE121" s="54">
        <v>0.0</v>
      </c>
      <c r="GF121" s="55">
        <v>1.9609197E7</v>
      </c>
      <c r="GG121" s="56">
        <v>0.0</v>
      </c>
      <c r="GH121" s="57">
        <v>0.0</v>
      </c>
      <c r="GI121" s="56">
        <v>0.0</v>
      </c>
      <c r="GJ121" s="56">
        <v>0.0</v>
      </c>
      <c r="GK121" s="56">
        <v>-1541699.0</v>
      </c>
      <c r="GL121" s="56">
        <v>1464792.0</v>
      </c>
      <c r="GM121" s="56">
        <v>0.0</v>
      </c>
      <c r="GN121" s="55">
        <v>-76907.0</v>
      </c>
      <c r="GO121" s="58">
        <v>1.953229E7</v>
      </c>
      <c r="GP121" s="56">
        <v>3738414.0</v>
      </c>
      <c r="GQ121" s="56">
        <v>0.0</v>
      </c>
      <c r="GR121" s="57">
        <v>0.0</v>
      </c>
      <c r="GS121" s="55">
        <v>3738414.0</v>
      </c>
      <c r="GT121" s="59">
        <v>2892367.0</v>
      </c>
      <c r="GU121" s="59">
        <v>1188902.0</v>
      </c>
      <c r="GV121" s="59">
        <v>654604.0</v>
      </c>
      <c r="GW121" s="55">
        <v>4735873.0</v>
      </c>
      <c r="GX121" s="55">
        <v>230225.0</v>
      </c>
      <c r="GY121" s="55">
        <v>1.0827778E7</v>
      </c>
      <c r="GZ121" s="58">
        <v>1.953229E7</v>
      </c>
    </row>
    <row r="122" ht="15.75" customHeight="1">
      <c r="A122" s="60">
        <v>117.0</v>
      </c>
      <c r="B122" s="61" t="s">
        <v>162</v>
      </c>
      <c r="C122" s="62">
        <v>0.0</v>
      </c>
      <c r="D122" s="62">
        <v>0.0</v>
      </c>
      <c r="E122" s="62">
        <v>0.0</v>
      </c>
      <c r="F122" s="62">
        <v>0.0</v>
      </c>
      <c r="G122" s="62">
        <v>0.0</v>
      </c>
      <c r="H122" s="62">
        <v>0.0</v>
      </c>
      <c r="I122" s="62">
        <v>0.0</v>
      </c>
      <c r="J122" s="62">
        <v>0.0</v>
      </c>
      <c r="K122" s="62">
        <v>0.0</v>
      </c>
      <c r="L122" s="62">
        <v>0.0</v>
      </c>
      <c r="M122" s="62">
        <v>0.0</v>
      </c>
      <c r="N122" s="62">
        <v>0.0</v>
      </c>
      <c r="O122" s="62">
        <v>0.0</v>
      </c>
      <c r="P122" s="62">
        <v>0.0</v>
      </c>
      <c r="Q122" s="62">
        <v>0.0</v>
      </c>
      <c r="R122" s="62">
        <v>0.0</v>
      </c>
      <c r="S122" s="62">
        <v>0.0</v>
      </c>
      <c r="T122" s="62">
        <v>0.0</v>
      </c>
      <c r="U122" s="62">
        <v>0.0</v>
      </c>
      <c r="V122" s="62">
        <v>0.0</v>
      </c>
      <c r="W122" s="62">
        <v>0.0</v>
      </c>
      <c r="X122" s="62">
        <v>0.0</v>
      </c>
      <c r="Y122" s="62">
        <v>0.0</v>
      </c>
      <c r="Z122" s="62">
        <v>0.0</v>
      </c>
      <c r="AA122" s="62">
        <v>0.0</v>
      </c>
      <c r="AB122" s="62">
        <v>0.0</v>
      </c>
      <c r="AC122" s="62">
        <v>0.0</v>
      </c>
      <c r="AD122" s="62">
        <v>41350.0</v>
      </c>
      <c r="AE122" s="62">
        <v>0.0</v>
      </c>
      <c r="AF122" s="62">
        <v>0.0</v>
      </c>
      <c r="AG122" s="62">
        <v>0.0</v>
      </c>
      <c r="AH122" s="62">
        <v>0.0</v>
      </c>
      <c r="AI122" s="62">
        <v>0.0</v>
      </c>
      <c r="AJ122" s="62">
        <v>0.0</v>
      </c>
      <c r="AK122" s="62">
        <v>0.0</v>
      </c>
      <c r="AL122" s="62">
        <v>0.0</v>
      </c>
      <c r="AM122" s="62">
        <v>0.0</v>
      </c>
      <c r="AN122" s="62">
        <v>0.0</v>
      </c>
      <c r="AO122" s="62">
        <v>0.0</v>
      </c>
      <c r="AP122" s="62">
        <v>0.0</v>
      </c>
      <c r="AQ122" s="62">
        <v>0.0</v>
      </c>
      <c r="AR122" s="62">
        <v>0.0</v>
      </c>
      <c r="AS122" s="62">
        <v>98470.0</v>
      </c>
      <c r="AT122" s="62">
        <v>0.0</v>
      </c>
      <c r="AU122" s="62">
        <v>0.0</v>
      </c>
      <c r="AV122" s="62">
        <v>38266.0</v>
      </c>
      <c r="AW122" s="62">
        <v>0.0</v>
      </c>
      <c r="AX122" s="62">
        <v>0.0</v>
      </c>
      <c r="AY122" s="62">
        <v>0.0</v>
      </c>
      <c r="AZ122" s="62">
        <v>0.0</v>
      </c>
      <c r="BA122" s="62">
        <v>0.0</v>
      </c>
      <c r="BB122" s="62">
        <v>0.0</v>
      </c>
      <c r="BC122" s="62">
        <v>0.0</v>
      </c>
      <c r="BD122" s="62">
        <v>0.0</v>
      </c>
      <c r="BE122" s="62">
        <v>0.0</v>
      </c>
      <c r="BF122" s="62">
        <v>0.0</v>
      </c>
      <c r="BG122" s="62">
        <v>0.0</v>
      </c>
      <c r="BH122" s="62">
        <v>0.0</v>
      </c>
      <c r="BI122" s="62">
        <v>0.0</v>
      </c>
      <c r="BJ122" s="62">
        <v>0.0</v>
      </c>
      <c r="BK122" s="62">
        <v>0.0</v>
      </c>
      <c r="BL122" s="62">
        <v>0.0</v>
      </c>
      <c r="BM122" s="62">
        <v>0.0</v>
      </c>
      <c r="BN122" s="62">
        <v>0.0</v>
      </c>
      <c r="BO122" s="62">
        <v>64.0</v>
      </c>
      <c r="BP122" s="62">
        <v>73.0</v>
      </c>
      <c r="BQ122" s="62">
        <v>0.0</v>
      </c>
      <c r="BR122" s="62">
        <v>0.0</v>
      </c>
      <c r="BS122" s="62">
        <v>0.0</v>
      </c>
      <c r="BT122" s="62">
        <v>0.0</v>
      </c>
      <c r="BU122" s="62">
        <v>5891.0</v>
      </c>
      <c r="BV122" s="62">
        <v>0.0</v>
      </c>
      <c r="BW122" s="62">
        <v>0.0</v>
      </c>
      <c r="BX122" s="62">
        <v>0.0</v>
      </c>
      <c r="BY122" s="62">
        <v>0.0</v>
      </c>
      <c r="BZ122" s="62">
        <v>0.0</v>
      </c>
      <c r="CA122" s="62">
        <v>0.0</v>
      </c>
      <c r="CB122" s="62">
        <v>0.0</v>
      </c>
      <c r="CC122" s="62">
        <v>0.0</v>
      </c>
      <c r="CD122" s="62">
        <v>0.0</v>
      </c>
      <c r="CE122" s="62">
        <v>0.0</v>
      </c>
      <c r="CF122" s="62">
        <v>0.0</v>
      </c>
      <c r="CG122" s="62">
        <v>0.0</v>
      </c>
      <c r="CH122" s="62">
        <v>0.0</v>
      </c>
      <c r="CI122" s="62">
        <v>0.0</v>
      </c>
      <c r="CJ122" s="62">
        <v>3193.0</v>
      </c>
      <c r="CK122" s="62">
        <v>2511.0</v>
      </c>
      <c r="CL122" s="62">
        <v>50499.0</v>
      </c>
      <c r="CM122" s="62">
        <v>2298.0</v>
      </c>
      <c r="CN122" s="62">
        <v>0.0</v>
      </c>
      <c r="CO122" s="62">
        <v>0.0</v>
      </c>
      <c r="CP122" s="62">
        <v>219.0</v>
      </c>
      <c r="CQ122" s="62">
        <v>0.0</v>
      </c>
      <c r="CR122" s="62">
        <v>9099.0</v>
      </c>
      <c r="CS122" s="62">
        <v>0.0</v>
      </c>
      <c r="CT122" s="62">
        <v>0.0</v>
      </c>
      <c r="CU122" s="62">
        <v>0.0</v>
      </c>
      <c r="CV122" s="62">
        <v>0.0</v>
      </c>
      <c r="CW122" s="62">
        <v>0.0</v>
      </c>
      <c r="CX122" s="62">
        <v>0.0</v>
      </c>
      <c r="CY122" s="62">
        <v>0.0</v>
      </c>
      <c r="CZ122" s="62">
        <v>0.0</v>
      </c>
      <c r="DA122" s="62">
        <v>0.0</v>
      </c>
      <c r="DB122" s="62">
        <v>0.0</v>
      </c>
      <c r="DC122" s="62">
        <v>0.0</v>
      </c>
      <c r="DD122" s="62">
        <v>0.0</v>
      </c>
      <c r="DE122" s="62">
        <v>0.0</v>
      </c>
      <c r="DF122" s="62">
        <v>0.0</v>
      </c>
      <c r="DG122" s="62">
        <v>0.0</v>
      </c>
      <c r="DH122" s="62">
        <v>1100.0</v>
      </c>
      <c r="DI122" s="62">
        <v>0.0</v>
      </c>
      <c r="DJ122" s="62">
        <v>4347.0</v>
      </c>
      <c r="DK122" s="62">
        <v>0.0</v>
      </c>
      <c r="DL122" s="62">
        <v>0.0</v>
      </c>
      <c r="DM122" s="62">
        <v>317.0</v>
      </c>
      <c r="DN122" s="62">
        <v>4566.0</v>
      </c>
      <c r="DO122" s="62">
        <v>5906035.0</v>
      </c>
      <c r="DP122" s="62">
        <v>0.0</v>
      </c>
      <c r="DQ122" s="62">
        <v>0.0</v>
      </c>
      <c r="DR122" s="62">
        <v>105031.0</v>
      </c>
      <c r="DS122" s="62">
        <v>611971.0</v>
      </c>
      <c r="DT122" s="62">
        <v>179267.0</v>
      </c>
      <c r="DU122" s="62">
        <v>538571.0</v>
      </c>
      <c r="DV122" s="62">
        <v>1594099.0</v>
      </c>
      <c r="DW122" s="62">
        <v>1023455.0</v>
      </c>
      <c r="DX122" s="62">
        <v>858276.0</v>
      </c>
      <c r="DY122" s="62">
        <v>2953918.0</v>
      </c>
      <c r="DZ122" s="62">
        <v>1198146.0</v>
      </c>
      <c r="EA122" s="62">
        <v>0.0</v>
      </c>
      <c r="EB122" s="62">
        <v>832745.0</v>
      </c>
      <c r="EC122" s="62">
        <v>0.0</v>
      </c>
      <c r="ED122" s="62">
        <v>0.0</v>
      </c>
      <c r="EE122" s="62">
        <v>0.0</v>
      </c>
      <c r="EF122" s="62">
        <v>11412.0</v>
      </c>
      <c r="EG122" s="62">
        <v>16527.0</v>
      </c>
      <c r="EH122" s="62">
        <v>0.0</v>
      </c>
      <c r="EI122" s="62">
        <v>41903.0</v>
      </c>
      <c r="EJ122" s="62">
        <v>0.0</v>
      </c>
      <c r="EK122" s="62">
        <v>0.0</v>
      </c>
      <c r="EL122" s="62">
        <v>0.0</v>
      </c>
      <c r="EM122" s="62">
        <v>0.0</v>
      </c>
      <c r="EN122" s="62">
        <v>0.0</v>
      </c>
      <c r="EO122" s="62">
        <v>0.0</v>
      </c>
      <c r="EP122" s="62">
        <v>326280.0</v>
      </c>
      <c r="EQ122" s="62">
        <v>0.0</v>
      </c>
      <c r="ER122" s="62">
        <v>0.0</v>
      </c>
      <c r="ES122" s="62">
        <v>186101.0</v>
      </c>
      <c r="ET122" s="62">
        <v>228701.0</v>
      </c>
      <c r="EU122" s="62">
        <v>4.030955E7</v>
      </c>
      <c r="EV122" s="62">
        <v>7717846.0</v>
      </c>
      <c r="EW122" s="62">
        <v>628887.0</v>
      </c>
      <c r="EX122" s="62">
        <v>2439704.0</v>
      </c>
      <c r="EY122" s="62">
        <v>4.5314277E7</v>
      </c>
      <c r="EZ122" s="62">
        <v>0.0</v>
      </c>
      <c r="FA122" s="62">
        <v>0.0</v>
      </c>
      <c r="FB122" s="62">
        <v>0.0</v>
      </c>
      <c r="FC122" s="62">
        <v>0.0</v>
      </c>
      <c r="FD122" s="62">
        <v>0.0</v>
      </c>
      <c r="FE122" s="62">
        <v>0.0</v>
      </c>
      <c r="FF122" s="62">
        <v>0.0</v>
      </c>
      <c r="FG122" s="62">
        <v>0.0</v>
      </c>
      <c r="FH122" s="62">
        <v>0.0</v>
      </c>
      <c r="FI122" s="62">
        <v>0.0</v>
      </c>
      <c r="FJ122" s="62">
        <v>0.0</v>
      </c>
      <c r="FK122" s="62">
        <v>0.0</v>
      </c>
      <c r="FL122" s="62">
        <v>0.0</v>
      </c>
      <c r="FM122" s="62">
        <v>0.0</v>
      </c>
      <c r="FN122" s="62">
        <v>0.0</v>
      </c>
      <c r="FO122" s="62">
        <v>0.0</v>
      </c>
      <c r="FP122" s="62">
        <v>0.0</v>
      </c>
      <c r="FQ122" s="62">
        <v>0.0</v>
      </c>
      <c r="FR122" s="62">
        <v>0.0</v>
      </c>
      <c r="FS122" s="62">
        <v>0.0</v>
      </c>
      <c r="FT122" s="62">
        <v>0.0</v>
      </c>
      <c r="FU122" s="62">
        <v>78993.0</v>
      </c>
      <c r="FV122" s="62">
        <v>173.0</v>
      </c>
      <c r="FW122" s="62">
        <v>31096.0</v>
      </c>
      <c r="FX122" s="62">
        <v>107.0</v>
      </c>
      <c r="FY122" s="62">
        <v>0.0</v>
      </c>
      <c r="FZ122" s="62">
        <v>0.0</v>
      </c>
      <c r="GA122" s="62">
        <v>0.0</v>
      </c>
      <c r="GB122" s="62">
        <v>0.0</v>
      </c>
      <c r="GC122" s="62">
        <v>0.0</v>
      </c>
      <c r="GD122" s="62">
        <v>0.0</v>
      </c>
      <c r="GE122" s="62">
        <v>0.0</v>
      </c>
      <c r="GF122" s="63">
        <v>1.13395334E8</v>
      </c>
      <c r="GG122" s="64">
        <v>7314915.0</v>
      </c>
      <c r="GH122" s="65">
        <v>0.0</v>
      </c>
      <c r="GI122" s="64">
        <v>0.0</v>
      </c>
      <c r="GJ122" s="64">
        <v>4528181.0</v>
      </c>
      <c r="GK122" s="64">
        <v>2251342.0</v>
      </c>
      <c r="GL122" s="64">
        <v>4830320.0</v>
      </c>
      <c r="GM122" s="64">
        <v>0.0</v>
      </c>
      <c r="GN122" s="63">
        <v>1.8924758E7</v>
      </c>
      <c r="GO122" s="66">
        <v>1.32320092E8</v>
      </c>
      <c r="GP122" s="64">
        <v>1.9044256E7</v>
      </c>
      <c r="GQ122" s="64">
        <v>0.0</v>
      </c>
      <c r="GR122" s="65">
        <v>0.0</v>
      </c>
      <c r="GS122" s="63">
        <v>1.9044256E7</v>
      </c>
      <c r="GT122" s="67">
        <v>1.5486689E7</v>
      </c>
      <c r="GU122" s="67">
        <v>1.4952619E7</v>
      </c>
      <c r="GV122" s="67">
        <v>4264298.0</v>
      </c>
      <c r="GW122" s="63">
        <v>3.4703606E7</v>
      </c>
      <c r="GX122" s="63">
        <v>3028544.0</v>
      </c>
      <c r="GY122" s="63">
        <v>7.5543686E7</v>
      </c>
      <c r="GZ122" s="66">
        <v>1.32320092E8</v>
      </c>
    </row>
    <row r="123" ht="15.75" customHeight="1">
      <c r="A123" s="60">
        <v>118.0</v>
      </c>
      <c r="B123" s="61" t="s">
        <v>163</v>
      </c>
      <c r="C123" s="62">
        <v>0.0</v>
      </c>
      <c r="D123" s="62">
        <v>0.0</v>
      </c>
      <c r="E123" s="62">
        <v>0.0</v>
      </c>
      <c r="F123" s="62">
        <v>0.0</v>
      </c>
      <c r="G123" s="62">
        <v>0.0</v>
      </c>
      <c r="H123" s="62">
        <v>0.0</v>
      </c>
      <c r="I123" s="62">
        <v>0.0</v>
      </c>
      <c r="J123" s="62">
        <v>0.0</v>
      </c>
      <c r="K123" s="62">
        <v>0.0</v>
      </c>
      <c r="L123" s="62">
        <v>0.0</v>
      </c>
      <c r="M123" s="62">
        <v>0.0</v>
      </c>
      <c r="N123" s="62">
        <v>0.0</v>
      </c>
      <c r="O123" s="62">
        <v>0.0</v>
      </c>
      <c r="P123" s="62">
        <v>0.0</v>
      </c>
      <c r="Q123" s="62">
        <v>0.0</v>
      </c>
      <c r="R123" s="62">
        <v>0.0</v>
      </c>
      <c r="S123" s="62">
        <v>0.0</v>
      </c>
      <c r="T123" s="62">
        <v>0.0</v>
      </c>
      <c r="U123" s="62">
        <v>0.0</v>
      </c>
      <c r="V123" s="62">
        <v>0.0</v>
      </c>
      <c r="W123" s="62">
        <v>0.0</v>
      </c>
      <c r="X123" s="62">
        <v>0.0</v>
      </c>
      <c r="Y123" s="62">
        <v>0.0</v>
      </c>
      <c r="Z123" s="62">
        <v>0.0</v>
      </c>
      <c r="AA123" s="62">
        <v>0.0</v>
      </c>
      <c r="AB123" s="62">
        <v>0.0</v>
      </c>
      <c r="AC123" s="62">
        <v>0.0</v>
      </c>
      <c r="AD123" s="62">
        <v>0.0</v>
      </c>
      <c r="AE123" s="62">
        <v>0.0</v>
      </c>
      <c r="AF123" s="62">
        <v>0.0</v>
      </c>
      <c r="AG123" s="62">
        <v>0.0</v>
      </c>
      <c r="AH123" s="62">
        <v>0.0</v>
      </c>
      <c r="AI123" s="62">
        <v>0.0</v>
      </c>
      <c r="AJ123" s="62">
        <v>0.0</v>
      </c>
      <c r="AK123" s="62">
        <v>0.0</v>
      </c>
      <c r="AL123" s="62">
        <v>0.0</v>
      </c>
      <c r="AM123" s="62">
        <v>0.0</v>
      </c>
      <c r="AN123" s="62">
        <v>0.0</v>
      </c>
      <c r="AO123" s="62">
        <v>0.0</v>
      </c>
      <c r="AP123" s="62">
        <v>0.0</v>
      </c>
      <c r="AQ123" s="62">
        <v>0.0</v>
      </c>
      <c r="AR123" s="62">
        <v>0.0</v>
      </c>
      <c r="AS123" s="62">
        <v>0.0</v>
      </c>
      <c r="AT123" s="62">
        <v>0.0</v>
      </c>
      <c r="AU123" s="62">
        <v>0.0</v>
      </c>
      <c r="AV123" s="62">
        <v>0.0</v>
      </c>
      <c r="AW123" s="62">
        <v>0.0</v>
      </c>
      <c r="AX123" s="62">
        <v>0.0</v>
      </c>
      <c r="AY123" s="62">
        <v>0.0</v>
      </c>
      <c r="AZ123" s="62">
        <v>0.0</v>
      </c>
      <c r="BA123" s="62">
        <v>0.0</v>
      </c>
      <c r="BB123" s="62">
        <v>0.0</v>
      </c>
      <c r="BC123" s="62">
        <v>0.0</v>
      </c>
      <c r="BD123" s="62">
        <v>0.0</v>
      </c>
      <c r="BE123" s="62">
        <v>0.0</v>
      </c>
      <c r="BF123" s="62">
        <v>0.0</v>
      </c>
      <c r="BG123" s="62">
        <v>0.0</v>
      </c>
      <c r="BH123" s="62">
        <v>0.0</v>
      </c>
      <c r="BI123" s="62">
        <v>0.0</v>
      </c>
      <c r="BJ123" s="62">
        <v>0.0</v>
      </c>
      <c r="BK123" s="62">
        <v>0.0</v>
      </c>
      <c r="BL123" s="62">
        <v>0.0</v>
      </c>
      <c r="BM123" s="62">
        <v>0.0</v>
      </c>
      <c r="BN123" s="62">
        <v>0.0</v>
      </c>
      <c r="BO123" s="62">
        <v>0.0</v>
      </c>
      <c r="BP123" s="62">
        <v>0.0</v>
      </c>
      <c r="BQ123" s="62">
        <v>0.0</v>
      </c>
      <c r="BR123" s="62">
        <v>0.0</v>
      </c>
      <c r="BS123" s="62">
        <v>0.0</v>
      </c>
      <c r="BT123" s="62">
        <v>0.0</v>
      </c>
      <c r="BU123" s="62">
        <v>0.0</v>
      </c>
      <c r="BV123" s="62">
        <v>0.0</v>
      </c>
      <c r="BW123" s="62">
        <v>0.0</v>
      </c>
      <c r="BX123" s="62">
        <v>0.0</v>
      </c>
      <c r="BY123" s="62">
        <v>0.0</v>
      </c>
      <c r="BZ123" s="62">
        <v>0.0</v>
      </c>
      <c r="CA123" s="62">
        <v>0.0</v>
      </c>
      <c r="CB123" s="62">
        <v>0.0</v>
      </c>
      <c r="CC123" s="62">
        <v>0.0</v>
      </c>
      <c r="CD123" s="62">
        <v>0.0</v>
      </c>
      <c r="CE123" s="62">
        <v>0.0</v>
      </c>
      <c r="CF123" s="62">
        <v>0.0</v>
      </c>
      <c r="CG123" s="62">
        <v>0.0</v>
      </c>
      <c r="CH123" s="62">
        <v>0.0</v>
      </c>
      <c r="CI123" s="62">
        <v>0.0</v>
      </c>
      <c r="CJ123" s="62">
        <v>0.0</v>
      </c>
      <c r="CK123" s="62">
        <v>0.0</v>
      </c>
      <c r="CL123" s="62">
        <v>0.0</v>
      </c>
      <c r="CM123" s="62">
        <v>0.0</v>
      </c>
      <c r="CN123" s="62">
        <v>0.0</v>
      </c>
      <c r="CO123" s="62">
        <v>0.0</v>
      </c>
      <c r="CP123" s="62">
        <v>0.0</v>
      </c>
      <c r="CQ123" s="62">
        <v>0.0</v>
      </c>
      <c r="CR123" s="62">
        <v>0.0</v>
      </c>
      <c r="CS123" s="62">
        <v>0.0</v>
      </c>
      <c r="CT123" s="62">
        <v>0.0</v>
      </c>
      <c r="CU123" s="62">
        <v>0.0</v>
      </c>
      <c r="CV123" s="62">
        <v>0.0</v>
      </c>
      <c r="CW123" s="62">
        <v>0.0</v>
      </c>
      <c r="CX123" s="62">
        <v>0.0</v>
      </c>
      <c r="CY123" s="62">
        <v>0.0</v>
      </c>
      <c r="CZ123" s="62">
        <v>0.0</v>
      </c>
      <c r="DA123" s="62">
        <v>0.0</v>
      </c>
      <c r="DB123" s="62">
        <v>0.0</v>
      </c>
      <c r="DC123" s="62">
        <v>0.0</v>
      </c>
      <c r="DD123" s="62">
        <v>0.0</v>
      </c>
      <c r="DE123" s="62">
        <v>0.0</v>
      </c>
      <c r="DF123" s="62">
        <v>0.0</v>
      </c>
      <c r="DG123" s="62">
        <v>0.0</v>
      </c>
      <c r="DH123" s="62">
        <v>0.0</v>
      </c>
      <c r="DI123" s="62">
        <v>0.0</v>
      </c>
      <c r="DJ123" s="62">
        <v>0.0</v>
      </c>
      <c r="DK123" s="62">
        <v>0.0</v>
      </c>
      <c r="DL123" s="62">
        <v>0.0</v>
      </c>
      <c r="DM123" s="62">
        <v>0.0</v>
      </c>
      <c r="DN123" s="62">
        <v>0.0</v>
      </c>
      <c r="DO123" s="62">
        <v>0.0</v>
      </c>
      <c r="DP123" s="62">
        <v>541365.0</v>
      </c>
      <c r="DQ123" s="62">
        <v>0.0</v>
      </c>
      <c r="DR123" s="62">
        <v>0.0</v>
      </c>
      <c r="DS123" s="62">
        <v>0.0</v>
      </c>
      <c r="DT123" s="62">
        <v>0.0</v>
      </c>
      <c r="DU123" s="62">
        <v>0.0</v>
      </c>
      <c r="DV123" s="62">
        <v>0.0</v>
      </c>
      <c r="DW123" s="62">
        <v>0.0</v>
      </c>
      <c r="DX123" s="62">
        <v>0.0</v>
      </c>
      <c r="DY123" s="62">
        <v>0.0</v>
      </c>
      <c r="DZ123" s="62">
        <v>0.0</v>
      </c>
      <c r="EA123" s="62">
        <v>0.0</v>
      </c>
      <c r="EB123" s="62">
        <v>0.0</v>
      </c>
      <c r="EC123" s="62">
        <v>0.0</v>
      </c>
      <c r="ED123" s="62">
        <v>0.0</v>
      </c>
      <c r="EE123" s="62">
        <v>0.0</v>
      </c>
      <c r="EF123" s="62">
        <v>0.0</v>
      </c>
      <c r="EG123" s="62">
        <v>729087.0</v>
      </c>
      <c r="EH123" s="62">
        <v>0.0</v>
      </c>
      <c r="EI123" s="62">
        <v>0.0</v>
      </c>
      <c r="EJ123" s="62">
        <v>0.0</v>
      </c>
      <c r="EK123" s="62">
        <v>0.0</v>
      </c>
      <c r="EL123" s="62">
        <v>0.0</v>
      </c>
      <c r="EM123" s="62">
        <v>0.0</v>
      </c>
      <c r="EN123" s="62">
        <v>0.0</v>
      </c>
      <c r="EO123" s="62">
        <v>0.0</v>
      </c>
      <c r="EP123" s="62">
        <v>175786.0</v>
      </c>
      <c r="EQ123" s="62">
        <v>0.0</v>
      </c>
      <c r="ER123" s="62">
        <v>0.0</v>
      </c>
      <c r="ES123" s="62">
        <v>0.0</v>
      </c>
      <c r="ET123" s="62">
        <v>0.0</v>
      </c>
      <c r="EU123" s="62">
        <v>1.036119E7</v>
      </c>
      <c r="EV123" s="62">
        <v>6503.0</v>
      </c>
      <c r="EW123" s="62">
        <v>18484.0</v>
      </c>
      <c r="EX123" s="62">
        <v>28293.0</v>
      </c>
      <c r="EY123" s="62">
        <v>1997398.0</v>
      </c>
      <c r="EZ123" s="62">
        <v>0.0</v>
      </c>
      <c r="FA123" s="62">
        <v>0.0</v>
      </c>
      <c r="FB123" s="62">
        <v>0.0</v>
      </c>
      <c r="FC123" s="62">
        <v>0.0</v>
      </c>
      <c r="FD123" s="62">
        <v>0.0</v>
      </c>
      <c r="FE123" s="62">
        <v>0.0</v>
      </c>
      <c r="FF123" s="62">
        <v>0.0</v>
      </c>
      <c r="FG123" s="62">
        <v>0.0</v>
      </c>
      <c r="FH123" s="62">
        <v>0.0</v>
      </c>
      <c r="FI123" s="62">
        <v>0.0</v>
      </c>
      <c r="FJ123" s="62">
        <v>0.0</v>
      </c>
      <c r="FK123" s="62">
        <v>0.0</v>
      </c>
      <c r="FL123" s="62">
        <v>0.0</v>
      </c>
      <c r="FM123" s="62">
        <v>0.0</v>
      </c>
      <c r="FN123" s="62">
        <v>0.0</v>
      </c>
      <c r="FO123" s="62">
        <v>0.0</v>
      </c>
      <c r="FP123" s="62">
        <v>0.0</v>
      </c>
      <c r="FQ123" s="62">
        <v>0.0</v>
      </c>
      <c r="FR123" s="62">
        <v>0.0</v>
      </c>
      <c r="FS123" s="62">
        <v>0.0</v>
      </c>
      <c r="FT123" s="62">
        <v>0.0</v>
      </c>
      <c r="FU123" s="62">
        <v>34493.0</v>
      </c>
      <c r="FV123" s="62">
        <v>0.0</v>
      </c>
      <c r="FW123" s="62">
        <v>17.0</v>
      </c>
      <c r="FX123" s="62">
        <v>0.0</v>
      </c>
      <c r="FY123" s="62">
        <v>0.0</v>
      </c>
      <c r="FZ123" s="62">
        <v>0.0</v>
      </c>
      <c r="GA123" s="62">
        <v>0.0</v>
      </c>
      <c r="GB123" s="62">
        <v>0.0</v>
      </c>
      <c r="GC123" s="62">
        <v>0.0</v>
      </c>
      <c r="GD123" s="62">
        <v>0.0</v>
      </c>
      <c r="GE123" s="62">
        <v>0.0</v>
      </c>
      <c r="GF123" s="63">
        <v>1.3892616E7</v>
      </c>
      <c r="GG123" s="64">
        <v>42813.0</v>
      </c>
      <c r="GH123" s="65">
        <v>0.0</v>
      </c>
      <c r="GI123" s="64">
        <v>0.0</v>
      </c>
      <c r="GJ123" s="64">
        <v>3418663.0</v>
      </c>
      <c r="GK123" s="64">
        <v>1319469.0</v>
      </c>
      <c r="GL123" s="64">
        <v>3712.0</v>
      </c>
      <c r="GM123" s="64">
        <v>0.0</v>
      </c>
      <c r="GN123" s="63">
        <v>4784657.0</v>
      </c>
      <c r="GO123" s="66">
        <v>1.8677273E7</v>
      </c>
      <c r="GP123" s="64">
        <v>6415696.0</v>
      </c>
      <c r="GQ123" s="64">
        <v>0.0</v>
      </c>
      <c r="GR123" s="65">
        <v>0.0</v>
      </c>
      <c r="GS123" s="63">
        <v>6415696.0</v>
      </c>
      <c r="GT123" s="67">
        <v>2307238.0</v>
      </c>
      <c r="GU123" s="67">
        <v>1906865.0</v>
      </c>
      <c r="GV123" s="67">
        <v>1126864.0</v>
      </c>
      <c r="GW123" s="63">
        <v>5340967.0</v>
      </c>
      <c r="GX123" s="63">
        <v>1058104.0</v>
      </c>
      <c r="GY123" s="63">
        <v>5862506.0</v>
      </c>
      <c r="GZ123" s="66">
        <v>1.8677273E7</v>
      </c>
    </row>
    <row r="124" ht="15.75" customHeight="1">
      <c r="A124" s="60">
        <v>119.0</v>
      </c>
      <c r="B124" s="61" t="s">
        <v>164</v>
      </c>
      <c r="C124" s="62">
        <v>112244.0</v>
      </c>
      <c r="D124" s="62">
        <v>44204.0</v>
      </c>
      <c r="E124" s="62">
        <v>5595.0</v>
      </c>
      <c r="F124" s="62">
        <v>63279.0</v>
      </c>
      <c r="G124" s="62">
        <v>2249.0</v>
      </c>
      <c r="H124" s="62">
        <v>21447.0</v>
      </c>
      <c r="I124" s="62">
        <v>13474.0</v>
      </c>
      <c r="J124" s="62">
        <v>7972.0</v>
      </c>
      <c r="K124" s="62">
        <v>13.0</v>
      </c>
      <c r="L124" s="62">
        <v>108158.0</v>
      </c>
      <c r="M124" s="62">
        <v>10264.0</v>
      </c>
      <c r="N124" s="62">
        <v>17401.0</v>
      </c>
      <c r="O124" s="62">
        <v>45203.0</v>
      </c>
      <c r="P124" s="62">
        <v>236.0</v>
      </c>
      <c r="Q124" s="62">
        <v>62346.0</v>
      </c>
      <c r="R124" s="62">
        <v>266257.0</v>
      </c>
      <c r="S124" s="62">
        <v>27087.0</v>
      </c>
      <c r="T124" s="62">
        <v>248865.0</v>
      </c>
      <c r="U124" s="62">
        <v>78649.0</v>
      </c>
      <c r="V124" s="62">
        <v>2904.0</v>
      </c>
      <c r="W124" s="62">
        <v>8770.0</v>
      </c>
      <c r="X124" s="62">
        <v>11097.0</v>
      </c>
      <c r="Y124" s="62">
        <v>74674.0</v>
      </c>
      <c r="Z124" s="62">
        <v>175690.0</v>
      </c>
      <c r="AA124" s="62">
        <v>1249.0</v>
      </c>
      <c r="AB124" s="62">
        <v>14604.0</v>
      </c>
      <c r="AC124" s="62">
        <v>2040.0</v>
      </c>
      <c r="AD124" s="62">
        <v>88520.0</v>
      </c>
      <c r="AE124" s="62">
        <v>4853.0</v>
      </c>
      <c r="AF124" s="62">
        <v>368037.0</v>
      </c>
      <c r="AG124" s="62">
        <v>45855.0</v>
      </c>
      <c r="AH124" s="62">
        <v>13356.0</v>
      </c>
      <c r="AI124" s="62">
        <v>185101.0</v>
      </c>
      <c r="AJ124" s="62">
        <v>21634.0</v>
      </c>
      <c r="AK124" s="62">
        <v>3371.0</v>
      </c>
      <c r="AL124" s="62">
        <v>3085.0</v>
      </c>
      <c r="AM124" s="62">
        <v>0.0</v>
      </c>
      <c r="AN124" s="62">
        <v>0.0</v>
      </c>
      <c r="AO124" s="62">
        <v>0.0</v>
      </c>
      <c r="AP124" s="62">
        <v>407.0</v>
      </c>
      <c r="AQ124" s="62">
        <v>16469.0</v>
      </c>
      <c r="AR124" s="62">
        <v>785.0</v>
      </c>
      <c r="AS124" s="62">
        <v>41324.0</v>
      </c>
      <c r="AT124" s="62">
        <v>827.0</v>
      </c>
      <c r="AU124" s="62">
        <v>112088.0</v>
      </c>
      <c r="AV124" s="62">
        <v>685518.0</v>
      </c>
      <c r="AW124" s="62">
        <v>27394.0</v>
      </c>
      <c r="AX124" s="62">
        <v>6021845.0</v>
      </c>
      <c r="AY124" s="62">
        <v>584345.0</v>
      </c>
      <c r="AZ124" s="62">
        <v>924.0</v>
      </c>
      <c r="BA124" s="62">
        <v>44880.0</v>
      </c>
      <c r="BB124" s="62">
        <v>109939.0</v>
      </c>
      <c r="BC124" s="62">
        <v>795.0</v>
      </c>
      <c r="BD124" s="62">
        <v>441.0</v>
      </c>
      <c r="BE124" s="62">
        <v>291.0</v>
      </c>
      <c r="BF124" s="62">
        <v>4875.0</v>
      </c>
      <c r="BG124" s="62">
        <v>160.0</v>
      </c>
      <c r="BH124" s="62">
        <v>117.0</v>
      </c>
      <c r="BI124" s="62">
        <v>651.0</v>
      </c>
      <c r="BJ124" s="62">
        <v>1767.0</v>
      </c>
      <c r="BK124" s="62">
        <v>1507.0</v>
      </c>
      <c r="BL124" s="62">
        <v>0.0</v>
      </c>
      <c r="BM124" s="62">
        <v>16.0</v>
      </c>
      <c r="BN124" s="62">
        <v>988.0</v>
      </c>
      <c r="BO124" s="62">
        <v>48928.0</v>
      </c>
      <c r="BP124" s="62">
        <v>76.0</v>
      </c>
      <c r="BQ124" s="62">
        <v>0.0</v>
      </c>
      <c r="BR124" s="62">
        <v>0.0</v>
      </c>
      <c r="BS124" s="62">
        <v>0.0</v>
      </c>
      <c r="BT124" s="62">
        <v>689.0</v>
      </c>
      <c r="BU124" s="62">
        <v>7576.0</v>
      </c>
      <c r="BV124" s="62">
        <v>0.0</v>
      </c>
      <c r="BW124" s="62">
        <v>0.0</v>
      </c>
      <c r="BX124" s="62">
        <v>818.0</v>
      </c>
      <c r="BY124" s="62">
        <v>1192.0</v>
      </c>
      <c r="BZ124" s="62">
        <v>0.0</v>
      </c>
      <c r="CA124" s="62">
        <v>3.0</v>
      </c>
      <c r="CB124" s="62">
        <v>85.0</v>
      </c>
      <c r="CC124" s="62">
        <v>4765.0</v>
      </c>
      <c r="CD124" s="62">
        <v>443.0</v>
      </c>
      <c r="CE124" s="62">
        <v>34.0</v>
      </c>
      <c r="CF124" s="62">
        <v>2072.0</v>
      </c>
      <c r="CG124" s="62">
        <v>17.0</v>
      </c>
      <c r="CH124" s="62">
        <v>147.0</v>
      </c>
      <c r="CI124" s="62">
        <v>1200.0</v>
      </c>
      <c r="CJ124" s="62">
        <v>332680.0</v>
      </c>
      <c r="CK124" s="62">
        <v>13971.0</v>
      </c>
      <c r="CL124" s="62">
        <v>10609.0</v>
      </c>
      <c r="CM124" s="62">
        <v>2631.0</v>
      </c>
      <c r="CN124" s="62">
        <v>765.0</v>
      </c>
      <c r="CO124" s="62">
        <v>892.0</v>
      </c>
      <c r="CP124" s="62">
        <v>1311.0</v>
      </c>
      <c r="CQ124" s="62">
        <v>631.0</v>
      </c>
      <c r="CR124" s="62">
        <v>10474.0</v>
      </c>
      <c r="CS124" s="62">
        <v>0.0</v>
      </c>
      <c r="CT124" s="62">
        <v>363.0</v>
      </c>
      <c r="CU124" s="62">
        <v>1271.0</v>
      </c>
      <c r="CV124" s="62">
        <v>222.0</v>
      </c>
      <c r="CW124" s="62">
        <v>0.0</v>
      </c>
      <c r="CX124" s="62">
        <v>0.0</v>
      </c>
      <c r="CY124" s="62">
        <v>0.0</v>
      </c>
      <c r="CZ124" s="62">
        <v>0.0</v>
      </c>
      <c r="DA124" s="62">
        <v>2246.0</v>
      </c>
      <c r="DB124" s="62">
        <v>97.0</v>
      </c>
      <c r="DC124" s="62">
        <v>0.0</v>
      </c>
      <c r="DD124" s="62">
        <v>0.0</v>
      </c>
      <c r="DE124" s="62">
        <v>2371.0</v>
      </c>
      <c r="DF124" s="62">
        <v>794.0</v>
      </c>
      <c r="DG124" s="62">
        <v>188.0</v>
      </c>
      <c r="DH124" s="62">
        <v>215670.0</v>
      </c>
      <c r="DI124" s="62">
        <v>1099.0</v>
      </c>
      <c r="DJ124" s="62">
        <v>941.0</v>
      </c>
      <c r="DK124" s="62">
        <v>4013.0</v>
      </c>
      <c r="DL124" s="62">
        <v>9676.0</v>
      </c>
      <c r="DM124" s="62">
        <v>0.0</v>
      </c>
      <c r="DN124" s="62">
        <v>0.0</v>
      </c>
      <c r="DO124" s="62">
        <v>1496.0</v>
      </c>
      <c r="DP124" s="62">
        <v>0.0</v>
      </c>
      <c r="DQ124" s="62">
        <v>2861995.0</v>
      </c>
      <c r="DR124" s="62">
        <v>17275.0</v>
      </c>
      <c r="DS124" s="62">
        <v>39689.0</v>
      </c>
      <c r="DT124" s="62">
        <v>4434.0</v>
      </c>
      <c r="DU124" s="62">
        <v>0.0</v>
      </c>
      <c r="DV124" s="62">
        <v>0.0</v>
      </c>
      <c r="DW124" s="62">
        <v>0.0</v>
      </c>
      <c r="DX124" s="62">
        <v>151.0</v>
      </c>
      <c r="DY124" s="62">
        <v>53.0</v>
      </c>
      <c r="DZ124" s="62">
        <v>661.0</v>
      </c>
      <c r="EA124" s="62">
        <v>16315.0</v>
      </c>
      <c r="EB124" s="62">
        <v>25788.0</v>
      </c>
      <c r="EC124" s="62">
        <v>16749.0</v>
      </c>
      <c r="ED124" s="62">
        <v>3818.0</v>
      </c>
      <c r="EE124" s="62">
        <v>1066.0</v>
      </c>
      <c r="EF124" s="62">
        <v>4846.0</v>
      </c>
      <c r="EG124" s="62">
        <v>1826.0</v>
      </c>
      <c r="EH124" s="62">
        <v>1889.0</v>
      </c>
      <c r="EI124" s="62">
        <v>364.0</v>
      </c>
      <c r="EJ124" s="62">
        <v>3203.0</v>
      </c>
      <c r="EK124" s="62">
        <v>42.0</v>
      </c>
      <c r="EL124" s="62">
        <v>16866.0</v>
      </c>
      <c r="EM124" s="62">
        <v>15021.0</v>
      </c>
      <c r="EN124" s="62">
        <v>248.0</v>
      </c>
      <c r="EO124" s="62">
        <v>478.0</v>
      </c>
      <c r="EP124" s="62">
        <v>4362.0</v>
      </c>
      <c r="EQ124" s="62">
        <v>392790.0</v>
      </c>
      <c r="ER124" s="62">
        <v>0.0</v>
      </c>
      <c r="ES124" s="62">
        <v>262617.0</v>
      </c>
      <c r="ET124" s="62">
        <v>15539.0</v>
      </c>
      <c r="EU124" s="62">
        <v>2161217.0</v>
      </c>
      <c r="EV124" s="62">
        <v>275351.0</v>
      </c>
      <c r="EW124" s="62">
        <v>260908.0</v>
      </c>
      <c r="EX124" s="62">
        <v>541557.0</v>
      </c>
      <c r="EY124" s="62">
        <v>1103161.0</v>
      </c>
      <c r="EZ124" s="62">
        <v>162883.0</v>
      </c>
      <c r="FA124" s="62">
        <v>514071.0</v>
      </c>
      <c r="FB124" s="62">
        <v>450669.0</v>
      </c>
      <c r="FC124" s="62">
        <v>9005.0</v>
      </c>
      <c r="FD124" s="62">
        <v>723471.0</v>
      </c>
      <c r="FE124" s="62">
        <v>286724.0</v>
      </c>
      <c r="FF124" s="62">
        <v>0.0</v>
      </c>
      <c r="FG124" s="62">
        <v>323733.0</v>
      </c>
      <c r="FH124" s="62">
        <v>264142.0</v>
      </c>
      <c r="FI124" s="62">
        <v>79387.0</v>
      </c>
      <c r="FJ124" s="62">
        <v>178.0</v>
      </c>
      <c r="FK124" s="62">
        <v>4699.0</v>
      </c>
      <c r="FL124" s="62">
        <v>5309.0</v>
      </c>
      <c r="FM124" s="62">
        <v>130877.0</v>
      </c>
      <c r="FN124" s="62">
        <v>5746.0</v>
      </c>
      <c r="FO124" s="62">
        <v>2514.0</v>
      </c>
      <c r="FP124" s="62">
        <v>631426.0</v>
      </c>
      <c r="FQ124" s="62">
        <v>0.0</v>
      </c>
      <c r="FR124" s="62">
        <v>0.0</v>
      </c>
      <c r="FS124" s="62">
        <v>25168.0</v>
      </c>
      <c r="FT124" s="62">
        <v>1039074.0</v>
      </c>
      <c r="FU124" s="62">
        <v>48845.0</v>
      </c>
      <c r="FV124" s="62">
        <v>1208986.0</v>
      </c>
      <c r="FW124" s="62">
        <v>336695.0</v>
      </c>
      <c r="FX124" s="62">
        <v>32707.0</v>
      </c>
      <c r="FY124" s="62">
        <v>161129.0</v>
      </c>
      <c r="FZ124" s="62">
        <v>3545.0</v>
      </c>
      <c r="GA124" s="62">
        <v>128719.0</v>
      </c>
      <c r="GB124" s="62">
        <v>86479.0</v>
      </c>
      <c r="GC124" s="62">
        <v>2587.0</v>
      </c>
      <c r="GD124" s="62">
        <v>14652.0</v>
      </c>
      <c r="GE124" s="62">
        <v>599706.0</v>
      </c>
      <c r="GF124" s="63">
        <v>2.5833997E7</v>
      </c>
      <c r="GG124" s="64">
        <v>2.6772749E7</v>
      </c>
      <c r="GH124" s="65">
        <v>0.0</v>
      </c>
      <c r="GI124" s="64">
        <v>0.0</v>
      </c>
      <c r="GJ124" s="64">
        <v>2.9837785E7</v>
      </c>
      <c r="GK124" s="64">
        <v>-8772895.0</v>
      </c>
      <c r="GL124" s="64">
        <v>2588861.0</v>
      </c>
      <c r="GM124" s="64">
        <v>0.0</v>
      </c>
      <c r="GN124" s="63">
        <v>5.04265E7</v>
      </c>
      <c r="GO124" s="66">
        <v>7.6260497E7</v>
      </c>
      <c r="GP124" s="64">
        <v>1.5555625E7</v>
      </c>
      <c r="GQ124" s="64">
        <v>0.0</v>
      </c>
      <c r="GR124" s="65">
        <v>0.0</v>
      </c>
      <c r="GS124" s="63">
        <v>1.5555625E7</v>
      </c>
      <c r="GT124" s="67">
        <v>5650033.0</v>
      </c>
      <c r="GU124" s="67">
        <v>1.0887376E7</v>
      </c>
      <c r="GV124" s="67">
        <v>4594947.0</v>
      </c>
      <c r="GW124" s="63">
        <v>2.1132356E7</v>
      </c>
      <c r="GX124" s="63">
        <v>3626914.0</v>
      </c>
      <c r="GY124" s="63">
        <v>3.5945602E7</v>
      </c>
      <c r="GZ124" s="66">
        <v>7.6260497E7</v>
      </c>
    </row>
    <row r="125" ht="15.75" customHeight="1">
      <c r="A125" s="68">
        <v>120.0</v>
      </c>
      <c r="B125" s="69" t="s">
        <v>165</v>
      </c>
      <c r="C125" s="70">
        <v>131.0</v>
      </c>
      <c r="D125" s="70">
        <v>5645.0</v>
      </c>
      <c r="E125" s="70">
        <v>2289.0</v>
      </c>
      <c r="F125" s="70">
        <v>6157.0</v>
      </c>
      <c r="G125" s="70">
        <v>551.0</v>
      </c>
      <c r="H125" s="70">
        <v>1394.0</v>
      </c>
      <c r="I125" s="70">
        <v>927.0</v>
      </c>
      <c r="J125" s="70">
        <v>1514.0</v>
      </c>
      <c r="K125" s="70">
        <v>9.0</v>
      </c>
      <c r="L125" s="70">
        <v>61214.0</v>
      </c>
      <c r="M125" s="70">
        <v>2348.0</v>
      </c>
      <c r="N125" s="70">
        <v>338.0</v>
      </c>
      <c r="O125" s="70">
        <v>759.0</v>
      </c>
      <c r="P125" s="70">
        <v>9.0</v>
      </c>
      <c r="Q125" s="70">
        <v>8908.0</v>
      </c>
      <c r="R125" s="70">
        <v>131069.0</v>
      </c>
      <c r="S125" s="70">
        <v>324.0</v>
      </c>
      <c r="T125" s="70">
        <v>9319.0</v>
      </c>
      <c r="U125" s="70">
        <v>1106.0</v>
      </c>
      <c r="V125" s="70">
        <v>1057.0</v>
      </c>
      <c r="W125" s="70">
        <v>966.0</v>
      </c>
      <c r="X125" s="70">
        <v>796.0</v>
      </c>
      <c r="Y125" s="70">
        <v>997.0</v>
      </c>
      <c r="Z125" s="70">
        <v>1348.0</v>
      </c>
      <c r="AA125" s="70">
        <v>318.0</v>
      </c>
      <c r="AB125" s="70">
        <v>1555.0</v>
      </c>
      <c r="AC125" s="70">
        <v>441.0</v>
      </c>
      <c r="AD125" s="70">
        <v>38442.0</v>
      </c>
      <c r="AE125" s="70">
        <v>810.0</v>
      </c>
      <c r="AF125" s="70">
        <v>2665.0</v>
      </c>
      <c r="AG125" s="70">
        <v>25478.0</v>
      </c>
      <c r="AH125" s="70">
        <v>6429.0</v>
      </c>
      <c r="AI125" s="70">
        <v>103281.0</v>
      </c>
      <c r="AJ125" s="70">
        <v>9469.0</v>
      </c>
      <c r="AK125" s="70">
        <v>1707.0</v>
      </c>
      <c r="AL125" s="70">
        <v>1005.0</v>
      </c>
      <c r="AM125" s="70">
        <v>83373.0</v>
      </c>
      <c r="AN125" s="70">
        <v>45415.0</v>
      </c>
      <c r="AO125" s="70">
        <v>3971.0</v>
      </c>
      <c r="AP125" s="70">
        <v>101.0</v>
      </c>
      <c r="AQ125" s="70">
        <v>7025.0</v>
      </c>
      <c r="AR125" s="70">
        <v>373.0</v>
      </c>
      <c r="AS125" s="70">
        <v>2051.0</v>
      </c>
      <c r="AT125" s="70">
        <v>1599.0</v>
      </c>
      <c r="AU125" s="70">
        <v>1094.0</v>
      </c>
      <c r="AV125" s="70">
        <v>171417.0</v>
      </c>
      <c r="AW125" s="70">
        <v>308.0</v>
      </c>
      <c r="AX125" s="70">
        <v>5133051.0</v>
      </c>
      <c r="AY125" s="70">
        <v>115410.0</v>
      </c>
      <c r="AZ125" s="70">
        <v>515.0</v>
      </c>
      <c r="BA125" s="70">
        <v>25057.0</v>
      </c>
      <c r="BB125" s="70">
        <v>99551.0</v>
      </c>
      <c r="BC125" s="70">
        <v>6054.0</v>
      </c>
      <c r="BD125" s="70">
        <v>408.0</v>
      </c>
      <c r="BE125" s="70">
        <v>10763.0</v>
      </c>
      <c r="BF125" s="70">
        <v>30074.0</v>
      </c>
      <c r="BG125" s="70">
        <v>224.0</v>
      </c>
      <c r="BH125" s="70">
        <v>6552.0</v>
      </c>
      <c r="BI125" s="70">
        <v>2584.0</v>
      </c>
      <c r="BJ125" s="70">
        <v>166113.0</v>
      </c>
      <c r="BK125" s="70">
        <v>2033.0</v>
      </c>
      <c r="BL125" s="70">
        <v>1314.0</v>
      </c>
      <c r="BM125" s="70">
        <v>16.0</v>
      </c>
      <c r="BN125" s="70">
        <v>6977.0</v>
      </c>
      <c r="BO125" s="70">
        <v>60.0</v>
      </c>
      <c r="BP125" s="70">
        <v>165.0</v>
      </c>
      <c r="BQ125" s="70">
        <v>0.0</v>
      </c>
      <c r="BR125" s="70">
        <v>5579.0</v>
      </c>
      <c r="BS125" s="70">
        <v>0.0</v>
      </c>
      <c r="BT125" s="70">
        <v>1430.0</v>
      </c>
      <c r="BU125" s="70">
        <v>85596.0</v>
      </c>
      <c r="BV125" s="70">
        <v>748.0</v>
      </c>
      <c r="BW125" s="70">
        <v>1671.0</v>
      </c>
      <c r="BX125" s="70">
        <v>5691.0</v>
      </c>
      <c r="BY125" s="70">
        <v>2444.0</v>
      </c>
      <c r="BZ125" s="70">
        <v>114.0</v>
      </c>
      <c r="CA125" s="70">
        <v>347633.0</v>
      </c>
      <c r="CB125" s="70">
        <v>77189.0</v>
      </c>
      <c r="CC125" s="70">
        <v>23477.0</v>
      </c>
      <c r="CD125" s="70">
        <v>20285.0</v>
      </c>
      <c r="CE125" s="70">
        <v>27736.0</v>
      </c>
      <c r="CF125" s="70">
        <v>209235.0</v>
      </c>
      <c r="CG125" s="70">
        <v>2448.0</v>
      </c>
      <c r="CH125" s="70">
        <v>6752.0</v>
      </c>
      <c r="CI125" s="70">
        <v>42217.0</v>
      </c>
      <c r="CJ125" s="70">
        <v>107847.0</v>
      </c>
      <c r="CK125" s="70">
        <v>240244.0</v>
      </c>
      <c r="CL125" s="70">
        <v>71889.0</v>
      </c>
      <c r="CM125" s="70">
        <v>45790.0</v>
      </c>
      <c r="CN125" s="70">
        <v>10060.0</v>
      </c>
      <c r="CO125" s="70">
        <v>12234.0</v>
      </c>
      <c r="CP125" s="70">
        <v>18263.0</v>
      </c>
      <c r="CQ125" s="70">
        <v>9965.0</v>
      </c>
      <c r="CR125" s="70">
        <v>34067.0</v>
      </c>
      <c r="CS125" s="70">
        <v>7624.0</v>
      </c>
      <c r="CT125" s="70">
        <v>87351.0</v>
      </c>
      <c r="CU125" s="70">
        <v>29551.0</v>
      </c>
      <c r="CV125" s="70">
        <v>50571.0</v>
      </c>
      <c r="CW125" s="70">
        <v>6017.0</v>
      </c>
      <c r="CX125" s="70">
        <v>7783.0</v>
      </c>
      <c r="CY125" s="70">
        <v>792.0</v>
      </c>
      <c r="CZ125" s="70">
        <v>17664.0</v>
      </c>
      <c r="DA125" s="70">
        <v>29176.0</v>
      </c>
      <c r="DB125" s="70">
        <v>19877.0</v>
      </c>
      <c r="DC125" s="70">
        <v>0.0</v>
      </c>
      <c r="DD125" s="70">
        <v>0.0</v>
      </c>
      <c r="DE125" s="70">
        <v>68412.0</v>
      </c>
      <c r="DF125" s="70">
        <v>84101.0</v>
      </c>
      <c r="DG125" s="70">
        <v>17662.0</v>
      </c>
      <c r="DH125" s="70">
        <v>30505.0</v>
      </c>
      <c r="DI125" s="70">
        <v>24830.0</v>
      </c>
      <c r="DJ125" s="70">
        <v>18754.0</v>
      </c>
      <c r="DK125" s="70">
        <v>17548.0</v>
      </c>
      <c r="DL125" s="70">
        <v>179377.0</v>
      </c>
      <c r="DM125" s="70">
        <v>132290.0</v>
      </c>
      <c r="DN125" s="70">
        <v>4936.0</v>
      </c>
      <c r="DO125" s="70">
        <v>123837.0</v>
      </c>
      <c r="DP125" s="70">
        <v>192709.0</v>
      </c>
      <c r="DQ125" s="70">
        <v>1009583.0</v>
      </c>
      <c r="DR125" s="70">
        <v>3506615.0</v>
      </c>
      <c r="DS125" s="70">
        <v>17172.0</v>
      </c>
      <c r="DT125" s="70">
        <v>895729.0</v>
      </c>
      <c r="DU125" s="70">
        <v>10051.0</v>
      </c>
      <c r="DV125" s="70">
        <v>21652.0</v>
      </c>
      <c r="DW125" s="70">
        <v>0.0</v>
      </c>
      <c r="DX125" s="70">
        <v>107393.0</v>
      </c>
      <c r="DY125" s="70">
        <v>1873866.0</v>
      </c>
      <c r="DZ125" s="70">
        <v>1424690.0</v>
      </c>
      <c r="EA125" s="70">
        <v>306319.0</v>
      </c>
      <c r="EB125" s="70">
        <v>1825324.0</v>
      </c>
      <c r="EC125" s="70">
        <v>5027176.0</v>
      </c>
      <c r="ED125" s="70">
        <v>1221061.0</v>
      </c>
      <c r="EE125" s="70">
        <v>173006.0</v>
      </c>
      <c r="EF125" s="70">
        <v>5283.0</v>
      </c>
      <c r="EG125" s="70">
        <v>713804.0</v>
      </c>
      <c r="EH125" s="70">
        <v>2631351.0</v>
      </c>
      <c r="EI125" s="70">
        <v>1474357.0</v>
      </c>
      <c r="EJ125" s="70">
        <v>11794.0</v>
      </c>
      <c r="EK125" s="70">
        <v>28475.0</v>
      </c>
      <c r="EL125" s="70">
        <v>338843.0</v>
      </c>
      <c r="EM125" s="70">
        <v>191050.0</v>
      </c>
      <c r="EN125" s="70">
        <v>1385417.0</v>
      </c>
      <c r="EO125" s="70">
        <v>45037.0</v>
      </c>
      <c r="EP125" s="70">
        <v>1631076.0</v>
      </c>
      <c r="EQ125" s="70">
        <v>46981.0</v>
      </c>
      <c r="ER125" s="70">
        <v>0.0</v>
      </c>
      <c r="ES125" s="70">
        <v>201950.0</v>
      </c>
      <c r="ET125" s="70">
        <v>12187.0</v>
      </c>
      <c r="EU125" s="70">
        <v>2.3770569E7</v>
      </c>
      <c r="EV125" s="70">
        <v>1689995.0</v>
      </c>
      <c r="EW125" s="70">
        <v>364585.0</v>
      </c>
      <c r="EX125" s="70">
        <v>533177.0</v>
      </c>
      <c r="EY125" s="70">
        <v>1.3134109E7</v>
      </c>
      <c r="EZ125" s="70">
        <v>569581.0</v>
      </c>
      <c r="FA125" s="70">
        <v>1227452.0</v>
      </c>
      <c r="FB125" s="70">
        <v>1.0748137E7</v>
      </c>
      <c r="FC125" s="70">
        <v>314868.0</v>
      </c>
      <c r="FD125" s="70">
        <v>1759146.0</v>
      </c>
      <c r="FE125" s="70">
        <v>2530181.0</v>
      </c>
      <c r="FF125" s="70">
        <v>715902.0</v>
      </c>
      <c r="FG125" s="70">
        <v>2198327.0</v>
      </c>
      <c r="FH125" s="70">
        <v>1405471.0</v>
      </c>
      <c r="FI125" s="70">
        <v>388899.0</v>
      </c>
      <c r="FJ125" s="70">
        <v>21159.0</v>
      </c>
      <c r="FK125" s="70">
        <v>228505.0</v>
      </c>
      <c r="FL125" s="70">
        <v>95162.0</v>
      </c>
      <c r="FM125" s="70">
        <v>580.0</v>
      </c>
      <c r="FN125" s="70">
        <v>898202.0</v>
      </c>
      <c r="FO125" s="70">
        <v>17307.0</v>
      </c>
      <c r="FP125" s="70">
        <v>3081685.0</v>
      </c>
      <c r="FQ125" s="70">
        <v>277482.0</v>
      </c>
      <c r="FR125" s="70">
        <v>15.0</v>
      </c>
      <c r="FS125" s="70">
        <v>17721.0</v>
      </c>
      <c r="FT125" s="70">
        <v>132421.0</v>
      </c>
      <c r="FU125" s="70">
        <v>2207237.0</v>
      </c>
      <c r="FV125" s="70">
        <v>628925.0</v>
      </c>
      <c r="FW125" s="70">
        <v>490714.0</v>
      </c>
      <c r="FX125" s="70">
        <v>142835.0</v>
      </c>
      <c r="FY125" s="70">
        <v>271310.0</v>
      </c>
      <c r="FZ125" s="70">
        <v>1956.0</v>
      </c>
      <c r="GA125" s="70">
        <v>179995.0</v>
      </c>
      <c r="GB125" s="70">
        <v>358991.0</v>
      </c>
      <c r="GC125" s="70">
        <v>69022.0</v>
      </c>
      <c r="GD125" s="70">
        <v>108614.0</v>
      </c>
      <c r="GE125" s="70">
        <v>631840.0</v>
      </c>
      <c r="GF125" s="71">
        <v>1.06265713E8</v>
      </c>
      <c r="GG125" s="72">
        <v>2326333.0</v>
      </c>
      <c r="GH125" s="73">
        <v>0.0</v>
      </c>
      <c r="GI125" s="72">
        <v>0.0</v>
      </c>
      <c r="GJ125" s="72">
        <v>1.6613305E7</v>
      </c>
      <c r="GK125" s="72">
        <v>-2702270.0</v>
      </c>
      <c r="GL125" s="72">
        <v>1.0589335E7</v>
      </c>
      <c r="GM125" s="72">
        <v>938.0</v>
      </c>
      <c r="GN125" s="71">
        <v>2.6827641E7</v>
      </c>
      <c r="GO125" s="74">
        <v>1.33093354E8</v>
      </c>
      <c r="GP125" s="72">
        <v>2.9314206E7</v>
      </c>
      <c r="GQ125" s="72">
        <v>1619.0</v>
      </c>
      <c r="GR125" s="73">
        <v>0.0</v>
      </c>
      <c r="GS125" s="71">
        <v>2.9315825E7</v>
      </c>
      <c r="GT125" s="75">
        <v>8441139.0</v>
      </c>
      <c r="GU125" s="75">
        <v>3146614.0</v>
      </c>
      <c r="GV125" s="75">
        <v>3328100.0</v>
      </c>
      <c r="GW125" s="71">
        <v>1.4915853E7</v>
      </c>
      <c r="GX125" s="71">
        <v>3287871.0</v>
      </c>
      <c r="GY125" s="71">
        <v>8.5573805E7</v>
      </c>
      <c r="GZ125" s="74">
        <v>1.33093354E8</v>
      </c>
    </row>
    <row r="126" ht="15.75" customHeight="1">
      <c r="A126" s="52">
        <v>121.0</v>
      </c>
      <c r="B126" s="53" t="s">
        <v>166</v>
      </c>
      <c r="C126" s="54">
        <v>0.0</v>
      </c>
      <c r="D126" s="54">
        <v>0.0</v>
      </c>
      <c r="E126" s="54">
        <v>0.0</v>
      </c>
      <c r="F126" s="54">
        <v>0.0</v>
      </c>
      <c r="G126" s="54">
        <v>0.0</v>
      </c>
      <c r="H126" s="54">
        <v>0.0</v>
      </c>
      <c r="I126" s="54">
        <v>0.0</v>
      </c>
      <c r="J126" s="54">
        <v>0.0</v>
      </c>
      <c r="K126" s="54">
        <v>0.0</v>
      </c>
      <c r="L126" s="54">
        <v>0.0</v>
      </c>
      <c r="M126" s="54">
        <v>0.0</v>
      </c>
      <c r="N126" s="54">
        <v>0.0</v>
      </c>
      <c r="O126" s="54">
        <v>0.0</v>
      </c>
      <c r="P126" s="54">
        <v>0.0</v>
      </c>
      <c r="Q126" s="54">
        <v>0.0</v>
      </c>
      <c r="R126" s="54">
        <v>0.0</v>
      </c>
      <c r="S126" s="54">
        <v>0.0</v>
      </c>
      <c r="T126" s="54">
        <v>0.0</v>
      </c>
      <c r="U126" s="54">
        <v>0.0</v>
      </c>
      <c r="V126" s="54">
        <v>0.0</v>
      </c>
      <c r="W126" s="54">
        <v>0.0</v>
      </c>
      <c r="X126" s="54">
        <v>0.0</v>
      </c>
      <c r="Y126" s="54">
        <v>0.0</v>
      </c>
      <c r="Z126" s="54">
        <v>0.0</v>
      </c>
      <c r="AA126" s="54">
        <v>0.0</v>
      </c>
      <c r="AB126" s="54">
        <v>0.0</v>
      </c>
      <c r="AC126" s="54">
        <v>0.0</v>
      </c>
      <c r="AD126" s="54">
        <v>0.0</v>
      </c>
      <c r="AE126" s="54">
        <v>0.0</v>
      </c>
      <c r="AF126" s="54">
        <v>0.0</v>
      </c>
      <c r="AG126" s="54">
        <v>0.0</v>
      </c>
      <c r="AH126" s="54">
        <v>0.0</v>
      </c>
      <c r="AI126" s="54">
        <v>0.0</v>
      </c>
      <c r="AJ126" s="54">
        <v>0.0</v>
      </c>
      <c r="AK126" s="54">
        <v>0.0</v>
      </c>
      <c r="AL126" s="54">
        <v>0.0</v>
      </c>
      <c r="AM126" s="54">
        <v>295698.0</v>
      </c>
      <c r="AN126" s="54">
        <v>948.0</v>
      </c>
      <c r="AO126" s="54">
        <v>886.0</v>
      </c>
      <c r="AP126" s="54">
        <v>219.0</v>
      </c>
      <c r="AQ126" s="54">
        <v>1746.0</v>
      </c>
      <c r="AR126" s="54">
        <v>458.0</v>
      </c>
      <c r="AS126" s="54">
        <v>3411.0</v>
      </c>
      <c r="AT126" s="54">
        <v>401.0</v>
      </c>
      <c r="AU126" s="54">
        <v>407.0</v>
      </c>
      <c r="AV126" s="54">
        <v>5940.0</v>
      </c>
      <c r="AW126" s="54">
        <v>212.0</v>
      </c>
      <c r="AX126" s="54">
        <v>990683.0</v>
      </c>
      <c r="AY126" s="54">
        <v>93489.0</v>
      </c>
      <c r="AZ126" s="54">
        <v>1934.0</v>
      </c>
      <c r="BA126" s="54">
        <v>402551.0</v>
      </c>
      <c r="BB126" s="54">
        <v>45268.0</v>
      </c>
      <c r="BC126" s="54">
        <v>0.0</v>
      </c>
      <c r="BD126" s="54">
        <v>0.0</v>
      </c>
      <c r="BE126" s="54">
        <v>0.0</v>
      </c>
      <c r="BF126" s="54">
        <v>0.0</v>
      </c>
      <c r="BG126" s="54">
        <v>0.0</v>
      </c>
      <c r="BH126" s="54">
        <v>605.0</v>
      </c>
      <c r="BI126" s="54">
        <v>0.0</v>
      </c>
      <c r="BJ126" s="54">
        <v>4827.0</v>
      </c>
      <c r="BK126" s="54">
        <v>65.0</v>
      </c>
      <c r="BL126" s="54">
        <v>44.0</v>
      </c>
      <c r="BM126" s="54">
        <v>8.0</v>
      </c>
      <c r="BN126" s="54">
        <v>0.0</v>
      </c>
      <c r="BO126" s="54">
        <v>220.0</v>
      </c>
      <c r="BP126" s="54">
        <v>0.0</v>
      </c>
      <c r="BQ126" s="54">
        <v>0.0</v>
      </c>
      <c r="BR126" s="54">
        <v>0.0</v>
      </c>
      <c r="BS126" s="54">
        <v>564.0</v>
      </c>
      <c r="BT126" s="54">
        <v>0.0</v>
      </c>
      <c r="BU126" s="54">
        <v>527.0</v>
      </c>
      <c r="BV126" s="54">
        <v>0.0</v>
      </c>
      <c r="BW126" s="54">
        <v>0.0</v>
      </c>
      <c r="BX126" s="54">
        <v>213.0</v>
      </c>
      <c r="BY126" s="54">
        <v>77.0</v>
      </c>
      <c r="BZ126" s="54">
        <v>16.0</v>
      </c>
      <c r="CA126" s="54">
        <v>298.0</v>
      </c>
      <c r="CB126" s="54">
        <v>189.0</v>
      </c>
      <c r="CC126" s="54">
        <v>46.0</v>
      </c>
      <c r="CD126" s="54">
        <v>66.0</v>
      </c>
      <c r="CE126" s="54">
        <v>54.0</v>
      </c>
      <c r="CF126" s="54">
        <v>1632.0</v>
      </c>
      <c r="CG126" s="54">
        <v>5894.0</v>
      </c>
      <c r="CH126" s="54">
        <v>236.0</v>
      </c>
      <c r="CI126" s="54">
        <v>115.0</v>
      </c>
      <c r="CJ126" s="54">
        <v>952.0</v>
      </c>
      <c r="CK126" s="54">
        <v>3465.0</v>
      </c>
      <c r="CL126" s="54">
        <v>1405.0</v>
      </c>
      <c r="CM126" s="54">
        <v>522.0</v>
      </c>
      <c r="CN126" s="54">
        <v>84.0</v>
      </c>
      <c r="CO126" s="54">
        <v>69.0</v>
      </c>
      <c r="CP126" s="54">
        <v>75.0</v>
      </c>
      <c r="CQ126" s="54">
        <v>1617.0</v>
      </c>
      <c r="CR126" s="54">
        <v>6686.0</v>
      </c>
      <c r="CS126" s="54">
        <v>6557.0</v>
      </c>
      <c r="CT126" s="54">
        <v>386.0</v>
      </c>
      <c r="CU126" s="54">
        <v>82.0</v>
      </c>
      <c r="CV126" s="54">
        <v>166.0</v>
      </c>
      <c r="CW126" s="54">
        <v>96.0</v>
      </c>
      <c r="CX126" s="54">
        <v>81.0</v>
      </c>
      <c r="CY126" s="54">
        <v>4.0</v>
      </c>
      <c r="CZ126" s="54">
        <v>136.0</v>
      </c>
      <c r="DA126" s="54">
        <v>28877.0</v>
      </c>
      <c r="DB126" s="54">
        <v>127.0</v>
      </c>
      <c r="DC126" s="54">
        <v>64494.0</v>
      </c>
      <c r="DD126" s="54">
        <v>47.0</v>
      </c>
      <c r="DE126" s="54">
        <v>49.0</v>
      </c>
      <c r="DF126" s="54">
        <v>643.0</v>
      </c>
      <c r="DG126" s="54">
        <v>4253.0</v>
      </c>
      <c r="DH126" s="54">
        <v>5597.0</v>
      </c>
      <c r="DI126" s="54">
        <v>198.0</v>
      </c>
      <c r="DJ126" s="54">
        <v>3820.0</v>
      </c>
      <c r="DK126" s="54">
        <v>395373.0</v>
      </c>
      <c r="DL126" s="54">
        <v>290180.0</v>
      </c>
      <c r="DM126" s="54">
        <v>0.0</v>
      </c>
      <c r="DN126" s="54">
        <v>5513.0</v>
      </c>
      <c r="DO126" s="54">
        <v>460588.0</v>
      </c>
      <c r="DP126" s="54">
        <v>12855.0</v>
      </c>
      <c r="DQ126" s="54">
        <v>266776.0</v>
      </c>
      <c r="DR126" s="54">
        <v>227048.0</v>
      </c>
      <c r="DS126" s="54">
        <v>5.7122078E7</v>
      </c>
      <c r="DT126" s="54">
        <v>4721091.0</v>
      </c>
      <c r="DU126" s="54">
        <v>0.0</v>
      </c>
      <c r="DV126" s="54">
        <v>0.0</v>
      </c>
      <c r="DW126" s="54">
        <v>245458.0</v>
      </c>
      <c r="DX126" s="54">
        <v>18517.0</v>
      </c>
      <c r="DY126" s="54">
        <v>3923195.0</v>
      </c>
      <c r="DZ126" s="54">
        <v>390841.0</v>
      </c>
      <c r="EA126" s="54">
        <v>751699.0</v>
      </c>
      <c r="EB126" s="54">
        <v>1617527.0</v>
      </c>
      <c r="EC126" s="54">
        <v>3154959.0</v>
      </c>
      <c r="ED126" s="54">
        <v>848.0</v>
      </c>
      <c r="EE126" s="54">
        <v>113168.0</v>
      </c>
      <c r="EF126" s="54">
        <v>175795.0</v>
      </c>
      <c r="EG126" s="54">
        <v>13043.0</v>
      </c>
      <c r="EH126" s="54">
        <v>801531.0</v>
      </c>
      <c r="EI126" s="54">
        <v>15485.0</v>
      </c>
      <c r="EJ126" s="54">
        <v>78.0</v>
      </c>
      <c r="EK126" s="54">
        <v>392.0</v>
      </c>
      <c r="EL126" s="54">
        <v>2664.0</v>
      </c>
      <c r="EM126" s="54">
        <v>222638.0</v>
      </c>
      <c r="EN126" s="54">
        <v>196963.0</v>
      </c>
      <c r="EO126" s="54">
        <v>312717.0</v>
      </c>
      <c r="EP126" s="54">
        <v>434827.0</v>
      </c>
      <c r="EQ126" s="54">
        <v>3123073.0</v>
      </c>
      <c r="ER126" s="54">
        <v>0.0</v>
      </c>
      <c r="ES126" s="54">
        <v>208.0</v>
      </c>
      <c r="ET126" s="54">
        <v>1312.0</v>
      </c>
      <c r="EU126" s="54">
        <v>3.0932714E7</v>
      </c>
      <c r="EV126" s="54">
        <v>2.0573944E7</v>
      </c>
      <c r="EW126" s="54">
        <v>54785.0</v>
      </c>
      <c r="EX126" s="54">
        <v>101810.0</v>
      </c>
      <c r="EY126" s="54">
        <v>36015.0</v>
      </c>
      <c r="EZ126" s="54">
        <v>5149.0</v>
      </c>
      <c r="FA126" s="54">
        <v>2438883.0</v>
      </c>
      <c r="FB126" s="54">
        <v>283944.0</v>
      </c>
      <c r="FC126" s="54">
        <v>249.0</v>
      </c>
      <c r="FD126" s="54">
        <v>25909.0</v>
      </c>
      <c r="FE126" s="54">
        <v>5142.0</v>
      </c>
      <c r="FF126" s="54">
        <v>11.0</v>
      </c>
      <c r="FG126" s="54">
        <v>5360.0</v>
      </c>
      <c r="FH126" s="54">
        <v>20755.0</v>
      </c>
      <c r="FI126" s="54">
        <v>103.0</v>
      </c>
      <c r="FJ126" s="54">
        <v>142.0</v>
      </c>
      <c r="FK126" s="54">
        <v>4930.0</v>
      </c>
      <c r="FL126" s="54">
        <v>1526.0</v>
      </c>
      <c r="FM126" s="54">
        <v>1029006.0</v>
      </c>
      <c r="FN126" s="54">
        <v>5882232.0</v>
      </c>
      <c r="FO126" s="54">
        <v>3020844.0</v>
      </c>
      <c r="FP126" s="54">
        <v>22952.0</v>
      </c>
      <c r="FQ126" s="54">
        <v>582.0</v>
      </c>
      <c r="FR126" s="54">
        <v>12.0</v>
      </c>
      <c r="FS126" s="54">
        <v>406.0</v>
      </c>
      <c r="FT126" s="54">
        <v>23807.0</v>
      </c>
      <c r="FU126" s="54">
        <v>2978635.0</v>
      </c>
      <c r="FV126" s="54">
        <v>700248.0</v>
      </c>
      <c r="FW126" s="54">
        <v>1351694.0</v>
      </c>
      <c r="FX126" s="54">
        <v>183215.0</v>
      </c>
      <c r="FY126" s="54">
        <v>813987.0</v>
      </c>
      <c r="FZ126" s="54">
        <v>11792.0</v>
      </c>
      <c r="GA126" s="54">
        <v>5857758.0</v>
      </c>
      <c r="GB126" s="54">
        <v>1183856.0</v>
      </c>
      <c r="GC126" s="54">
        <v>8936.0</v>
      </c>
      <c r="GD126" s="54">
        <v>3990781.0</v>
      </c>
      <c r="GE126" s="54">
        <v>3157.0</v>
      </c>
      <c r="GF126" s="55">
        <v>1.62564146E8</v>
      </c>
      <c r="GG126" s="56">
        <v>1.03880503E8</v>
      </c>
      <c r="GH126" s="57">
        <v>0.0</v>
      </c>
      <c r="GI126" s="56">
        <v>0.0</v>
      </c>
      <c r="GJ126" s="56">
        <v>1.18500021E8</v>
      </c>
      <c r="GK126" s="56">
        <v>6509758.0</v>
      </c>
      <c r="GL126" s="56">
        <v>9.2711625E7</v>
      </c>
      <c r="GM126" s="56">
        <v>1061120.0</v>
      </c>
      <c r="GN126" s="55">
        <v>3.22663027E8</v>
      </c>
      <c r="GO126" s="58">
        <v>4.85227173E8</v>
      </c>
      <c r="GP126" s="56">
        <v>2.13355137E8</v>
      </c>
      <c r="GQ126" s="56">
        <v>623774.0</v>
      </c>
      <c r="GR126" s="57">
        <v>0.0</v>
      </c>
      <c r="GS126" s="55">
        <v>2.13978911E8</v>
      </c>
      <c r="GT126" s="59">
        <v>3.6829494E7</v>
      </c>
      <c r="GU126" s="59">
        <v>1.3481501E7</v>
      </c>
      <c r="GV126" s="59">
        <v>2.8021024E7</v>
      </c>
      <c r="GW126" s="55">
        <v>7.8332019E7</v>
      </c>
      <c r="GX126" s="55">
        <v>2.3836128E7</v>
      </c>
      <c r="GY126" s="55">
        <v>1.69080115E8</v>
      </c>
      <c r="GZ126" s="58">
        <v>4.85227173E8</v>
      </c>
    </row>
    <row r="127" ht="15.75" customHeight="1">
      <c r="A127" s="60">
        <v>122.0</v>
      </c>
      <c r="B127" s="61" t="s">
        <v>167</v>
      </c>
      <c r="C127" s="62">
        <v>0.0</v>
      </c>
      <c r="D127" s="62">
        <v>0.0</v>
      </c>
      <c r="E127" s="62">
        <v>0.0</v>
      </c>
      <c r="F127" s="62">
        <v>0.0</v>
      </c>
      <c r="G127" s="62">
        <v>0.0</v>
      </c>
      <c r="H127" s="62">
        <v>0.0</v>
      </c>
      <c r="I127" s="62">
        <v>0.0</v>
      </c>
      <c r="J127" s="62">
        <v>0.0</v>
      </c>
      <c r="K127" s="62">
        <v>0.0</v>
      </c>
      <c r="L127" s="62">
        <v>0.0</v>
      </c>
      <c r="M127" s="62">
        <v>0.0</v>
      </c>
      <c r="N127" s="62">
        <v>0.0</v>
      </c>
      <c r="O127" s="62">
        <v>0.0</v>
      </c>
      <c r="P127" s="62">
        <v>0.0</v>
      </c>
      <c r="Q127" s="62">
        <v>0.0</v>
      </c>
      <c r="R127" s="62">
        <v>0.0</v>
      </c>
      <c r="S127" s="62">
        <v>0.0</v>
      </c>
      <c r="T127" s="62">
        <v>0.0</v>
      </c>
      <c r="U127" s="62">
        <v>0.0</v>
      </c>
      <c r="V127" s="62">
        <v>0.0</v>
      </c>
      <c r="W127" s="62">
        <v>0.0</v>
      </c>
      <c r="X127" s="62">
        <v>0.0</v>
      </c>
      <c r="Y127" s="62">
        <v>0.0</v>
      </c>
      <c r="Z127" s="62">
        <v>0.0</v>
      </c>
      <c r="AA127" s="62">
        <v>0.0</v>
      </c>
      <c r="AB127" s="62">
        <v>0.0</v>
      </c>
      <c r="AC127" s="62">
        <v>0.0</v>
      </c>
      <c r="AD127" s="62">
        <v>0.0</v>
      </c>
      <c r="AE127" s="62">
        <v>0.0</v>
      </c>
      <c r="AF127" s="62">
        <v>0.0</v>
      </c>
      <c r="AG127" s="62">
        <v>0.0</v>
      </c>
      <c r="AH127" s="62">
        <v>0.0</v>
      </c>
      <c r="AI127" s="62">
        <v>0.0</v>
      </c>
      <c r="AJ127" s="62">
        <v>0.0</v>
      </c>
      <c r="AK127" s="62">
        <v>0.0</v>
      </c>
      <c r="AL127" s="62">
        <v>0.0</v>
      </c>
      <c r="AM127" s="62">
        <v>1503029.0</v>
      </c>
      <c r="AN127" s="62">
        <v>109893.0</v>
      </c>
      <c r="AO127" s="62">
        <v>230448.0</v>
      </c>
      <c r="AP127" s="62">
        <v>6614.0</v>
      </c>
      <c r="AQ127" s="62">
        <v>29216.0</v>
      </c>
      <c r="AR127" s="62">
        <v>16372.0</v>
      </c>
      <c r="AS127" s="62">
        <v>120617.0</v>
      </c>
      <c r="AT127" s="62">
        <v>14345.0</v>
      </c>
      <c r="AU127" s="62">
        <v>10624.0</v>
      </c>
      <c r="AV127" s="62">
        <v>198781.0</v>
      </c>
      <c r="AW127" s="62">
        <v>4124.0</v>
      </c>
      <c r="AX127" s="62">
        <v>320320.0</v>
      </c>
      <c r="AY127" s="62">
        <v>0.0</v>
      </c>
      <c r="AZ127" s="62">
        <v>637.0</v>
      </c>
      <c r="BA127" s="62">
        <v>160807.0</v>
      </c>
      <c r="BB127" s="62">
        <v>167084.0</v>
      </c>
      <c r="BC127" s="62">
        <v>0.0</v>
      </c>
      <c r="BD127" s="62">
        <v>0.0</v>
      </c>
      <c r="BE127" s="62">
        <v>147.0</v>
      </c>
      <c r="BF127" s="62">
        <v>891.0</v>
      </c>
      <c r="BG127" s="62">
        <v>0.0</v>
      </c>
      <c r="BH127" s="62">
        <v>0.0</v>
      </c>
      <c r="BI127" s="62">
        <v>0.0</v>
      </c>
      <c r="BJ127" s="62">
        <v>24688.0</v>
      </c>
      <c r="BK127" s="62">
        <v>5107.0</v>
      </c>
      <c r="BL127" s="62">
        <v>2366.0</v>
      </c>
      <c r="BM127" s="62">
        <v>0.0</v>
      </c>
      <c r="BN127" s="62">
        <v>0.0</v>
      </c>
      <c r="BO127" s="62">
        <v>41367.0</v>
      </c>
      <c r="BP127" s="62">
        <v>0.0</v>
      </c>
      <c r="BQ127" s="62">
        <v>0.0</v>
      </c>
      <c r="BR127" s="62">
        <v>0.0</v>
      </c>
      <c r="BS127" s="62">
        <v>0.0</v>
      </c>
      <c r="BT127" s="62">
        <v>0.0</v>
      </c>
      <c r="BU127" s="62">
        <v>774.0</v>
      </c>
      <c r="BV127" s="62">
        <v>0.0</v>
      </c>
      <c r="BW127" s="62">
        <v>0.0</v>
      </c>
      <c r="BX127" s="62">
        <v>2216.0</v>
      </c>
      <c r="BY127" s="62">
        <v>59451.0</v>
      </c>
      <c r="BZ127" s="62">
        <v>5285.0</v>
      </c>
      <c r="CA127" s="62">
        <v>138242.0</v>
      </c>
      <c r="CB127" s="62">
        <v>83358.0</v>
      </c>
      <c r="CC127" s="62">
        <v>4074.0</v>
      </c>
      <c r="CD127" s="62">
        <v>1327.0</v>
      </c>
      <c r="CE127" s="62">
        <v>10605.0</v>
      </c>
      <c r="CF127" s="62">
        <v>2284.0</v>
      </c>
      <c r="CG127" s="62">
        <v>4270.0</v>
      </c>
      <c r="CH127" s="62">
        <v>8800.0</v>
      </c>
      <c r="CI127" s="62">
        <v>28652.0</v>
      </c>
      <c r="CJ127" s="62">
        <v>668.0</v>
      </c>
      <c r="CK127" s="62">
        <v>0.0</v>
      </c>
      <c r="CL127" s="62">
        <v>0.0</v>
      </c>
      <c r="CM127" s="62">
        <v>350.0</v>
      </c>
      <c r="CN127" s="62">
        <v>120.0</v>
      </c>
      <c r="CO127" s="62">
        <v>17527.0</v>
      </c>
      <c r="CP127" s="62">
        <v>15502.0</v>
      </c>
      <c r="CQ127" s="62">
        <v>1114.0</v>
      </c>
      <c r="CR127" s="62">
        <v>2430.0</v>
      </c>
      <c r="CS127" s="62">
        <v>11871.0</v>
      </c>
      <c r="CT127" s="62">
        <v>225763.0</v>
      </c>
      <c r="CU127" s="62">
        <v>47055.0</v>
      </c>
      <c r="CV127" s="62">
        <v>90708.0</v>
      </c>
      <c r="CW127" s="62">
        <v>10966.0</v>
      </c>
      <c r="CX127" s="62">
        <v>19905.0</v>
      </c>
      <c r="CY127" s="62">
        <v>1538.0</v>
      </c>
      <c r="CZ127" s="62">
        <v>17402.0</v>
      </c>
      <c r="DA127" s="62">
        <v>44948.0</v>
      </c>
      <c r="DB127" s="62">
        <v>66389.0</v>
      </c>
      <c r="DC127" s="62">
        <v>76080.0</v>
      </c>
      <c r="DD127" s="62">
        <v>22396.0</v>
      </c>
      <c r="DE127" s="62">
        <v>6486.0</v>
      </c>
      <c r="DF127" s="62">
        <v>906.0</v>
      </c>
      <c r="DG127" s="62">
        <v>550.0</v>
      </c>
      <c r="DH127" s="62">
        <v>131962.0</v>
      </c>
      <c r="DI127" s="62">
        <v>14641.0</v>
      </c>
      <c r="DJ127" s="62">
        <v>23852.0</v>
      </c>
      <c r="DK127" s="62">
        <v>2446.0</v>
      </c>
      <c r="DL127" s="62">
        <v>153907.0</v>
      </c>
      <c r="DM127" s="62">
        <v>894.0</v>
      </c>
      <c r="DN127" s="62">
        <v>11811.0</v>
      </c>
      <c r="DO127" s="62">
        <v>12076.0</v>
      </c>
      <c r="DP127" s="62">
        <v>0.0</v>
      </c>
      <c r="DQ127" s="62">
        <v>21511.0</v>
      </c>
      <c r="DR127" s="62">
        <v>36457.0</v>
      </c>
      <c r="DS127" s="62">
        <v>541205.0</v>
      </c>
      <c r="DT127" s="62">
        <v>3650357.0</v>
      </c>
      <c r="DU127" s="62">
        <v>11571.0</v>
      </c>
      <c r="DV127" s="62">
        <v>0.0</v>
      </c>
      <c r="DW127" s="62">
        <v>0.0</v>
      </c>
      <c r="DX127" s="62">
        <v>6755.0</v>
      </c>
      <c r="DY127" s="62">
        <v>85794.0</v>
      </c>
      <c r="DZ127" s="62">
        <v>50454.0</v>
      </c>
      <c r="EA127" s="62">
        <v>4166.0</v>
      </c>
      <c r="EB127" s="62">
        <v>463972.0</v>
      </c>
      <c r="EC127" s="62">
        <v>1549427.0</v>
      </c>
      <c r="ED127" s="62">
        <v>116394.0</v>
      </c>
      <c r="EE127" s="62">
        <v>84512.0</v>
      </c>
      <c r="EF127" s="62">
        <v>119741.0</v>
      </c>
      <c r="EG127" s="62">
        <v>185436.0</v>
      </c>
      <c r="EH127" s="62">
        <v>791045.0</v>
      </c>
      <c r="EI127" s="62">
        <v>249.0</v>
      </c>
      <c r="EJ127" s="62">
        <v>130772.0</v>
      </c>
      <c r="EK127" s="62">
        <v>6292.0</v>
      </c>
      <c r="EL127" s="62">
        <v>3866.0</v>
      </c>
      <c r="EM127" s="62">
        <v>12518.0</v>
      </c>
      <c r="EN127" s="62">
        <v>21339.0</v>
      </c>
      <c r="EO127" s="62">
        <v>7120.0</v>
      </c>
      <c r="EP127" s="62">
        <v>63435.0</v>
      </c>
      <c r="EQ127" s="62">
        <v>809385.0</v>
      </c>
      <c r="ER127" s="62">
        <v>383112.0</v>
      </c>
      <c r="ES127" s="62">
        <v>53254.0</v>
      </c>
      <c r="ET127" s="62">
        <v>9152.0</v>
      </c>
      <c r="EU127" s="62">
        <v>6695396.0</v>
      </c>
      <c r="EV127" s="62">
        <v>26300.0</v>
      </c>
      <c r="EW127" s="62">
        <v>17936.0</v>
      </c>
      <c r="EX127" s="62">
        <v>104864.0</v>
      </c>
      <c r="EY127" s="62">
        <v>197491.0</v>
      </c>
      <c r="EZ127" s="62">
        <v>469215.0</v>
      </c>
      <c r="FA127" s="62">
        <v>420117.0</v>
      </c>
      <c r="FB127" s="62">
        <v>533105.0</v>
      </c>
      <c r="FC127" s="62">
        <v>459.0</v>
      </c>
      <c r="FD127" s="62">
        <v>819265.0</v>
      </c>
      <c r="FE127" s="62">
        <v>455504.0</v>
      </c>
      <c r="FF127" s="62">
        <v>710.0</v>
      </c>
      <c r="FG127" s="62">
        <v>416050.0</v>
      </c>
      <c r="FH127" s="62">
        <v>722088.0</v>
      </c>
      <c r="FI127" s="62">
        <v>19012.0</v>
      </c>
      <c r="FJ127" s="62">
        <v>0.0</v>
      </c>
      <c r="FK127" s="62">
        <v>0.0</v>
      </c>
      <c r="FL127" s="62">
        <v>176884.0</v>
      </c>
      <c r="FM127" s="62">
        <v>24979.0</v>
      </c>
      <c r="FN127" s="62">
        <v>112071.0</v>
      </c>
      <c r="FO127" s="62">
        <v>8937.0</v>
      </c>
      <c r="FP127" s="62">
        <v>2087.0</v>
      </c>
      <c r="FQ127" s="62">
        <v>0.0</v>
      </c>
      <c r="FR127" s="62">
        <v>0.0</v>
      </c>
      <c r="FS127" s="62">
        <v>0.0</v>
      </c>
      <c r="FT127" s="62">
        <v>0.0</v>
      </c>
      <c r="FU127" s="62">
        <v>7821827.0</v>
      </c>
      <c r="FV127" s="62">
        <v>260072.0</v>
      </c>
      <c r="FW127" s="62">
        <v>8541.0</v>
      </c>
      <c r="FX127" s="62">
        <v>358525.0</v>
      </c>
      <c r="FY127" s="62">
        <v>41285.0</v>
      </c>
      <c r="FZ127" s="62">
        <v>44.0</v>
      </c>
      <c r="GA127" s="62">
        <v>2846992.0</v>
      </c>
      <c r="GB127" s="62">
        <v>910880.0</v>
      </c>
      <c r="GC127" s="62">
        <v>39001.0</v>
      </c>
      <c r="GD127" s="62">
        <v>135853.0</v>
      </c>
      <c r="GE127" s="62">
        <v>78230.0</v>
      </c>
      <c r="GF127" s="63">
        <v>3.7292089E7</v>
      </c>
      <c r="GG127" s="64">
        <v>1.6544494E7</v>
      </c>
      <c r="GH127" s="65">
        <v>0.0</v>
      </c>
      <c r="GI127" s="64">
        <v>0.0</v>
      </c>
      <c r="GJ127" s="64">
        <v>3.7501592E7</v>
      </c>
      <c r="GK127" s="64">
        <v>-1.0659167E7</v>
      </c>
      <c r="GL127" s="64">
        <v>7407322.0</v>
      </c>
      <c r="GM127" s="64">
        <v>126848.0</v>
      </c>
      <c r="GN127" s="63">
        <v>5.0921089E7</v>
      </c>
      <c r="GO127" s="66">
        <v>8.8213178E7</v>
      </c>
      <c r="GP127" s="64">
        <v>3.7731016E7</v>
      </c>
      <c r="GQ127" s="64">
        <v>59756.0</v>
      </c>
      <c r="GR127" s="65">
        <v>0.0</v>
      </c>
      <c r="GS127" s="63">
        <v>3.7790772E7</v>
      </c>
      <c r="GT127" s="67">
        <v>7704388.0</v>
      </c>
      <c r="GU127" s="67">
        <v>5628287.0</v>
      </c>
      <c r="GV127" s="67">
        <v>3509796.0</v>
      </c>
      <c r="GW127" s="63">
        <v>1.6842471E7</v>
      </c>
      <c r="GX127" s="63">
        <v>6204688.0</v>
      </c>
      <c r="GY127" s="63">
        <v>2.7375247E7</v>
      </c>
      <c r="GZ127" s="66">
        <v>8.8213178E7</v>
      </c>
    </row>
    <row r="128" ht="15.75" customHeight="1">
      <c r="A128" s="60">
        <v>123.0</v>
      </c>
      <c r="B128" s="61" t="s">
        <v>168</v>
      </c>
      <c r="C128" s="62">
        <v>0.0</v>
      </c>
      <c r="D128" s="62">
        <v>0.0</v>
      </c>
      <c r="E128" s="62">
        <v>0.0</v>
      </c>
      <c r="F128" s="62">
        <v>0.0</v>
      </c>
      <c r="G128" s="62">
        <v>0.0</v>
      </c>
      <c r="H128" s="62">
        <v>0.0</v>
      </c>
      <c r="I128" s="62">
        <v>0.0</v>
      </c>
      <c r="J128" s="62">
        <v>0.0</v>
      </c>
      <c r="K128" s="62">
        <v>0.0</v>
      </c>
      <c r="L128" s="62">
        <v>0.0</v>
      </c>
      <c r="M128" s="62">
        <v>0.0</v>
      </c>
      <c r="N128" s="62">
        <v>0.0</v>
      </c>
      <c r="O128" s="62">
        <v>0.0</v>
      </c>
      <c r="P128" s="62">
        <v>0.0</v>
      </c>
      <c r="Q128" s="62">
        <v>0.0</v>
      </c>
      <c r="R128" s="62">
        <v>0.0</v>
      </c>
      <c r="S128" s="62">
        <v>0.0</v>
      </c>
      <c r="T128" s="62">
        <v>0.0</v>
      </c>
      <c r="U128" s="62">
        <v>0.0</v>
      </c>
      <c r="V128" s="62">
        <v>0.0</v>
      </c>
      <c r="W128" s="62">
        <v>0.0</v>
      </c>
      <c r="X128" s="62">
        <v>0.0</v>
      </c>
      <c r="Y128" s="62">
        <v>0.0</v>
      </c>
      <c r="Z128" s="62">
        <v>0.0</v>
      </c>
      <c r="AA128" s="62">
        <v>0.0</v>
      </c>
      <c r="AB128" s="62">
        <v>0.0</v>
      </c>
      <c r="AC128" s="62">
        <v>0.0</v>
      </c>
      <c r="AD128" s="62">
        <v>0.0</v>
      </c>
      <c r="AE128" s="62">
        <v>0.0</v>
      </c>
      <c r="AF128" s="62">
        <v>0.0</v>
      </c>
      <c r="AG128" s="62">
        <v>0.0</v>
      </c>
      <c r="AH128" s="62">
        <v>0.0</v>
      </c>
      <c r="AI128" s="62">
        <v>302060.0</v>
      </c>
      <c r="AJ128" s="62">
        <v>0.0</v>
      </c>
      <c r="AK128" s="62">
        <v>0.0</v>
      </c>
      <c r="AL128" s="62">
        <v>0.0</v>
      </c>
      <c r="AM128" s="62">
        <v>67309.0</v>
      </c>
      <c r="AN128" s="62">
        <v>7459.0</v>
      </c>
      <c r="AO128" s="62">
        <v>88947.0</v>
      </c>
      <c r="AP128" s="62">
        <v>58.0</v>
      </c>
      <c r="AQ128" s="62">
        <v>2989.0</v>
      </c>
      <c r="AR128" s="62">
        <v>391.0</v>
      </c>
      <c r="AS128" s="62">
        <v>50967.0</v>
      </c>
      <c r="AT128" s="62">
        <v>1245.0</v>
      </c>
      <c r="AU128" s="62">
        <v>1486.0</v>
      </c>
      <c r="AV128" s="62">
        <v>22431.0</v>
      </c>
      <c r="AW128" s="62">
        <v>102.0</v>
      </c>
      <c r="AX128" s="62">
        <v>46235.0</v>
      </c>
      <c r="AY128" s="62">
        <v>0.0</v>
      </c>
      <c r="AZ128" s="62">
        <v>0.0</v>
      </c>
      <c r="BA128" s="62">
        <v>51703.0</v>
      </c>
      <c r="BB128" s="62">
        <v>44882.0</v>
      </c>
      <c r="BC128" s="62">
        <v>0.0</v>
      </c>
      <c r="BD128" s="62">
        <v>0.0</v>
      </c>
      <c r="BE128" s="62">
        <v>0.0</v>
      </c>
      <c r="BF128" s="62">
        <v>0.0</v>
      </c>
      <c r="BG128" s="62">
        <v>0.0</v>
      </c>
      <c r="BH128" s="62">
        <v>19988.0</v>
      </c>
      <c r="BI128" s="62">
        <v>0.0</v>
      </c>
      <c r="BJ128" s="62">
        <v>18099.0</v>
      </c>
      <c r="BK128" s="62">
        <v>804.0</v>
      </c>
      <c r="BL128" s="62">
        <v>383.0</v>
      </c>
      <c r="BM128" s="62">
        <v>0.0</v>
      </c>
      <c r="BN128" s="62">
        <v>0.0</v>
      </c>
      <c r="BO128" s="62">
        <v>4664.0</v>
      </c>
      <c r="BP128" s="62">
        <v>0.0</v>
      </c>
      <c r="BQ128" s="62">
        <v>0.0</v>
      </c>
      <c r="BR128" s="62">
        <v>0.0</v>
      </c>
      <c r="BS128" s="62">
        <v>0.0</v>
      </c>
      <c r="BT128" s="62">
        <v>0.0</v>
      </c>
      <c r="BU128" s="62">
        <v>128.0</v>
      </c>
      <c r="BV128" s="62">
        <v>0.0</v>
      </c>
      <c r="BW128" s="62">
        <v>0.0</v>
      </c>
      <c r="BX128" s="62">
        <v>811.0</v>
      </c>
      <c r="BY128" s="62">
        <v>4015.0</v>
      </c>
      <c r="BZ128" s="62">
        <v>226.0</v>
      </c>
      <c r="CA128" s="62">
        <v>0.0</v>
      </c>
      <c r="CB128" s="62">
        <v>0.0</v>
      </c>
      <c r="CC128" s="62">
        <v>0.0</v>
      </c>
      <c r="CD128" s="62">
        <v>0.0</v>
      </c>
      <c r="CE128" s="62">
        <v>0.0</v>
      </c>
      <c r="CF128" s="62">
        <v>0.0</v>
      </c>
      <c r="CG128" s="62">
        <v>0.0</v>
      </c>
      <c r="CH128" s="62">
        <v>0.0</v>
      </c>
      <c r="CI128" s="62">
        <v>0.0</v>
      </c>
      <c r="CJ128" s="62">
        <v>0.0</v>
      </c>
      <c r="CK128" s="62">
        <v>0.0</v>
      </c>
      <c r="CL128" s="62">
        <v>0.0</v>
      </c>
      <c r="CM128" s="62">
        <v>0.0</v>
      </c>
      <c r="CN128" s="62">
        <v>0.0</v>
      </c>
      <c r="CO128" s="62">
        <v>7871.0</v>
      </c>
      <c r="CP128" s="62">
        <v>6447.0</v>
      </c>
      <c r="CQ128" s="62">
        <v>0.0</v>
      </c>
      <c r="CR128" s="62">
        <v>0.0</v>
      </c>
      <c r="CS128" s="62">
        <v>354770.0</v>
      </c>
      <c r="CT128" s="62">
        <v>73.0</v>
      </c>
      <c r="CU128" s="62">
        <v>0.0</v>
      </c>
      <c r="CV128" s="62">
        <v>0.0</v>
      </c>
      <c r="CW128" s="62">
        <v>0.0</v>
      </c>
      <c r="CX128" s="62">
        <v>0.0</v>
      </c>
      <c r="CY128" s="62">
        <v>0.0</v>
      </c>
      <c r="CZ128" s="62">
        <v>0.0</v>
      </c>
      <c r="DA128" s="62">
        <v>0.0</v>
      </c>
      <c r="DB128" s="62">
        <v>60.0</v>
      </c>
      <c r="DC128" s="62">
        <v>0.0</v>
      </c>
      <c r="DD128" s="62">
        <v>0.0</v>
      </c>
      <c r="DE128" s="62">
        <v>0.0</v>
      </c>
      <c r="DF128" s="62">
        <v>0.0</v>
      </c>
      <c r="DG128" s="62">
        <v>0.0</v>
      </c>
      <c r="DH128" s="62">
        <v>158.0</v>
      </c>
      <c r="DI128" s="62">
        <v>0.0</v>
      </c>
      <c r="DJ128" s="62">
        <v>127.0</v>
      </c>
      <c r="DK128" s="62">
        <v>0.0</v>
      </c>
      <c r="DL128" s="62">
        <v>33.0</v>
      </c>
      <c r="DM128" s="62">
        <v>6.0</v>
      </c>
      <c r="DN128" s="62">
        <v>89.0</v>
      </c>
      <c r="DO128" s="62">
        <v>1179367.0</v>
      </c>
      <c r="DP128" s="62">
        <v>29699.0</v>
      </c>
      <c r="DQ128" s="62">
        <v>526706.0</v>
      </c>
      <c r="DR128" s="62">
        <v>262590.0</v>
      </c>
      <c r="DS128" s="62">
        <v>1816256.0</v>
      </c>
      <c r="DT128" s="62">
        <v>165256.0</v>
      </c>
      <c r="DU128" s="62">
        <v>4320059.0</v>
      </c>
      <c r="DV128" s="62">
        <v>1144645.0</v>
      </c>
      <c r="DW128" s="62">
        <v>0.0</v>
      </c>
      <c r="DX128" s="62">
        <v>341991.0</v>
      </c>
      <c r="DY128" s="62">
        <v>4483937.0</v>
      </c>
      <c r="DZ128" s="62">
        <v>1.0886871E7</v>
      </c>
      <c r="EA128" s="62">
        <v>0.0</v>
      </c>
      <c r="EB128" s="62">
        <v>1497481.0</v>
      </c>
      <c r="EC128" s="62">
        <v>1096905.0</v>
      </c>
      <c r="ED128" s="62">
        <v>79956.0</v>
      </c>
      <c r="EE128" s="62">
        <v>242093.0</v>
      </c>
      <c r="EF128" s="62">
        <v>24138.0</v>
      </c>
      <c r="EG128" s="62">
        <v>8156.0</v>
      </c>
      <c r="EH128" s="62">
        <v>0.0</v>
      </c>
      <c r="EI128" s="62">
        <v>13.0</v>
      </c>
      <c r="EJ128" s="62">
        <v>0.0</v>
      </c>
      <c r="EK128" s="62">
        <v>248.0</v>
      </c>
      <c r="EL128" s="62">
        <v>252.0</v>
      </c>
      <c r="EM128" s="62">
        <v>6713.0</v>
      </c>
      <c r="EN128" s="62">
        <v>0.0</v>
      </c>
      <c r="EO128" s="62">
        <v>8846.0</v>
      </c>
      <c r="EP128" s="62">
        <v>45301.0</v>
      </c>
      <c r="EQ128" s="62">
        <v>243373.0</v>
      </c>
      <c r="ER128" s="62">
        <v>0.0</v>
      </c>
      <c r="ES128" s="62">
        <v>13505.0</v>
      </c>
      <c r="ET128" s="62">
        <v>9136.0</v>
      </c>
      <c r="EU128" s="62">
        <v>2182599.0</v>
      </c>
      <c r="EV128" s="62">
        <v>5331.0</v>
      </c>
      <c r="EW128" s="62">
        <v>4730.0</v>
      </c>
      <c r="EX128" s="62">
        <v>15304.0</v>
      </c>
      <c r="EY128" s="62">
        <v>30971.0</v>
      </c>
      <c r="EZ128" s="62">
        <v>9037.0</v>
      </c>
      <c r="FA128" s="62">
        <v>20696.0</v>
      </c>
      <c r="FB128" s="62">
        <v>460691.0</v>
      </c>
      <c r="FC128" s="62">
        <v>0.0</v>
      </c>
      <c r="FD128" s="62">
        <v>0.0</v>
      </c>
      <c r="FE128" s="62">
        <v>0.0</v>
      </c>
      <c r="FF128" s="62">
        <v>0.0</v>
      </c>
      <c r="FG128" s="62">
        <v>0.0</v>
      </c>
      <c r="FH128" s="62">
        <v>1045.0</v>
      </c>
      <c r="FI128" s="62">
        <v>1876.0</v>
      </c>
      <c r="FJ128" s="62">
        <v>0.0</v>
      </c>
      <c r="FK128" s="62">
        <v>0.0</v>
      </c>
      <c r="FL128" s="62">
        <v>4909.0</v>
      </c>
      <c r="FM128" s="62">
        <v>89893.0</v>
      </c>
      <c r="FN128" s="62">
        <v>10413.0</v>
      </c>
      <c r="FO128" s="62">
        <v>1089.0</v>
      </c>
      <c r="FP128" s="62">
        <v>0.0</v>
      </c>
      <c r="FQ128" s="62">
        <v>0.0</v>
      </c>
      <c r="FR128" s="62">
        <v>0.0</v>
      </c>
      <c r="FS128" s="62">
        <v>0.0</v>
      </c>
      <c r="FT128" s="62">
        <v>0.0</v>
      </c>
      <c r="FU128" s="62">
        <v>130338.0</v>
      </c>
      <c r="FV128" s="62">
        <v>123603.0</v>
      </c>
      <c r="FW128" s="62">
        <v>0.0</v>
      </c>
      <c r="FX128" s="62">
        <v>0.0</v>
      </c>
      <c r="FY128" s="62">
        <v>0.0</v>
      </c>
      <c r="FZ128" s="62">
        <v>0.0</v>
      </c>
      <c r="GA128" s="62">
        <v>653812.0</v>
      </c>
      <c r="GB128" s="62">
        <v>108537.0</v>
      </c>
      <c r="GC128" s="62">
        <v>33676.0</v>
      </c>
      <c r="GD128" s="62">
        <v>80291.0</v>
      </c>
      <c r="GE128" s="62">
        <v>0.0</v>
      </c>
      <c r="GF128" s="63">
        <v>3.350935E7</v>
      </c>
      <c r="GG128" s="64">
        <v>271990.0</v>
      </c>
      <c r="GH128" s="65">
        <v>0.0</v>
      </c>
      <c r="GI128" s="64">
        <v>0.0</v>
      </c>
      <c r="GJ128" s="64">
        <v>2.7484423E7</v>
      </c>
      <c r="GK128" s="64">
        <v>-1.0017042E7</v>
      </c>
      <c r="GL128" s="64">
        <v>3309509.0</v>
      </c>
      <c r="GM128" s="64">
        <v>0.0</v>
      </c>
      <c r="GN128" s="63">
        <v>2.104888E7</v>
      </c>
      <c r="GO128" s="66">
        <v>5.455823E7</v>
      </c>
      <c r="GP128" s="64">
        <v>1.9216704E7</v>
      </c>
      <c r="GQ128" s="64">
        <v>0.0</v>
      </c>
      <c r="GR128" s="65">
        <v>0.0</v>
      </c>
      <c r="GS128" s="63">
        <v>1.9216704E7</v>
      </c>
      <c r="GT128" s="67">
        <v>4482934.0</v>
      </c>
      <c r="GU128" s="67">
        <v>5028159.0</v>
      </c>
      <c r="GV128" s="67">
        <v>1196789.0</v>
      </c>
      <c r="GW128" s="63">
        <v>1.0707882E7</v>
      </c>
      <c r="GX128" s="63">
        <v>2682241.0</v>
      </c>
      <c r="GY128" s="63">
        <v>2.1951403E7</v>
      </c>
      <c r="GZ128" s="66">
        <v>5.455823E7</v>
      </c>
    </row>
    <row r="129" ht="15.75" customHeight="1">
      <c r="A129" s="60">
        <v>124.0</v>
      </c>
      <c r="B129" s="61" t="s">
        <v>169</v>
      </c>
      <c r="C129" s="62">
        <v>0.0</v>
      </c>
      <c r="D129" s="62">
        <v>0.0</v>
      </c>
      <c r="E129" s="62">
        <v>0.0</v>
      </c>
      <c r="F129" s="62">
        <v>0.0</v>
      </c>
      <c r="G129" s="62">
        <v>0.0</v>
      </c>
      <c r="H129" s="62">
        <v>0.0</v>
      </c>
      <c r="I129" s="62">
        <v>0.0</v>
      </c>
      <c r="J129" s="62">
        <v>0.0</v>
      </c>
      <c r="K129" s="62">
        <v>0.0</v>
      </c>
      <c r="L129" s="62">
        <v>0.0</v>
      </c>
      <c r="M129" s="62">
        <v>0.0</v>
      </c>
      <c r="N129" s="62">
        <v>0.0</v>
      </c>
      <c r="O129" s="62">
        <v>0.0</v>
      </c>
      <c r="P129" s="62">
        <v>0.0</v>
      </c>
      <c r="Q129" s="62">
        <v>0.0</v>
      </c>
      <c r="R129" s="62">
        <v>0.0</v>
      </c>
      <c r="S129" s="62">
        <v>0.0</v>
      </c>
      <c r="T129" s="62">
        <v>0.0</v>
      </c>
      <c r="U129" s="62">
        <v>0.0</v>
      </c>
      <c r="V129" s="62">
        <v>0.0</v>
      </c>
      <c r="W129" s="62">
        <v>0.0</v>
      </c>
      <c r="X129" s="62">
        <v>0.0</v>
      </c>
      <c r="Y129" s="62">
        <v>0.0</v>
      </c>
      <c r="Z129" s="62">
        <v>0.0</v>
      </c>
      <c r="AA129" s="62">
        <v>0.0</v>
      </c>
      <c r="AB129" s="62">
        <v>0.0</v>
      </c>
      <c r="AC129" s="62">
        <v>0.0</v>
      </c>
      <c r="AD129" s="62">
        <v>0.0</v>
      </c>
      <c r="AE129" s="62">
        <v>0.0</v>
      </c>
      <c r="AF129" s="62">
        <v>0.0</v>
      </c>
      <c r="AG129" s="62">
        <v>0.0</v>
      </c>
      <c r="AH129" s="62">
        <v>0.0</v>
      </c>
      <c r="AI129" s="62">
        <v>25239.0</v>
      </c>
      <c r="AJ129" s="62">
        <v>0.0</v>
      </c>
      <c r="AK129" s="62">
        <v>0.0</v>
      </c>
      <c r="AL129" s="62">
        <v>0.0</v>
      </c>
      <c r="AM129" s="62">
        <v>4335423.0</v>
      </c>
      <c r="AN129" s="62">
        <v>88433.0</v>
      </c>
      <c r="AO129" s="62">
        <v>805531.0</v>
      </c>
      <c r="AP129" s="62">
        <v>635.0</v>
      </c>
      <c r="AQ129" s="62">
        <v>145500.0</v>
      </c>
      <c r="AR129" s="62">
        <v>4307.0</v>
      </c>
      <c r="AS129" s="62">
        <v>206490.0</v>
      </c>
      <c r="AT129" s="62">
        <v>13722.0</v>
      </c>
      <c r="AU129" s="62">
        <v>22605.0</v>
      </c>
      <c r="AV129" s="62">
        <v>109651.0</v>
      </c>
      <c r="AW129" s="62">
        <v>167.0</v>
      </c>
      <c r="AX129" s="62">
        <v>1056383.0</v>
      </c>
      <c r="AY129" s="62">
        <v>129683.0</v>
      </c>
      <c r="AZ129" s="62">
        <v>1338.0</v>
      </c>
      <c r="BA129" s="62">
        <v>278098.0</v>
      </c>
      <c r="BB129" s="62">
        <v>228754.0</v>
      </c>
      <c r="BC129" s="62">
        <v>0.0</v>
      </c>
      <c r="BD129" s="62">
        <v>170.0</v>
      </c>
      <c r="BE129" s="62">
        <v>0.0</v>
      </c>
      <c r="BF129" s="62">
        <v>0.0</v>
      </c>
      <c r="BG129" s="62">
        <v>0.0</v>
      </c>
      <c r="BH129" s="62">
        <v>4405.0</v>
      </c>
      <c r="BI129" s="62">
        <v>0.0</v>
      </c>
      <c r="BJ129" s="62">
        <v>48280.0</v>
      </c>
      <c r="BK129" s="62">
        <v>2481.0</v>
      </c>
      <c r="BL129" s="62">
        <v>1570.0</v>
      </c>
      <c r="BM129" s="62">
        <v>0.0</v>
      </c>
      <c r="BN129" s="62">
        <v>0.0</v>
      </c>
      <c r="BO129" s="62">
        <v>2152.0</v>
      </c>
      <c r="BP129" s="62">
        <v>0.0</v>
      </c>
      <c r="BQ129" s="62">
        <v>0.0</v>
      </c>
      <c r="BR129" s="62">
        <v>0.0</v>
      </c>
      <c r="BS129" s="62">
        <v>0.0</v>
      </c>
      <c r="BT129" s="62">
        <v>0.0</v>
      </c>
      <c r="BU129" s="62">
        <v>1405.0</v>
      </c>
      <c r="BV129" s="62">
        <v>0.0</v>
      </c>
      <c r="BW129" s="62">
        <v>0.0</v>
      </c>
      <c r="BX129" s="62">
        <v>3703.0</v>
      </c>
      <c r="BY129" s="62">
        <v>45893.0</v>
      </c>
      <c r="BZ129" s="62">
        <v>834.0</v>
      </c>
      <c r="CA129" s="62">
        <v>381456.0</v>
      </c>
      <c r="CB129" s="62">
        <v>96429.0</v>
      </c>
      <c r="CC129" s="62">
        <v>11593.0</v>
      </c>
      <c r="CD129" s="62">
        <v>22072.0</v>
      </c>
      <c r="CE129" s="62">
        <v>20429.0</v>
      </c>
      <c r="CF129" s="62">
        <v>208216.0</v>
      </c>
      <c r="CG129" s="62">
        <v>6901.0</v>
      </c>
      <c r="CH129" s="62">
        <v>2632.0</v>
      </c>
      <c r="CI129" s="62">
        <v>33096.0</v>
      </c>
      <c r="CJ129" s="62">
        <v>4183.0</v>
      </c>
      <c r="CK129" s="62">
        <v>0.0</v>
      </c>
      <c r="CL129" s="62">
        <v>0.0</v>
      </c>
      <c r="CM129" s="62">
        <v>3640.0</v>
      </c>
      <c r="CN129" s="62">
        <v>10675.0</v>
      </c>
      <c r="CO129" s="62">
        <v>188727.0</v>
      </c>
      <c r="CP129" s="62">
        <v>154151.0</v>
      </c>
      <c r="CQ129" s="62">
        <v>74876.0</v>
      </c>
      <c r="CR129" s="62">
        <v>6810.0</v>
      </c>
      <c r="CS129" s="62">
        <v>6910.0</v>
      </c>
      <c r="CT129" s="62">
        <v>94452.0</v>
      </c>
      <c r="CU129" s="62">
        <v>37942.0</v>
      </c>
      <c r="CV129" s="62">
        <v>74727.0</v>
      </c>
      <c r="CW129" s="62">
        <v>7162.0</v>
      </c>
      <c r="CX129" s="62">
        <v>15940.0</v>
      </c>
      <c r="CY129" s="62">
        <v>1009.0</v>
      </c>
      <c r="CZ129" s="62">
        <v>26759.0</v>
      </c>
      <c r="DA129" s="62">
        <v>26025.0</v>
      </c>
      <c r="DB129" s="62">
        <v>18616.0</v>
      </c>
      <c r="DC129" s="62">
        <v>18579.0</v>
      </c>
      <c r="DD129" s="62">
        <v>211.0</v>
      </c>
      <c r="DE129" s="62">
        <v>2485.0</v>
      </c>
      <c r="DF129" s="62">
        <v>5001.0</v>
      </c>
      <c r="DG129" s="62">
        <v>619.0</v>
      </c>
      <c r="DH129" s="62">
        <v>20039.0</v>
      </c>
      <c r="DI129" s="62">
        <v>26243.0</v>
      </c>
      <c r="DJ129" s="62">
        <v>23153.0</v>
      </c>
      <c r="DK129" s="62">
        <v>6248.0</v>
      </c>
      <c r="DL129" s="62">
        <v>72023.0</v>
      </c>
      <c r="DM129" s="62">
        <v>190704.0</v>
      </c>
      <c r="DN129" s="62">
        <v>10490.0</v>
      </c>
      <c r="DO129" s="62">
        <v>5413.0</v>
      </c>
      <c r="DP129" s="62">
        <v>0.0</v>
      </c>
      <c r="DQ129" s="62">
        <v>80054.0</v>
      </c>
      <c r="DR129" s="62">
        <v>127699.0</v>
      </c>
      <c r="DS129" s="62">
        <v>3361819.0</v>
      </c>
      <c r="DT129" s="62">
        <v>338303.0</v>
      </c>
      <c r="DU129" s="62">
        <v>764752.0</v>
      </c>
      <c r="DV129" s="62">
        <v>1.3970021E7</v>
      </c>
      <c r="DW129" s="62">
        <v>938685.0</v>
      </c>
      <c r="DX129" s="62">
        <v>25623.0</v>
      </c>
      <c r="DY129" s="62">
        <v>1091.0</v>
      </c>
      <c r="DZ129" s="62">
        <v>2565570.0</v>
      </c>
      <c r="EA129" s="62">
        <v>11836.0</v>
      </c>
      <c r="EB129" s="62">
        <v>21756.0</v>
      </c>
      <c r="EC129" s="62">
        <v>7299476.0</v>
      </c>
      <c r="ED129" s="62">
        <v>0.0</v>
      </c>
      <c r="EE129" s="62">
        <v>0.0</v>
      </c>
      <c r="EF129" s="62">
        <v>0.0</v>
      </c>
      <c r="EG129" s="62">
        <v>5560.0</v>
      </c>
      <c r="EH129" s="62">
        <v>99.0</v>
      </c>
      <c r="EI129" s="62">
        <v>81.0</v>
      </c>
      <c r="EJ129" s="62">
        <v>18366.0</v>
      </c>
      <c r="EK129" s="62">
        <v>24108.0</v>
      </c>
      <c r="EL129" s="62">
        <v>9472.0</v>
      </c>
      <c r="EM129" s="62">
        <v>11439.0</v>
      </c>
      <c r="EN129" s="62">
        <v>152253.0</v>
      </c>
      <c r="EO129" s="62">
        <v>12199.0</v>
      </c>
      <c r="EP129" s="62">
        <v>151364.0</v>
      </c>
      <c r="EQ129" s="62">
        <v>1107795.0</v>
      </c>
      <c r="ER129" s="62">
        <v>0.0</v>
      </c>
      <c r="ES129" s="62">
        <v>69243.0</v>
      </c>
      <c r="ET129" s="62">
        <v>14670.0</v>
      </c>
      <c r="EU129" s="62">
        <v>1.7106255E7</v>
      </c>
      <c r="EV129" s="62">
        <v>9582108.0</v>
      </c>
      <c r="EW129" s="62">
        <v>45183.0</v>
      </c>
      <c r="EX129" s="62">
        <v>384598.0</v>
      </c>
      <c r="EY129" s="62">
        <v>7511453.0</v>
      </c>
      <c r="EZ129" s="62">
        <v>92932.0</v>
      </c>
      <c r="FA129" s="62">
        <v>113352.0</v>
      </c>
      <c r="FB129" s="62">
        <v>1734281.0</v>
      </c>
      <c r="FC129" s="62">
        <v>197.0</v>
      </c>
      <c r="FD129" s="62">
        <v>424911.0</v>
      </c>
      <c r="FE129" s="62">
        <v>0.0</v>
      </c>
      <c r="FF129" s="62">
        <v>0.0</v>
      </c>
      <c r="FG129" s="62">
        <v>0.0</v>
      </c>
      <c r="FH129" s="62">
        <v>25871.0</v>
      </c>
      <c r="FI129" s="62">
        <v>0.0</v>
      </c>
      <c r="FJ129" s="62">
        <v>0.0</v>
      </c>
      <c r="FK129" s="62">
        <v>0.0</v>
      </c>
      <c r="FL129" s="62">
        <v>0.0</v>
      </c>
      <c r="FM129" s="62">
        <v>0.0</v>
      </c>
      <c r="FN129" s="62">
        <v>802558.0</v>
      </c>
      <c r="FO129" s="62">
        <v>12793.0</v>
      </c>
      <c r="FP129" s="62">
        <v>0.0</v>
      </c>
      <c r="FQ129" s="62">
        <v>0.0</v>
      </c>
      <c r="FR129" s="62">
        <v>0.0</v>
      </c>
      <c r="FS129" s="62">
        <v>0.0</v>
      </c>
      <c r="FT129" s="62">
        <v>0.0</v>
      </c>
      <c r="FU129" s="62">
        <v>218187.0</v>
      </c>
      <c r="FV129" s="62">
        <v>460191.0</v>
      </c>
      <c r="FW129" s="62">
        <v>119959.0</v>
      </c>
      <c r="FX129" s="62">
        <v>5344.0</v>
      </c>
      <c r="FY129" s="62">
        <v>11439.0</v>
      </c>
      <c r="FZ129" s="62">
        <v>22.0</v>
      </c>
      <c r="GA129" s="62">
        <v>815899.0</v>
      </c>
      <c r="GB129" s="62">
        <v>285558.0</v>
      </c>
      <c r="GC129" s="62">
        <v>73697.0</v>
      </c>
      <c r="GD129" s="62">
        <v>60778.0</v>
      </c>
      <c r="GE129" s="62">
        <v>255350.0</v>
      </c>
      <c r="GF129" s="63">
        <v>8.0705738E7</v>
      </c>
      <c r="GG129" s="64">
        <v>245070.0</v>
      </c>
      <c r="GH129" s="65">
        <v>0.0</v>
      </c>
      <c r="GI129" s="64">
        <v>0.0</v>
      </c>
      <c r="GJ129" s="64">
        <v>6.221579E7</v>
      </c>
      <c r="GK129" s="64">
        <v>-1.1191366E7</v>
      </c>
      <c r="GL129" s="64">
        <v>1.8056847E7</v>
      </c>
      <c r="GM129" s="64">
        <v>0.0</v>
      </c>
      <c r="GN129" s="63">
        <v>6.9326341E7</v>
      </c>
      <c r="GO129" s="66">
        <v>1.50032079E8</v>
      </c>
      <c r="GP129" s="64">
        <v>4.0429189E7</v>
      </c>
      <c r="GQ129" s="64">
        <v>0.0</v>
      </c>
      <c r="GR129" s="65">
        <v>0.0</v>
      </c>
      <c r="GS129" s="63">
        <v>4.0429189E7</v>
      </c>
      <c r="GT129" s="67">
        <v>1.3674851E7</v>
      </c>
      <c r="GU129" s="67">
        <v>1.3655016E7</v>
      </c>
      <c r="GV129" s="67">
        <v>4595535.0</v>
      </c>
      <c r="GW129" s="63">
        <v>3.1925402E7</v>
      </c>
      <c r="GX129" s="63">
        <v>5994843.0</v>
      </c>
      <c r="GY129" s="63">
        <v>7.1682645E7</v>
      </c>
      <c r="GZ129" s="66">
        <v>1.50032079E8</v>
      </c>
    </row>
    <row r="130" ht="15.75" customHeight="1">
      <c r="A130" s="68">
        <v>125.0</v>
      </c>
      <c r="B130" s="69" t="s">
        <v>170</v>
      </c>
      <c r="C130" s="70">
        <v>202.0</v>
      </c>
      <c r="D130" s="70">
        <v>6.0</v>
      </c>
      <c r="E130" s="70">
        <v>21.0</v>
      </c>
      <c r="F130" s="70">
        <v>3.0</v>
      </c>
      <c r="G130" s="70">
        <v>2.0</v>
      </c>
      <c r="H130" s="70">
        <v>192.0</v>
      </c>
      <c r="I130" s="70">
        <v>92.0</v>
      </c>
      <c r="J130" s="70">
        <v>50.0</v>
      </c>
      <c r="K130" s="70">
        <v>10.0</v>
      </c>
      <c r="L130" s="70">
        <v>3518.0</v>
      </c>
      <c r="M130" s="70">
        <v>12084.0</v>
      </c>
      <c r="N130" s="70">
        <v>757.0</v>
      </c>
      <c r="O130" s="70">
        <v>45234.0</v>
      </c>
      <c r="P130" s="70">
        <v>210.0</v>
      </c>
      <c r="Q130" s="70">
        <v>447.0</v>
      </c>
      <c r="R130" s="70">
        <v>1271.0</v>
      </c>
      <c r="S130" s="70">
        <v>283.0</v>
      </c>
      <c r="T130" s="70">
        <v>868.0</v>
      </c>
      <c r="U130" s="70">
        <v>43.0</v>
      </c>
      <c r="V130" s="70">
        <v>2070.0</v>
      </c>
      <c r="W130" s="70">
        <v>41.0</v>
      </c>
      <c r="X130" s="70">
        <v>1616.0</v>
      </c>
      <c r="Y130" s="70">
        <v>272.0</v>
      </c>
      <c r="Z130" s="70">
        <v>595.0</v>
      </c>
      <c r="AA130" s="70">
        <v>38.0</v>
      </c>
      <c r="AB130" s="70">
        <v>174.0</v>
      </c>
      <c r="AC130" s="70">
        <v>102.0</v>
      </c>
      <c r="AD130" s="70">
        <v>298.0</v>
      </c>
      <c r="AE130" s="70">
        <v>1139.0</v>
      </c>
      <c r="AF130" s="70">
        <v>24755.0</v>
      </c>
      <c r="AG130" s="70">
        <v>13865.0</v>
      </c>
      <c r="AH130" s="70">
        <v>4272.0</v>
      </c>
      <c r="AI130" s="70">
        <v>251288.0</v>
      </c>
      <c r="AJ130" s="70">
        <v>872.0</v>
      </c>
      <c r="AK130" s="70">
        <v>79.0</v>
      </c>
      <c r="AL130" s="70">
        <v>373.0</v>
      </c>
      <c r="AM130" s="70">
        <v>2643328.0</v>
      </c>
      <c r="AN130" s="70">
        <v>55300.0</v>
      </c>
      <c r="AO130" s="70">
        <v>415511.0</v>
      </c>
      <c r="AP130" s="70">
        <v>522.0</v>
      </c>
      <c r="AQ130" s="70">
        <v>22354.0</v>
      </c>
      <c r="AR130" s="70">
        <v>13590.0</v>
      </c>
      <c r="AS130" s="70">
        <v>101842.0</v>
      </c>
      <c r="AT130" s="70">
        <v>11256.0</v>
      </c>
      <c r="AU130" s="70">
        <v>15725.0</v>
      </c>
      <c r="AV130" s="70">
        <v>42541.0</v>
      </c>
      <c r="AW130" s="70">
        <v>121.0</v>
      </c>
      <c r="AX130" s="70">
        <v>787853.0</v>
      </c>
      <c r="AY130" s="70">
        <v>13304.0</v>
      </c>
      <c r="AZ130" s="70">
        <v>650.0</v>
      </c>
      <c r="BA130" s="70">
        <v>26902.0</v>
      </c>
      <c r="BB130" s="70">
        <v>99068.0</v>
      </c>
      <c r="BC130" s="70">
        <v>933.0</v>
      </c>
      <c r="BD130" s="70">
        <v>7.0</v>
      </c>
      <c r="BE130" s="70">
        <v>1087.0</v>
      </c>
      <c r="BF130" s="70">
        <v>3596.0</v>
      </c>
      <c r="BG130" s="70">
        <v>4019.0</v>
      </c>
      <c r="BH130" s="70">
        <v>7690.0</v>
      </c>
      <c r="BI130" s="70">
        <v>51.0</v>
      </c>
      <c r="BJ130" s="70">
        <v>7041.0</v>
      </c>
      <c r="BK130" s="70">
        <v>334.0</v>
      </c>
      <c r="BL130" s="70">
        <v>217.0</v>
      </c>
      <c r="BM130" s="70">
        <v>24.0</v>
      </c>
      <c r="BN130" s="70">
        <v>75.0</v>
      </c>
      <c r="BO130" s="70">
        <v>118.0</v>
      </c>
      <c r="BP130" s="70">
        <v>12051.0</v>
      </c>
      <c r="BQ130" s="70">
        <v>130.0</v>
      </c>
      <c r="BR130" s="70">
        <v>59.0</v>
      </c>
      <c r="BS130" s="70">
        <v>168.0</v>
      </c>
      <c r="BT130" s="70">
        <v>14666.0</v>
      </c>
      <c r="BU130" s="70">
        <v>29179.0</v>
      </c>
      <c r="BV130" s="70">
        <v>371.0</v>
      </c>
      <c r="BW130" s="70">
        <v>241.0</v>
      </c>
      <c r="BX130" s="70">
        <v>2576.0</v>
      </c>
      <c r="BY130" s="70">
        <v>48073.0</v>
      </c>
      <c r="BZ130" s="70">
        <v>1681.0</v>
      </c>
      <c r="CA130" s="70">
        <v>190119.0</v>
      </c>
      <c r="CB130" s="70">
        <v>112055.0</v>
      </c>
      <c r="CC130" s="70">
        <v>13709.0</v>
      </c>
      <c r="CD130" s="70">
        <v>14874.0</v>
      </c>
      <c r="CE130" s="70">
        <v>14340.0</v>
      </c>
      <c r="CF130" s="70">
        <v>90702.0</v>
      </c>
      <c r="CG130" s="70">
        <v>1677.0</v>
      </c>
      <c r="CH130" s="70">
        <v>623.0</v>
      </c>
      <c r="CI130" s="70">
        <v>10692.0</v>
      </c>
      <c r="CJ130" s="70">
        <v>5415.0</v>
      </c>
      <c r="CK130" s="70">
        <v>1212.0</v>
      </c>
      <c r="CL130" s="70">
        <v>1320.0</v>
      </c>
      <c r="CM130" s="70">
        <v>4181.0</v>
      </c>
      <c r="CN130" s="70">
        <v>0.0</v>
      </c>
      <c r="CO130" s="70">
        <v>200831.0</v>
      </c>
      <c r="CP130" s="70">
        <v>164097.0</v>
      </c>
      <c r="CQ130" s="70">
        <v>167502.0</v>
      </c>
      <c r="CR130" s="70">
        <v>20282.0</v>
      </c>
      <c r="CS130" s="70">
        <v>3383.0</v>
      </c>
      <c r="CT130" s="70">
        <v>56321.0</v>
      </c>
      <c r="CU130" s="70">
        <v>32114.0</v>
      </c>
      <c r="CV130" s="70">
        <v>63369.0</v>
      </c>
      <c r="CW130" s="70">
        <v>10792.0</v>
      </c>
      <c r="CX130" s="70">
        <v>16393.0</v>
      </c>
      <c r="CY130" s="70">
        <v>919.0</v>
      </c>
      <c r="CZ130" s="70">
        <v>19327.0</v>
      </c>
      <c r="DA130" s="70">
        <v>26764.0</v>
      </c>
      <c r="DB130" s="70">
        <v>30078.0</v>
      </c>
      <c r="DC130" s="70">
        <v>23184.0</v>
      </c>
      <c r="DD130" s="70">
        <v>230.0</v>
      </c>
      <c r="DE130" s="70">
        <v>2757.0</v>
      </c>
      <c r="DF130" s="70">
        <v>4184.0</v>
      </c>
      <c r="DG130" s="70">
        <v>1326.0</v>
      </c>
      <c r="DH130" s="70">
        <v>28540.0</v>
      </c>
      <c r="DI130" s="70">
        <v>14379.0</v>
      </c>
      <c r="DJ130" s="70">
        <v>18827.0</v>
      </c>
      <c r="DK130" s="70">
        <v>50704.0</v>
      </c>
      <c r="DL130" s="70">
        <v>50746.0</v>
      </c>
      <c r="DM130" s="70">
        <v>87761.0</v>
      </c>
      <c r="DN130" s="70">
        <v>2736.0</v>
      </c>
      <c r="DO130" s="70">
        <v>18518.0</v>
      </c>
      <c r="DP130" s="70">
        <v>45.0</v>
      </c>
      <c r="DQ130" s="70">
        <v>27038.0</v>
      </c>
      <c r="DR130" s="70">
        <v>417299.0</v>
      </c>
      <c r="DS130" s="70">
        <v>3614633.0</v>
      </c>
      <c r="DT130" s="70">
        <v>696335.0</v>
      </c>
      <c r="DU130" s="70">
        <v>12092.0</v>
      </c>
      <c r="DV130" s="70">
        <v>5520.0</v>
      </c>
      <c r="DW130" s="70">
        <v>1821553.0</v>
      </c>
      <c r="DX130" s="70">
        <v>60823.0</v>
      </c>
      <c r="DY130" s="70">
        <v>2113.0</v>
      </c>
      <c r="DZ130" s="70">
        <v>2994960.0</v>
      </c>
      <c r="EA130" s="70">
        <v>147011.0</v>
      </c>
      <c r="EB130" s="70">
        <v>958042.0</v>
      </c>
      <c r="EC130" s="70">
        <v>1.2104347E7</v>
      </c>
      <c r="ED130" s="70">
        <v>843471.0</v>
      </c>
      <c r="EE130" s="70">
        <v>9995.0</v>
      </c>
      <c r="EF130" s="70">
        <v>8168.0</v>
      </c>
      <c r="EG130" s="70">
        <v>621507.0</v>
      </c>
      <c r="EH130" s="70">
        <v>6758738.0</v>
      </c>
      <c r="EI130" s="70">
        <v>903.0</v>
      </c>
      <c r="EJ130" s="70">
        <v>15641.0</v>
      </c>
      <c r="EK130" s="70">
        <v>19664.0</v>
      </c>
      <c r="EL130" s="70">
        <v>7849.0</v>
      </c>
      <c r="EM130" s="70">
        <v>16089.0</v>
      </c>
      <c r="EN130" s="70">
        <v>128339.0</v>
      </c>
      <c r="EO130" s="70">
        <v>7418.0</v>
      </c>
      <c r="EP130" s="70">
        <v>773829.0</v>
      </c>
      <c r="EQ130" s="70">
        <v>5472.0</v>
      </c>
      <c r="ER130" s="70">
        <v>0.0</v>
      </c>
      <c r="ES130" s="70">
        <v>66608.0</v>
      </c>
      <c r="ET130" s="70">
        <v>35500.0</v>
      </c>
      <c r="EU130" s="70">
        <v>4150950.0</v>
      </c>
      <c r="EV130" s="70">
        <v>169838.0</v>
      </c>
      <c r="EW130" s="70">
        <v>15324.0</v>
      </c>
      <c r="EX130" s="70">
        <v>89724.0</v>
      </c>
      <c r="EY130" s="70">
        <v>249882.0</v>
      </c>
      <c r="EZ130" s="70">
        <v>259625.0</v>
      </c>
      <c r="FA130" s="70">
        <v>900009.0</v>
      </c>
      <c r="FB130" s="70">
        <v>906080.0</v>
      </c>
      <c r="FC130" s="70">
        <v>324.0</v>
      </c>
      <c r="FD130" s="70">
        <v>1.0532865E7</v>
      </c>
      <c r="FE130" s="70">
        <v>1460207.0</v>
      </c>
      <c r="FF130" s="70">
        <v>697885.0</v>
      </c>
      <c r="FG130" s="70">
        <v>860439.0</v>
      </c>
      <c r="FH130" s="70">
        <v>1400858.0</v>
      </c>
      <c r="FI130" s="70">
        <v>111690.0</v>
      </c>
      <c r="FJ130" s="70">
        <v>31140.0</v>
      </c>
      <c r="FK130" s="70">
        <v>29611.0</v>
      </c>
      <c r="FL130" s="70">
        <v>44232.0</v>
      </c>
      <c r="FM130" s="70">
        <v>261455.0</v>
      </c>
      <c r="FN130" s="70">
        <v>106500.0</v>
      </c>
      <c r="FO130" s="70">
        <v>12275.0</v>
      </c>
      <c r="FP130" s="70">
        <v>11555.0</v>
      </c>
      <c r="FQ130" s="70">
        <v>0.0</v>
      </c>
      <c r="FR130" s="70">
        <v>0.0</v>
      </c>
      <c r="FS130" s="70">
        <v>2111.0</v>
      </c>
      <c r="FT130" s="70">
        <v>48114.0</v>
      </c>
      <c r="FU130" s="70">
        <v>533128.0</v>
      </c>
      <c r="FV130" s="70">
        <v>387030.0</v>
      </c>
      <c r="FW130" s="70">
        <v>84343.0</v>
      </c>
      <c r="FX130" s="70">
        <v>52056.0</v>
      </c>
      <c r="FY130" s="70">
        <v>56157.0</v>
      </c>
      <c r="FZ130" s="70">
        <v>1223.0</v>
      </c>
      <c r="GA130" s="70">
        <v>694085.0</v>
      </c>
      <c r="GB130" s="70">
        <v>385261.0</v>
      </c>
      <c r="GC130" s="70">
        <v>44294.0</v>
      </c>
      <c r="GD130" s="70">
        <v>264070.0</v>
      </c>
      <c r="GE130" s="70">
        <v>51770.0</v>
      </c>
      <c r="GF130" s="71">
        <v>6.3415491E7</v>
      </c>
      <c r="GG130" s="72">
        <v>2686385.0</v>
      </c>
      <c r="GH130" s="73">
        <v>0.0</v>
      </c>
      <c r="GI130" s="72">
        <v>0.0</v>
      </c>
      <c r="GJ130" s="72">
        <v>0.0</v>
      </c>
      <c r="GK130" s="72">
        <v>4384.0</v>
      </c>
      <c r="GL130" s="72">
        <v>1.0363587E7</v>
      </c>
      <c r="GM130" s="72">
        <v>0.0</v>
      </c>
      <c r="GN130" s="71">
        <v>1.3054356E7</v>
      </c>
      <c r="GO130" s="74">
        <v>7.6469847E7</v>
      </c>
      <c r="GP130" s="72">
        <v>9346534.0</v>
      </c>
      <c r="GQ130" s="72">
        <v>0.0</v>
      </c>
      <c r="GR130" s="73">
        <v>0.0</v>
      </c>
      <c r="GS130" s="71">
        <v>9346534.0</v>
      </c>
      <c r="GT130" s="75">
        <v>4299591.0</v>
      </c>
      <c r="GU130" s="75">
        <v>5815928.0</v>
      </c>
      <c r="GV130" s="75">
        <v>3994083.0</v>
      </c>
      <c r="GW130" s="71">
        <v>1.4109602E7</v>
      </c>
      <c r="GX130" s="71">
        <v>955736.0</v>
      </c>
      <c r="GY130" s="71">
        <v>5.2057975E7</v>
      </c>
      <c r="GZ130" s="74">
        <v>7.6469847E7</v>
      </c>
    </row>
    <row r="131" ht="15.75" customHeight="1">
      <c r="A131" s="52">
        <v>126.0</v>
      </c>
      <c r="B131" s="53" t="s">
        <v>171</v>
      </c>
      <c r="C131" s="54">
        <v>93.0</v>
      </c>
      <c r="D131" s="54">
        <v>19.0</v>
      </c>
      <c r="E131" s="54">
        <v>4.0</v>
      </c>
      <c r="F131" s="54">
        <v>10.0</v>
      </c>
      <c r="G131" s="54">
        <v>6.0</v>
      </c>
      <c r="H131" s="54">
        <v>19.0</v>
      </c>
      <c r="I131" s="54">
        <v>5.0</v>
      </c>
      <c r="J131" s="54">
        <v>7.0</v>
      </c>
      <c r="K131" s="54">
        <v>8.0</v>
      </c>
      <c r="L131" s="54">
        <v>658.0</v>
      </c>
      <c r="M131" s="54">
        <v>70.0</v>
      </c>
      <c r="N131" s="54">
        <v>229.0</v>
      </c>
      <c r="O131" s="54">
        <v>430.0</v>
      </c>
      <c r="P131" s="54">
        <v>321.0</v>
      </c>
      <c r="Q131" s="54">
        <v>179.0</v>
      </c>
      <c r="R131" s="54">
        <v>703.0</v>
      </c>
      <c r="S131" s="54">
        <v>126.0</v>
      </c>
      <c r="T131" s="54">
        <v>391.0</v>
      </c>
      <c r="U131" s="54">
        <v>2.0</v>
      </c>
      <c r="V131" s="54">
        <v>79.0</v>
      </c>
      <c r="W131" s="54">
        <v>2.0</v>
      </c>
      <c r="X131" s="54">
        <v>525.0</v>
      </c>
      <c r="Y131" s="54">
        <v>102.0</v>
      </c>
      <c r="Z131" s="54">
        <v>166.0</v>
      </c>
      <c r="AA131" s="54">
        <v>79.0</v>
      </c>
      <c r="AB131" s="54">
        <v>85.0</v>
      </c>
      <c r="AC131" s="54">
        <v>39.0</v>
      </c>
      <c r="AD131" s="54">
        <v>180.0</v>
      </c>
      <c r="AE131" s="54">
        <v>629.0</v>
      </c>
      <c r="AF131" s="54">
        <v>4174.0</v>
      </c>
      <c r="AG131" s="54">
        <v>717.0</v>
      </c>
      <c r="AH131" s="54">
        <v>185.0</v>
      </c>
      <c r="AI131" s="54">
        <v>102011.0</v>
      </c>
      <c r="AJ131" s="54">
        <v>217.0</v>
      </c>
      <c r="AK131" s="54">
        <v>103.0</v>
      </c>
      <c r="AL131" s="54">
        <v>93.0</v>
      </c>
      <c r="AM131" s="54">
        <v>504852.0</v>
      </c>
      <c r="AN131" s="54">
        <v>32291.0</v>
      </c>
      <c r="AO131" s="54">
        <v>66426.0</v>
      </c>
      <c r="AP131" s="54">
        <v>978.0</v>
      </c>
      <c r="AQ131" s="54">
        <v>4287.0</v>
      </c>
      <c r="AR131" s="54">
        <v>2045.0</v>
      </c>
      <c r="AS131" s="54">
        <v>15066.0</v>
      </c>
      <c r="AT131" s="54">
        <v>1792.0</v>
      </c>
      <c r="AU131" s="54">
        <v>1327.0</v>
      </c>
      <c r="AV131" s="54">
        <v>24829.0</v>
      </c>
      <c r="AW131" s="54">
        <v>515.0</v>
      </c>
      <c r="AX131" s="54">
        <v>100242.0</v>
      </c>
      <c r="AY131" s="54">
        <v>179.0</v>
      </c>
      <c r="AZ131" s="54">
        <v>148.0</v>
      </c>
      <c r="BA131" s="54">
        <v>7045.0</v>
      </c>
      <c r="BB131" s="54">
        <v>17679.0</v>
      </c>
      <c r="BC131" s="54">
        <v>155.0</v>
      </c>
      <c r="BD131" s="54">
        <v>14.0</v>
      </c>
      <c r="BE131" s="54">
        <v>250.0</v>
      </c>
      <c r="BF131" s="54">
        <v>978.0</v>
      </c>
      <c r="BG131" s="54">
        <v>2744.0</v>
      </c>
      <c r="BH131" s="54">
        <v>8045.0</v>
      </c>
      <c r="BI131" s="54">
        <v>103.0</v>
      </c>
      <c r="BJ131" s="54">
        <v>13177.0</v>
      </c>
      <c r="BK131" s="54">
        <v>399.0</v>
      </c>
      <c r="BL131" s="54">
        <v>287.0</v>
      </c>
      <c r="BM131" s="54">
        <v>18.0</v>
      </c>
      <c r="BN131" s="54">
        <v>124.0</v>
      </c>
      <c r="BO131" s="54">
        <v>22115.0</v>
      </c>
      <c r="BP131" s="54">
        <v>3557.0</v>
      </c>
      <c r="BQ131" s="54">
        <v>3783.0</v>
      </c>
      <c r="BR131" s="54">
        <v>2794.0</v>
      </c>
      <c r="BS131" s="54">
        <v>690.0</v>
      </c>
      <c r="BT131" s="54">
        <v>10014.0</v>
      </c>
      <c r="BU131" s="54">
        <v>80129.0</v>
      </c>
      <c r="BV131" s="54">
        <v>1833.0</v>
      </c>
      <c r="BW131" s="54">
        <v>38.0</v>
      </c>
      <c r="BX131" s="54">
        <v>520.0</v>
      </c>
      <c r="BY131" s="54">
        <v>19542.0</v>
      </c>
      <c r="BZ131" s="54">
        <v>1710.0</v>
      </c>
      <c r="CA131" s="54">
        <v>31381.0</v>
      </c>
      <c r="CB131" s="54">
        <v>18494.0</v>
      </c>
      <c r="CC131" s="54">
        <v>2706.0</v>
      </c>
      <c r="CD131" s="54">
        <v>3121.0</v>
      </c>
      <c r="CE131" s="54">
        <v>2845.0</v>
      </c>
      <c r="CF131" s="54">
        <v>35681.0</v>
      </c>
      <c r="CG131" s="54">
        <v>1737.0</v>
      </c>
      <c r="CH131" s="54">
        <v>553.0</v>
      </c>
      <c r="CI131" s="54">
        <v>2293.0</v>
      </c>
      <c r="CJ131" s="54">
        <v>1498.0</v>
      </c>
      <c r="CK131" s="54">
        <v>2730.0</v>
      </c>
      <c r="CL131" s="54">
        <v>951.0</v>
      </c>
      <c r="CM131" s="54">
        <v>1158.0</v>
      </c>
      <c r="CN131" s="54">
        <v>1008.0</v>
      </c>
      <c r="CO131" s="54">
        <v>4145.0</v>
      </c>
      <c r="CP131" s="54">
        <v>3700.0</v>
      </c>
      <c r="CQ131" s="54">
        <v>18662.0</v>
      </c>
      <c r="CR131" s="54">
        <v>41116.0</v>
      </c>
      <c r="CS131" s="54">
        <v>1971.0</v>
      </c>
      <c r="CT131" s="54">
        <v>33881.0</v>
      </c>
      <c r="CU131" s="54">
        <v>10155.0</v>
      </c>
      <c r="CV131" s="54">
        <v>19986.0</v>
      </c>
      <c r="CW131" s="54">
        <v>1225.0</v>
      </c>
      <c r="CX131" s="54">
        <v>4460.0</v>
      </c>
      <c r="CY131" s="54">
        <v>285.0</v>
      </c>
      <c r="CZ131" s="54">
        <v>7368.0</v>
      </c>
      <c r="DA131" s="54">
        <v>11290.0</v>
      </c>
      <c r="DB131" s="54">
        <v>5913.0</v>
      </c>
      <c r="DC131" s="54">
        <v>33035.0</v>
      </c>
      <c r="DD131" s="54">
        <v>4969.0</v>
      </c>
      <c r="DE131" s="54">
        <v>2078.0</v>
      </c>
      <c r="DF131" s="54">
        <v>664.0</v>
      </c>
      <c r="DG131" s="54">
        <v>230.0</v>
      </c>
      <c r="DH131" s="54">
        <v>11692.0</v>
      </c>
      <c r="DI131" s="54">
        <v>6842.0</v>
      </c>
      <c r="DJ131" s="54">
        <v>5438.0</v>
      </c>
      <c r="DK131" s="54">
        <v>17.0</v>
      </c>
      <c r="DL131" s="54">
        <v>41770.0</v>
      </c>
      <c r="DM131" s="54">
        <v>26812.0</v>
      </c>
      <c r="DN131" s="54">
        <v>1459.0</v>
      </c>
      <c r="DO131" s="54">
        <v>3793.0</v>
      </c>
      <c r="DP131" s="54">
        <v>34632.0</v>
      </c>
      <c r="DQ131" s="54">
        <v>66399.0</v>
      </c>
      <c r="DR131" s="54">
        <v>91204.0</v>
      </c>
      <c r="DS131" s="54">
        <v>2248139.0</v>
      </c>
      <c r="DT131" s="54">
        <v>414639.0</v>
      </c>
      <c r="DU131" s="54">
        <v>9024.0</v>
      </c>
      <c r="DV131" s="54">
        <v>1852906.0</v>
      </c>
      <c r="DW131" s="54">
        <v>517726.0</v>
      </c>
      <c r="DX131" s="54">
        <v>2190450.0</v>
      </c>
      <c r="DY131" s="54">
        <v>836619.0</v>
      </c>
      <c r="DZ131" s="54">
        <v>796327.0</v>
      </c>
      <c r="EA131" s="54">
        <v>12800.0</v>
      </c>
      <c r="EB131" s="54">
        <v>260706.0</v>
      </c>
      <c r="EC131" s="54">
        <v>162444.0</v>
      </c>
      <c r="ED131" s="54">
        <v>68038.0</v>
      </c>
      <c r="EE131" s="54">
        <v>9168.0</v>
      </c>
      <c r="EF131" s="54">
        <v>1052.0</v>
      </c>
      <c r="EG131" s="54">
        <v>23742.0</v>
      </c>
      <c r="EH131" s="54">
        <v>637307.0</v>
      </c>
      <c r="EI131" s="54">
        <v>2073.0</v>
      </c>
      <c r="EJ131" s="54">
        <v>3358.0</v>
      </c>
      <c r="EK131" s="54">
        <v>1382.0</v>
      </c>
      <c r="EL131" s="54">
        <v>745.0</v>
      </c>
      <c r="EM131" s="54">
        <v>3866.0</v>
      </c>
      <c r="EN131" s="54">
        <v>41256.0</v>
      </c>
      <c r="EO131" s="54">
        <v>7915.0</v>
      </c>
      <c r="EP131" s="54">
        <v>19120.0</v>
      </c>
      <c r="EQ131" s="54">
        <v>885071.0</v>
      </c>
      <c r="ER131" s="54">
        <v>0.0</v>
      </c>
      <c r="ES131" s="54">
        <v>12092.0</v>
      </c>
      <c r="ET131" s="54">
        <v>16663.0</v>
      </c>
      <c r="EU131" s="54">
        <v>4944300.0</v>
      </c>
      <c r="EV131" s="54">
        <v>2710712.0</v>
      </c>
      <c r="EW131" s="54">
        <v>10786.0</v>
      </c>
      <c r="EX131" s="54">
        <v>33352.0</v>
      </c>
      <c r="EY131" s="54">
        <v>69762.0</v>
      </c>
      <c r="EZ131" s="54">
        <v>161034.0</v>
      </c>
      <c r="FA131" s="54">
        <v>131214.0</v>
      </c>
      <c r="FB131" s="54">
        <v>698266.0</v>
      </c>
      <c r="FC131" s="54">
        <v>8185.0</v>
      </c>
      <c r="FD131" s="54">
        <v>583957.0</v>
      </c>
      <c r="FE131" s="54">
        <v>150385.0</v>
      </c>
      <c r="FF131" s="54">
        <v>89887.0</v>
      </c>
      <c r="FG131" s="54">
        <v>255552.0</v>
      </c>
      <c r="FH131" s="54">
        <v>404538.0</v>
      </c>
      <c r="FI131" s="54">
        <v>75776.0</v>
      </c>
      <c r="FJ131" s="54">
        <v>8049.0</v>
      </c>
      <c r="FK131" s="54">
        <v>7526.0</v>
      </c>
      <c r="FL131" s="54">
        <v>24502.0</v>
      </c>
      <c r="FM131" s="54">
        <v>209184.0</v>
      </c>
      <c r="FN131" s="54">
        <v>475679.0</v>
      </c>
      <c r="FO131" s="54">
        <v>1121827.0</v>
      </c>
      <c r="FP131" s="54">
        <v>6085.0</v>
      </c>
      <c r="FQ131" s="54">
        <v>14131.0</v>
      </c>
      <c r="FR131" s="54">
        <v>6.0</v>
      </c>
      <c r="FS131" s="54">
        <v>502.0</v>
      </c>
      <c r="FT131" s="54">
        <v>374686.0</v>
      </c>
      <c r="FU131" s="54">
        <v>359255.0</v>
      </c>
      <c r="FV131" s="54">
        <v>96487.0</v>
      </c>
      <c r="FW131" s="54">
        <v>1632767.0</v>
      </c>
      <c r="FX131" s="54">
        <v>362400.0</v>
      </c>
      <c r="FY131" s="54">
        <v>713025.0</v>
      </c>
      <c r="FZ131" s="54">
        <v>39504.0</v>
      </c>
      <c r="GA131" s="54">
        <v>423693.0</v>
      </c>
      <c r="GB131" s="54">
        <v>139929.0</v>
      </c>
      <c r="GC131" s="54">
        <v>9578.0</v>
      </c>
      <c r="GD131" s="54">
        <v>20762.0</v>
      </c>
      <c r="GE131" s="54">
        <v>50646.0</v>
      </c>
      <c r="GF131" s="55">
        <v>2.911929E7</v>
      </c>
      <c r="GG131" s="56">
        <v>7577433.0</v>
      </c>
      <c r="GH131" s="57">
        <v>0.0</v>
      </c>
      <c r="GI131" s="56">
        <v>0.0</v>
      </c>
      <c r="GJ131" s="56">
        <v>2.2011516E7</v>
      </c>
      <c r="GK131" s="56">
        <v>-1.2162004E7</v>
      </c>
      <c r="GL131" s="56">
        <v>2.4433696E7</v>
      </c>
      <c r="GM131" s="56">
        <v>0.0</v>
      </c>
      <c r="GN131" s="55">
        <v>4.1860641E7</v>
      </c>
      <c r="GO131" s="58">
        <v>7.0979931E7</v>
      </c>
      <c r="GP131" s="56">
        <v>2.2810054E7</v>
      </c>
      <c r="GQ131" s="56">
        <v>0.0</v>
      </c>
      <c r="GR131" s="57">
        <v>0.0</v>
      </c>
      <c r="GS131" s="55">
        <v>2.2810054E7</v>
      </c>
      <c r="GT131" s="59">
        <v>6949713.0</v>
      </c>
      <c r="GU131" s="59">
        <v>4180408.0</v>
      </c>
      <c r="GV131" s="59">
        <v>1945785.0</v>
      </c>
      <c r="GW131" s="55">
        <v>1.3075906E7</v>
      </c>
      <c r="GX131" s="55">
        <v>3297628.0</v>
      </c>
      <c r="GY131" s="55">
        <v>3.1796343E7</v>
      </c>
      <c r="GZ131" s="58">
        <v>7.0979931E7</v>
      </c>
    </row>
    <row r="132" ht="15.75" customHeight="1">
      <c r="A132" s="60">
        <v>127.0</v>
      </c>
      <c r="B132" s="61" t="s">
        <v>172</v>
      </c>
      <c r="C132" s="62">
        <v>0.0</v>
      </c>
      <c r="D132" s="62">
        <v>0.0</v>
      </c>
      <c r="E132" s="62">
        <v>0.0</v>
      </c>
      <c r="F132" s="62">
        <v>0.0</v>
      </c>
      <c r="G132" s="62">
        <v>0.0</v>
      </c>
      <c r="H132" s="62">
        <v>0.0</v>
      </c>
      <c r="I132" s="62">
        <v>0.0</v>
      </c>
      <c r="J132" s="62">
        <v>0.0</v>
      </c>
      <c r="K132" s="62">
        <v>0.0</v>
      </c>
      <c r="L132" s="62">
        <v>0.0</v>
      </c>
      <c r="M132" s="62">
        <v>0.0</v>
      </c>
      <c r="N132" s="62">
        <v>0.0</v>
      </c>
      <c r="O132" s="62">
        <v>0.0</v>
      </c>
      <c r="P132" s="62">
        <v>0.0</v>
      </c>
      <c r="Q132" s="62">
        <v>0.0</v>
      </c>
      <c r="R132" s="62">
        <v>0.0</v>
      </c>
      <c r="S132" s="62">
        <v>0.0</v>
      </c>
      <c r="T132" s="62">
        <v>0.0</v>
      </c>
      <c r="U132" s="62">
        <v>0.0</v>
      </c>
      <c r="V132" s="62">
        <v>0.0</v>
      </c>
      <c r="W132" s="62">
        <v>0.0</v>
      </c>
      <c r="X132" s="62">
        <v>0.0</v>
      </c>
      <c r="Y132" s="62">
        <v>0.0</v>
      </c>
      <c r="Z132" s="62">
        <v>0.0</v>
      </c>
      <c r="AA132" s="62">
        <v>0.0</v>
      </c>
      <c r="AB132" s="62">
        <v>0.0</v>
      </c>
      <c r="AC132" s="62">
        <v>0.0</v>
      </c>
      <c r="AD132" s="62">
        <v>0.0</v>
      </c>
      <c r="AE132" s="62">
        <v>0.0</v>
      </c>
      <c r="AF132" s="62">
        <v>0.0</v>
      </c>
      <c r="AG132" s="62">
        <v>0.0</v>
      </c>
      <c r="AH132" s="62">
        <v>0.0</v>
      </c>
      <c r="AI132" s="62">
        <v>641.0</v>
      </c>
      <c r="AJ132" s="62">
        <v>0.0</v>
      </c>
      <c r="AK132" s="62">
        <v>0.0</v>
      </c>
      <c r="AL132" s="62">
        <v>0.0</v>
      </c>
      <c r="AM132" s="62">
        <v>29756.0</v>
      </c>
      <c r="AN132" s="62">
        <v>777.0</v>
      </c>
      <c r="AO132" s="62">
        <v>6659.0</v>
      </c>
      <c r="AP132" s="62">
        <v>7.0</v>
      </c>
      <c r="AQ132" s="62">
        <v>312.0</v>
      </c>
      <c r="AR132" s="62">
        <v>46.0</v>
      </c>
      <c r="AS132" s="62">
        <v>1317.0</v>
      </c>
      <c r="AT132" s="62">
        <v>147.0</v>
      </c>
      <c r="AU132" s="62">
        <v>184.0</v>
      </c>
      <c r="AV132" s="62">
        <v>1034.0</v>
      </c>
      <c r="AW132" s="62">
        <v>113.0</v>
      </c>
      <c r="AX132" s="62">
        <v>58923.0</v>
      </c>
      <c r="AY132" s="62">
        <v>20405.0</v>
      </c>
      <c r="AZ132" s="62">
        <v>172.0</v>
      </c>
      <c r="BA132" s="62">
        <v>702.0</v>
      </c>
      <c r="BB132" s="62">
        <v>1216.0</v>
      </c>
      <c r="BC132" s="62">
        <v>0.0</v>
      </c>
      <c r="BD132" s="62">
        <v>0.0</v>
      </c>
      <c r="BE132" s="62">
        <v>14.0</v>
      </c>
      <c r="BF132" s="62">
        <v>52.0</v>
      </c>
      <c r="BG132" s="62">
        <v>0.0</v>
      </c>
      <c r="BH132" s="62">
        <v>1561.0</v>
      </c>
      <c r="BI132" s="62">
        <v>0.0</v>
      </c>
      <c r="BJ132" s="62">
        <v>1699.0</v>
      </c>
      <c r="BK132" s="62">
        <v>69.0</v>
      </c>
      <c r="BL132" s="62">
        <v>39.0</v>
      </c>
      <c r="BM132" s="62">
        <v>0.0</v>
      </c>
      <c r="BN132" s="62">
        <v>0.0</v>
      </c>
      <c r="BO132" s="62">
        <v>113.0</v>
      </c>
      <c r="BP132" s="62">
        <v>0.0</v>
      </c>
      <c r="BQ132" s="62">
        <v>0.0</v>
      </c>
      <c r="BR132" s="62">
        <v>0.0</v>
      </c>
      <c r="BS132" s="62">
        <v>0.0</v>
      </c>
      <c r="BT132" s="62">
        <v>0.0</v>
      </c>
      <c r="BU132" s="62">
        <v>1144.0</v>
      </c>
      <c r="BV132" s="62">
        <v>0.0</v>
      </c>
      <c r="BW132" s="62">
        <v>0.0</v>
      </c>
      <c r="BX132" s="62">
        <v>36.0</v>
      </c>
      <c r="BY132" s="62">
        <v>454.0</v>
      </c>
      <c r="BZ132" s="62">
        <v>56.0</v>
      </c>
      <c r="CA132" s="62">
        <v>2461.0</v>
      </c>
      <c r="CB132" s="62">
        <v>1453.0</v>
      </c>
      <c r="CC132" s="62">
        <v>192.0</v>
      </c>
      <c r="CD132" s="62">
        <v>199.0</v>
      </c>
      <c r="CE132" s="62">
        <v>200.0</v>
      </c>
      <c r="CF132" s="62">
        <v>391.0</v>
      </c>
      <c r="CG132" s="62">
        <v>2141.0</v>
      </c>
      <c r="CH132" s="62">
        <v>136.0</v>
      </c>
      <c r="CI132" s="62">
        <v>491.0</v>
      </c>
      <c r="CJ132" s="62">
        <v>159.0</v>
      </c>
      <c r="CK132" s="62">
        <v>0.0</v>
      </c>
      <c r="CL132" s="62">
        <v>718.0</v>
      </c>
      <c r="CM132" s="62">
        <v>180.0</v>
      </c>
      <c r="CN132" s="62">
        <v>166.0</v>
      </c>
      <c r="CO132" s="62">
        <v>189.0</v>
      </c>
      <c r="CP132" s="62">
        <v>193.0</v>
      </c>
      <c r="CQ132" s="62">
        <v>0.0</v>
      </c>
      <c r="CR132" s="62">
        <v>50.0</v>
      </c>
      <c r="CS132" s="62">
        <v>65708.0</v>
      </c>
      <c r="CT132" s="62">
        <v>1871.0</v>
      </c>
      <c r="CU132" s="62">
        <v>560.0</v>
      </c>
      <c r="CV132" s="62">
        <v>1105.0</v>
      </c>
      <c r="CW132" s="62">
        <v>69.0</v>
      </c>
      <c r="CX132" s="62">
        <v>469.0</v>
      </c>
      <c r="CY132" s="62">
        <v>38.0</v>
      </c>
      <c r="CZ132" s="62">
        <v>370.0</v>
      </c>
      <c r="DA132" s="62">
        <v>2710.0</v>
      </c>
      <c r="DB132" s="62">
        <v>259.0</v>
      </c>
      <c r="DC132" s="62">
        <v>6524.0</v>
      </c>
      <c r="DD132" s="62">
        <v>274.0</v>
      </c>
      <c r="DE132" s="62">
        <v>201.0</v>
      </c>
      <c r="DF132" s="62">
        <v>31.0</v>
      </c>
      <c r="DG132" s="62">
        <v>94.0</v>
      </c>
      <c r="DH132" s="62">
        <v>2512.0</v>
      </c>
      <c r="DI132" s="62">
        <v>123.0</v>
      </c>
      <c r="DJ132" s="62">
        <v>404.0</v>
      </c>
      <c r="DK132" s="62">
        <v>76874.0</v>
      </c>
      <c r="DL132" s="62">
        <v>261.0</v>
      </c>
      <c r="DM132" s="62">
        <v>1585.0</v>
      </c>
      <c r="DN132" s="62">
        <v>37.0</v>
      </c>
      <c r="DO132" s="62">
        <v>2107.0</v>
      </c>
      <c r="DP132" s="62">
        <v>0.0</v>
      </c>
      <c r="DQ132" s="62">
        <v>6002.0</v>
      </c>
      <c r="DR132" s="62">
        <v>19448.0</v>
      </c>
      <c r="DS132" s="62">
        <v>23447.0</v>
      </c>
      <c r="DT132" s="62">
        <v>36213.0</v>
      </c>
      <c r="DU132" s="62">
        <v>0.0</v>
      </c>
      <c r="DV132" s="62">
        <v>0.0</v>
      </c>
      <c r="DW132" s="62">
        <v>0.0</v>
      </c>
      <c r="DX132" s="62">
        <v>796.0</v>
      </c>
      <c r="DY132" s="62">
        <v>814209.0</v>
      </c>
      <c r="DZ132" s="62">
        <v>2725.0</v>
      </c>
      <c r="EA132" s="62">
        <v>594.0</v>
      </c>
      <c r="EB132" s="62">
        <v>306.0</v>
      </c>
      <c r="EC132" s="62">
        <v>132013.0</v>
      </c>
      <c r="ED132" s="62">
        <v>5644.0</v>
      </c>
      <c r="EE132" s="62">
        <v>11724.0</v>
      </c>
      <c r="EF132" s="62">
        <v>3526.0</v>
      </c>
      <c r="EG132" s="62">
        <v>3780.0</v>
      </c>
      <c r="EH132" s="62">
        <v>0.0</v>
      </c>
      <c r="EI132" s="62">
        <v>30.0</v>
      </c>
      <c r="EJ132" s="62">
        <v>271.0</v>
      </c>
      <c r="EK132" s="62">
        <v>154.0</v>
      </c>
      <c r="EL132" s="62">
        <v>250.0</v>
      </c>
      <c r="EM132" s="62">
        <v>890.0</v>
      </c>
      <c r="EN132" s="62">
        <v>2248.0</v>
      </c>
      <c r="EO132" s="62">
        <v>201.0</v>
      </c>
      <c r="EP132" s="62">
        <v>3634.0</v>
      </c>
      <c r="EQ132" s="62">
        <v>602.0</v>
      </c>
      <c r="ER132" s="62">
        <v>0.0</v>
      </c>
      <c r="ES132" s="62">
        <v>1083.0</v>
      </c>
      <c r="ET132" s="62">
        <v>6780.0</v>
      </c>
      <c r="EU132" s="62">
        <v>12087.0</v>
      </c>
      <c r="EV132" s="62">
        <v>48837.0</v>
      </c>
      <c r="EW132" s="62">
        <v>182.0</v>
      </c>
      <c r="EX132" s="62">
        <v>1568.0</v>
      </c>
      <c r="EY132" s="62">
        <v>4751.0</v>
      </c>
      <c r="EZ132" s="62">
        <v>383281.0</v>
      </c>
      <c r="FA132" s="62">
        <v>1717860.0</v>
      </c>
      <c r="FB132" s="62">
        <v>1283592.0</v>
      </c>
      <c r="FC132" s="62">
        <v>21.0</v>
      </c>
      <c r="FD132" s="62">
        <v>59354.0</v>
      </c>
      <c r="FE132" s="62">
        <v>13970.0</v>
      </c>
      <c r="FF132" s="62">
        <v>0.0</v>
      </c>
      <c r="FG132" s="62">
        <v>23535.0</v>
      </c>
      <c r="FH132" s="62">
        <v>18314.0</v>
      </c>
      <c r="FI132" s="62">
        <v>4705.0</v>
      </c>
      <c r="FJ132" s="62">
        <v>1293.0</v>
      </c>
      <c r="FK132" s="62">
        <v>5498.0</v>
      </c>
      <c r="FL132" s="62">
        <v>20.0</v>
      </c>
      <c r="FM132" s="62">
        <v>4270.0</v>
      </c>
      <c r="FN132" s="62">
        <v>10019.0</v>
      </c>
      <c r="FO132" s="62">
        <v>258.0</v>
      </c>
      <c r="FP132" s="62">
        <v>34847.0</v>
      </c>
      <c r="FQ132" s="62">
        <v>0.0</v>
      </c>
      <c r="FR132" s="62">
        <v>0.0</v>
      </c>
      <c r="FS132" s="62">
        <v>22.0</v>
      </c>
      <c r="FT132" s="62">
        <v>9549.0</v>
      </c>
      <c r="FU132" s="62">
        <v>272144.0</v>
      </c>
      <c r="FV132" s="62">
        <v>228530.0</v>
      </c>
      <c r="FW132" s="62">
        <v>613246.0</v>
      </c>
      <c r="FX132" s="62">
        <v>72918.0</v>
      </c>
      <c r="FY132" s="62">
        <v>280729.0</v>
      </c>
      <c r="FZ132" s="62">
        <v>3025.0</v>
      </c>
      <c r="GA132" s="62">
        <v>471086.0</v>
      </c>
      <c r="GB132" s="62">
        <v>94586.0</v>
      </c>
      <c r="GC132" s="62">
        <v>268.0</v>
      </c>
      <c r="GD132" s="62">
        <v>6799.0</v>
      </c>
      <c r="GE132" s="62">
        <v>3143.0</v>
      </c>
      <c r="GF132" s="63">
        <v>7062030.0</v>
      </c>
      <c r="GG132" s="64">
        <v>3.5074125E7</v>
      </c>
      <c r="GH132" s="65">
        <v>0.0</v>
      </c>
      <c r="GI132" s="64">
        <v>0.0</v>
      </c>
      <c r="GJ132" s="64">
        <v>6.909302E7</v>
      </c>
      <c r="GK132" s="64">
        <v>-1.7408657E7</v>
      </c>
      <c r="GL132" s="64">
        <v>1.8506868E7</v>
      </c>
      <c r="GM132" s="64">
        <v>98138.0</v>
      </c>
      <c r="GN132" s="63">
        <v>1.05363494E8</v>
      </c>
      <c r="GO132" s="66">
        <v>1.12425524E8</v>
      </c>
      <c r="GP132" s="64">
        <v>1.8568195E7</v>
      </c>
      <c r="GQ132" s="64">
        <v>69246.0</v>
      </c>
      <c r="GR132" s="65">
        <v>0.0</v>
      </c>
      <c r="GS132" s="63">
        <v>1.8637441E7</v>
      </c>
      <c r="GT132" s="67">
        <v>7029659.0</v>
      </c>
      <c r="GU132" s="67">
        <v>1637401.0</v>
      </c>
      <c r="GV132" s="67">
        <v>3158922.0</v>
      </c>
      <c r="GW132" s="63">
        <v>1.1825982E7</v>
      </c>
      <c r="GX132" s="63">
        <v>5817677.0</v>
      </c>
      <c r="GY132" s="63">
        <v>7.6144424E7</v>
      </c>
      <c r="GZ132" s="66">
        <v>1.12425524E8</v>
      </c>
    </row>
    <row r="133" ht="15.75" customHeight="1">
      <c r="A133" s="60">
        <v>128.0</v>
      </c>
      <c r="B133" s="61" t="s">
        <v>173</v>
      </c>
      <c r="C133" s="62">
        <v>0.0</v>
      </c>
      <c r="D133" s="62">
        <v>0.0</v>
      </c>
      <c r="E133" s="62">
        <v>0.0</v>
      </c>
      <c r="F133" s="62">
        <v>0.0</v>
      </c>
      <c r="G133" s="62">
        <v>0.0</v>
      </c>
      <c r="H133" s="62">
        <v>0.0</v>
      </c>
      <c r="I133" s="62">
        <v>0.0</v>
      </c>
      <c r="J133" s="62">
        <v>0.0</v>
      </c>
      <c r="K133" s="62">
        <v>0.0</v>
      </c>
      <c r="L133" s="62">
        <v>0.0</v>
      </c>
      <c r="M133" s="62">
        <v>0.0</v>
      </c>
      <c r="N133" s="62">
        <v>0.0</v>
      </c>
      <c r="O133" s="62">
        <v>0.0</v>
      </c>
      <c r="P133" s="62">
        <v>0.0</v>
      </c>
      <c r="Q133" s="62">
        <v>0.0</v>
      </c>
      <c r="R133" s="62">
        <v>0.0</v>
      </c>
      <c r="S133" s="62">
        <v>0.0</v>
      </c>
      <c r="T133" s="62">
        <v>0.0</v>
      </c>
      <c r="U133" s="62">
        <v>0.0</v>
      </c>
      <c r="V133" s="62">
        <v>0.0</v>
      </c>
      <c r="W133" s="62">
        <v>0.0</v>
      </c>
      <c r="X133" s="62">
        <v>0.0</v>
      </c>
      <c r="Y133" s="62">
        <v>0.0</v>
      </c>
      <c r="Z133" s="62">
        <v>0.0</v>
      </c>
      <c r="AA133" s="62">
        <v>0.0</v>
      </c>
      <c r="AB133" s="62">
        <v>0.0</v>
      </c>
      <c r="AC133" s="62">
        <v>0.0</v>
      </c>
      <c r="AD133" s="62">
        <v>0.0</v>
      </c>
      <c r="AE133" s="62">
        <v>0.0</v>
      </c>
      <c r="AF133" s="62">
        <v>478.0</v>
      </c>
      <c r="AG133" s="62">
        <v>0.0</v>
      </c>
      <c r="AH133" s="62">
        <v>0.0</v>
      </c>
      <c r="AI133" s="62">
        <v>330886.0</v>
      </c>
      <c r="AJ133" s="62">
        <v>0.0</v>
      </c>
      <c r="AK133" s="62">
        <v>0.0</v>
      </c>
      <c r="AL133" s="62">
        <v>0.0</v>
      </c>
      <c r="AM133" s="62">
        <v>1.1809506E7</v>
      </c>
      <c r="AN133" s="62">
        <v>3346577.0</v>
      </c>
      <c r="AO133" s="62">
        <v>5111837.0</v>
      </c>
      <c r="AP133" s="62">
        <v>8355.0</v>
      </c>
      <c r="AQ133" s="62">
        <v>969446.0</v>
      </c>
      <c r="AR133" s="62">
        <v>88669.0</v>
      </c>
      <c r="AS133" s="62">
        <v>1825326.0</v>
      </c>
      <c r="AT133" s="62">
        <v>376133.0</v>
      </c>
      <c r="AU133" s="62">
        <v>180934.0</v>
      </c>
      <c r="AV133" s="62">
        <v>2704405.0</v>
      </c>
      <c r="AW133" s="62">
        <v>49798.0</v>
      </c>
      <c r="AX133" s="62">
        <v>1.8668766E7</v>
      </c>
      <c r="AY133" s="62">
        <v>596682.0</v>
      </c>
      <c r="AZ133" s="62">
        <v>59616.0</v>
      </c>
      <c r="BA133" s="62">
        <v>1581052.0</v>
      </c>
      <c r="BB133" s="62">
        <v>2307617.0</v>
      </c>
      <c r="BC133" s="62">
        <v>0.0</v>
      </c>
      <c r="BD133" s="62">
        <v>0.0</v>
      </c>
      <c r="BE133" s="62">
        <v>0.0</v>
      </c>
      <c r="BF133" s="62">
        <v>0.0</v>
      </c>
      <c r="BG133" s="62">
        <v>232981.0</v>
      </c>
      <c r="BH133" s="62">
        <v>63937.0</v>
      </c>
      <c r="BI133" s="62">
        <v>0.0</v>
      </c>
      <c r="BJ133" s="62">
        <v>746445.0</v>
      </c>
      <c r="BK133" s="62">
        <v>13618.0</v>
      </c>
      <c r="BL133" s="62">
        <v>4346.0</v>
      </c>
      <c r="BM133" s="62">
        <v>138.0</v>
      </c>
      <c r="BN133" s="62">
        <v>0.0</v>
      </c>
      <c r="BO133" s="62">
        <v>323.0</v>
      </c>
      <c r="BP133" s="62">
        <v>19192.0</v>
      </c>
      <c r="BQ133" s="62">
        <v>0.0</v>
      </c>
      <c r="BR133" s="62">
        <v>1012.0</v>
      </c>
      <c r="BS133" s="62">
        <v>8841.0</v>
      </c>
      <c r="BT133" s="62">
        <v>498092.0</v>
      </c>
      <c r="BU133" s="62">
        <v>203390.0</v>
      </c>
      <c r="BV133" s="62">
        <v>0.0</v>
      </c>
      <c r="BW133" s="62">
        <v>3640.0</v>
      </c>
      <c r="BX133" s="62">
        <v>538607.0</v>
      </c>
      <c r="BY133" s="62">
        <v>67385.0</v>
      </c>
      <c r="BZ133" s="62">
        <v>6963.0</v>
      </c>
      <c r="CA133" s="62">
        <v>1866463.0</v>
      </c>
      <c r="CB133" s="62">
        <v>384280.0</v>
      </c>
      <c r="CC133" s="62">
        <v>64790.0</v>
      </c>
      <c r="CD133" s="62">
        <v>10672.0</v>
      </c>
      <c r="CE133" s="62">
        <v>110127.0</v>
      </c>
      <c r="CF133" s="62">
        <v>68137.0</v>
      </c>
      <c r="CG133" s="62">
        <v>203609.0</v>
      </c>
      <c r="CH133" s="62">
        <v>238504.0</v>
      </c>
      <c r="CI133" s="62">
        <v>1280427.0</v>
      </c>
      <c r="CJ133" s="62">
        <v>777927.0</v>
      </c>
      <c r="CK133" s="62">
        <v>392428.0</v>
      </c>
      <c r="CL133" s="62">
        <v>756873.0</v>
      </c>
      <c r="CM133" s="62">
        <v>400711.0</v>
      </c>
      <c r="CN133" s="62">
        <v>2021975.0</v>
      </c>
      <c r="CO133" s="62">
        <v>2394546.0</v>
      </c>
      <c r="CP133" s="62">
        <v>2872089.0</v>
      </c>
      <c r="CQ133" s="62">
        <v>318263.0</v>
      </c>
      <c r="CR133" s="62">
        <v>37887.0</v>
      </c>
      <c r="CS133" s="62">
        <v>20924.0</v>
      </c>
      <c r="CT133" s="62">
        <v>298981.0</v>
      </c>
      <c r="CU133" s="62">
        <v>106844.0</v>
      </c>
      <c r="CV133" s="62">
        <v>187113.0</v>
      </c>
      <c r="CW133" s="62">
        <v>24643.0</v>
      </c>
      <c r="CX133" s="62">
        <v>4393.0</v>
      </c>
      <c r="CY133" s="62">
        <v>2174.0</v>
      </c>
      <c r="CZ133" s="62">
        <v>60029.0</v>
      </c>
      <c r="DA133" s="62">
        <v>8120.0</v>
      </c>
      <c r="DB133" s="62">
        <v>198149.0</v>
      </c>
      <c r="DC133" s="62">
        <v>730712.0</v>
      </c>
      <c r="DD133" s="62">
        <v>60764.0</v>
      </c>
      <c r="DE133" s="62">
        <v>77367.0</v>
      </c>
      <c r="DF133" s="62">
        <v>132938.0</v>
      </c>
      <c r="DG133" s="62">
        <v>86152.0</v>
      </c>
      <c r="DH133" s="62">
        <v>75142.0</v>
      </c>
      <c r="DI133" s="62">
        <v>34856.0</v>
      </c>
      <c r="DJ133" s="62">
        <v>64988.0</v>
      </c>
      <c r="DK133" s="62">
        <v>46050.0</v>
      </c>
      <c r="DL133" s="62">
        <v>1314505.0</v>
      </c>
      <c r="DM133" s="62">
        <v>270253.0</v>
      </c>
      <c r="DN133" s="62">
        <v>27618.0</v>
      </c>
      <c r="DO133" s="62">
        <v>43589.0</v>
      </c>
      <c r="DP133" s="62">
        <v>0.0</v>
      </c>
      <c r="DQ133" s="62">
        <v>753918.0</v>
      </c>
      <c r="DR133" s="62">
        <v>518866.0</v>
      </c>
      <c r="DS133" s="62">
        <v>22679.0</v>
      </c>
      <c r="DT133" s="62">
        <v>0.0</v>
      </c>
      <c r="DU133" s="62">
        <v>0.0</v>
      </c>
      <c r="DV133" s="62">
        <v>0.0</v>
      </c>
      <c r="DW133" s="62">
        <v>0.0</v>
      </c>
      <c r="DX133" s="62">
        <v>26317.0</v>
      </c>
      <c r="DY133" s="62">
        <v>2678248.0</v>
      </c>
      <c r="DZ133" s="62">
        <v>6563440.0</v>
      </c>
      <c r="EA133" s="62">
        <v>3045468.0</v>
      </c>
      <c r="EB133" s="62">
        <v>3.5237931E7</v>
      </c>
      <c r="EC133" s="62">
        <v>6506814.0</v>
      </c>
      <c r="ED133" s="62">
        <v>11406.0</v>
      </c>
      <c r="EE133" s="62">
        <v>0.0</v>
      </c>
      <c r="EF133" s="62">
        <v>0.0</v>
      </c>
      <c r="EG133" s="62">
        <v>402.0</v>
      </c>
      <c r="EH133" s="62">
        <v>9201.0</v>
      </c>
      <c r="EI133" s="62">
        <v>812567.0</v>
      </c>
      <c r="EJ133" s="62">
        <v>15191.0</v>
      </c>
      <c r="EK133" s="62">
        <v>52608.0</v>
      </c>
      <c r="EL133" s="62">
        <v>234971.0</v>
      </c>
      <c r="EM133" s="62">
        <v>545545.0</v>
      </c>
      <c r="EN133" s="62">
        <v>116494.0</v>
      </c>
      <c r="EO133" s="62">
        <v>3278843.0</v>
      </c>
      <c r="EP133" s="62">
        <v>492335.0</v>
      </c>
      <c r="EQ133" s="62">
        <v>4618.0</v>
      </c>
      <c r="ER133" s="62">
        <v>117.0</v>
      </c>
      <c r="ES133" s="62">
        <v>1613226.0</v>
      </c>
      <c r="ET133" s="62">
        <v>179750.0</v>
      </c>
      <c r="EU133" s="62">
        <v>2.9461575E7</v>
      </c>
      <c r="EV133" s="62">
        <v>1.8821068E7</v>
      </c>
      <c r="EW133" s="62">
        <v>1283256.0</v>
      </c>
      <c r="EX133" s="62">
        <v>6636252.0</v>
      </c>
      <c r="EY133" s="62">
        <v>4.8054312E7</v>
      </c>
      <c r="EZ133" s="62">
        <v>166048.0</v>
      </c>
      <c r="FA133" s="62">
        <v>245499.0</v>
      </c>
      <c r="FB133" s="62">
        <v>1081119.0</v>
      </c>
      <c r="FC133" s="62">
        <v>0.0</v>
      </c>
      <c r="FD133" s="62">
        <v>0.0</v>
      </c>
      <c r="FE133" s="62">
        <v>0.0</v>
      </c>
      <c r="FF133" s="62">
        <v>0.0</v>
      </c>
      <c r="FG133" s="62">
        <v>0.0</v>
      </c>
      <c r="FH133" s="62">
        <v>52350.0</v>
      </c>
      <c r="FI133" s="62">
        <v>0.0</v>
      </c>
      <c r="FJ133" s="62">
        <v>1247.0</v>
      </c>
      <c r="FK133" s="62">
        <v>4978.0</v>
      </c>
      <c r="FL133" s="62">
        <v>0.0</v>
      </c>
      <c r="FM133" s="62">
        <v>0.0</v>
      </c>
      <c r="FN133" s="62">
        <v>0.0</v>
      </c>
      <c r="FO133" s="62">
        <v>0.0</v>
      </c>
      <c r="FP133" s="62">
        <v>175.0</v>
      </c>
      <c r="FQ133" s="62">
        <v>0.0</v>
      </c>
      <c r="FR133" s="62">
        <v>0.0</v>
      </c>
      <c r="FS133" s="62">
        <v>0.0</v>
      </c>
      <c r="FT133" s="62">
        <v>27045.0</v>
      </c>
      <c r="FU133" s="62">
        <v>4944664.0</v>
      </c>
      <c r="FV133" s="62">
        <v>2458340.0</v>
      </c>
      <c r="FW133" s="62">
        <v>165798.0</v>
      </c>
      <c r="FX133" s="62">
        <v>303.0</v>
      </c>
      <c r="FY133" s="62">
        <v>513342.0</v>
      </c>
      <c r="FZ133" s="62">
        <v>19.0</v>
      </c>
      <c r="GA133" s="62">
        <v>378268.0</v>
      </c>
      <c r="GB133" s="62">
        <v>107236.0</v>
      </c>
      <c r="GC133" s="62">
        <v>116444.0</v>
      </c>
      <c r="GD133" s="62">
        <v>676847.0</v>
      </c>
      <c r="GE133" s="62">
        <v>220315.0</v>
      </c>
      <c r="GF133" s="63">
        <v>2.4863846E8</v>
      </c>
      <c r="GG133" s="64">
        <v>6341887.0</v>
      </c>
      <c r="GH133" s="65">
        <v>0.0</v>
      </c>
      <c r="GI133" s="64">
        <v>0.0</v>
      </c>
      <c r="GJ133" s="64">
        <v>1.9564428E8</v>
      </c>
      <c r="GK133" s="64">
        <v>-3.2677912E7</v>
      </c>
      <c r="GL133" s="64">
        <v>2.5617643E7</v>
      </c>
      <c r="GM133" s="64">
        <v>0.0</v>
      </c>
      <c r="GN133" s="63">
        <v>1.94925898E8</v>
      </c>
      <c r="GO133" s="66">
        <v>4.43564358E8</v>
      </c>
      <c r="GP133" s="64">
        <v>1.7318969E8</v>
      </c>
      <c r="GQ133" s="64">
        <v>0.0</v>
      </c>
      <c r="GR133" s="65">
        <v>0.0</v>
      </c>
      <c r="GS133" s="63">
        <v>1.7318969E8</v>
      </c>
      <c r="GT133" s="67">
        <v>6.8160816E7</v>
      </c>
      <c r="GU133" s="67">
        <v>4.4588743E7</v>
      </c>
      <c r="GV133" s="67">
        <v>2.5416284E7</v>
      </c>
      <c r="GW133" s="63">
        <v>1.38165843E8</v>
      </c>
      <c r="GX133" s="63">
        <v>2.4859036E7</v>
      </c>
      <c r="GY133" s="63">
        <v>1.07349789E8</v>
      </c>
      <c r="GZ133" s="66">
        <v>4.43564358E8</v>
      </c>
    </row>
    <row r="134" ht="15.75" customHeight="1">
      <c r="A134" s="60">
        <v>129.0</v>
      </c>
      <c r="B134" s="61" t="s">
        <v>174</v>
      </c>
      <c r="C134" s="62">
        <v>0.0</v>
      </c>
      <c r="D134" s="62">
        <v>0.0</v>
      </c>
      <c r="E134" s="62">
        <v>0.0</v>
      </c>
      <c r="F134" s="62">
        <v>0.0</v>
      </c>
      <c r="G134" s="62">
        <v>0.0</v>
      </c>
      <c r="H134" s="62">
        <v>0.0</v>
      </c>
      <c r="I134" s="62">
        <v>0.0</v>
      </c>
      <c r="J134" s="62">
        <v>0.0</v>
      </c>
      <c r="K134" s="62">
        <v>0.0</v>
      </c>
      <c r="L134" s="62">
        <v>923.0</v>
      </c>
      <c r="M134" s="62">
        <v>2.0</v>
      </c>
      <c r="N134" s="62">
        <v>113.0</v>
      </c>
      <c r="O134" s="62">
        <v>227.0</v>
      </c>
      <c r="P134" s="62">
        <v>0.0</v>
      </c>
      <c r="Q134" s="62">
        <v>45.0</v>
      </c>
      <c r="R134" s="62">
        <v>892.0</v>
      </c>
      <c r="S134" s="62">
        <v>187.0</v>
      </c>
      <c r="T134" s="62">
        <v>18.0</v>
      </c>
      <c r="U134" s="62">
        <v>12.0</v>
      </c>
      <c r="V134" s="62">
        <v>11.0</v>
      </c>
      <c r="W134" s="62">
        <v>8.0</v>
      </c>
      <c r="X134" s="62">
        <v>44.0</v>
      </c>
      <c r="Y134" s="62">
        <v>10.0</v>
      </c>
      <c r="Z134" s="62">
        <v>29.0</v>
      </c>
      <c r="AA134" s="62">
        <v>3.0</v>
      </c>
      <c r="AB134" s="62">
        <v>51.0</v>
      </c>
      <c r="AC134" s="62">
        <v>5.0</v>
      </c>
      <c r="AD134" s="62">
        <v>28.0</v>
      </c>
      <c r="AE134" s="62">
        <v>14.0</v>
      </c>
      <c r="AF134" s="62">
        <v>338.0</v>
      </c>
      <c r="AG134" s="62">
        <v>3561.0</v>
      </c>
      <c r="AH134" s="62">
        <v>3228.0</v>
      </c>
      <c r="AI134" s="62">
        <v>1728.0</v>
      </c>
      <c r="AJ134" s="62">
        <v>650.0</v>
      </c>
      <c r="AK134" s="62">
        <v>44.0</v>
      </c>
      <c r="AL134" s="62">
        <v>134.0</v>
      </c>
      <c r="AM134" s="62">
        <v>511063.0</v>
      </c>
      <c r="AN134" s="62">
        <v>506.0</v>
      </c>
      <c r="AO134" s="62">
        <v>4057.0</v>
      </c>
      <c r="AP134" s="62">
        <v>22.0</v>
      </c>
      <c r="AQ134" s="62">
        <v>285.0</v>
      </c>
      <c r="AR134" s="62">
        <v>25.0</v>
      </c>
      <c r="AS134" s="62">
        <v>920.0</v>
      </c>
      <c r="AT134" s="62">
        <v>136.0</v>
      </c>
      <c r="AU134" s="62">
        <v>792.0</v>
      </c>
      <c r="AV134" s="62">
        <v>2017.0</v>
      </c>
      <c r="AW134" s="62">
        <v>85.0</v>
      </c>
      <c r="AX134" s="62">
        <v>148426.0</v>
      </c>
      <c r="AY134" s="62">
        <v>97840.0</v>
      </c>
      <c r="AZ134" s="62">
        <v>784.0</v>
      </c>
      <c r="BA134" s="62">
        <v>157108.0</v>
      </c>
      <c r="BB134" s="62">
        <v>13895.0</v>
      </c>
      <c r="BC134" s="62">
        <v>0.0</v>
      </c>
      <c r="BD134" s="62">
        <v>0.0</v>
      </c>
      <c r="BE134" s="62">
        <v>0.0</v>
      </c>
      <c r="BF134" s="62">
        <v>0.0</v>
      </c>
      <c r="BG134" s="62">
        <v>198.0</v>
      </c>
      <c r="BH134" s="62">
        <v>1846.0</v>
      </c>
      <c r="BI134" s="62">
        <v>64.0</v>
      </c>
      <c r="BJ134" s="62">
        <v>1338.0</v>
      </c>
      <c r="BK134" s="62">
        <v>384.0</v>
      </c>
      <c r="BL134" s="62">
        <v>81.0</v>
      </c>
      <c r="BM134" s="62">
        <v>11.0</v>
      </c>
      <c r="BN134" s="62">
        <v>0.0</v>
      </c>
      <c r="BO134" s="62">
        <v>4754.0</v>
      </c>
      <c r="BP134" s="62">
        <v>0.0</v>
      </c>
      <c r="BQ134" s="62">
        <v>0.0</v>
      </c>
      <c r="BR134" s="62">
        <v>293.0</v>
      </c>
      <c r="BS134" s="62">
        <v>0.0</v>
      </c>
      <c r="BT134" s="62">
        <v>1479.0</v>
      </c>
      <c r="BU134" s="62">
        <v>939.0</v>
      </c>
      <c r="BV134" s="62">
        <v>0.0</v>
      </c>
      <c r="BW134" s="62">
        <v>22.0</v>
      </c>
      <c r="BX134" s="62">
        <v>824.0</v>
      </c>
      <c r="BY134" s="62">
        <v>2599.0</v>
      </c>
      <c r="BZ134" s="62">
        <v>91.0</v>
      </c>
      <c r="CA134" s="62">
        <v>2510.0</v>
      </c>
      <c r="CB134" s="62">
        <v>1010.0</v>
      </c>
      <c r="CC134" s="62">
        <v>617.0</v>
      </c>
      <c r="CD134" s="62">
        <v>747.0</v>
      </c>
      <c r="CE134" s="62">
        <v>202.0</v>
      </c>
      <c r="CF134" s="62">
        <v>257.0</v>
      </c>
      <c r="CG134" s="62">
        <v>1826.0</v>
      </c>
      <c r="CH134" s="62">
        <v>88.0</v>
      </c>
      <c r="CI134" s="62">
        <v>276.0</v>
      </c>
      <c r="CJ134" s="62">
        <v>1052.0</v>
      </c>
      <c r="CK134" s="62">
        <v>5071.0</v>
      </c>
      <c r="CL134" s="62">
        <v>2174.0</v>
      </c>
      <c r="CM134" s="62">
        <v>620.0</v>
      </c>
      <c r="CN134" s="62">
        <v>2888.0</v>
      </c>
      <c r="CO134" s="62">
        <v>4010.0</v>
      </c>
      <c r="CP134" s="62">
        <v>4300.0</v>
      </c>
      <c r="CQ134" s="62">
        <v>286.0</v>
      </c>
      <c r="CR134" s="62">
        <v>3996.0</v>
      </c>
      <c r="CS134" s="62">
        <v>393502.0</v>
      </c>
      <c r="CT134" s="62">
        <v>1830.0</v>
      </c>
      <c r="CU134" s="62">
        <v>683.0</v>
      </c>
      <c r="CV134" s="62">
        <v>554.0</v>
      </c>
      <c r="CW134" s="62">
        <v>142.0</v>
      </c>
      <c r="CX134" s="62">
        <v>29.0</v>
      </c>
      <c r="CY134" s="62">
        <v>14.0</v>
      </c>
      <c r="CZ134" s="62">
        <v>543.0</v>
      </c>
      <c r="DA134" s="62">
        <v>3420.0</v>
      </c>
      <c r="DB134" s="62">
        <v>82.0</v>
      </c>
      <c r="DC134" s="62">
        <v>6394.0</v>
      </c>
      <c r="DD134" s="62">
        <v>82.0</v>
      </c>
      <c r="DE134" s="62">
        <v>349.0</v>
      </c>
      <c r="DF134" s="62">
        <v>264.0</v>
      </c>
      <c r="DG134" s="62">
        <v>48.0</v>
      </c>
      <c r="DH134" s="62">
        <v>315.0</v>
      </c>
      <c r="DI134" s="62">
        <v>3849.0</v>
      </c>
      <c r="DJ134" s="62">
        <v>99.0</v>
      </c>
      <c r="DK134" s="62">
        <v>396.0</v>
      </c>
      <c r="DL134" s="62">
        <v>4030.0</v>
      </c>
      <c r="DM134" s="62">
        <v>3495.0</v>
      </c>
      <c r="DN134" s="62">
        <v>125.0</v>
      </c>
      <c r="DO134" s="62">
        <v>333.0</v>
      </c>
      <c r="DP134" s="62">
        <v>0.0</v>
      </c>
      <c r="DQ134" s="62">
        <v>144637.0</v>
      </c>
      <c r="DR134" s="62">
        <v>434483.0</v>
      </c>
      <c r="DS134" s="62">
        <v>75124.0</v>
      </c>
      <c r="DT134" s="62">
        <v>93334.0</v>
      </c>
      <c r="DU134" s="62">
        <v>0.0</v>
      </c>
      <c r="DV134" s="62">
        <v>0.0</v>
      </c>
      <c r="DW134" s="62">
        <v>0.0</v>
      </c>
      <c r="DX134" s="62">
        <v>1869.0</v>
      </c>
      <c r="DY134" s="62">
        <v>109913.0</v>
      </c>
      <c r="DZ134" s="62">
        <v>40526.0</v>
      </c>
      <c r="EA134" s="62">
        <v>1154.0</v>
      </c>
      <c r="EB134" s="62">
        <v>1333.0</v>
      </c>
      <c r="EC134" s="62">
        <v>348489.0</v>
      </c>
      <c r="ED134" s="62">
        <v>4842.0</v>
      </c>
      <c r="EE134" s="62">
        <v>8794.0</v>
      </c>
      <c r="EF134" s="62">
        <v>2318.0</v>
      </c>
      <c r="EG134" s="62">
        <v>80575.0</v>
      </c>
      <c r="EH134" s="62">
        <v>307363.0</v>
      </c>
      <c r="EI134" s="62">
        <v>2460.0</v>
      </c>
      <c r="EJ134" s="62">
        <v>90.0</v>
      </c>
      <c r="EK134" s="62">
        <v>51.0</v>
      </c>
      <c r="EL134" s="62">
        <v>102.0</v>
      </c>
      <c r="EM134" s="62">
        <v>152.0</v>
      </c>
      <c r="EN134" s="62">
        <v>907.0</v>
      </c>
      <c r="EO134" s="62">
        <v>220.0</v>
      </c>
      <c r="EP134" s="62">
        <v>61585.0</v>
      </c>
      <c r="EQ134" s="62">
        <v>844.0</v>
      </c>
      <c r="ER134" s="62">
        <v>72.0</v>
      </c>
      <c r="ES134" s="62">
        <v>490.0</v>
      </c>
      <c r="ET134" s="62">
        <v>123.0</v>
      </c>
      <c r="EU134" s="62">
        <v>5229.0</v>
      </c>
      <c r="EV134" s="62">
        <v>275.0</v>
      </c>
      <c r="EW134" s="62">
        <v>76.0</v>
      </c>
      <c r="EX134" s="62">
        <v>664.0</v>
      </c>
      <c r="EY134" s="62">
        <v>2030.0</v>
      </c>
      <c r="EZ134" s="62">
        <v>286505.0</v>
      </c>
      <c r="FA134" s="62">
        <v>228506.0</v>
      </c>
      <c r="FB134" s="62">
        <v>219381.0</v>
      </c>
      <c r="FC134" s="62">
        <v>137.0</v>
      </c>
      <c r="FD134" s="62">
        <v>32091.0</v>
      </c>
      <c r="FE134" s="62">
        <v>10042.0</v>
      </c>
      <c r="FF134" s="62">
        <v>5971.0</v>
      </c>
      <c r="FG134" s="62">
        <v>14521.0</v>
      </c>
      <c r="FH134" s="62">
        <v>21966.0</v>
      </c>
      <c r="FI134" s="62">
        <v>6272.0</v>
      </c>
      <c r="FJ134" s="62">
        <v>203.0</v>
      </c>
      <c r="FK134" s="62">
        <v>1646.0</v>
      </c>
      <c r="FL134" s="62">
        <v>16968.0</v>
      </c>
      <c r="FM134" s="62">
        <v>149.0</v>
      </c>
      <c r="FN134" s="62">
        <v>103160.0</v>
      </c>
      <c r="FO134" s="62">
        <v>11612.0</v>
      </c>
      <c r="FP134" s="62">
        <v>29304.0</v>
      </c>
      <c r="FQ134" s="62">
        <v>118198.0</v>
      </c>
      <c r="FR134" s="62">
        <v>11.0</v>
      </c>
      <c r="FS134" s="62">
        <v>37.0</v>
      </c>
      <c r="FT134" s="62">
        <v>5219.0</v>
      </c>
      <c r="FU134" s="62">
        <v>3717383.0</v>
      </c>
      <c r="FV134" s="62">
        <v>546046.0</v>
      </c>
      <c r="FW134" s="62">
        <v>0.0</v>
      </c>
      <c r="FX134" s="62">
        <v>0.0</v>
      </c>
      <c r="FY134" s="62">
        <v>0.0</v>
      </c>
      <c r="FZ134" s="62">
        <v>0.0</v>
      </c>
      <c r="GA134" s="62">
        <v>794913.0</v>
      </c>
      <c r="GB134" s="62">
        <v>104092.0</v>
      </c>
      <c r="GC134" s="62">
        <v>1396.0</v>
      </c>
      <c r="GD134" s="62">
        <v>603.0</v>
      </c>
      <c r="GE134" s="62">
        <v>1142.0</v>
      </c>
      <c r="GF134" s="63">
        <v>9425295.0</v>
      </c>
      <c r="GG134" s="64">
        <v>202707.0</v>
      </c>
      <c r="GH134" s="65">
        <v>0.0</v>
      </c>
      <c r="GI134" s="64">
        <v>0.0</v>
      </c>
      <c r="GJ134" s="64">
        <v>1883970.0</v>
      </c>
      <c r="GK134" s="64">
        <v>4662272.0</v>
      </c>
      <c r="GL134" s="64">
        <v>460707.0</v>
      </c>
      <c r="GM134" s="64">
        <v>0.0</v>
      </c>
      <c r="GN134" s="63">
        <v>7209656.0</v>
      </c>
      <c r="GO134" s="66">
        <v>1.6634951E7</v>
      </c>
      <c r="GP134" s="64">
        <v>3576769.0</v>
      </c>
      <c r="GQ134" s="64">
        <v>0.0</v>
      </c>
      <c r="GR134" s="65">
        <v>0.0</v>
      </c>
      <c r="GS134" s="63">
        <v>3576769.0</v>
      </c>
      <c r="GT134" s="67">
        <v>1290883.0</v>
      </c>
      <c r="GU134" s="67">
        <v>263666.0</v>
      </c>
      <c r="GV134" s="67">
        <v>86969.0</v>
      </c>
      <c r="GW134" s="63">
        <v>1641518.0</v>
      </c>
      <c r="GX134" s="63">
        <v>413196.0</v>
      </c>
      <c r="GY134" s="63">
        <v>1.1003468E7</v>
      </c>
      <c r="GZ134" s="66">
        <v>1.6634951E7</v>
      </c>
    </row>
    <row r="135" ht="15.75" customHeight="1">
      <c r="A135" s="68">
        <v>130.0</v>
      </c>
      <c r="B135" s="69" t="s">
        <v>175</v>
      </c>
      <c r="C135" s="70">
        <v>127541.0</v>
      </c>
      <c r="D135" s="70">
        <v>60570.0</v>
      </c>
      <c r="E135" s="70">
        <v>23862.0</v>
      </c>
      <c r="F135" s="70">
        <v>139097.0</v>
      </c>
      <c r="G135" s="70">
        <v>4.0</v>
      </c>
      <c r="H135" s="70">
        <v>59294.0</v>
      </c>
      <c r="I135" s="70">
        <v>9052.0</v>
      </c>
      <c r="J135" s="70">
        <v>29174.0</v>
      </c>
      <c r="K135" s="70">
        <v>11.0</v>
      </c>
      <c r="L135" s="70">
        <v>460211.0</v>
      </c>
      <c r="M135" s="70">
        <v>748.0</v>
      </c>
      <c r="N135" s="70">
        <v>7855.0</v>
      </c>
      <c r="O135" s="70">
        <v>2973.0</v>
      </c>
      <c r="P135" s="70">
        <v>5576.0</v>
      </c>
      <c r="Q135" s="70">
        <v>126135.0</v>
      </c>
      <c r="R135" s="70">
        <v>27313.0</v>
      </c>
      <c r="S135" s="70">
        <v>60211.0</v>
      </c>
      <c r="T135" s="70">
        <v>383302.0</v>
      </c>
      <c r="U135" s="70">
        <v>128712.0</v>
      </c>
      <c r="V135" s="70">
        <v>13211.0</v>
      </c>
      <c r="W135" s="70">
        <v>22834.0</v>
      </c>
      <c r="X135" s="70">
        <v>20473.0</v>
      </c>
      <c r="Y135" s="70">
        <v>144071.0</v>
      </c>
      <c r="Z135" s="70">
        <v>213650.0</v>
      </c>
      <c r="AA135" s="70">
        <v>2051.0</v>
      </c>
      <c r="AB135" s="70">
        <v>10008.0</v>
      </c>
      <c r="AC135" s="70">
        <v>53.0</v>
      </c>
      <c r="AD135" s="70">
        <v>18210.0</v>
      </c>
      <c r="AE135" s="70">
        <v>855.0</v>
      </c>
      <c r="AF135" s="70">
        <v>177027.0</v>
      </c>
      <c r="AG135" s="70">
        <v>941350.0</v>
      </c>
      <c r="AH135" s="70">
        <v>414856.0</v>
      </c>
      <c r="AI135" s="70">
        <v>350304.0</v>
      </c>
      <c r="AJ135" s="70">
        <v>42961.0</v>
      </c>
      <c r="AK135" s="70">
        <v>3599.0</v>
      </c>
      <c r="AL135" s="70">
        <v>9279.0</v>
      </c>
      <c r="AM135" s="70">
        <v>1935580.0</v>
      </c>
      <c r="AN135" s="70">
        <v>49992.0</v>
      </c>
      <c r="AO135" s="70">
        <v>426417.0</v>
      </c>
      <c r="AP135" s="70">
        <v>2788.0</v>
      </c>
      <c r="AQ135" s="70">
        <v>23961.0</v>
      </c>
      <c r="AR135" s="70">
        <v>5206.0</v>
      </c>
      <c r="AS135" s="70">
        <v>499678.0</v>
      </c>
      <c r="AT135" s="70">
        <v>53074.0</v>
      </c>
      <c r="AU135" s="70">
        <v>63302.0</v>
      </c>
      <c r="AV135" s="70">
        <v>2182686.0</v>
      </c>
      <c r="AW135" s="70">
        <v>24253.0</v>
      </c>
      <c r="AX135" s="70">
        <v>1.0546779E7</v>
      </c>
      <c r="AY135" s="70">
        <v>503260.0</v>
      </c>
      <c r="AZ135" s="70">
        <v>34897.0</v>
      </c>
      <c r="BA135" s="70">
        <v>267895.0</v>
      </c>
      <c r="BB135" s="70">
        <v>1359379.0</v>
      </c>
      <c r="BC135" s="70">
        <v>0.0</v>
      </c>
      <c r="BD135" s="70">
        <v>0.0</v>
      </c>
      <c r="BE135" s="70">
        <v>0.0</v>
      </c>
      <c r="BF135" s="70">
        <v>0.0</v>
      </c>
      <c r="BG135" s="70">
        <v>2919.0</v>
      </c>
      <c r="BH135" s="70">
        <v>3714.0</v>
      </c>
      <c r="BI135" s="70">
        <v>8625.0</v>
      </c>
      <c r="BJ135" s="70">
        <v>51355.0</v>
      </c>
      <c r="BK135" s="70">
        <v>15494.0</v>
      </c>
      <c r="BL135" s="70">
        <v>1188.0</v>
      </c>
      <c r="BM135" s="70">
        <v>27.0</v>
      </c>
      <c r="BN135" s="70">
        <v>0.0</v>
      </c>
      <c r="BO135" s="70">
        <v>342652.0</v>
      </c>
      <c r="BP135" s="70">
        <v>0.0</v>
      </c>
      <c r="BQ135" s="70">
        <v>0.0</v>
      </c>
      <c r="BR135" s="70">
        <v>239.0</v>
      </c>
      <c r="BS135" s="70">
        <v>2173.0</v>
      </c>
      <c r="BT135" s="70">
        <v>117320.0</v>
      </c>
      <c r="BU135" s="70">
        <v>1321.0</v>
      </c>
      <c r="BV135" s="70">
        <v>0.0</v>
      </c>
      <c r="BW135" s="70">
        <v>1296.0</v>
      </c>
      <c r="BX135" s="70">
        <v>16074.0</v>
      </c>
      <c r="BY135" s="70">
        <v>65414.0</v>
      </c>
      <c r="BZ135" s="70">
        <v>7909.0</v>
      </c>
      <c r="CA135" s="70">
        <v>695473.0</v>
      </c>
      <c r="CB135" s="70">
        <v>36150.0</v>
      </c>
      <c r="CC135" s="70">
        <v>56263.0</v>
      </c>
      <c r="CD135" s="70">
        <v>78256.0</v>
      </c>
      <c r="CE135" s="70">
        <v>64699.0</v>
      </c>
      <c r="CF135" s="70">
        <v>248696.0</v>
      </c>
      <c r="CG135" s="70">
        <v>2215.0</v>
      </c>
      <c r="CH135" s="70">
        <v>2653.0</v>
      </c>
      <c r="CI135" s="70">
        <v>35983.0</v>
      </c>
      <c r="CJ135" s="70">
        <v>168939.0</v>
      </c>
      <c r="CK135" s="70">
        <v>732046.0</v>
      </c>
      <c r="CL135" s="70">
        <v>263088.0</v>
      </c>
      <c r="CM135" s="70">
        <v>55408.0</v>
      </c>
      <c r="CN135" s="70">
        <v>394640.0</v>
      </c>
      <c r="CO135" s="70">
        <v>735220.0</v>
      </c>
      <c r="CP135" s="70">
        <v>849594.0</v>
      </c>
      <c r="CQ135" s="70">
        <v>243870.0</v>
      </c>
      <c r="CR135" s="70">
        <v>15396.0</v>
      </c>
      <c r="CS135" s="70">
        <v>248648.0</v>
      </c>
      <c r="CT135" s="70">
        <v>186730.0</v>
      </c>
      <c r="CU135" s="70">
        <v>89072.0</v>
      </c>
      <c r="CV135" s="70">
        <v>223344.0</v>
      </c>
      <c r="CW135" s="70">
        <v>16215.0</v>
      </c>
      <c r="CX135" s="70">
        <v>616758.0</v>
      </c>
      <c r="CY135" s="70">
        <v>12009.0</v>
      </c>
      <c r="CZ135" s="70">
        <v>54556.0</v>
      </c>
      <c r="DA135" s="70">
        <v>91949.0</v>
      </c>
      <c r="DB135" s="70">
        <v>10484.0</v>
      </c>
      <c r="DC135" s="70">
        <v>15896.0</v>
      </c>
      <c r="DD135" s="70">
        <v>10624.0</v>
      </c>
      <c r="DE135" s="70">
        <v>88624.0</v>
      </c>
      <c r="DF135" s="70">
        <v>92620.0</v>
      </c>
      <c r="DG135" s="70">
        <v>26114.0</v>
      </c>
      <c r="DH135" s="70">
        <v>473021.0</v>
      </c>
      <c r="DI135" s="70">
        <v>27668.0</v>
      </c>
      <c r="DJ135" s="70">
        <v>30730.0</v>
      </c>
      <c r="DK135" s="70">
        <v>40139.0</v>
      </c>
      <c r="DL135" s="70">
        <v>635186.0</v>
      </c>
      <c r="DM135" s="70">
        <v>186621.0</v>
      </c>
      <c r="DN135" s="70">
        <v>40370.0</v>
      </c>
      <c r="DO135" s="70">
        <v>20844.0</v>
      </c>
      <c r="DP135" s="70">
        <v>0.0</v>
      </c>
      <c r="DQ135" s="70">
        <v>105717.0</v>
      </c>
      <c r="DR135" s="70">
        <v>250485.0</v>
      </c>
      <c r="DS135" s="70">
        <v>3695.0</v>
      </c>
      <c r="DT135" s="70">
        <v>78581.0</v>
      </c>
      <c r="DU135" s="70">
        <v>0.0</v>
      </c>
      <c r="DV135" s="70">
        <v>0.0</v>
      </c>
      <c r="DW135" s="70">
        <v>0.0</v>
      </c>
      <c r="DX135" s="70">
        <v>9167.0</v>
      </c>
      <c r="DY135" s="70">
        <v>200.0</v>
      </c>
      <c r="DZ135" s="70">
        <v>1195408.0</v>
      </c>
      <c r="EA135" s="70">
        <v>76.0</v>
      </c>
      <c r="EB135" s="70">
        <v>605509.0</v>
      </c>
      <c r="EC135" s="70">
        <v>239162.0</v>
      </c>
      <c r="ED135" s="70">
        <v>685337.0</v>
      </c>
      <c r="EE135" s="70">
        <v>183586.0</v>
      </c>
      <c r="EF135" s="70">
        <v>129353.0</v>
      </c>
      <c r="EG135" s="70">
        <v>577894.0</v>
      </c>
      <c r="EH135" s="70">
        <v>3638852.0</v>
      </c>
      <c r="EI135" s="70">
        <v>6902.0</v>
      </c>
      <c r="EJ135" s="70">
        <v>17093.0</v>
      </c>
      <c r="EK135" s="70">
        <v>25059.0</v>
      </c>
      <c r="EL135" s="70">
        <v>169969.0</v>
      </c>
      <c r="EM135" s="70">
        <v>114995.0</v>
      </c>
      <c r="EN135" s="70">
        <v>97370.0</v>
      </c>
      <c r="EO135" s="70">
        <v>20828.0</v>
      </c>
      <c r="EP135" s="70">
        <v>1234932.0</v>
      </c>
      <c r="EQ135" s="70">
        <v>1129.0</v>
      </c>
      <c r="ER135" s="70">
        <v>0.0</v>
      </c>
      <c r="ES135" s="70">
        <v>44411.0</v>
      </c>
      <c r="ET135" s="70">
        <v>133264.0</v>
      </c>
      <c r="EU135" s="70">
        <v>75307.0</v>
      </c>
      <c r="EV135" s="70">
        <v>42164.0</v>
      </c>
      <c r="EW135" s="70">
        <v>6964.0</v>
      </c>
      <c r="EX135" s="70">
        <v>67695.0</v>
      </c>
      <c r="EY135" s="70">
        <v>206686.0</v>
      </c>
      <c r="EZ135" s="70">
        <v>711727.0</v>
      </c>
      <c r="FA135" s="70">
        <v>144427.0</v>
      </c>
      <c r="FB135" s="70">
        <v>2067441.0</v>
      </c>
      <c r="FC135" s="70">
        <v>0.0</v>
      </c>
      <c r="FD135" s="70">
        <v>0.0</v>
      </c>
      <c r="FE135" s="70">
        <v>0.0</v>
      </c>
      <c r="FF135" s="70">
        <v>0.0</v>
      </c>
      <c r="FG135" s="70">
        <v>130443.0</v>
      </c>
      <c r="FH135" s="70">
        <v>58779.0</v>
      </c>
      <c r="FI135" s="70">
        <v>2444.0</v>
      </c>
      <c r="FJ135" s="70">
        <v>3779.0</v>
      </c>
      <c r="FK135" s="70">
        <v>25456.0</v>
      </c>
      <c r="FL135" s="70">
        <v>380181.0</v>
      </c>
      <c r="FM135" s="70">
        <v>0.0</v>
      </c>
      <c r="FN135" s="70">
        <v>9020.0</v>
      </c>
      <c r="FO135" s="70">
        <v>1858.0</v>
      </c>
      <c r="FP135" s="70">
        <v>0.0</v>
      </c>
      <c r="FQ135" s="70">
        <v>0.0</v>
      </c>
      <c r="FR135" s="70">
        <v>0.0</v>
      </c>
      <c r="FS135" s="70">
        <v>0.0</v>
      </c>
      <c r="FT135" s="70">
        <v>7055.0</v>
      </c>
      <c r="FU135" s="70">
        <v>3079946.0</v>
      </c>
      <c r="FV135" s="70">
        <v>667258.0</v>
      </c>
      <c r="FW135" s="70">
        <v>0.0</v>
      </c>
      <c r="FX135" s="70">
        <v>0.0</v>
      </c>
      <c r="FY135" s="70">
        <v>0.0</v>
      </c>
      <c r="FZ135" s="70">
        <v>0.0</v>
      </c>
      <c r="GA135" s="70">
        <v>16670.0</v>
      </c>
      <c r="GB135" s="70">
        <v>126672.0</v>
      </c>
      <c r="GC135" s="70">
        <v>2378.0</v>
      </c>
      <c r="GD135" s="70">
        <v>2707.0</v>
      </c>
      <c r="GE135" s="70">
        <v>6869.0</v>
      </c>
      <c r="GF135" s="71">
        <v>4.7983011E7</v>
      </c>
      <c r="GG135" s="72">
        <v>9027071.0</v>
      </c>
      <c r="GH135" s="73">
        <v>0.0</v>
      </c>
      <c r="GI135" s="72">
        <v>0.0</v>
      </c>
      <c r="GJ135" s="72">
        <v>1.47605501E8</v>
      </c>
      <c r="GK135" s="72">
        <v>4.2894381E7</v>
      </c>
      <c r="GL135" s="72">
        <v>1.2377344E7</v>
      </c>
      <c r="GM135" s="72">
        <v>0.0</v>
      </c>
      <c r="GN135" s="71">
        <v>2.11904297E8</v>
      </c>
      <c r="GO135" s="74">
        <v>2.59887308E8</v>
      </c>
      <c r="GP135" s="72">
        <v>1.04505076E8</v>
      </c>
      <c r="GQ135" s="72">
        <v>0.0</v>
      </c>
      <c r="GR135" s="73">
        <v>0.0</v>
      </c>
      <c r="GS135" s="71">
        <v>1.04505076E8</v>
      </c>
      <c r="GT135" s="75">
        <v>1.8078889E7</v>
      </c>
      <c r="GU135" s="75">
        <v>1.259165E7</v>
      </c>
      <c r="GV135" s="75">
        <v>2122834.0</v>
      </c>
      <c r="GW135" s="71">
        <v>3.2793373E7</v>
      </c>
      <c r="GX135" s="71">
        <v>1.2422265E7</v>
      </c>
      <c r="GY135" s="71">
        <v>1.10166594E8</v>
      </c>
      <c r="GZ135" s="74">
        <v>2.59887308E8</v>
      </c>
    </row>
    <row r="136" ht="15.75" customHeight="1">
      <c r="A136" s="52">
        <v>131.0</v>
      </c>
      <c r="B136" s="53" t="s">
        <v>176</v>
      </c>
      <c r="C136" s="54">
        <v>51072.0</v>
      </c>
      <c r="D136" s="54">
        <v>15508.0</v>
      </c>
      <c r="E136" s="54">
        <v>619.0</v>
      </c>
      <c r="F136" s="54">
        <v>636.0</v>
      </c>
      <c r="G136" s="54">
        <v>1027.0</v>
      </c>
      <c r="H136" s="54">
        <v>13447.0</v>
      </c>
      <c r="I136" s="54">
        <v>8127.0</v>
      </c>
      <c r="J136" s="54">
        <v>4147.0</v>
      </c>
      <c r="K136" s="54">
        <v>10.0</v>
      </c>
      <c r="L136" s="54">
        <v>216288.0</v>
      </c>
      <c r="M136" s="54">
        <v>12541.0</v>
      </c>
      <c r="N136" s="54">
        <v>77103.0</v>
      </c>
      <c r="O136" s="54">
        <v>222942.0</v>
      </c>
      <c r="P136" s="54">
        <v>1575.0</v>
      </c>
      <c r="Q136" s="54">
        <v>74462.0</v>
      </c>
      <c r="R136" s="54">
        <v>536199.0</v>
      </c>
      <c r="S136" s="54">
        <v>33535.0</v>
      </c>
      <c r="T136" s="54">
        <v>102780.0</v>
      </c>
      <c r="U136" s="54">
        <v>65523.0</v>
      </c>
      <c r="V136" s="54">
        <v>6184.0</v>
      </c>
      <c r="W136" s="54">
        <v>12411.0</v>
      </c>
      <c r="X136" s="54">
        <v>7487.0</v>
      </c>
      <c r="Y136" s="54">
        <v>66561.0</v>
      </c>
      <c r="Z136" s="54">
        <v>115742.0</v>
      </c>
      <c r="AA136" s="54">
        <v>931.0</v>
      </c>
      <c r="AB136" s="54">
        <v>15785.0</v>
      </c>
      <c r="AC136" s="54">
        <v>237.0</v>
      </c>
      <c r="AD136" s="54">
        <v>19371.0</v>
      </c>
      <c r="AE136" s="54">
        <v>2902.0</v>
      </c>
      <c r="AF136" s="54">
        <v>132062.0</v>
      </c>
      <c r="AG136" s="54">
        <v>1031380.0</v>
      </c>
      <c r="AH136" s="54">
        <v>191538.0</v>
      </c>
      <c r="AI136" s="54">
        <v>749274.0</v>
      </c>
      <c r="AJ136" s="54">
        <v>188135.0</v>
      </c>
      <c r="AK136" s="54">
        <v>40884.0</v>
      </c>
      <c r="AL136" s="54">
        <v>10199.0</v>
      </c>
      <c r="AM136" s="54">
        <v>4583927.0</v>
      </c>
      <c r="AN136" s="54">
        <v>141245.0</v>
      </c>
      <c r="AO136" s="54">
        <v>1427855.0</v>
      </c>
      <c r="AP136" s="54">
        <v>5570.0</v>
      </c>
      <c r="AQ136" s="54">
        <v>39841.0</v>
      </c>
      <c r="AR136" s="54">
        <v>6932.0</v>
      </c>
      <c r="AS136" s="54">
        <v>242473.0</v>
      </c>
      <c r="AT136" s="54">
        <v>34726.0</v>
      </c>
      <c r="AU136" s="54">
        <v>40583.0</v>
      </c>
      <c r="AV136" s="54">
        <v>1082172.0</v>
      </c>
      <c r="AW136" s="54">
        <v>2193.0</v>
      </c>
      <c r="AX136" s="54">
        <v>5558893.0</v>
      </c>
      <c r="AY136" s="54">
        <v>666466.0</v>
      </c>
      <c r="AZ136" s="54">
        <v>28714.0</v>
      </c>
      <c r="BA136" s="54">
        <v>518967.0</v>
      </c>
      <c r="BB136" s="54">
        <v>547242.0</v>
      </c>
      <c r="BC136" s="54">
        <v>11222.0</v>
      </c>
      <c r="BD136" s="54">
        <v>777.0</v>
      </c>
      <c r="BE136" s="54">
        <v>2864.0</v>
      </c>
      <c r="BF136" s="54">
        <v>9777.0</v>
      </c>
      <c r="BG136" s="54">
        <v>26106.0</v>
      </c>
      <c r="BH136" s="54">
        <v>58987.0</v>
      </c>
      <c r="BI136" s="54">
        <v>7560.0</v>
      </c>
      <c r="BJ136" s="54">
        <v>39586.0</v>
      </c>
      <c r="BK136" s="54">
        <v>5652.0</v>
      </c>
      <c r="BL136" s="54">
        <v>1247.0</v>
      </c>
      <c r="BM136" s="54">
        <v>93.0</v>
      </c>
      <c r="BN136" s="54">
        <v>0.0</v>
      </c>
      <c r="BO136" s="54">
        <v>46196.0</v>
      </c>
      <c r="BP136" s="54">
        <v>0.0</v>
      </c>
      <c r="BQ136" s="54">
        <v>0.0</v>
      </c>
      <c r="BR136" s="54">
        <v>13.0</v>
      </c>
      <c r="BS136" s="54">
        <v>11855.0</v>
      </c>
      <c r="BT136" s="54">
        <v>54286.0</v>
      </c>
      <c r="BU136" s="54">
        <v>3594.0</v>
      </c>
      <c r="BV136" s="54">
        <v>19300.0</v>
      </c>
      <c r="BW136" s="54">
        <v>1102.0</v>
      </c>
      <c r="BX136" s="54">
        <v>34717.0</v>
      </c>
      <c r="BY136" s="54">
        <v>562662.0</v>
      </c>
      <c r="BZ136" s="54">
        <v>37577.0</v>
      </c>
      <c r="CA136" s="54">
        <v>446412.0</v>
      </c>
      <c r="CB136" s="54">
        <v>93031.0</v>
      </c>
      <c r="CC136" s="54">
        <v>31275.0</v>
      </c>
      <c r="CD136" s="54">
        <v>23604.0</v>
      </c>
      <c r="CE136" s="54">
        <v>29013.0</v>
      </c>
      <c r="CF136" s="54">
        <v>99985.0</v>
      </c>
      <c r="CG136" s="54">
        <v>19260.0</v>
      </c>
      <c r="CH136" s="54">
        <v>13347.0</v>
      </c>
      <c r="CI136" s="54">
        <v>80563.0</v>
      </c>
      <c r="CJ136" s="54">
        <v>177037.0</v>
      </c>
      <c r="CK136" s="54">
        <v>376938.0</v>
      </c>
      <c r="CL136" s="54">
        <v>215149.0</v>
      </c>
      <c r="CM136" s="54">
        <v>80517.0</v>
      </c>
      <c r="CN136" s="54">
        <v>316084.0</v>
      </c>
      <c r="CO136" s="54">
        <v>367676.0</v>
      </c>
      <c r="CP136" s="54">
        <v>542676.0</v>
      </c>
      <c r="CQ136" s="54">
        <v>188355.0</v>
      </c>
      <c r="CR136" s="54">
        <v>157772.0</v>
      </c>
      <c r="CS136" s="54">
        <v>133462.0</v>
      </c>
      <c r="CT136" s="54">
        <v>183383.0</v>
      </c>
      <c r="CU136" s="54">
        <v>106039.0</v>
      </c>
      <c r="CV136" s="54">
        <v>198566.0</v>
      </c>
      <c r="CW136" s="54">
        <v>21602.0</v>
      </c>
      <c r="CX136" s="54">
        <v>52084.0</v>
      </c>
      <c r="CY136" s="54">
        <v>3545.0</v>
      </c>
      <c r="CZ136" s="54">
        <v>61811.0</v>
      </c>
      <c r="DA136" s="54">
        <v>94176.0</v>
      </c>
      <c r="DB136" s="54">
        <v>69300.0</v>
      </c>
      <c r="DC136" s="54">
        <v>849435.0</v>
      </c>
      <c r="DD136" s="54">
        <v>28087.0</v>
      </c>
      <c r="DE136" s="54">
        <v>31821.0</v>
      </c>
      <c r="DF136" s="54">
        <v>38208.0</v>
      </c>
      <c r="DG136" s="54">
        <v>7780.0</v>
      </c>
      <c r="DH136" s="54">
        <v>105698.0</v>
      </c>
      <c r="DI136" s="54">
        <v>75143.0</v>
      </c>
      <c r="DJ136" s="54">
        <v>84719.0</v>
      </c>
      <c r="DK136" s="54">
        <v>103472.0</v>
      </c>
      <c r="DL136" s="54">
        <v>403905.0</v>
      </c>
      <c r="DM136" s="54">
        <v>148116.0</v>
      </c>
      <c r="DN136" s="54">
        <v>16441.0</v>
      </c>
      <c r="DO136" s="54">
        <v>253146.0</v>
      </c>
      <c r="DP136" s="54">
        <v>26003.0</v>
      </c>
      <c r="DQ136" s="54">
        <v>131249.0</v>
      </c>
      <c r="DR136" s="54">
        <v>611355.0</v>
      </c>
      <c r="DS136" s="54">
        <v>75872.0</v>
      </c>
      <c r="DT136" s="54">
        <v>3803.0</v>
      </c>
      <c r="DU136" s="54">
        <v>9169.0</v>
      </c>
      <c r="DV136" s="54">
        <v>27139.0</v>
      </c>
      <c r="DW136" s="54">
        <v>17424.0</v>
      </c>
      <c r="DX136" s="54">
        <v>393820.0</v>
      </c>
      <c r="DY136" s="54">
        <v>50315.0</v>
      </c>
      <c r="DZ136" s="54">
        <v>3001098.0</v>
      </c>
      <c r="EA136" s="54">
        <v>31133.0</v>
      </c>
      <c r="EB136" s="54">
        <v>279553.0</v>
      </c>
      <c r="EC136" s="54">
        <v>1.33600886E8</v>
      </c>
      <c r="ED136" s="54">
        <v>86696.0</v>
      </c>
      <c r="EE136" s="54">
        <v>11743.0</v>
      </c>
      <c r="EF136" s="54">
        <v>4083.0</v>
      </c>
      <c r="EG136" s="54">
        <v>161724.0</v>
      </c>
      <c r="EH136" s="54">
        <v>1672783.0</v>
      </c>
      <c r="EI136" s="54">
        <v>94761.0</v>
      </c>
      <c r="EJ136" s="54">
        <v>0.0</v>
      </c>
      <c r="EK136" s="54">
        <v>11244.0</v>
      </c>
      <c r="EL136" s="54">
        <v>1303.0</v>
      </c>
      <c r="EM136" s="54">
        <v>269.0</v>
      </c>
      <c r="EN136" s="54">
        <v>596.0</v>
      </c>
      <c r="EO136" s="54">
        <v>23252.0</v>
      </c>
      <c r="EP136" s="54">
        <v>2550955.0</v>
      </c>
      <c r="EQ136" s="54">
        <v>188407.0</v>
      </c>
      <c r="ER136" s="54">
        <v>35.0</v>
      </c>
      <c r="ES136" s="54">
        <v>106252.0</v>
      </c>
      <c r="ET136" s="54">
        <v>47805.0</v>
      </c>
      <c r="EU136" s="54">
        <v>236848.0</v>
      </c>
      <c r="EV136" s="54">
        <v>583959.0</v>
      </c>
      <c r="EW136" s="54">
        <v>23655.0</v>
      </c>
      <c r="EX136" s="54">
        <v>1179285.0</v>
      </c>
      <c r="EY136" s="54">
        <v>1.3662673E7</v>
      </c>
      <c r="EZ136" s="54">
        <v>1992134.0</v>
      </c>
      <c r="FA136" s="54">
        <v>2658576.0</v>
      </c>
      <c r="FB136" s="54">
        <v>1.5619646E7</v>
      </c>
      <c r="FC136" s="54">
        <v>606.0</v>
      </c>
      <c r="FD136" s="54">
        <v>2.7568996E7</v>
      </c>
      <c r="FE136" s="54">
        <v>336786.0</v>
      </c>
      <c r="FF136" s="54">
        <v>226878.0</v>
      </c>
      <c r="FG136" s="54">
        <v>1521886.0</v>
      </c>
      <c r="FH136" s="54">
        <v>1157699.0</v>
      </c>
      <c r="FI136" s="54">
        <v>410430.0</v>
      </c>
      <c r="FJ136" s="54">
        <v>43809.0</v>
      </c>
      <c r="FK136" s="54">
        <v>208600.0</v>
      </c>
      <c r="FL136" s="54">
        <v>103127.0</v>
      </c>
      <c r="FM136" s="54">
        <v>83883.0</v>
      </c>
      <c r="FN136" s="54">
        <v>177403.0</v>
      </c>
      <c r="FO136" s="54">
        <v>34659.0</v>
      </c>
      <c r="FP136" s="54">
        <v>2436115.0</v>
      </c>
      <c r="FQ136" s="54">
        <v>456246.0</v>
      </c>
      <c r="FR136" s="54">
        <v>108.0</v>
      </c>
      <c r="FS136" s="54">
        <v>120754.0</v>
      </c>
      <c r="FT136" s="54">
        <v>4798034.0</v>
      </c>
      <c r="FU136" s="54">
        <v>3988320.0</v>
      </c>
      <c r="FV136" s="54">
        <v>7768401.0</v>
      </c>
      <c r="FW136" s="54">
        <v>3208749.0</v>
      </c>
      <c r="FX136" s="54">
        <v>11158.0</v>
      </c>
      <c r="FY136" s="54">
        <v>29619.0</v>
      </c>
      <c r="FZ136" s="54">
        <v>1130.0</v>
      </c>
      <c r="GA136" s="54">
        <v>878915.0</v>
      </c>
      <c r="GB136" s="54">
        <v>942236.0</v>
      </c>
      <c r="GC136" s="54">
        <v>591148.0</v>
      </c>
      <c r="GD136" s="54">
        <v>65377.0</v>
      </c>
      <c r="GE136" s="54">
        <v>81841.0</v>
      </c>
      <c r="GF136" s="55">
        <v>2.62650645E8</v>
      </c>
      <c r="GG136" s="56">
        <v>1.8955063E8</v>
      </c>
      <c r="GH136" s="57">
        <v>0.0</v>
      </c>
      <c r="GI136" s="56">
        <v>0.0</v>
      </c>
      <c r="GJ136" s="56">
        <v>1.91417047E8</v>
      </c>
      <c r="GK136" s="56">
        <v>1.5782943E7</v>
      </c>
      <c r="GL136" s="56">
        <v>6.9012967E7</v>
      </c>
      <c r="GM136" s="56">
        <v>0.0</v>
      </c>
      <c r="GN136" s="55">
        <v>4.65763587E8</v>
      </c>
      <c r="GO136" s="58">
        <v>7.28414232E8</v>
      </c>
      <c r="GP136" s="56">
        <v>5.3163279E7</v>
      </c>
      <c r="GQ136" s="56">
        <v>0.0</v>
      </c>
      <c r="GR136" s="57">
        <v>0.0</v>
      </c>
      <c r="GS136" s="55">
        <v>5.3163279E7</v>
      </c>
      <c r="GT136" s="59">
        <v>1.09283366E8</v>
      </c>
      <c r="GU136" s="59">
        <v>8.567785E7</v>
      </c>
      <c r="GV136" s="59">
        <v>5.6344517E7</v>
      </c>
      <c r="GW136" s="55">
        <v>2.51305733E8</v>
      </c>
      <c r="GX136" s="55">
        <v>1.7509359E7</v>
      </c>
      <c r="GY136" s="55">
        <v>4.06435861E8</v>
      </c>
      <c r="GZ136" s="58">
        <v>7.28414232E8</v>
      </c>
    </row>
    <row r="137" ht="15.75" customHeight="1">
      <c r="A137" s="60">
        <v>132.0</v>
      </c>
      <c r="B137" s="61" t="s">
        <v>177</v>
      </c>
      <c r="C137" s="62">
        <v>0.0</v>
      </c>
      <c r="D137" s="62">
        <v>0.0</v>
      </c>
      <c r="E137" s="62">
        <v>0.0</v>
      </c>
      <c r="F137" s="62">
        <v>0.0</v>
      </c>
      <c r="G137" s="62">
        <v>0.0</v>
      </c>
      <c r="H137" s="62">
        <v>0.0</v>
      </c>
      <c r="I137" s="62">
        <v>0.0</v>
      </c>
      <c r="J137" s="62">
        <v>0.0</v>
      </c>
      <c r="K137" s="62">
        <v>0.0</v>
      </c>
      <c r="L137" s="62">
        <v>0.0</v>
      </c>
      <c r="M137" s="62">
        <v>0.0</v>
      </c>
      <c r="N137" s="62">
        <v>0.0</v>
      </c>
      <c r="O137" s="62">
        <v>0.0</v>
      </c>
      <c r="P137" s="62">
        <v>0.0</v>
      </c>
      <c r="Q137" s="62">
        <v>0.0</v>
      </c>
      <c r="R137" s="62">
        <v>0.0</v>
      </c>
      <c r="S137" s="62">
        <v>0.0</v>
      </c>
      <c r="T137" s="62">
        <v>0.0</v>
      </c>
      <c r="U137" s="62">
        <v>0.0</v>
      </c>
      <c r="V137" s="62">
        <v>0.0</v>
      </c>
      <c r="W137" s="62">
        <v>0.0</v>
      </c>
      <c r="X137" s="62">
        <v>0.0</v>
      </c>
      <c r="Y137" s="62">
        <v>0.0</v>
      </c>
      <c r="Z137" s="62">
        <v>0.0</v>
      </c>
      <c r="AA137" s="62">
        <v>0.0</v>
      </c>
      <c r="AB137" s="62">
        <v>0.0</v>
      </c>
      <c r="AC137" s="62">
        <v>0.0</v>
      </c>
      <c r="AD137" s="62">
        <v>0.0</v>
      </c>
      <c r="AE137" s="62">
        <v>0.0</v>
      </c>
      <c r="AF137" s="62">
        <v>332.0</v>
      </c>
      <c r="AG137" s="62">
        <v>0.0</v>
      </c>
      <c r="AH137" s="62">
        <v>0.0</v>
      </c>
      <c r="AI137" s="62">
        <v>83370.0</v>
      </c>
      <c r="AJ137" s="62">
        <v>25189.0</v>
      </c>
      <c r="AK137" s="62">
        <v>7523.0</v>
      </c>
      <c r="AL137" s="62">
        <v>2640.0</v>
      </c>
      <c r="AM137" s="62">
        <v>39958.0</v>
      </c>
      <c r="AN137" s="62">
        <v>5092.0</v>
      </c>
      <c r="AO137" s="62">
        <v>11681.0</v>
      </c>
      <c r="AP137" s="62">
        <v>181.0</v>
      </c>
      <c r="AQ137" s="62">
        <v>94.0</v>
      </c>
      <c r="AR137" s="62">
        <v>94.0</v>
      </c>
      <c r="AS137" s="62">
        <v>837.0</v>
      </c>
      <c r="AT137" s="62">
        <v>123.0</v>
      </c>
      <c r="AU137" s="62">
        <v>118.0</v>
      </c>
      <c r="AV137" s="62">
        <v>8341.0</v>
      </c>
      <c r="AW137" s="62">
        <v>130.0</v>
      </c>
      <c r="AX137" s="62">
        <v>0.0</v>
      </c>
      <c r="AY137" s="62">
        <v>0.0</v>
      </c>
      <c r="AZ137" s="62">
        <v>0.0</v>
      </c>
      <c r="BA137" s="62">
        <v>0.0</v>
      </c>
      <c r="BB137" s="62">
        <v>0.0</v>
      </c>
      <c r="BC137" s="62">
        <v>0.0</v>
      </c>
      <c r="BD137" s="62">
        <v>0.0</v>
      </c>
      <c r="BE137" s="62">
        <v>0.0</v>
      </c>
      <c r="BF137" s="62">
        <v>0.0</v>
      </c>
      <c r="BG137" s="62">
        <v>0.0</v>
      </c>
      <c r="BH137" s="62">
        <v>0.0</v>
      </c>
      <c r="BI137" s="62">
        <v>0.0</v>
      </c>
      <c r="BJ137" s="62">
        <v>0.0</v>
      </c>
      <c r="BK137" s="62">
        <v>0.0</v>
      </c>
      <c r="BL137" s="62">
        <v>0.0</v>
      </c>
      <c r="BM137" s="62">
        <v>0.0</v>
      </c>
      <c r="BN137" s="62">
        <v>0.0</v>
      </c>
      <c r="BO137" s="62">
        <v>0.0</v>
      </c>
      <c r="BP137" s="62">
        <v>0.0</v>
      </c>
      <c r="BQ137" s="62">
        <v>0.0</v>
      </c>
      <c r="BR137" s="62">
        <v>0.0</v>
      </c>
      <c r="BS137" s="62">
        <v>0.0</v>
      </c>
      <c r="BT137" s="62">
        <v>0.0</v>
      </c>
      <c r="BU137" s="62">
        <v>0.0</v>
      </c>
      <c r="BV137" s="62">
        <v>0.0</v>
      </c>
      <c r="BW137" s="62">
        <v>0.0</v>
      </c>
      <c r="BX137" s="62">
        <v>0.0</v>
      </c>
      <c r="BY137" s="62">
        <v>0.0</v>
      </c>
      <c r="BZ137" s="62">
        <v>0.0</v>
      </c>
      <c r="CA137" s="62">
        <v>0.0</v>
      </c>
      <c r="CB137" s="62">
        <v>0.0</v>
      </c>
      <c r="CC137" s="62">
        <v>0.0</v>
      </c>
      <c r="CD137" s="62">
        <v>0.0</v>
      </c>
      <c r="CE137" s="62">
        <v>0.0</v>
      </c>
      <c r="CF137" s="62">
        <v>0.0</v>
      </c>
      <c r="CG137" s="62">
        <v>0.0</v>
      </c>
      <c r="CH137" s="62">
        <v>0.0</v>
      </c>
      <c r="CI137" s="62">
        <v>0.0</v>
      </c>
      <c r="CJ137" s="62">
        <v>0.0</v>
      </c>
      <c r="CK137" s="62">
        <v>0.0</v>
      </c>
      <c r="CL137" s="62">
        <v>0.0</v>
      </c>
      <c r="CM137" s="62">
        <v>0.0</v>
      </c>
      <c r="CN137" s="62">
        <v>0.0</v>
      </c>
      <c r="CO137" s="62">
        <v>0.0</v>
      </c>
      <c r="CP137" s="62">
        <v>0.0</v>
      </c>
      <c r="CQ137" s="62">
        <v>0.0</v>
      </c>
      <c r="CR137" s="62">
        <v>0.0</v>
      </c>
      <c r="CS137" s="62">
        <v>0.0</v>
      </c>
      <c r="CT137" s="62">
        <v>0.0</v>
      </c>
      <c r="CU137" s="62">
        <v>0.0</v>
      </c>
      <c r="CV137" s="62">
        <v>0.0</v>
      </c>
      <c r="CW137" s="62">
        <v>0.0</v>
      </c>
      <c r="CX137" s="62">
        <v>0.0</v>
      </c>
      <c r="CY137" s="62">
        <v>0.0</v>
      </c>
      <c r="CZ137" s="62">
        <v>0.0</v>
      </c>
      <c r="DA137" s="62">
        <v>0.0</v>
      </c>
      <c r="DB137" s="62">
        <v>0.0</v>
      </c>
      <c r="DC137" s="62">
        <v>0.0</v>
      </c>
      <c r="DD137" s="62">
        <v>0.0</v>
      </c>
      <c r="DE137" s="62">
        <v>0.0</v>
      </c>
      <c r="DF137" s="62">
        <v>0.0</v>
      </c>
      <c r="DG137" s="62">
        <v>0.0</v>
      </c>
      <c r="DH137" s="62">
        <v>0.0</v>
      </c>
      <c r="DI137" s="62">
        <v>0.0</v>
      </c>
      <c r="DJ137" s="62">
        <v>0.0</v>
      </c>
      <c r="DK137" s="62">
        <v>0.0</v>
      </c>
      <c r="DL137" s="62">
        <v>0.0</v>
      </c>
      <c r="DM137" s="62">
        <v>0.0</v>
      </c>
      <c r="DN137" s="62">
        <v>0.0</v>
      </c>
      <c r="DO137" s="62">
        <v>0.0</v>
      </c>
      <c r="DP137" s="62">
        <v>0.0</v>
      </c>
      <c r="DQ137" s="62">
        <v>0.0</v>
      </c>
      <c r="DR137" s="62">
        <v>0.0</v>
      </c>
      <c r="DS137" s="62">
        <v>0.0</v>
      </c>
      <c r="DT137" s="62">
        <v>0.0</v>
      </c>
      <c r="DU137" s="62">
        <v>0.0</v>
      </c>
      <c r="DV137" s="62">
        <v>0.0</v>
      </c>
      <c r="DW137" s="62">
        <v>0.0</v>
      </c>
      <c r="DX137" s="62">
        <v>0.0</v>
      </c>
      <c r="DY137" s="62">
        <v>0.0</v>
      </c>
      <c r="DZ137" s="62">
        <v>0.0</v>
      </c>
      <c r="EA137" s="62">
        <v>0.0</v>
      </c>
      <c r="EB137" s="62">
        <v>0.0</v>
      </c>
      <c r="EC137" s="62">
        <v>0.0</v>
      </c>
      <c r="ED137" s="62">
        <v>8206539.0</v>
      </c>
      <c r="EE137" s="62">
        <v>0.0</v>
      </c>
      <c r="EF137" s="62">
        <v>0.0</v>
      </c>
      <c r="EG137" s="62">
        <v>0.0</v>
      </c>
      <c r="EH137" s="62">
        <v>0.0</v>
      </c>
      <c r="EI137" s="62">
        <v>0.0</v>
      </c>
      <c r="EJ137" s="62">
        <v>0.0</v>
      </c>
      <c r="EK137" s="62">
        <v>0.0</v>
      </c>
      <c r="EL137" s="62">
        <v>0.0</v>
      </c>
      <c r="EM137" s="62">
        <v>0.0</v>
      </c>
      <c r="EN137" s="62">
        <v>0.0</v>
      </c>
      <c r="EO137" s="62">
        <v>0.0</v>
      </c>
      <c r="EP137" s="62">
        <v>0.0</v>
      </c>
      <c r="EQ137" s="62">
        <v>2234.0</v>
      </c>
      <c r="ER137" s="62">
        <v>0.0</v>
      </c>
      <c r="ES137" s="62">
        <v>0.0</v>
      </c>
      <c r="ET137" s="62">
        <v>0.0</v>
      </c>
      <c r="EU137" s="62">
        <v>0.0</v>
      </c>
      <c r="EV137" s="62">
        <v>0.0</v>
      </c>
      <c r="EW137" s="62">
        <v>0.0</v>
      </c>
      <c r="EX137" s="62">
        <v>0.0</v>
      </c>
      <c r="EY137" s="62">
        <v>0.0</v>
      </c>
      <c r="EZ137" s="62">
        <v>0.0</v>
      </c>
      <c r="FA137" s="62">
        <v>0.0</v>
      </c>
      <c r="FB137" s="62">
        <v>21815.0</v>
      </c>
      <c r="FC137" s="62">
        <v>0.0</v>
      </c>
      <c r="FD137" s="62">
        <v>0.0</v>
      </c>
      <c r="FE137" s="62">
        <v>5803574.0</v>
      </c>
      <c r="FF137" s="62">
        <v>2597085.0</v>
      </c>
      <c r="FG137" s="62">
        <v>0.0</v>
      </c>
      <c r="FH137" s="62">
        <v>0.0</v>
      </c>
      <c r="FI137" s="62">
        <v>0.0</v>
      </c>
      <c r="FJ137" s="62">
        <v>117.0</v>
      </c>
      <c r="FK137" s="62">
        <v>251.0</v>
      </c>
      <c r="FL137" s="62">
        <v>0.0</v>
      </c>
      <c r="FM137" s="62">
        <v>0.0</v>
      </c>
      <c r="FN137" s="62">
        <v>0.0</v>
      </c>
      <c r="FO137" s="62">
        <v>0.0</v>
      </c>
      <c r="FP137" s="62">
        <v>0.0</v>
      </c>
      <c r="FQ137" s="62">
        <v>0.0</v>
      </c>
      <c r="FR137" s="62">
        <v>0.0</v>
      </c>
      <c r="FS137" s="62">
        <v>0.0</v>
      </c>
      <c r="FT137" s="62">
        <v>0.0</v>
      </c>
      <c r="FU137" s="62">
        <v>0.0</v>
      </c>
      <c r="FV137" s="62">
        <v>0.0</v>
      </c>
      <c r="FW137" s="62">
        <v>0.0</v>
      </c>
      <c r="FX137" s="62">
        <v>0.0</v>
      </c>
      <c r="FY137" s="62">
        <v>0.0</v>
      </c>
      <c r="FZ137" s="62">
        <v>0.0</v>
      </c>
      <c r="GA137" s="62">
        <v>0.0</v>
      </c>
      <c r="GB137" s="62">
        <v>0.0</v>
      </c>
      <c r="GC137" s="62">
        <v>0.0</v>
      </c>
      <c r="GD137" s="62">
        <v>0.0</v>
      </c>
      <c r="GE137" s="62">
        <v>0.0</v>
      </c>
      <c r="GF137" s="63">
        <v>1.6817318E7</v>
      </c>
      <c r="GG137" s="64">
        <v>57622.0</v>
      </c>
      <c r="GH137" s="65">
        <v>0.0</v>
      </c>
      <c r="GI137" s="64">
        <v>0.0</v>
      </c>
      <c r="GJ137" s="64">
        <v>4.6596801E7</v>
      </c>
      <c r="GK137" s="64">
        <v>-3819060.0</v>
      </c>
      <c r="GL137" s="64">
        <v>3343930.0</v>
      </c>
      <c r="GM137" s="64">
        <v>0.0</v>
      </c>
      <c r="GN137" s="63">
        <v>4.6179293E7</v>
      </c>
      <c r="GO137" s="66">
        <v>6.2996611E7</v>
      </c>
      <c r="GP137" s="64">
        <v>1.451629E7</v>
      </c>
      <c r="GQ137" s="64">
        <v>0.0</v>
      </c>
      <c r="GR137" s="65">
        <v>0.0</v>
      </c>
      <c r="GS137" s="63">
        <v>1.451629E7</v>
      </c>
      <c r="GT137" s="67">
        <v>4979366.0</v>
      </c>
      <c r="GU137" s="67">
        <v>0.0</v>
      </c>
      <c r="GV137" s="67">
        <v>1379938.0</v>
      </c>
      <c r="GW137" s="63">
        <v>6359304.0</v>
      </c>
      <c r="GX137" s="63">
        <v>2561518.0</v>
      </c>
      <c r="GY137" s="63">
        <v>3.9559499E7</v>
      </c>
      <c r="GZ137" s="66">
        <v>6.2996611E7</v>
      </c>
    </row>
    <row r="138" ht="15.75" customHeight="1">
      <c r="A138" s="60">
        <v>133.0</v>
      </c>
      <c r="B138" s="61" t="s">
        <v>178</v>
      </c>
      <c r="C138" s="62">
        <v>0.0</v>
      </c>
      <c r="D138" s="62">
        <v>0.0</v>
      </c>
      <c r="E138" s="62">
        <v>0.0</v>
      </c>
      <c r="F138" s="62">
        <v>0.0</v>
      </c>
      <c r="G138" s="62">
        <v>0.0</v>
      </c>
      <c r="H138" s="62">
        <v>0.0</v>
      </c>
      <c r="I138" s="62">
        <v>0.0</v>
      </c>
      <c r="J138" s="62">
        <v>0.0</v>
      </c>
      <c r="K138" s="62">
        <v>0.0</v>
      </c>
      <c r="L138" s="62">
        <v>0.0</v>
      </c>
      <c r="M138" s="62">
        <v>0.0</v>
      </c>
      <c r="N138" s="62">
        <v>0.0</v>
      </c>
      <c r="O138" s="62">
        <v>0.0</v>
      </c>
      <c r="P138" s="62">
        <v>0.0</v>
      </c>
      <c r="Q138" s="62">
        <v>0.0</v>
      </c>
      <c r="R138" s="62">
        <v>0.0</v>
      </c>
      <c r="S138" s="62">
        <v>0.0</v>
      </c>
      <c r="T138" s="62">
        <v>0.0</v>
      </c>
      <c r="U138" s="62">
        <v>0.0</v>
      </c>
      <c r="V138" s="62">
        <v>0.0</v>
      </c>
      <c r="W138" s="62">
        <v>0.0</v>
      </c>
      <c r="X138" s="62">
        <v>0.0</v>
      </c>
      <c r="Y138" s="62">
        <v>0.0</v>
      </c>
      <c r="Z138" s="62">
        <v>0.0</v>
      </c>
      <c r="AA138" s="62">
        <v>0.0</v>
      </c>
      <c r="AB138" s="62">
        <v>0.0</v>
      </c>
      <c r="AC138" s="62">
        <v>0.0</v>
      </c>
      <c r="AD138" s="62">
        <v>0.0</v>
      </c>
      <c r="AE138" s="62">
        <v>0.0</v>
      </c>
      <c r="AF138" s="62">
        <v>0.0</v>
      </c>
      <c r="AG138" s="62">
        <v>0.0</v>
      </c>
      <c r="AH138" s="62">
        <v>0.0</v>
      </c>
      <c r="AI138" s="62">
        <v>0.0</v>
      </c>
      <c r="AJ138" s="62">
        <v>0.0</v>
      </c>
      <c r="AK138" s="62">
        <v>0.0</v>
      </c>
      <c r="AL138" s="62">
        <v>0.0</v>
      </c>
      <c r="AM138" s="62">
        <v>57558.0</v>
      </c>
      <c r="AN138" s="62">
        <v>0.0</v>
      </c>
      <c r="AO138" s="62">
        <v>0.0</v>
      </c>
      <c r="AP138" s="62">
        <v>0.0</v>
      </c>
      <c r="AQ138" s="62">
        <v>0.0</v>
      </c>
      <c r="AR138" s="62">
        <v>0.0</v>
      </c>
      <c r="AS138" s="62">
        <v>0.0</v>
      </c>
      <c r="AT138" s="62">
        <v>0.0</v>
      </c>
      <c r="AU138" s="62">
        <v>0.0</v>
      </c>
      <c r="AV138" s="62">
        <v>0.0</v>
      </c>
      <c r="AW138" s="62">
        <v>0.0</v>
      </c>
      <c r="AX138" s="62">
        <v>0.0</v>
      </c>
      <c r="AY138" s="62">
        <v>0.0</v>
      </c>
      <c r="AZ138" s="62">
        <v>0.0</v>
      </c>
      <c r="BA138" s="62">
        <v>0.0</v>
      </c>
      <c r="BB138" s="62">
        <v>0.0</v>
      </c>
      <c r="BC138" s="62">
        <v>0.0</v>
      </c>
      <c r="BD138" s="62">
        <v>0.0</v>
      </c>
      <c r="BE138" s="62">
        <v>0.0</v>
      </c>
      <c r="BF138" s="62">
        <v>0.0</v>
      </c>
      <c r="BG138" s="62">
        <v>0.0</v>
      </c>
      <c r="BH138" s="62">
        <v>0.0</v>
      </c>
      <c r="BI138" s="62">
        <v>0.0</v>
      </c>
      <c r="BJ138" s="62">
        <v>0.0</v>
      </c>
      <c r="BK138" s="62">
        <v>0.0</v>
      </c>
      <c r="BL138" s="62">
        <v>0.0</v>
      </c>
      <c r="BM138" s="62">
        <v>0.0</v>
      </c>
      <c r="BN138" s="62">
        <v>0.0</v>
      </c>
      <c r="BO138" s="62">
        <v>0.0</v>
      </c>
      <c r="BP138" s="62">
        <v>0.0</v>
      </c>
      <c r="BQ138" s="62">
        <v>0.0</v>
      </c>
      <c r="BR138" s="62">
        <v>0.0</v>
      </c>
      <c r="BS138" s="62">
        <v>0.0</v>
      </c>
      <c r="BT138" s="62">
        <v>0.0</v>
      </c>
      <c r="BU138" s="62">
        <v>0.0</v>
      </c>
      <c r="BV138" s="62">
        <v>0.0</v>
      </c>
      <c r="BW138" s="62">
        <v>0.0</v>
      </c>
      <c r="BX138" s="62">
        <v>0.0</v>
      </c>
      <c r="BY138" s="62">
        <v>0.0</v>
      </c>
      <c r="BZ138" s="62">
        <v>0.0</v>
      </c>
      <c r="CA138" s="62">
        <v>0.0</v>
      </c>
      <c r="CB138" s="62">
        <v>0.0</v>
      </c>
      <c r="CC138" s="62">
        <v>0.0</v>
      </c>
      <c r="CD138" s="62">
        <v>0.0</v>
      </c>
      <c r="CE138" s="62">
        <v>0.0</v>
      </c>
      <c r="CF138" s="62">
        <v>0.0</v>
      </c>
      <c r="CG138" s="62">
        <v>0.0</v>
      </c>
      <c r="CH138" s="62">
        <v>0.0</v>
      </c>
      <c r="CI138" s="62">
        <v>0.0</v>
      </c>
      <c r="CJ138" s="62">
        <v>0.0</v>
      </c>
      <c r="CK138" s="62">
        <v>0.0</v>
      </c>
      <c r="CL138" s="62">
        <v>0.0</v>
      </c>
      <c r="CM138" s="62">
        <v>0.0</v>
      </c>
      <c r="CN138" s="62">
        <v>0.0</v>
      </c>
      <c r="CO138" s="62">
        <v>0.0</v>
      </c>
      <c r="CP138" s="62">
        <v>0.0</v>
      </c>
      <c r="CQ138" s="62">
        <v>0.0</v>
      </c>
      <c r="CR138" s="62">
        <v>0.0</v>
      </c>
      <c r="CS138" s="62">
        <v>0.0</v>
      </c>
      <c r="CT138" s="62">
        <v>0.0</v>
      </c>
      <c r="CU138" s="62">
        <v>0.0</v>
      </c>
      <c r="CV138" s="62">
        <v>0.0</v>
      </c>
      <c r="CW138" s="62">
        <v>0.0</v>
      </c>
      <c r="CX138" s="62">
        <v>0.0</v>
      </c>
      <c r="CY138" s="62">
        <v>0.0</v>
      </c>
      <c r="CZ138" s="62">
        <v>0.0</v>
      </c>
      <c r="DA138" s="62">
        <v>0.0</v>
      </c>
      <c r="DB138" s="62">
        <v>0.0</v>
      </c>
      <c r="DC138" s="62">
        <v>0.0</v>
      </c>
      <c r="DD138" s="62">
        <v>0.0</v>
      </c>
      <c r="DE138" s="62">
        <v>0.0</v>
      </c>
      <c r="DF138" s="62">
        <v>0.0</v>
      </c>
      <c r="DG138" s="62">
        <v>0.0</v>
      </c>
      <c r="DH138" s="62">
        <v>0.0</v>
      </c>
      <c r="DI138" s="62">
        <v>0.0</v>
      </c>
      <c r="DJ138" s="62">
        <v>0.0</v>
      </c>
      <c r="DK138" s="62">
        <v>0.0</v>
      </c>
      <c r="DL138" s="62">
        <v>0.0</v>
      </c>
      <c r="DM138" s="62">
        <v>0.0</v>
      </c>
      <c r="DN138" s="62">
        <v>0.0</v>
      </c>
      <c r="DO138" s="62">
        <v>0.0</v>
      </c>
      <c r="DP138" s="62">
        <v>0.0</v>
      </c>
      <c r="DQ138" s="62">
        <v>0.0</v>
      </c>
      <c r="DR138" s="62">
        <v>0.0</v>
      </c>
      <c r="DS138" s="62">
        <v>0.0</v>
      </c>
      <c r="DT138" s="62">
        <v>0.0</v>
      </c>
      <c r="DU138" s="62">
        <v>0.0</v>
      </c>
      <c r="DV138" s="62">
        <v>0.0</v>
      </c>
      <c r="DW138" s="62">
        <v>0.0</v>
      </c>
      <c r="DX138" s="62">
        <v>0.0</v>
      </c>
      <c r="DY138" s="62">
        <v>0.0</v>
      </c>
      <c r="DZ138" s="62">
        <v>0.0</v>
      </c>
      <c r="EA138" s="62">
        <v>0.0</v>
      </c>
      <c r="EB138" s="62">
        <v>0.0</v>
      </c>
      <c r="EC138" s="62">
        <v>0.0</v>
      </c>
      <c r="ED138" s="62">
        <v>0.0</v>
      </c>
      <c r="EE138" s="62">
        <v>447565.0</v>
      </c>
      <c r="EF138" s="62">
        <v>0.0</v>
      </c>
      <c r="EG138" s="62">
        <v>0.0</v>
      </c>
      <c r="EH138" s="62">
        <v>0.0</v>
      </c>
      <c r="EI138" s="62">
        <v>0.0</v>
      </c>
      <c r="EJ138" s="62">
        <v>0.0</v>
      </c>
      <c r="EK138" s="62">
        <v>0.0</v>
      </c>
      <c r="EL138" s="62">
        <v>0.0</v>
      </c>
      <c r="EM138" s="62">
        <v>0.0</v>
      </c>
      <c r="EN138" s="62">
        <v>0.0</v>
      </c>
      <c r="EO138" s="62">
        <v>0.0</v>
      </c>
      <c r="EP138" s="62">
        <v>0.0</v>
      </c>
      <c r="EQ138" s="62">
        <v>0.0</v>
      </c>
      <c r="ER138" s="62">
        <v>0.0</v>
      </c>
      <c r="ES138" s="62">
        <v>0.0</v>
      </c>
      <c r="ET138" s="62">
        <v>0.0</v>
      </c>
      <c r="EU138" s="62">
        <v>0.0</v>
      </c>
      <c r="EV138" s="62">
        <v>0.0</v>
      </c>
      <c r="EW138" s="62">
        <v>0.0</v>
      </c>
      <c r="EX138" s="62">
        <v>0.0</v>
      </c>
      <c r="EY138" s="62">
        <v>0.0</v>
      </c>
      <c r="EZ138" s="62">
        <v>0.0</v>
      </c>
      <c r="FA138" s="62">
        <v>0.0</v>
      </c>
      <c r="FB138" s="62">
        <v>0.0</v>
      </c>
      <c r="FC138" s="62">
        <v>395397.0</v>
      </c>
      <c r="FD138" s="62">
        <v>0.0</v>
      </c>
      <c r="FE138" s="62">
        <v>0.0</v>
      </c>
      <c r="FF138" s="62">
        <v>0.0</v>
      </c>
      <c r="FG138" s="62">
        <v>0.0</v>
      </c>
      <c r="FH138" s="62">
        <v>0.0</v>
      </c>
      <c r="FI138" s="62">
        <v>0.0</v>
      </c>
      <c r="FJ138" s="62">
        <v>0.0</v>
      </c>
      <c r="FK138" s="62">
        <v>0.0</v>
      </c>
      <c r="FL138" s="62">
        <v>0.0</v>
      </c>
      <c r="FM138" s="62">
        <v>0.0</v>
      </c>
      <c r="FN138" s="62">
        <v>0.0</v>
      </c>
      <c r="FO138" s="62">
        <v>0.0</v>
      </c>
      <c r="FP138" s="62">
        <v>0.0</v>
      </c>
      <c r="FQ138" s="62">
        <v>0.0</v>
      </c>
      <c r="FR138" s="62">
        <v>0.0</v>
      </c>
      <c r="FS138" s="62">
        <v>0.0</v>
      </c>
      <c r="FT138" s="62">
        <v>0.0</v>
      </c>
      <c r="FU138" s="62">
        <v>0.0</v>
      </c>
      <c r="FV138" s="62">
        <v>0.0</v>
      </c>
      <c r="FW138" s="62">
        <v>0.0</v>
      </c>
      <c r="FX138" s="62">
        <v>0.0</v>
      </c>
      <c r="FY138" s="62">
        <v>0.0</v>
      </c>
      <c r="FZ138" s="62">
        <v>0.0</v>
      </c>
      <c r="GA138" s="62">
        <v>0.0</v>
      </c>
      <c r="GB138" s="62">
        <v>0.0</v>
      </c>
      <c r="GC138" s="62">
        <v>0.0</v>
      </c>
      <c r="GD138" s="62">
        <v>0.0</v>
      </c>
      <c r="GE138" s="62">
        <v>0.0</v>
      </c>
      <c r="GF138" s="63">
        <v>900520.0</v>
      </c>
      <c r="GG138" s="64">
        <v>0.0</v>
      </c>
      <c r="GH138" s="65">
        <v>0.0</v>
      </c>
      <c r="GI138" s="64">
        <v>0.0</v>
      </c>
      <c r="GJ138" s="64">
        <v>4042261.0</v>
      </c>
      <c r="GK138" s="64">
        <v>-224598.0</v>
      </c>
      <c r="GL138" s="64">
        <v>1312421.0</v>
      </c>
      <c r="GM138" s="64">
        <v>0.0</v>
      </c>
      <c r="GN138" s="63">
        <v>5130084.0</v>
      </c>
      <c r="GO138" s="66">
        <v>6030604.0</v>
      </c>
      <c r="GP138" s="64">
        <v>1743467.0</v>
      </c>
      <c r="GQ138" s="64">
        <v>0.0</v>
      </c>
      <c r="GR138" s="65">
        <v>0.0</v>
      </c>
      <c r="GS138" s="63">
        <v>1743467.0</v>
      </c>
      <c r="GT138" s="67">
        <v>0.0</v>
      </c>
      <c r="GU138" s="67">
        <v>0.0</v>
      </c>
      <c r="GV138" s="67">
        <v>0.0</v>
      </c>
      <c r="GW138" s="63">
        <v>0.0</v>
      </c>
      <c r="GX138" s="63">
        <v>148960.0</v>
      </c>
      <c r="GY138" s="63">
        <v>4138177.0</v>
      </c>
      <c r="GZ138" s="66">
        <v>6030604.0</v>
      </c>
    </row>
    <row r="139" ht="15.75" customHeight="1">
      <c r="A139" s="60">
        <v>134.0</v>
      </c>
      <c r="B139" s="61" t="s">
        <v>179</v>
      </c>
      <c r="C139" s="62">
        <v>0.0</v>
      </c>
      <c r="D139" s="62">
        <v>0.0</v>
      </c>
      <c r="E139" s="62">
        <v>0.0</v>
      </c>
      <c r="F139" s="62">
        <v>0.0</v>
      </c>
      <c r="G139" s="62">
        <v>0.0</v>
      </c>
      <c r="H139" s="62">
        <v>0.0</v>
      </c>
      <c r="I139" s="62">
        <v>0.0</v>
      </c>
      <c r="J139" s="62">
        <v>0.0</v>
      </c>
      <c r="K139" s="62">
        <v>0.0</v>
      </c>
      <c r="L139" s="62">
        <v>0.0</v>
      </c>
      <c r="M139" s="62">
        <v>0.0</v>
      </c>
      <c r="N139" s="62">
        <v>0.0</v>
      </c>
      <c r="O139" s="62">
        <v>0.0</v>
      </c>
      <c r="P139" s="62">
        <v>0.0</v>
      </c>
      <c r="Q139" s="62">
        <v>0.0</v>
      </c>
      <c r="R139" s="62">
        <v>0.0</v>
      </c>
      <c r="S139" s="62">
        <v>0.0</v>
      </c>
      <c r="T139" s="62">
        <v>0.0</v>
      </c>
      <c r="U139" s="62">
        <v>0.0</v>
      </c>
      <c r="V139" s="62">
        <v>0.0</v>
      </c>
      <c r="W139" s="62">
        <v>0.0</v>
      </c>
      <c r="X139" s="62">
        <v>0.0</v>
      </c>
      <c r="Y139" s="62">
        <v>0.0</v>
      </c>
      <c r="Z139" s="62">
        <v>0.0</v>
      </c>
      <c r="AA139" s="62">
        <v>0.0</v>
      </c>
      <c r="AB139" s="62">
        <v>0.0</v>
      </c>
      <c r="AC139" s="62">
        <v>0.0</v>
      </c>
      <c r="AD139" s="62">
        <v>0.0</v>
      </c>
      <c r="AE139" s="62">
        <v>0.0</v>
      </c>
      <c r="AF139" s="62">
        <v>0.0</v>
      </c>
      <c r="AG139" s="62">
        <v>0.0</v>
      </c>
      <c r="AH139" s="62">
        <v>0.0</v>
      </c>
      <c r="AI139" s="62">
        <v>0.0</v>
      </c>
      <c r="AJ139" s="62">
        <v>0.0</v>
      </c>
      <c r="AK139" s="62">
        <v>0.0</v>
      </c>
      <c r="AL139" s="62">
        <v>0.0</v>
      </c>
      <c r="AM139" s="62">
        <v>0.0</v>
      </c>
      <c r="AN139" s="62">
        <v>0.0</v>
      </c>
      <c r="AO139" s="62">
        <v>0.0</v>
      </c>
      <c r="AP139" s="62">
        <v>0.0</v>
      </c>
      <c r="AQ139" s="62">
        <v>0.0</v>
      </c>
      <c r="AR139" s="62">
        <v>0.0</v>
      </c>
      <c r="AS139" s="62">
        <v>0.0</v>
      </c>
      <c r="AT139" s="62">
        <v>0.0</v>
      </c>
      <c r="AU139" s="62">
        <v>0.0</v>
      </c>
      <c r="AV139" s="62">
        <v>0.0</v>
      </c>
      <c r="AW139" s="62">
        <v>0.0</v>
      </c>
      <c r="AX139" s="62">
        <v>0.0</v>
      </c>
      <c r="AY139" s="62">
        <v>0.0</v>
      </c>
      <c r="AZ139" s="62">
        <v>0.0</v>
      </c>
      <c r="BA139" s="62">
        <v>0.0</v>
      </c>
      <c r="BB139" s="62">
        <v>0.0</v>
      </c>
      <c r="BC139" s="62">
        <v>0.0</v>
      </c>
      <c r="BD139" s="62">
        <v>0.0</v>
      </c>
      <c r="BE139" s="62">
        <v>0.0</v>
      </c>
      <c r="BF139" s="62">
        <v>0.0</v>
      </c>
      <c r="BG139" s="62">
        <v>0.0</v>
      </c>
      <c r="BH139" s="62">
        <v>0.0</v>
      </c>
      <c r="BI139" s="62">
        <v>0.0</v>
      </c>
      <c r="BJ139" s="62">
        <v>0.0</v>
      </c>
      <c r="BK139" s="62">
        <v>0.0</v>
      </c>
      <c r="BL139" s="62">
        <v>0.0</v>
      </c>
      <c r="BM139" s="62">
        <v>0.0</v>
      </c>
      <c r="BN139" s="62">
        <v>0.0</v>
      </c>
      <c r="BO139" s="62">
        <v>0.0</v>
      </c>
      <c r="BP139" s="62">
        <v>0.0</v>
      </c>
      <c r="BQ139" s="62">
        <v>0.0</v>
      </c>
      <c r="BR139" s="62">
        <v>0.0</v>
      </c>
      <c r="BS139" s="62">
        <v>0.0</v>
      </c>
      <c r="BT139" s="62">
        <v>0.0</v>
      </c>
      <c r="BU139" s="62">
        <v>0.0</v>
      </c>
      <c r="BV139" s="62">
        <v>0.0</v>
      </c>
      <c r="BW139" s="62">
        <v>0.0</v>
      </c>
      <c r="BX139" s="62">
        <v>0.0</v>
      </c>
      <c r="BY139" s="62">
        <v>0.0</v>
      </c>
      <c r="BZ139" s="62">
        <v>0.0</v>
      </c>
      <c r="CA139" s="62">
        <v>0.0</v>
      </c>
      <c r="CB139" s="62">
        <v>0.0</v>
      </c>
      <c r="CC139" s="62">
        <v>0.0</v>
      </c>
      <c r="CD139" s="62">
        <v>0.0</v>
      </c>
      <c r="CE139" s="62">
        <v>0.0</v>
      </c>
      <c r="CF139" s="62">
        <v>0.0</v>
      </c>
      <c r="CG139" s="62">
        <v>0.0</v>
      </c>
      <c r="CH139" s="62">
        <v>0.0</v>
      </c>
      <c r="CI139" s="62">
        <v>0.0</v>
      </c>
      <c r="CJ139" s="62">
        <v>0.0</v>
      </c>
      <c r="CK139" s="62">
        <v>0.0</v>
      </c>
      <c r="CL139" s="62">
        <v>0.0</v>
      </c>
      <c r="CM139" s="62">
        <v>0.0</v>
      </c>
      <c r="CN139" s="62">
        <v>0.0</v>
      </c>
      <c r="CO139" s="62">
        <v>0.0</v>
      </c>
      <c r="CP139" s="62">
        <v>0.0</v>
      </c>
      <c r="CQ139" s="62">
        <v>0.0</v>
      </c>
      <c r="CR139" s="62">
        <v>0.0</v>
      </c>
      <c r="CS139" s="62">
        <v>0.0</v>
      </c>
      <c r="CT139" s="62">
        <v>0.0</v>
      </c>
      <c r="CU139" s="62">
        <v>0.0</v>
      </c>
      <c r="CV139" s="62">
        <v>0.0</v>
      </c>
      <c r="CW139" s="62">
        <v>0.0</v>
      </c>
      <c r="CX139" s="62">
        <v>0.0</v>
      </c>
      <c r="CY139" s="62">
        <v>0.0</v>
      </c>
      <c r="CZ139" s="62">
        <v>0.0</v>
      </c>
      <c r="DA139" s="62">
        <v>0.0</v>
      </c>
      <c r="DB139" s="62">
        <v>0.0</v>
      </c>
      <c r="DC139" s="62">
        <v>0.0</v>
      </c>
      <c r="DD139" s="62">
        <v>0.0</v>
      </c>
      <c r="DE139" s="62">
        <v>0.0</v>
      </c>
      <c r="DF139" s="62">
        <v>0.0</v>
      </c>
      <c r="DG139" s="62">
        <v>0.0</v>
      </c>
      <c r="DH139" s="62">
        <v>0.0</v>
      </c>
      <c r="DI139" s="62">
        <v>0.0</v>
      </c>
      <c r="DJ139" s="62">
        <v>0.0</v>
      </c>
      <c r="DK139" s="62">
        <v>0.0</v>
      </c>
      <c r="DL139" s="62">
        <v>0.0</v>
      </c>
      <c r="DM139" s="62">
        <v>0.0</v>
      </c>
      <c r="DN139" s="62">
        <v>0.0</v>
      </c>
      <c r="DO139" s="62">
        <v>0.0</v>
      </c>
      <c r="DP139" s="62">
        <v>0.0</v>
      </c>
      <c r="DQ139" s="62">
        <v>0.0</v>
      </c>
      <c r="DR139" s="62">
        <v>0.0</v>
      </c>
      <c r="DS139" s="62">
        <v>0.0</v>
      </c>
      <c r="DT139" s="62">
        <v>0.0</v>
      </c>
      <c r="DU139" s="62">
        <v>0.0</v>
      </c>
      <c r="DV139" s="62">
        <v>0.0</v>
      </c>
      <c r="DW139" s="62">
        <v>0.0</v>
      </c>
      <c r="DX139" s="62">
        <v>0.0</v>
      </c>
      <c r="DY139" s="62">
        <v>0.0</v>
      </c>
      <c r="DZ139" s="62">
        <v>0.0</v>
      </c>
      <c r="EA139" s="62">
        <v>0.0</v>
      </c>
      <c r="EB139" s="62">
        <v>0.0</v>
      </c>
      <c r="EC139" s="62">
        <v>0.0</v>
      </c>
      <c r="ED139" s="62">
        <v>0.0</v>
      </c>
      <c r="EE139" s="62">
        <v>0.0</v>
      </c>
      <c r="EF139" s="62">
        <v>1526029.0</v>
      </c>
      <c r="EG139" s="62">
        <v>0.0</v>
      </c>
      <c r="EH139" s="62">
        <v>0.0</v>
      </c>
      <c r="EI139" s="62">
        <v>0.0</v>
      </c>
      <c r="EJ139" s="62">
        <v>0.0</v>
      </c>
      <c r="EK139" s="62">
        <v>0.0</v>
      </c>
      <c r="EL139" s="62">
        <v>0.0</v>
      </c>
      <c r="EM139" s="62">
        <v>0.0</v>
      </c>
      <c r="EN139" s="62">
        <v>0.0</v>
      </c>
      <c r="EO139" s="62">
        <v>0.0</v>
      </c>
      <c r="EP139" s="62">
        <v>0.0</v>
      </c>
      <c r="EQ139" s="62">
        <v>0.0</v>
      </c>
      <c r="ER139" s="62">
        <v>0.0</v>
      </c>
      <c r="ES139" s="62">
        <v>0.0</v>
      </c>
      <c r="ET139" s="62">
        <v>0.0</v>
      </c>
      <c r="EU139" s="62">
        <v>0.0</v>
      </c>
      <c r="EV139" s="62">
        <v>0.0</v>
      </c>
      <c r="EW139" s="62">
        <v>0.0</v>
      </c>
      <c r="EX139" s="62">
        <v>0.0</v>
      </c>
      <c r="EY139" s="62">
        <v>0.0</v>
      </c>
      <c r="EZ139" s="62">
        <v>0.0</v>
      </c>
      <c r="FA139" s="62">
        <v>0.0</v>
      </c>
      <c r="FB139" s="62">
        <v>0.0</v>
      </c>
      <c r="FC139" s="62">
        <v>0.0</v>
      </c>
      <c r="FD139" s="62">
        <v>0.0</v>
      </c>
      <c r="FE139" s="62">
        <v>0.0</v>
      </c>
      <c r="FF139" s="62">
        <v>0.0</v>
      </c>
      <c r="FG139" s="62">
        <v>4276238.0</v>
      </c>
      <c r="FH139" s="62">
        <v>0.0</v>
      </c>
      <c r="FI139" s="62">
        <v>0.0</v>
      </c>
      <c r="FJ139" s="62">
        <v>0.0</v>
      </c>
      <c r="FK139" s="62">
        <v>0.0</v>
      </c>
      <c r="FL139" s="62">
        <v>0.0</v>
      </c>
      <c r="FM139" s="62">
        <v>0.0</v>
      </c>
      <c r="FN139" s="62">
        <v>0.0</v>
      </c>
      <c r="FO139" s="62">
        <v>0.0</v>
      </c>
      <c r="FP139" s="62">
        <v>0.0</v>
      </c>
      <c r="FQ139" s="62">
        <v>0.0</v>
      </c>
      <c r="FR139" s="62">
        <v>0.0</v>
      </c>
      <c r="FS139" s="62">
        <v>0.0</v>
      </c>
      <c r="FT139" s="62">
        <v>0.0</v>
      </c>
      <c r="FU139" s="62">
        <v>0.0</v>
      </c>
      <c r="FV139" s="62">
        <v>0.0</v>
      </c>
      <c r="FW139" s="62">
        <v>0.0</v>
      </c>
      <c r="FX139" s="62">
        <v>0.0</v>
      </c>
      <c r="FY139" s="62">
        <v>0.0</v>
      </c>
      <c r="FZ139" s="62">
        <v>0.0</v>
      </c>
      <c r="GA139" s="62">
        <v>0.0</v>
      </c>
      <c r="GB139" s="62">
        <v>0.0</v>
      </c>
      <c r="GC139" s="62">
        <v>0.0</v>
      </c>
      <c r="GD139" s="62">
        <v>0.0</v>
      </c>
      <c r="GE139" s="62">
        <v>0.0</v>
      </c>
      <c r="GF139" s="63">
        <v>5802267.0</v>
      </c>
      <c r="GG139" s="64">
        <v>0.0</v>
      </c>
      <c r="GH139" s="65">
        <v>0.0</v>
      </c>
      <c r="GI139" s="64">
        <v>0.0</v>
      </c>
      <c r="GJ139" s="64">
        <v>8083262.0</v>
      </c>
      <c r="GK139" s="64">
        <v>0.0</v>
      </c>
      <c r="GL139" s="64">
        <v>855881.0</v>
      </c>
      <c r="GM139" s="64">
        <v>0.0</v>
      </c>
      <c r="GN139" s="63">
        <v>8939143.0</v>
      </c>
      <c r="GO139" s="66">
        <v>1.474141E7</v>
      </c>
      <c r="GP139" s="64">
        <v>6142133.0</v>
      </c>
      <c r="GQ139" s="64">
        <v>0.0</v>
      </c>
      <c r="GR139" s="65">
        <v>0.0</v>
      </c>
      <c r="GS139" s="63">
        <v>6142133.0</v>
      </c>
      <c r="GT139" s="67">
        <v>0.0</v>
      </c>
      <c r="GU139" s="67">
        <v>0.0</v>
      </c>
      <c r="GV139" s="67">
        <v>0.0</v>
      </c>
      <c r="GW139" s="63">
        <v>0.0</v>
      </c>
      <c r="GX139" s="63">
        <v>605115.0</v>
      </c>
      <c r="GY139" s="63">
        <v>7994162.0</v>
      </c>
      <c r="GZ139" s="66">
        <v>1.474141E7</v>
      </c>
    </row>
    <row r="140" ht="15.75" customHeight="1">
      <c r="A140" s="68">
        <v>135.0</v>
      </c>
      <c r="B140" s="69" t="s">
        <v>180</v>
      </c>
      <c r="C140" s="70">
        <v>0.0</v>
      </c>
      <c r="D140" s="70">
        <v>0.0</v>
      </c>
      <c r="E140" s="70">
        <v>0.0</v>
      </c>
      <c r="F140" s="70">
        <v>0.0</v>
      </c>
      <c r="G140" s="70">
        <v>0.0</v>
      </c>
      <c r="H140" s="70">
        <v>0.0</v>
      </c>
      <c r="I140" s="70">
        <v>0.0</v>
      </c>
      <c r="J140" s="70">
        <v>0.0</v>
      </c>
      <c r="K140" s="70">
        <v>0.0</v>
      </c>
      <c r="L140" s="70">
        <v>0.0</v>
      </c>
      <c r="M140" s="70">
        <v>0.0</v>
      </c>
      <c r="N140" s="70">
        <v>0.0</v>
      </c>
      <c r="O140" s="70">
        <v>0.0</v>
      </c>
      <c r="P140" s="70">
        <v>0.0</v>
      </c>
      <c r="Q140" s="70">
        <v>0.0</v>
      </c>
      <c r="R140" s="70">
        <v>0.0</v>
      </c>
      <c r="S140" s="70">
        <v>0.0</v>
      </c>
      <c r="T140" s="70">
        <v>0.0</v>
      </c>
      <c r="U140" s="70">
        <v>0.0</v>
      </c>
      <c r="V140" s="70">
        <v>0.0</v>
      </c>
      <c r="W140" s="70">
        <v>0.0</v>
      </c>
      <c r="X140" s="70">
        <v>0.0</v>
      </c>
      <c r="Y140" s="70">
        <v>0.0</v>
      </c>
      <c r="Z140" s="70">
        <v>0.0</v>
      </c>
      <c r="AA140" s="70">
        <v>0.0</v>
      </c>
      <c r="AB140" s="70">
        <v>0.0</v>
      </c>
      <c r="AC140" s="70">
        <v>0.0</v>
      </c>
      <c r="AD140" s="70">
        <v>0.0</v>
      </c>
      <c r="AE140" s="70">
        <v>0.0</v>
      </c>
      <c r="AF140" s="70">
        <v>0.0</v>
      </c>
      <c r="AG140" s="70">
        <v>0.0</v>
      </c>
      <c r="AH140" s="70">
        <v>0.0</v>
      </c>
      <c r="AI140" s="70">
        <v>0.0</v>
      </c>
      <c r="AJ140" s="70">
        <v>0.0</v>
      </c>
      <c r="AK140" s="70">
        <v>0.0</v>
      </c>
      <c r="AL140" s="70">
        <v>0.0</v>
      </c>
      <c r="AM140" s="70">
        <v>0.0</v>
      </c>
      <c r="AN140" s="70">
        <v>0.0</v>
      </c>
      <c r="AO140" s="70">
        <v>0.0</v>
      </c>
      <c r="AP140" s="70">
        <v>0.0</v>
      </c>
      <c r="AQ140" s="70">
        <v>0.0</v>
      </c>
      <c r="AR140" s="70">
        <v>0.0</v>
      </c>
      <c r="AS140" s="70">
        <v>13033.0</v>
      </c>
      <c r="AT140" s="70">
        <v>1387.0</v>
      </c>
      <c r="AU140" s="70">
        <v>3242.0</v>
      </c>
      <c r="AV140" s="70">
        <v>6414.0</v>
      </c>
      <c r="AW140" s="70">
        <v>168.0</v>
      </c>
      <c r="AX140" s="70">
        <v>142197.0</v>
      </c>
      <c r="AY140" s="70">
        <v>0.0</v>
      </c>
      <c r="AZ140" s="70">
        <v>0.0</v>
      </c>
      <c r="BA140" s="70">
        <v>0.0</v>
      </c>
      <c r="BB140" s="70">
        <v>0.0</v>
      </c>
      <c r="BC140" s="70">
        <v>0.0</v>
      </c>
      <c r="BD140" s="70">
        <v>0.0</v>
      </c>
      <c r="BE140" s="70">
        <v>0.0</v>
      </c>
      <c r="BF140" s="70">
        <v>0.0</v>
      </c>
      <c r="BG140" s="70">
        <v>0.0</v>
      </c>
      <c r="BH140" s="70">
        <v>198.0</v>
      </c>
      <c r="BI140" s="70">
        <v>0.0</v>
      </c>
      <c r="BJ140" s="70">
        <v>0.0</v>
      </c>
      <c r="BK140" s="70">
        <v>0.0</v>
      </c>
      <c r="BL140" s="70">
        <v>0.0</v>
      </c>
      <c r="BM140" s="70">
        <v>0.0</v>
      </c>
      <c r="BN140" s="70">
        <v>0.0</v>
      </c>
      <c r="BO140" s="70">
        <v>0.0</v>
      </c>
      <c r="BP140" s="70">
        <v>0.0</v>
      </c>
      <c r="BQ140" s="70">
        <v>0.0</v>
      </c>
      <c r="BR140" s="70">
        <v>0.0</v>
      </c>
      <c r="BS140" s="70">
        <v>776.0</v>
      </c>
      <c r="BT140" s="70">
        <v>0.0</v>
      </c>
      <c r="BU140" s="70">
        <v>0.0</v>
      </c>
      <c r="BV140" s="70">
        <v>0.0</v>
      </c>
      <c r="BW140" s="70">
        <v>0.0</v>
      </c>
      <c r="BX140" s="70">
        <v>0.0</v>
      </c>
      <c r="BY140" s="70">
        <v>0.0</v>
      </c>
      <c r="BZ140" s="70">
        <v>0.0</v>
      </c>
      <c r="CA140" s="70">
        <v>0.0</v>
      </c>
      <c r="CB140" s="70">
        <v>0.0</v>
      </c>
      <c r="CC140" s="70">
        <v>0.0</v>
      </c>
      <c r="CD140" s="70">
        <v>0.0</v>
      </c>
      <c r="CE140" s="70">
        <v>0.0</v>
      </c>
      <c r="CF140" s="70">
        <v>0.0</v>
      </c>
      <c r="CG140" s="70">
        <v>0.0</v>
      </c>
      <c r="CH140" s="70">
        <v>0.0</v>
      </c>
      <c r="CI140" s="70">
        <v>0.0</v>
      </c>
      <c r="CJ140" s="70">
        <v>0.0</v>
      </c>
      <c r="CK140" s="70">
        <v>0.0</v>
      </c>
      <c r="CL140" s="70">
        <v>0.0</v>
      </c>
      <c r="CM140" s="70">
        <v>0.0</v>
      </c>
      <c r="CN140" s="70">
        <v>0.0</v>
      </c>
      <c r="CO140" s="70">
        <v>0.0</v>
      </c>
      <c r="CP140" s="70">
        <v>0.0</v>
      </c>
      <c r="CQ140" s="70">
        <v>0.0</v>
      </c>
      <c r="CR140" s="70">
        <v>0.0</v>
      </c>
      <c r="CS140" s="70">
        <v>0.0</v>
      </c>
      <c r="CT140" s="70">
        <v>0.0</v>
      </c>
      <c r="CU140" s="70">
        <v>0.0</v>
      </c>
      <c r="CV140" s="70">
        <v>0.0</v>
      </c>
      <c r="CW140" s="70">
        <v>0.0</v>
      </c>
      <c r="CX140" s="70">
        <v>0.0</v>
      </c>
      <c r="CY140" s="70">
        <v>0.0</v>
      </c>
      <c r="CZ140" s="70">
        <v>0.0</v>
      </c>
      <c r="DA140" s="70">
        <v>0.0</v>
      </c>
      <c r="DB140" s="70">
        <v>0.0</v>
      </c>
      <c r="DC140" s="70">
        <v>0.0</v>
      </c>
      <c r="DD140" s="70">
        <v>0.0</v>
      </c>
      <c r="DE140" s="70">
        <v>0.0</v>
      </c>
      <c r="DF140" s="70">
        <v>0.0</v>
      </c>
      <c r="DG140" s="70">
        <v>0.0</v>
      </c>
      <c r="DH140" s="70">
        <v>0.0</v>
      </c>
      <c r="DI140" s="70">
        <v>0.0</v>
      </c>
      <c r="DJ140" s="70">
        <v>0.0</v>
      </c>
      <c r="DK140" s="70">
        <v>0.0</v>
      </c>
      <c r="DL140" s="70">
        <v>0.0</v>
      </c>
      <c r="DM140" s="70">
        <v>0.0</v>
      </c>
      <c r="DN140" s="70">
        <v>0.0</v>
      </c>
      <c r="DO140" s="70">
        <v>0.0</v>
      </c>
      <c r="DP140" s="70">
        <v>0.0</v>
      </c>
      <c r="DQ140" s="70">
        <v>0.0</v>
      </c>
      <c r="DR140" s="70">
        <v>0.0</v>
      </c>
      <c r="DS140" s="70">
        <v>0.0</v>
      </c>
      <c r="DT140" s="70">
        <v>0.0</v>
      </c>
      <c r="DU140" s="70">
        <v>0.0</v>
      </c>
      <c r="DV140" s="70">
        <v>0.0</v>
      </c>
      <c r="DW140" s="70">
        <v>0.0</v>
      </c>
      <c r="DX140" s="70">
        <v>0.0</v>
      </c>
      <c r="DY140" s="70">
        <v>0.0</v>
      </c>
      <c r="DZ140" s="70">
        <v>0.0</v>
      </c>
      <c r="EA140" s="70">
        <v>0.0</v>
      </c>
      <c r="EB140" s="70">
        <v>659.0</v>
      </c>
      <c r="EC140" s="70">
        <v>0.0</v>
      </c>
      <c r="ED140" s="70">
        <v>0.0</v>
      </c>
      <c r="EE140" s="70">
        <v>0.0</v>
      </c>
      <c r="EF140" s="70">
        <v>0.0</v>
      </c>
      <c r="EG140" s="70">
        <v>2839389.0</v>
      </c>
      <c r="EH140" s="70">
        <v>0.0</v>
      </c>
      <c r="EI140" s="70">
        <v>0.0</v>
      </c>
      <c r="EJ140" s="70">
        <v>0.0</v>
      </c>
      <c r="EK140" s="70">
        <v>0.0</v>
      </c>
      <c r="EL140" s="70">
        <v>0.0</v>
      </c>
      <c r="EM140" s="70">
        <v>0.0</v>
      </c>
      <c r="EN140" s="70">
        <v>0.0</v>
      </c>
      <c r="EO140" s="70">
        <v>0.0</v>
      </c>
      <c r="EP140" s="70">
        <v>89336.0</v>
      </c>
      <c r="EQ140" s="70">
        <v>0.0</v>
      </c>
      <c r="ER140" s="70">
        <v>0.0</v>
      </c>
      <c r="ES140" s="70">
        <v>0.0</v>
      </c>
      <c r="ET140" s="70">
        <v>0.0</v>
      </c>
      <c r="EU140" s="70">
        <v>0.0</v>
      </c>
      <c r="EV140" s="70">
        <v>0.0</v>
      </c>
      <c r="EW140" s="70">
        <v>0.0</v>
      </c>
      <c r="EX140" s="70">
        <v>0.0</v>
      </c>
      <c r="EY140" s="70">
        <v>0.0</v>
      </c>
      <c r="EZ140" s="70">
        <v>0.0</v>
      </c>
      <c r="FA140" s="70">
        <v>0.0</v>
      </c>
      <c r="FB140" s="70">
        <v>0.0</v>
      </c>
      <c r="FC140" s="70">
        <v>0.0</v>
      </c>
      <c r="FD140" s="70">
        <v>0.0</v>
      </c>
      <c r="FE140" s="70">
        <v>0.0</v>
      </c>
      <c r="FF140" s="70">
        <v>0.0</v>
      </c>
      <c r="FG140" s="70">
        <v>0.0</v>
      </c>
      <c r="FH140" s="70">
        <v>0.0</v>
      </c>
      <c r="FI140" s="70">
        <v>0.0</v>
      </c>
      <c r="FJ140" s="70">
        <v>0.0</v>
      </c>
      <c r="FK140" s="70">
        <v>0.0</v>
      </c>
      <c r="FL140" s="70">
        <v>0.0</v>
      </c>
      <c r="FM140" s="70">
        <v>0.0</v>
      </c>
      <c r="FN140" s="70">
        <v>0.0</v>
      </c>
      <c r="FO140" s="70">
        <v>0.0</v>
      </c>
      <c r="FP140" s="70">
        <v>0.0</v>
      </c>
      <c r="FQ140" s="70">
        <v>0.0</v>
      </c>
      <c r="FR140" s="70">
        <v>0.0</v>
      </c>
      <c r="FS140" s="70">
        <v>0.0</v>
      </c>
      <c r="FT140" s="70">
        <v>0.0</v>
      </c>
      <c r="FU140" s="70">
        <v>0.0</v>
      </c>
      <c r="FV140" s="70">
        <v>0.0</v>
      </c>
      <c r="FW140" s="70">
        <v>0.0</v>
      </c>
      <c r="FX140" s="70">
        <v>0.0</v>
      </c>
      <c r="FY140" s="70">
        <v>0.0</v>
      </c>
      <c r="FZ140" s="70">
        <v>0.0</v>
      </c>
      <c r="GA140" s="70">
        <v>0.0</v>
      </c>
      <c r="GB140" s="70">
        <v>0.0</v>
      </c>
      <c r="GC140" s="70">
        <v>160.0</v>
      </c>
      <c r="GD140" s="70">
        <v>315.0</v>
      </c>
      <c r="GE140" s="70">
        <v>0.0</v>
      </c>
      <c r="GF140" s="71">
        <v>3097274.0</v>
      </c>
      <c r="GG140" s="72">
        <v>3.0861249E7</v>
      </c>
      <c r="GH140" s="73">
        <v>0.0</v>
      </c>
      <c r="GI140" s="72">
        <v>0.0</v>
      </c>
      <c r="GJ140" s="72">
        <v>2.6167391E7</v>
      </c>
      <c r="GK140" s="72">
        <v>-1.2201645E7</v>
      </c>
      <c r="GL140" s="72">
        <v>4115718.0</v>
      </c>
      <c r="GM140" s="72">
        <v>0.0</v>
      </c>
      <c r="GN140" s="71">
        <v>4.8942713E7</v>
      </c>
      <c r="GO140" s="74">
        <v>5.2039987E7</v>
      </c>
      <c r="GP140" s="72">
        <v>1.4524306E7</v>
      </c>
      <c r="GQ140" s="72">
        <v>0.0</v>
      </c>
      <c r="GR140" s="73">
        <v>0.0</v>
      </c>
      <c r="GS140" s="71">
        <v>1.4524306E7</v>
      </c>
      <c r="GT140" s="75">
        <v>3816038.0</v>
      </c>
      <c r="GU140" s="75">
        <v>1753218.0</v>
      </c>
      <c r="GV140" s="75">
        <v>1600687.0</v>
      </c>
      <c r="GW140" s="71">
        <v>7169943.0</v>
      </c>
      <c r="GX140" s="71">
        <v>2507969.0</v>
      </c>
      <c r="GY140" s="71">
        <v>2.7837769E7</v>
      </c>
      <c r="GZ140" s="74">
        <v>5.2039987E7</v>
      </c>
    </row>
    <row r="141" ht="15.75" customHeight="1">
      <c r="A141" s="52">
        <v>136.0</v>
      </c>
      <c r="B141" s="53" t="s">
        <v>181</v>
      </c>
      <c r="C141" s="54">
        <v>13384.0</v>
      </c>
      <c r="D141" s="54">
        <v>7465.0</v>
      </c>
      <c r="E141" s="54">
        <v>237.0</v>
      </c>
      <c r="F141" s="54">
        <v>1885.0</v>
      </c>
      <c r="G141" s="54">
        <v>32.0</v>
      </c>
      <c r="H141" s="54">
        <v>1633.0</v>
      </c>
      <c r="I141" s="54">
        <v>799.0</v>
      </c>
      <c r="J141" s="54">
        <v>526.0</v>
      </c>
      <c r="K141" s="54">
        <v>6.0</v>
      </c>
      <c r="L141" s="54">
        <v>2139.0</v>
      </c>
      <c r="M141" s="54">
        <v>332.0</v>
      </c>
      <c r="N141" s="54">
        <v>901.0</v>
      </c>
      <c r="O141" s="54">
        <v>1888.0</v>
      </c>
      <c r="P141" s="54">
        <v>23.0</v>
      </c>
      <c r="Q141" s="54">
        <v>2755.0</v>
      </c>
      <c r="R141" s="54">
        <v>29923.0</v>
      </c>
      <c r="S141" s="54">
        <v>742.0</v>
      </c>
      <c r="T141" s="54">
        <v>31903.0</v>
      </c>
      <c r="U141" s="54">
        <v>36400.0</v>
      </c>
      <c r="V141" s="54">
        <v>82.0</v>
      </c>
      <c r="W141" s="54">
        <v>3226.0</v>
      </c>
      <c r="X141" s="54">
        <v>1257.0</v>
      </c>
      <c r="Y141" s="54">
        <v>34673.0</v>
      </c>
      <c r="Z141" s="54">
        <v>361.0</v>
      </c>
      <c r="AA141" s="54">
        <v>42.0</v>
      </c>
      <c r="AB141" s="54">
        <v>5259.0</v>
      </c>
      <c r="AC141" s="54">
        <v>271.0</v>
      </c>
      <c r="AD141" s="54">
        <v>4153.0</v>
      </c>
      <c r="AE141" s="54">
        <v>663.0</v>
      </c>
      <c r="AF141" s="54">
        <v>39878.0</v>
      </c>
      <c r="AG141" s="54">
        <v>44409.0</v>
      </c>
      <c r="AH141" s="54">
        <v>2011.0</v>
      </c>
      <c r="AI141" s="54">
        <v>3810.0</v>
      </c>
      <c r="AJ141" s="54">
        <v>992.0</v>
      </c>
      <c r="AK141" s="54">
        <v>47.0</v>
      </c>
      <c r="AL141" s="54">
        <v>262.0</v>
      </c>
      <c r="AM141" s="54">
        <v>623206.0</v>
      </c>
      <c r="AN141" s="54">
        <v>48541.0</v>
      </c>
      <c r="AO141" s="54">
        <v>221716.0</v>
      </c>
      <c r="AP141" s="54">
        <v>265.0</v>
      </c>
      <c r="AQ141" s="54">
        <v>20752.0</v>
      </c>
      <c r="AR141" s="54">
        <v>1886.0</v>
      </c>
      <c r="AS141" s="54">
        <v>54703.0</v>
      </c>
      <c r="AT141" s="54">
        <v>5822.0</v>
      </c>
      <c r="AU141" s="54">
        <v>16216.0</v>
      </c>
      <c r="AV141" s="54">
        <v>107397.0</v>
      </c>
      <c r="AW141" s="54">
        <v>431.0</v>
      </c>
      <c r="AX141" s="54">
        <v>294437.0</v>
      </c>
      <c r="AY141" s="54">
        <v>99142.0</v>
      </c>
      <c r="AZ141" s="54">
        <v>668.0</v>
      </c>
      <c r="BA141" s="54">
        <v>9939.0</v>
      </c>
      <c r="BB141" s="54">
        <v>43859.0</v>
      </c>
      <c r="BC141" s="54">
        <v>0.0</v>
      </c>
      <c r="BD141" s="54">
        <v>0.0</v>
      </c>
      <c r="BE141" s="54">
        <v>421.0</v>
      </c>
      <c r="BF141" s="54">
        <v>1479.0</v>
      </c>
      <c r="BG141" s="54">
        <v>29.0</v>
      </c>
      <c r="BH141" s="54">
        <v>12924.0</v>
      </c>
      <c r="BI141" s="54">
        <v>0.0</v>
      </c>
      <c r="BJ141" s="54">
        <v>0.0</v>
      </c>
      <c r="BK141" s="54">
        <v>128.0</v>
      </c>
      <c r="BL141" s="54">
        <v>0.0</v>
      </c>
      <c r="BM141" s="54">
        <v>0.0</v>
      </c>
      <c r="BN141" s="54">
        <v>0.0</v>
      </c>
      <c r="BO141" s="54">
        <v>0.0</v>
      </c>
      <c r="BP141" s="54">
        <v>0.0</v>
      </c>
      <c r="BQ141" s="54">
        <v>0.0</v>
      </c>
      <c r="BR141" s="54">
        <v>0.0</v>
      </c>
      <c r="BS141" s="54">
        <v>110.0</v>
      </c>
      <c r="BT141" s="54">
        <v>0.0</v>
      </c>
      <c r="BU141" s="54">
        <v>453.0</v>
      </c>
      <c r="BV141" s="54">
        <v>0.0</v>
      </c>
      <c r="BW141" s="54">
        <v>0.0</v>
      </c>
      <c r="BX141" s="54">
        <v>2260.0</v>
      </c>
      <c r="BY141" s="54">
        <v>650.0</v>
      </c>
      <c r="BZ141" s="54">
        <v>0.0</v>
      </c>
      <c r="CA141" s="54">
        <v>120.0</v>
      </c>
      <c r="CB141" s="54">
        <v>64.0</v>
      </c>
      <c r="CC141" s="54">
        <v>14.0</v>
      </c>
      <c r="CD141" s="54">
        <v>11.0</v>
      </c>
      <c r="CE141" s="54">
        <v>15.0</v>
      </c>
      <c r="CF141" s="54">
        <v>110.0</v>
      </c>
      <c r="CG141" s="54">
        <v>6853.0</v>
      </c>
      <c r="CH141" s="54">
        <v>260.0</v>
      </c>
      <c r="CI141" s="54">
        <v>21.0</v>
      </c>
      <c r="CJ141" s="54">
        <v>0.0</v>
      </c>
      <c r="CK141" s="54">
        <v>0.0</v>
      </c>
      <c r="CL141" s="54">
        <v>0.0</v>
      </c>
      <c r="CM141" s="54">
        <v>25.0</v>
      </c>
      <c r="CN141" s="54">
        <v>0.0</v>
      </c>
      <c r="CO141" s="54">
        <v>9.0</v>
      </c>
      <c r="CP141" s="54">
        <v>17.0</v>
      </c>
      <c r="CQ141" s="54">
        <v>9368.0</v>
      </c>
      <c r="CR141" s="54">
        <v>395.0</v>
      </c>
      <c r="CS141" s="54">
        <v>21108.0</v>
      </c>
      <c r="CT141" s="54">
        <v>2011.0</v>
      </c>
      <c r="CU141" s="54">
        <v>0.0</v>
      </c>
      <c r="CV141" s="54">
        <v>0.0</v>
      </c>
      <c r="CW141" s="54">
        <v>0.0</v>
      </c>
      <c r="CX141" s="54">
        <v>0.0</v>
      </c>
      <c r="CY141" s="54">
        <v>0.0</v>
      </c>
      <c r="CZ141" s="54">
        <v>49668.0</v>
      </c>
      <c r="DA141" s="54">
        <v>8352.0</v>
      </c>
      <c r="DB141" s="54">
        <v>0.0</v>
      </c>
      <c r="DC141" s="54">
        <v>415936.0</v>
      </c>
      <c r="DD141" s="54">
        <v>0.0</v>
      </c>
      <c r="DE141" s="54">
        <v>5127.0</v>
      </c>
      <c r="DF141" s="54">
        <v>413.0</v>
      </c>
      <c r="DG141" s="54">
        <v>15.0</v>
      </c>
      <c r="DH141" s="54">
        <v>268.0</v>
      </c>
      <c r="DI141" s="54">
        <v>16530.0</v>
      </c>
      <c r="DJ141" s="54">
        <v>160.0</v>
      </c>
      <c r="DK141" s="54">
        <v>197.0</v>
      </c>
      <c r="DL141" s="54">
        <v>62.0</v>
      </c>
      <c r="DM141" s="54">
        <v>375.0</v>
      </c>
      <c r="DN141" s="54">
        <v>76.0</v>
      </c>
      <c r="DO141" s="54">
        <v>185.0</v>
      </c>
      <c r="DP141" s="54">
        <v>0.0</v>
      </c>
      <c r="DQ141" s="54">
        <v>7182.0</v>
      </c>
      <c r="DR141" s="54">
        <v>11587.0</v>
      </c>
      <c r="DS141" s="54">
        <v>4317.0</v>
      </c>
      <c r="DT141" s="54">
        <v>3179.0</v>
      </c>
      <c r="DU141" s="54">
        <v>150.0</v>
      </c>
      <c r="DV141" s="54">
        <v>443.0</v>
      </c>
      <c r="DW141" s="54">
        <v>284.0</v>
      </c>
      <c r="DX141" s="54">
        <v>9755.0</v>
      </c>
      <c r="DY141" s="54">
        <v>821.0</v>
      </c>
      <c r="DZ141" s="54">
        <v>54325.0</v>
      </c>
      <c r="EA141" s="54">
        <v>255.0</v>
      </c>
      <c r="EB141" s="54">
        <v>2210.0</v>
      </c>
      <c r="EC141" s="54">
        <v>78473.0</v>
      </c>
      <c r="ED141" s="54">
        <v>40521.0</v>
      </c>
      <c r="EE141" s="54">
        <v>6054.0</v>
      </c>
      <c r="EF141" s="54">
        <v>1214.0</v>
      </c>
      <c r="EG141" s="54">
        <v>20837.0</v>
      </c>
      <c r="EH141" s="54">
        <v>9714895.0</v>
      </c>
      <c r="EI141" s="54">
        <v>1256.0</v>
      </c>
      <c r="EJ141" s="54">
        <v>7179.0</v>
      </c>
      <c r="EK141" s="54">
        <v>4040.0</v>
      </c>
      <c r="EL141" s="54">
        <v>8135.0</v>
      </c>
      <c r="EM141" s="54">
        <v>11302.0</v>
      </c>
      <c r="EN141" s="54">
        <v>81278.0</v>
      </c>
      <c r="EO141" s="54">
        <v>53051.0</v>
      </c>
      <c r="EP141" s="54">
        <v>76878.0</v>
      </c>
      <c r="EQ141" s="54">
        <v>51229.0</v>
      </c>
      <c r="ER141" s="54">
        <v>933.0</v>
      </c>
      <c r="ES141" s="54">
        <v>27137.0</v>
      </c>
      <c r="ET141" s="54">
        <v>21193.0</v>
      </c>
      <c r="EU141" s="54">
        <v>86937.0</v>
      </c>
      <c r="EV141" s="54">
        <v>11404.0</v>
      </c>
      <c r="EW141" s="54">
        <v>6729.0</v>
      </c>
      <c r="EX141" s="54">
        <v>63240.0</v>
      </c>
      <c r="EY141" s="54">
        <v>198491.0</v>
      </c>
      <c r="EZ141" s="54">
        <v>283940.0</v>
      </c>
      <c r="FA141" s="54">
        <v>27831.0</v>
      </c>
      <c r="FB141" s="54">
        <v>494773.0</v>
      </c>
      <c r="FC141" s="54">
        <v>488.0</v>
      </c>
      <c r="FD141" s="54">
        <v>60427.0</v>
      </c>
      <c r="FE141" s="54">
        <v>7181.0</v>
      </c>
      <c r="FF141" s="54">
        <v>6065.0</v>
      </c>
      <c r="FG141" s="54">
        <v>16490.0</v>
      </c>
      <c r="FH141" s="54">
        <v>21717.0</v>
      </c>
      <c r="FI141" s="54">
        <v>11165.0</v>
      </c>
      <c r="FJ141" s="54">
        <v>10852.0</v>
      </c>
      <c r="FK141" s="54">
        <v>66712.0</v>
      </c>
      <c r="FL141" s="54">
        <v>29809.0</v>
      </c>
      <c r="FM141" s="54">
        <v>6222.0</v>
      </c>
      <c r="FN141" s="54">
        <v>5995.0</v>
      </c>
      <c r="FO141" s="54">
        <v>544.0</v>
      </c>
      <c r="FP141" s="54">
        <v>55966.0</v>
      </c>
      <c r="FQ141" s="54">
        <v>24996.0</v>
      </c>
      <c r="FR141" s="54">
        <v>15.0</v>
      </c>
      <c r="FS141" s="54">
        <v>1788.0</v>
      </c>
      <c r="FT141" s="54">
        <v>12579.0</v>
      </c>
      <c r="FU141" s="54">
        <v>152703.0</v>
      </c>
      <c r="FV141" s="54">
        <v>85429.0</v>
      </c>
      <c r="FW141" s="54">
        <v>200784.0</v>
      </c>
      <c r="FX141" s="54">
        <v>0.0</v>
      </c>
      <c r="FY141" s="54">
        <v>0.0</v>
      </c>
      <c r="FZ141" s="54">
        <v>0.0</v>
      </c>
      <c r="GA141" s="54">
        <v>257844.0</v>
      </c>
      <c r="GB141" s="54">
        <v>292709.0</v>
      </c>
      <c r="GC141" s="54">
        <v>2095.0</v>
      </c>
      <c r="GD141" s="54">
        <v>608.0</v>
      </c>
      <c r="GE141" s="54">
        <v>1400.0</v>
      </c>
      <c r="GF141" s="55">
        <v>1.5185609E7</v>
      </c>
      <c r="GG141" s="56">
        <v>1.33009647E8</v>
      </c>
      <c r="GH141" s="57">
        <v>0.0</v>
      </c>
      <c r="GI141" s="56">
        <v>0.0</v>
      </c>
      <c r="GJ141" s="56">
        <v>5.4676571E7</v>
      </c>
      <c r="GK141" s="56">
        <v>-2173852.0</v>
      </c>
      <c r="GL141" s="56">
        <v>2.6784101E7</v>
      </c>
      <c r="GM141" s="56">
        <v>0.0</v>
      </c>
      <c r="GN141" s="55">
        <v>2.12296467E8</v>
      </c>
      <c r="GO141" s="58">
        <v>2.27482076E8</v>
      </c>
      <c r="GP141" s="56">
        <v>6453266.0</v>
      </c>
      <c r="GQ141" s="56">
        <v>0.0</v>
      </c>
      <c r="GR141" s="57">
        <v>0.0</v>
      </c>
      <c r="GS141" s="55">
        <v>6453266.0</v>
      </c>
      <c r="GT141" s="59">
        <v>3.0992712E7</v>
      </c>
      <c r="GU141" s="59">
        <v>2.4813358E7</v>
      </c>
      <c r="GV141" s="59">
        <v>1.0870649E7</v>
      </c>
      <c r="GW141" s="55">
        <v>6.6676719E7</v>
      </c>
      <c r="GX141" s="55">
        <v>9165827.0</v>
      </c>
      <c r="GY141" s="55">
        <v>1.45186264E8</v>
      </c>
      <c r="GZ141" s="58">
        <v>2.27482076E8</v>
      </c>
    </row>
    <row r="142" ht="15.75" customHeight="1">
      <c r="A142" s="60">
        <v>137.0</v>
      </c>
      <c r="B142" s="61" t="s">
        <v>182</v>
      </c>
      <c r="C142" s="62">
        <v>0.0</v>
      </c>
      <c r="D142" s="62">
        <v>0.0</v>
      </c>
      <c r="E142" s="62">
        <v>0.0</v>
      </c>
      <c r="F142" s="62">
        <v>0.0</v>
      </c>
      <c r="G142" s="62">
        <v>0.0</v>
      </c>
      <c r="H142" s="62">
        <v>0.0</v>
      </c>
      <c r="I142" s="62">
        <v>0.0</v>
      </c>
      <c r="J142" s="62">
        <v>0.0</v>
      </c>
      <c r="K142" s="62">
        <v>0.0</v>
      </c>
      <c r="L142" s="62">
        <v>0.0</v>
      </c>
      <c r="M142" s="62">
        <v>0.0</v>
      </c>
      <c r="N142" s="62">
        <v>0.0</v>
      </c>
      <c r="O142" s="62">
        <v>0.0</v>
      </c>
      <c r="P142" s="62">
        <v>0.0</v>
      </c>
      <c r="Q142" s="62">
        <v>0.0</v>
      </c>
      <c r="R142" s="62">
        <v>0.0</v>
      </c>
      <c r="S142" s="62">
        <v>0.0</v>
      </c>
      <c r="T142" s="62">
        <v>0.0</v>
      </c>
      <c r="U142" s="62">
        <v>0.0</v>
      </c>
      <c r="V142" s="62">
        <v>0.0</v>
      </c>
      <c r="W142" s="62">
        <v>0.0</v>
      </c>
      <c r="X142" s="62">
        <v>0.0</v>
      </c>
      <c r="Y142" s="62">
        <v>0.0</v>
      </c>
      <c r="Z142" s="62">
        <v>0.0</v>
      </c>
      <c r="AA142" s="62">
        <v>0.0</v>
      </c>
      <c r="AB142" s="62">
        <v>0.0</v>
      </c>
      <c r="AC142" s="62">
        <v>16.0</v>
      </c>
      <c r="AD142" s="62">
        <v>1364.0</v>
      </c>
      <c r="AE142" s="62">
        <v>0.0</v>
      </c>
      <c r="AF142" s="62">
        <v>0.0</v>
      </c>
      <c r="AG142" s="62">
        <v>15.0</v>
      </c>
      <c r="AH142" s="62">
        <v>0.0</v>
      </c>
      <c r="AI142" s="62">
        <v>0.0</v>
      </c>
      <c r="AJ142" s="62">
        <v>0.0</v>
      </c>
      <c r="AK142" s="62">
        <v>0.0</v>
      </c>
      <c r="AL142" s="62">
        <v>0.0</v>
      </c>
      <c r="AM142" s="62">
        <v>0.0</v>
      </c>
      <c r="AN142" s="62">
        <v>0.0</v>
      </c>
      <c r="AO142" s="62">
        <v>0.0</v>
      </c>
      <c r="AP142" s="62">
        <v>0.0</v>
      </c>
      <c r="AQ142" s="62">
        <v>0.0</v>
      </c>
      <c r="AR142" s="62">
        <v>0.0</v>
      </c>
      <c r="AS142" s="62">
        <v>0.0</v>
      </c>
      <c r="AT142" s="62">
        <v>0.0</v>
      </c>
      <c r="AU142" s="62">
        <v>3.0</v>
      </c>
      <c r="AV142" s="62">
        <v>60.0</v>
      </c>
      <c r="AW142" s="62">
        <v>113.0</v>
      </c>
      <c r="AX142" s="62">
        <v>3360.0</v>
      </c>
      <c r="AY142" s="62">
        <v>0.0</v>
      </c>
      <c r="AZ142" s="62">
        <v>14.0</v>
      </c>
      <c r="BA142" s="62">
        <v>0.0</v>
      </c>
      <c r="BB142" s="62">
        <v>0.0</v>
      </c>
      <c r="BC142" s="62">
        <v>0.0</v>
      </c>
      <c r="BD142" s="62">
        <v>0.0</v>
      </c>
      <c r="BE142" s="62">
        <v>29.0</v>
      </c>
      <c r="BF142" s="62">
        <v>0.0</v>
      </c>
      <c r="BG142" s="62">
        <v>0.0</v>
      </c>
      <c r="BH142" s="62">
        <v>3267.0</v>
      </c>
      <c r="BI142" s="62">
        <v>0.0</v>
      </c>
      <c r="BJ142" s="62">
        <v>0.0</v>
      </c>
      <c r="BK142" s="62">
        <v>0.0</v>
      </c>
      <c r="BL142" s="62">
        <v>0.0</v>
      </c>
      <c r="BM142" s="62">
        <v>0.0</v>
      </c>
      <c r="BN142" s="62">
        <v>0.0</v>
      </c>
      <c r="BO142" s="62">
        <v>0.0</v>
      </c>
      <c r="BP142" s="62">
        <v>0.0</v>
      </c>
      <c r="BQ142" s="62">
        <v>0.0</v>
      </c>
      <c r="BR142" s="62">
        <v>0.0</v>
      </c>
      <c r="BS142" s="62">
        <v>0.0</v>
      </c>
      <c r="BT142" s="62">
        <v>0.0</v>
      </c>
      <c r="BU142" s="62">
        <v>165.0</v>
      </c>
      <c r="BV142" s="62">
        <v>100701.0</v>
      </c>
      <c r="BW142" s="62">
        <v>176.0</v>
      </c>
      <c r="BX142" s="62">
        <v>1334.0</v>
      </c>
      <c r="BY142" s="62">
        <v>30.0</v>
      </c>
      <c r="BZ142" s="62">
        <v>0.0</v>
      </c>
      <c r="CA142" s="62">
        <v>0.0</v>
      </c>
      <c r="CB142" s="62">
        <v>0.0</v>
      </c>
      <c r="CC142" s="62">
        <v>0.0</v>
      </c>
      <c r="CD142" s="62">
        <v>0.0</v>
      </c>
      <c r="CE142" s="62">
        <v>0.0</v>
      </c>
      <c r="CF142" s="62">
        <v>0.0</v>
      </c>
      <c r="CG142" s="62">
        <v>0.0</v>
      </c>
      <c r="CH142" s="62">
        <v>0.0</v>
      </c>
      <c r="CI142" s="62">
        <v>0.0</v>
      </c>
      <c r="CJ142" s="62">
        <v>502181.0</v>
      </c>
      <c r="CK142" s="62">
        <v>766097.0</v>
      </c>
      <c r="CL142" s="62">
        <v>505765.0</v>
      </c>
      <c r="CM142" s="62">
        <v>235257.0</v>
      </c>
      <c r="CN142" s="62">
        <v>144827.0</v>
      </c>
      <c r="CO142" s="62">
        <v>152342.0</v>
      </c>
      <c r="CP142" s="62">
        <v>274000.0</v>
      </c>
      <c r="CQ142" s="62">
        <v>0.0</v>
      </c>
      <c r="CR142" s="62">
        <v>1913.0</v>
      </c>
      <c r="CS142" s="62">
        <v>0.0</v>
      </c>
      <c r="CT142" s="62">
        <v>0.0</v>
      </c>
      <c r="CU142" s="62">
        <v>0.0</v>
      </c>
      <c r="CV142" s="62">
        <v>0.0</v>
      </c>
      <c r="CW142" s="62">
        <v>0.0</v>
      </c>
      <c r="CX142" s="62">
        <v>0.0</v>
      </c>
      <c r="CY142" s="62">
        <v>0.0</v>
      </c>
      <c r="CZ142" s="62">
        <v>0.0</v>
      </c>
      <c r="DA142" s="62">
        <v>0.0</v>
      </c>
      <c r="DB142" s="62">
        <v>0.0</v>
      </c>
      <c r="DC142" s="62">
        <v>0.0</v>
      </c>
      <c r="DD142" s="62">
        <v>0.0</v>
      </c>
      <c r="DE142" s="62">
        <v>593.0</v>
      </c>
      <c r="DF142" s="62">
        <v>908.0</v>
      </c>
      <c r="DG142" s="62">
        <v>10.0</v>
      </c>
      <c r="DH142" s="62">
        <v>16287.0</v>
      </c>
      <c r="DI142" s="62">
        <v>0.0</v>
      </c>
      <c r="DJ142" s="62">
        <v>40.0</v>
      </c>
      <c r="DK142" s="62">
        <v>0.0</v>
      </c>
      <c r="DL142" s="62">
        <v>2.0</v>
      </c>
      <c r="DM142" s="62">
        <v>5.0</v>
      </c>
      <c r="DN142" s="62">
        <v>73.0</v>
      </c>
      <c r="DO142" s="62">
        <v>6.0</v>
      </c>
      <c r="DP142" s="62">
        <v>6514.0</v>
      </c>
      <c r="DQ142" s="62">
        <v>32553.0</v>
      </c>
      <c r="DR142" s="62">
        <v>5630.0</v>
      </c>
      <c r="DS142" s="62">
        <v>143478.0</v>
      </c>
      <c r="DT142" s="62">
        <v>6728.0</v>
      </c>
      <c r="DU142" s="62">
        <v>17601.0</v>
      </c>
      <c r="DV142" s="62">
        <v>52096.0</v>
      </c>
      <c r="DW142" s="62">
        <v>33447.0</v>
      </c>
      <c r="DX142" s="62">
        <v>28243.0</v>
      </c>
      <c r="DY142" s="62">
        <v>96537.0</v>
      </c>
      <c r="DZ142" s="62">
        <v>8332.0</v>
      </c>
      <c r="EA142" s="62">
        <v>814.0</v>
      </c>
      <c r="EB142" s="62">
        <v>7687.0</v>
      </c>
      <c r="EC142" s="62">
        <v>59734.0</v>
      </c>
      <c r="ED142" s="62">
        <v>18547.0</v>
      </c>
      <c r="EE142" s="62">
        <v>0.0</v>
      </c>
      <c r="EF142" s="62">
        <v>0.0</v>
      </c>
      <c r="EG142" s="62">
        <v>0.0</v>
      </c>
      <c r="EH142" s="62">
        <v>0.0</v>
      </c>
      <c r="EI142" s="62">
        <v>3002331.0</v>
      </c>
      <c r="EJ142" s="62">
        <v>1625.0</v>
      </c>
      <c r="EK142" s="62">
        <v>22167.0</v>
      </c>
      <c r="EL142" s="62">
        <v>24295.0</v>
      </c>
      <c r="EM142" s="62">
        <v>426.0</v>
      </c>
      <c r="EN142" s="62">
        <v>852.0</v>
      </c>
      <c r="EO142" s="62">
        <v>2948.0</v>
      </c>
      <c r="EP142" s="62">
        <v>11918.0</v>
      </c>
      <c r="EQ142" s="62">
        <v>42.0</v>
      </c>
      <c r="ER142" s="62">
        <v>0.0</v>
      </c>
      <c r="ES142" s="62">
        <v>6450.0</v>
      </c>
      <c r="ET142" s="62">
        <v>38127.0</v>
      </c>
      <c r="EU142" s="62">
        <v>367380.0</v>
      </c>
      <c r="EV142" s="62">
        <v>3075.0</v>
      </c>
      <c r="EW142" s="62">
        <v>3499.0</v>
      </c>
      <c r="EX142" s="62">
        <v>15968.0</v>
      </c>
      <c r="EY142" s="62">
        <v>9195.0</v>
      </c>
      <c r="EZ142" s="62">
        <v>7475.0</v>
      </c>
      <c r="FA142" s="62">
        <v>0.0</v>
      </c>
      <c r="FB142" s="62">
        <v>0.0</v>
      </c>
      <c r="FC142" s="62">
        <v>0.0</v>
      </c>
      <c r="FD142" s="62">
        <v>0.0</v>
      </c>
      <c r="FE142" s="62">
        <v>0.0</v>
      </c>
      <c r="FF142" s="62">
        <v>0.0</v>
      </c>
      <c r="FG142" s="62">
        <v>0.0</v>
      </c>
      <c r="FH142" s="62">
        <v>20160.0</v>
      </c>
      <c r="FI142" s="62">
        <v>2640.0</v>
      </c>
      <c r="FJ142" s="62">
        <v>1415.0</v>
      </c>
      <c r="FK142" s="62">
        <v>6080.0</v>
      </c>
      <c r="FL142" s="62">
        <v>5771.0</v>
      </c>
      <c r="FM142" s="62">
        <v>0.0</v>
      </c>
      <c r="FN142" s="62">
        <v>0.0</v>
      </c>
      <c r="FO142" s="62">
        <v>0.0</v>
      </c>
      <c r="FP142" s="62">
        <v>675779.0</v>
      </c>
      <c r="FQ142" s="62">
        <v>650808.0</v>
      </c>
      <c r="FR142" s="62">
        <v>66.0</v>
      </c>
      <c r="FS142" s="62">
        <v>117915.0</v>
      </c>
      <c r="FT142" s="62">
        <v>248904.0</v>
      </c>
      <c r="FU142" s="62">
        <v>1154449.0</v>
      </c>
      <c r="FV142" s="62">
        <v>1236032.0</v>
      </c>
      <c r="FW142" s="62">
        <v>0.0</v>
      </c>
      <c r="FX142" s="62">
        <v>0.0</v>
      </c>
      <c r="FY142" s="62">
        <v>0.0</v>
      </c>
      <c r="FZ142" s="62">
        <v>0.0</v>
      </c>
      <c r="GA142" s="62">
        <v>1247955.0</v>
      </c>
      <c r="GB142" s="62">
        <v>518901.0</v>
      </c>
      <c r="GC142" s="62">
        <v>160248.0</v>
      </c>
      <c r="GD142" s="62">
        <v>180241.0</v>
      </c>
      <c r="GE142" s="62">
        <v>171494.0</v>
      </c>
      <c r="GF142" s="63">
        <v>1.3145525E7</v>
      </c>
      <c r="GG142" s="64">
        <v>5.5710411E7</v>
      </c>
      <c r="GH142" s="65">
        <v>0.0</v>
      </c>
      <c r="GI142" s="64">
        <v>0.0</v>
      </c>
      <c r="GJ142" s="64">
        <v>5.8831531E7</v>
      </c>
      <c r="GK142" s="64">
        <v>-3977110.0</v>
      </c>
      <c r="GL142" s="64">
        <v>2.7146796E7</v>
      </c>
      <c r="GM142" s="64">
        <v>0.0</v>
      </c>
      <c r="GN142" s="63">
        <v>1.37711628E8</v>
      </c>
      <c r="GO142" s="66">
        <v>1.50857153E8</v>
      </c>
      <c r="GP142" s="64">
        <v>6615202.0</v>
      </c>
      <c r="GQ142" s="64">
        <v>0.0</v>
      </c>
      <c r="GR142" s="65">
        <v>0.0</v>
      </c>
      <c r="GS142" s="63">
        <v>6615202.0</v>
      </c>
      <c r="GT142" s="67">
        <v>8988520.0</v>
      </c>
      <c r="GU142" s="67">
        <v>2.3875127E7</v>
      </c>
      <c r="GV142" s="67">
        <v>3784948.0</v>
      </c>
      <c r="GW142" s="63">
        <v>3.6648595E7</v>
      </c>
      <c r="GX142" s="63">
        <v>5348374.0</v>
      </c>
      <c r="GY142" s="63">
        <v>1.02244982E8</v>
      </c>
      <c r="GZ142" s="66">
        <v>1.50857153E8</v>
      </c>
    </row>
    <row r="143" ht="15.75" customHeight="1">
      <c r="A143" s="60">
        <v>138.0</v>
      </c>
      <c r="B143" s="61" t="s">
        <v>183</v>
      </c>
      <c r="C143" s="62">
        <v>0.0</v>
      </c>
      <c r="D143" s="62">
        <v>0.0</v>
      </c>
      <c r="E143" s="62">
        <v>0.0</v>
      </c>
      <c r="F143" s="62">
        <v>0.0</v>
      </c>
      <c r="G143" s="62">
        <v>0.0</v>
      </c>
      <c r="H143" s="62">
        <v>0.0</v>
      </c>
      <c r="I143" s="62">
        <v>0.0</v>
      </c>
      <c r="J143" s="62">
        <v>0.0</v>
      </c>
      <c r="K143" s="62">
        <v>0.0</v>
      </c>
      <c r="L143" s="62">
        <v>0.0</v>
      </c>
      <c r="M143" s="62">
        <v>0.0</v>
      </c>
      <c r="N143" s="62">
        <v>0.0</v>
      </c>
      <c r="O143" s="62">
        <v>0.0</v>
      </c>
      <c r="P143" s="62">
        <v>0.0</v>
      </c>
      <c r="Q143" s="62">
        <v>0.0</v>
      </c>
      <c r="R143" s="62">
        <v>0.0</v>
      </c>
      <c r="S143" s="62">
        <v>0.0</v>
      </c>
      <c r="T143" s="62">
        <v>0.0</v>
      </c>
      <c r="U143" s="62">
        <v>0.0</v>
      </c>
      <c r="V143" s="62">
        <v>0.0</v>
      </c>
      <c r="W143" s="62">
        <v>0.0</v>
      </c>
      <c r="X143" s="62">
        <v>0.0</v>
      </c>
      <c r="Y143" s="62">
        <v>0.0</v>
      </c>
      <c r="Z143" s="62">
        <v>0.0</v>
      </c>
      <c r="AA143" s="62">
        <v>0.0</v>
      </c>
      <c r="AB143" s="62">
        <v>0.0</v>
      </c>
      <c r="AC143" s="62">
        <v>0.0</v>
      </c>
      <c r="AD143" s="62">
        <v>0.0</v>
      </c>
      <c r="AE143" s="62">
        <v>0.0</v>
      </c>
      <c r="AF143" s="62">
        <v>0.0</v>
      </c>
      <c r="AG143" s="62">
        <v>0.0</v>
      </c>
      <c r="AH143" s="62">
        <v>0.0</v>
      </c>
      <c r="AI143" s="62">
        <v>0.0</v>
      </c>
      <c r="AJ143" s="62">
        <v>0.0</v>
      </c>
      <c r="AK143" s="62">
        <v>0.0</v>
      </c>
      <c r="AL143" s="62">
        <v>0.0</v>
      </c>
      <c r="AM143" s="62">
        <v>0.0</v>
      </c>
      <c r="AN143" s="62">
        <v>0.0</v>
      </c>
      <c r="AO143" s="62">
        <v>0.0</v>
      </c>
      <c r="AP143" s="62">
        <v>0.0</v>
      </c>
      <c r="AQ143" s="62">
        <v>0.0</v>
      </c>
      <c r="AR143" s="62">
        <v>0.0</v>
      </c>
      <c r="AS143" s="62">
        <v>0.0</v>
      </c>
      <c r="AT143" s="62">
        <v>0.0</v>
      </c>
      <c r="AU143" s="62">
        <v>0.0</v>
      </c>
      <c r="AV143" s="62">
        <v>0.0</v>
      </c>
      <c r="AW143" s="62">
        <v>0.0</v>
      </c>
      <c r="AX143" s="62">
        <v>0.0</v>
      </c>
      <c r="AY143" s="62">
        <v>0.0</v>
      </c>
      <c r="AZ143" s="62">
        <v>0.0</v>
      </c>
      <c r="BA143" s="62">
        <v>0.0</v>
      </c>
      <c r="BB143" s="62">
        <v>0.0</v>
      </c>
      <c r="BC143" s="62">
        <v>0.0</v>
      </c>
      <c r="BD143" s="62">
        <v>0.0</v>
      </c>
      <c r="BE143" s="62">
        <v>0.0</v>
      </c>
      <c r="BF143" s="62">
        <v>0.0</v>
      </c>
      <c r="BG143" s="62">
        <v>0.0</v>
      </c>
      <c r="BH143" s="62">
        <v>0.0</v>
      </c>
      <c r="BI143" s="62">
        <v>0.0</v>
      </c>
      <c r="BJ143" s="62">
        <v>0.0</v>
      </c>
      <c r="BK143" s="62">
        <v>0.0</v>
      </c>
      <c r="BL143" s="62">
        <v>0.0</v>
      </c>
      <c r="BM143" s="62">
        <v>0.0</v>
      </c>
      <c r="BN143" s="62">
        <v>0.0</v>
      </c>
      <c r="BO143" s="62">
        <v>0.0</v>
      </c>
      <c r="BP143" s="62">
        <v>0.0</v>
      </c>
      <c r="BQ143" s="62">
        <v>0.0</v>
      </c>
      <c r="BR143" s="62">
        <v>0.0</v>
      </c>
      <c r="BS143" s="62">
        <v>0.0</v>
      </c>
      <c r="BT143" s="62">
        <v>0.0</v>
      </c>
      <c r="BU143" s="62">
        <v>0.0</v>
      </c>
      <c r="BV143" s="62">
        <v>0.0</v>
      </c>
      <c r="BW143" s="62">
        <v>0.0</v>
      </c>
      <c r="BX143" s="62">
        <v>0.0</v>
      </c>
      <c r="BY143" s="62">
        <v>0.0</v>
      </c>
      <c r="BZ143" s="62">
        <v>0.0</v>
      </c>
      <c r="CA143" s="62">
        <v>0.0</v>
      </c>
      <c r="CB143" s="62">
        <v>0.0</v>
      </c>
      <c r="CC143" s="62">
        <v>0.0</v>
      </c>
      <c r="CD143" s="62">
        <v>232.0</v>
      </c>
      <c r="CE143" s="62">
        <v>384.0</v>
      </c>
      <c r="CF143" s="62">
        <v>20851.0</v>
      </c>
      <c r="CG143" s="62">
        <v>147.0</v>
      </c>
      <c r="CH143" s="62">
        <v>1838.0</v>
      </c>
      <c r="CI143" s="62">
        <v>1052.0</v>
      </c>
      <c r="CJ143" s="62">
        <v>0.0</v>
      </c>
      <c r="CK143" s="62">
        <v>0.0</v>
      </c>
      <c r="CL143" s="62">
        <v>0.0</v>
      </c>
      <c r="CM143" s="62">
        <v>0.0</v>
      </c>
      <c r="CN143" s="62">
        <v>0.0</v>
      </c>
      <c r="CO143" s="62">
        <v>0.0</v>
      </c>
      <c r="CP143" s="62">
        <v>0.0</v>
      </c>
      <c r="CQ143" s="62">
        <v>0.0</v>
      </c>
      <c r="CR143" s="62">
        <v>0.0</v>
      </c>
      <c r="CS143" s="62">
        <v>0.0</v>
      </c>
      <c r="CT143" s="62">
        <v>0.0</v>
      </c>
      <c r="CU143" s="62">
        <v>0.0</v>
      </c>
      <c r="CV143" s="62">
        <v>0.0</v>
      </c>
      <c r="CW143" s="62">
        <v>0.0</v>
      </c>
      <c r="CX143" s="62">
        <v>0.0</v>
      </c>
      <c r="CY143" s="62">
        <v>0.0</v>
      </c>
      <c r="CZ143" s="62">
        <v>0.0</v>
      </c>
      <c r="DA143" s="62">
        <v>0.0</v>
      </c>
      <c r="DB143" s="62">
        <v>0.0</v>
      </c>
      <c r="DC143" s="62">
        <v>0.0</v>
      </c>
      <c r="DD143" s="62">
        <v>0.0</v>
      </c>
      <c r="DE143" s="62">
        <v>0.0</v>
      </c>
      <c r="DF143" s="62">
        <v>0.0</v>
      </c>
      <c r="DG143" s="62">
        <v>0.0</v>
      </c>
      <c r="DH143" s="62">
        <v>0.0</v>
      </c>
      <c r="DI143" s="62">
        <v>0.0</v>
      </c>
      <c r="DJ143" s="62">
        <v>0.0</v>
      </c>
      <c r="DK143" s="62">
        <v>0.0</v>
      </c>
      <c r="DL143" s="62">
        <v>0.0</v>
      </c>
      <c r="DM143" s="62">
        <v>0.0</v>
      </c>
      <c r="DN143" s="62">
        <v>0.0</v>
      </c>
      <c r="DO143" s="62">
        <v>0.0</v>
      </c>
      <c r="DP143" s="62">
        <v>0.0</v>
      </c>
      <c r="DQ143" s="62">
        <v>0.0</v>
      </c>
      <c r="DR143" s="62">
        <v>0.0</v>
      </c>
      <c r="DS143" s="62">
        <v>0.0</v>
      </c>
      <c r="DT143" s="62">
        <v>0.0</v>
      </c>
      <c r="DU143" s="62">
        <v>0.0</v>
      </c>
      <c r="DV143" s="62">
        <v>0.0</v>
      </c>
      <c r="DW143" s="62">
        <v>0.0</v>
      </c>
      <c r="DX143" s="62">
        <v>0.0</v>
      </c>
      <c r="DY143" s="62">
        <v>0.0</v>
      </c>
      <c r="DZ143" s="62">
        <v>0.0</v>
      </c>
      <c r="EA143" s="62">
        <v>0.0</v>
      </c>
      <c r="EB143" s="62">
        <v>0.0</v>
      </c>
      <c r="EC143" s="62">
        <v>0.0</v>
      </c>
      <c r="ED143" s="62">
        <v>0.0</v>
      </c>
      <c r="EE143" s="62">
        <v>0.0</v>
      </c>
      <c r="EF143" s="62">
        <v>0.0</v>
      </c>
      <c r="EG143" s="62">
        <v>0.0</v>
      </c>
      <c r="EH143" s="62">
        <v>0.0</v>
      </c>
      <c r="EI143" s="62">
        <v>0.0</v>
      </c>
      <c r="EJ143" s="62">
        <v>831690.0</v>
      </c>
      <c r="EK143" s="62">
        <v>0.0</v>
      </c>
      <c r="EL143" s="62">
        <v>0.0</v>
      </c>
      <c r="EM143" s="62">
        <v>0.0</v>
      </c>
      <c r="EN143" s="62">
        <v>0.0</v>
      </c>
      <c r="EO143" s="62">
        <v>0.0</v>
      </c>
      <c r="EP143" s="62">
        <v>74.0</v>
      </c>
      <c r="EQ143" s="62">
        <v>0.0</v>
      </c>
      <c r="ER143" s="62">
        <v>0.0</v>
      </c>
      <c r="ES143" s="62">
        <v>0.0</v>
      </c>
      <c r="ET143" s="62">
        <v>0.0</v>
      </c>
      <c r="EU143" s="62">
        <v>0.0</v>
      </c>
      <c r="EV143" s="62">
        <v>0.0</v>
      </c>
      <c r="EW143" s="62">
        <v>0.0</v>
      </c>
      <c r="EX143" s="62">
        <v>0.0</v>
      </c>
      <c r="EY143" s="62">
        <v>0.0</v>
      </c>
      <c r="EZ143" s="62">
        <v>0.0</v>
      </c>
      <c r="FA143" s="62">
        <v>0.0</v>
      </c>
      <c r="FB143" s="62">
        <v>0.0</v>
      </c>
      <c r="FC143" s="62">
        <v>0.0</v>
      </c>
      <c r="FD143" s="62">
        <v>0.0</v>
      </c>
      <c r="FE143" s="62">
        <v>0.0</v>
      </c>
      <c r="FF143" s="62">
        <v>0.0</v>
      </c>
      <c r="FG143" s="62">
        <v>0.0</v>
      </c>
      <c r="FH143" s="62">
        <v>0.0</v>
      </c>
      <c r="FI143" s="62">
        <v>0.0</v>
      </c>
      <c r="FJ143" s="62">
        <v>0.0</v>
      </c>
      <c r="FK143" s="62">
        <v>0.0</v>
      </c>
      <c r="FL143" s="62">
        <v>0.0</v>
      </c>
      <c r="FM143" s="62">
        <v>0.0</v>
      </c>
      <c r="FN143" s="62">
        <v>0.0</v>
      </c>
      <c r="FO143" s="62">
        <v>0.0</v>
      </c>
      <c r="FP143" s="62">
        <v>0.0</v>
      </c>
      <c r="FQ143" s="62">
        <v>0.0</v>
      </c>
      <c r="FR143" s="62">
        <v>0.0</v>
      </c>
      <c r="FS143" s="62">
        <v>0.0</v>
      </c>
      <c r="FT143" s="62">
        <v>0.0</v>
      </c>
      <c r="FU143" s="62">
        <v>0.0</v>
      </c>
      <c r="FV143" s="62">
        <v>0.0</v>
      </c>
      <c r="FW143" s="62">
        <v>0.0</v>
      </c>
      <c r="FX143" s="62">
        <v>0.0</v>
      </c>
      <c r="FY143" s="62">
        <v>0.0</v>
      </c>
      <c r="FZ143" s="62">
        <v>0.0</v>
      </c>
      <c r="GA143" s="62">
        <v>0.0</v>
      </c>
      <c r="GB143" s="62">
        <v>0.0</v>
      </c>
      <c r="GC143" s="62">
        <v>313.0</v>
      </c>
      <c r="GD143" s="62">
        <v>1055.0</v>
      </c>
      <c r="GE143" s="62">
        <v>0.0</v>
      </c>
      <c r="GF143" s="63">
        <v>857636.0</v>
      </c>
      <c r="GG143" s="64">
        <v>4.6857563E7</v>
      </c>
      <c r="GH143" s="65">
        <v>0.0</v>
      </c>
      <c r="GI143" s="64">
        <v>0.0</v>
      </c>
      <c r="GJ143" s="64">
        <v>0.0</v>
      </c>
      <c r="GK143" s="64">
        <v>5184.0</v>
      </c>
      <c r="GL143" s="64">
        <v>2.2480932E7</v>
      </c>
      <c r="GM143" s="64">
        <v>127906.0</v>
      </c>
      <c r="GN143" s="63">
        <v>6.9471585E7</v>
      </c>
      <c r="GO143" s="66">
        <v>7.0329221E7</v>
      </c>
      <c r="GP143" s="64">
        <v>1097858.0</v>
      </c>
      <c r="GQ143" s="64">
        <v>85847.0</v>
      </c>
      <c r="GR143" s="65">
        <v>0.0</v>
      </c>
      <c r="GS143" s="63">
        <v>1183705.0</v>
      </c>
      <c r="GT143" s="67">
        <v>8710830.0</v>
      </c>
      <c r="GU143" s="67">
        <v>9669485.0</v>
      </c>
      <c r="GV143" s="67">
        <v>2472400.0</v>
      </c>
      <c r="GW143" s="63">
        <v>2.0852715E7</v>
      </c>
      <c r="GX143" s="63">
        <v>2154818.0</v>
      </c>
      <c r="GY143" s="63">
        <v>4.6137983E7</v>
      </c>
      <c r="GZ143" s="66">
        <v>7.0329221E7</v>
      </c>
    </row>
    <row r="144" ht="15.75" customHeight="1">
      <c r="A144" s="60">
        <v>139.0</v>
      </c>
      <c r="B144" s="61" t="s">
        <v>184</v>
      </c>
      <c r="C144" s="62">
        <v>0.0</v>
      </c>
      <c r="D144" s="62">
        <v>0.0</v>
      </c>
      <c r="E144" s="62">
        <v>0.0</v>
      </c>
      <c r="F144" s="62">
        <v>0.0</v>
      </c>
      <c r="G144" s="62">
        <v>0.0</v>
      </c>
      <c r="H144" s="62">
        <v>0.0</v>
      </c>
      <c r="I144" s="62">
        <v>0.0</v>
      </c>
      <c r="J144" s="62">
        <v>0.0</v>
      </c>
      <c r="K144" s="62">
        <v>0.0</v>
      </c>
      <c r="L144" s="62">
        <v>0.0</v>
      </c>
      <c r="M144" s="62">
        <v>0.0</v>
      </c>
      <c r="N144" s="62">
        <v>0.0</v>
      </c>
      <c r="O144" s="62">
        <v>0.0</v>
      </c>
      <c r="P144" s="62">
        <v>0.0</v>
      </c>
      <c r="Q144" s="62">
        <v>0.0</v>
      </c>
      <c r="R144" s="62">
        <v>0.0</v>
      </c>
      <c r="S144" s="62">
        <v>0.0</v>
      </c>
      <c r="T144" s="62">
        <v>0.0</v>
      </c>
      <c r="U144" s="62">
        <v>0.0</v>
      </c>
      <c r="V144" s="62">
        <v>0.0</v>
      </c>
      <c r="W144" s="62">
        <v>0.0</v>
      </c>
      <c r="X144" s="62">
        <v>0.0</v>
      </c>
      <c r="Y144" s="62">
        <v>0.0</v>
      </c>
      <c r="Z144" s="62">
        <v>0.0</v>
      </c>
      <c r="AA144" s="62">
        <v>0.0</v>
      </c>
      <c r="AB144" s="62">
        <v>0.0</v>
      </c>
      <c r="AC144" s="62">
        <v>0.0</v>
      </c>
      <c r="AD144" s="62">
        <v>0.0</v>
      </c>
      <c r="AE144" s="62">
        <v>0.0</v>
      </c>
      <c r="AF144" s="62">
        <v>0.0</v>
      </c>
      <c r="AG144" s="62">
        <v>0.0</v>
      </c>
      <c r="AH144" s="62">
        <v>0.0</v>
      </c>
      <c r="AI144" s="62">
        <v>0.0</v>
      </c>
      <c r="AJ144" s="62">
        <v>0.0</v>
      </c>
      <c r="AK144" s="62">
        <v>0.0</v>
      </c>
      <c r="AL144" s="62">
        <v>0.0</v>
      </c>
      <c r="AM144" s="62">
        <v>0.0</v>
      </c>
      <c r="AN144" s="62">
        <v>0.0</v>
      </c>
      <c r="AO144" s="62">
        <v>0.0</v>
      </c>
      <c r="AP144" s="62">
        <v>0.0</v>
      </c>
      <c r="AQ144" s="62">
        <v>0.0</v>
      </c>
      <c r="AR144" s="62">
        <v>0.0</v>
      </c>
      <c r="AS144" s="62">
        <v>0.0</v>
      </c>
      <c r="AT144" s="62">
        <v>0.0</v>
      </c>
      <c r="AU144" s="62">
        <v>0.0</v>
      </c>
      <c r="AV144" s="62">
        <v>0.0</v>
      </c>
      <c r="AW144" s="62">
        <v>0.0</v>
      </c>
      <c r="AX144" s="62">
        <v>0.0</v>
      </c>
      <c r="AY144" s="62">
        <v>0.0</v>
      </c>
      <c r="AZ144" s="62">
        <v>0.0</v>
      </c>
      <c r="BA144" s="62">
        <v>0.0</v>
      </c>
      <c r="BB144" s="62">
        <v>0.0</v>
      </c>
      <c r="BC144" s="62">
        <v>0.0</v>
      </c>
      <c r="BD144" s="62">
        <v>0.0</v>
      </c>
      <c r="BE144" s="62">
        <v>0.0</v>
      </c>
      <c r="BF144" s="62">
        <v>0.0</v>
      </c>
      <c r="BG144" s="62">
        <v>0.0</v>
      </c>
      <c r="BH144" s="62">
        <v>0.0</v>
      </c>
      <c r="BI144" s="62">
        <v>0.0</v>
      </c>
      <c r="BJ144" s="62">
        <v>0.0</v>
      </c>
      <c r="BK144" s="62">
        <v>0.0</v>
      </c>
      <c r="BL144" s="62">
        <v>0.0</v>
      </c>
      <c r="BM144" s="62">
        <v>0.0</v>
      </c>
      <c r="BN144" s="62">
        <v>0.0</v>
      </c>
      <c r="BO144" s="62">
        <v>0.0</v>
      </c>
      <c r="BP144" s="62">
        <v>0.0</v>
      </c>
      <c r="BQ144" s="62">
        <v>0.0</v>
      </c>
      <c r="BR144" s="62">
        <v>0.0</v>
      </c>
      <c r="BS144" s="62">
        <v>0.0</v>
      </c>
      <c r="BT144" s="62">
        <v>0.0</v>
      </c>
      <c r="BU144" s="62">
        <v>0.0</v>
      </c>
      <c r="BV144" s="62">
        <v>0.0</v>
      </c>
      <c r="BW144" s="62">
        <v>0.0</v>
      </c>
      <c r="BX144" s="62">
        <v>0.0</v>
      </c>
      <c r="BY144" s="62">
        <v>0.0</v>
      </c>
      <c r="BZ144" s="62">
        <v>0.0</v>
      </c>
      <c r="CA144" s="62">
        <v>0.0</v>
      </c>
      <c r="CB144" s="62">
        <v>0.0</v>
      </c>
      <c r="CC144" s="62">
        <v>0.0</v>
      </c>
      <c r="CD144" s="62">
        <v>0.0</v>
      </c>
      <c r="CE144" s="62">
        <v>0.0</v>
      </c>
      <c r="CF144" s="62">
        <v>0.0</v>
      </c>
      <c r="CG144" s="62">
        <v>0.0</v>
      </c>
      <c r="CH144" s="62">
        <v>0.0</v>
      </c>
      <c r="CI144" s="62">
        <v>0.0</v>
      </c>
      <c r="CJ144" s="62">
        <v>0.0</v>
      </c>
      <c r="CK144" s="62">
        <v>0.0</v>
      </c>
      <c r="CL144" s="62">
        <v>0.0</v>
      </c>
      <c r="CM144" s="62">
        <v>0.0</v>
      </c>
      <c r="CN144" s="62">
        <v>0.0</v>
      </c>
      <c r="CO144" s="62">
        <v>0.0</v>
      </c>
      <c r="CP144" s="62">
        <v>0.0</v>
      </c>
      <c r="CQ144" s="62">
        <v>251265.0</v>
      </c>
      <c r="CR144" s="62">
        <v>0.0</v>
      </c>
      <c r="CS144" s="62">
        <v>0.0</v>
      </c>
      <c r="CT144" s="62">
        <v>0.0</v>
      </c>
      <c r="CU144" s="62">
        <v>0.0</v>
      </c>
      <c r="CV144" s="62">
        <v>0.0</v>
      </c>
      <c r="CW144" s="62">
        <v>0.0</v>
      </c>
      <c r="CX144" s="62">
        <v>0.0</v>
      </c>
      <c r="CY144" s="62">
        <v>0.0</v>
      </c>
      <c r="CZ144" s="62">
        <v>0.0</v>
      </c>
      <c r="DA144" s="62">
        <v>0.0</v>
      </c>
      <c r="DB144" s="62">
        <v>0.0</v>
      </c>
      <c r="DC144" s="62">
        <v>0.0</v>
      </c>
      <c r="DD144" s="62">
        <v>0.0</v>
      </c>
      <c r="DE144" s="62">
        <v>0.0</v>
      </c>
      <c r="DF144" s="62">
        <v>0.0</v>
      </c>
      <c r="DG144" s="62">
        <v>0.0</v>
      </c>
      <c r="DH144" s="62">
        <v>0.0</v>
      </c>
      <c r="DI144" s="62">
        <v>0.0</v>
      </c>
      <c r="DJ144" s="62">
        <v>0.0</v>
      </c>
      <c r="DK144" s="62">
        <v>0.0</v>
      </c>
      <c r="DL144" s="62">
        <v>0.0</v>
      </c>
      <c r="DM144" s="62">
        <v>0.0</v>
      </c>
      <c r="DN144" s="62">
        <v>0.0</v>
      </c>
      <c r="DO144" s="62">
        <v>0.0</v>
      </c>
      <c r="DP144" s="62">
        <v>0.0</v>
      </c>
      <c r="DQ144" s="62">
        <v>0.0</v>
      </c>
      <c r="DR144" s="62">
        <v>0.0</v>
      </c>
      <c r="DS144" s="62">
        <v>0.0</v>
      </c>
      <c r="DT144" s="62">
        <v>0.0</v>
      </c>
      <c r="DU144" s="62">
        <v>0.0</v>
      </c>
      <c r="DV144" s="62">
        <v>0.0</v>
      </c>
      <c r="DW144" s="62">
        <v>0.0</v>
      </c>
      <c r="DX144" s="62">
        <v>0.0</v>
      </c>
      <c r="DY144" s="62">
        <v>0.0</v>
      </c>
      <c r="DZ144" s="62">
        <v>0.0</v>
      </c>
      <c r="EA144" s="62">
        <v>0.0</v>
      </c>
      <c r="EB144" s="62">
        <v>0.0</v>
      </c>
      <c r="EC144" s="62">
        <v>0.0</v>
      </c>
      <c r="ED144" s="62">
        <v>0.0</v>
      </c>
      <c r="EE144" s="62">
        <v>0.0</v>
      </c>
      <c r="EF144" s="62">
        <v>0.0</v>
      </c>
      <c r="EG144" s="62">
        <v>0.0</v>
      </c>
      <c r="EH144" s="62">
        <v>0.0</v>
      </c>
      <c r="EI144" s="62">
        <v>0.0</v>
      </c>
      <c r="EJ144" s="62">
        <v>0.0</v>
      </c>
      <c r="EK144" s="62">
        <v>1074624.0</v>
      </c>
      <c r="EL144" s="62">
        <v>137059.0</v>
      </c>
      <c r="EM144" s="62">
        <v>3095.0</v>
      </c>
      <c r="EN144" s="62">
        <v>0.0</v>
      </c>
      <c r="EO144" s="62">
        <v>0.0</v>
      </c>
      <c r="EP144" s="62">
        <v>173.0</v>
      </c>
      <c r="EQ144" s="62">
        <v>0.0</v>
      </c>
      <c r="ER144" s="62">
        <v>0.0</v>
      </c>
      <c r="ES144" s="62">
        <v>0.0</v>
      </c>
      <c r="ET144" s="62">
        <v>0.0</v>
      </c>
      <c r="EU144" s="62">
        <v>0.0</v>
      </c>
      <c r="EV144" s="62">
        <v>0.0</v>
      </c>
      <c r="EW144" s="62">
        <v>0.0</v>
      </c>
      <c r="EX144" s="62">
        <v>0.0</v>
      </c>
      <c r="EY144" s="62">
        <v>0.0</v>
      </c>
      <c r="EZ144" s="62">
        <v>0.0</v>
      </c>
      <c r="FA144" s="62">
        <v>0.0</v>
      </c>
      <c r="FB144" s="62">
        <v>0.0</v>
      </c>
      <c r="FC144" s="62">
        <v>0.0</v>
      </c>
      <c r="FD144" s="62">
        <v>0.0</v>
      </c>
      <c r="FE144" s="62">
        <v>0.0</v>
      </c>
      <c r="FF144" s="62">
        <v>0.0</v>
      </c>
      <c r="FG144" s="62">
        <v>0.0</v>
      </c>
      <c r="FH144" s="62">
        <v>0.0</v>
      </c>
      <c r="FI144" s="62">
        <v>0.0</v>
      </c>
      <c r="FJ144" s="62">
        <v>0.0</v>
      </c>
      <c r="FK144" s="62">
        <v>16989.0</v>
      </c>
      <c r="FL144" s="62">
        <v>0.0</v>
      </c>
      <c r="FM144" s="62">
        <v>0.0</v>
      </c>
      <c r="FN144" s="62">
        <v>0.0</v>
      </c>
      <c r="FO144" s="62">
        <v>0.0</v>
      </c>
      <c r="FP144" s="62">
        <v>0.0</v>
      </c>
      <c r="FQ144" s="62">
        <v>0.0</v>
      </c>
      <c r="FR144" s="62">
        <v>0.0</v>
      </c>
      <c r="FS144" s="62">
        <v>0.0</v>
      </c>
      <c r="FT144" s="62">
        <v>0.0</v>
      </c>
      <c r="FU144" s="62">
        <v>0.0</v>
      </c>
      <c r="FV144" s="62">
        <v>2422452.0</v>
      </c>
      <c r="FW144" s="62">
        <v>0.0</v>
      </c>
      <c r="FX144" s="62">
        <v>0.0</v>
      </c>
      <c r="FY144" s="62">
        <v>0.0</v>
      </c>
      <c r="FZ144" s="62">
        <v>0.0</v>
      </c>
      <c r="GA144" s="62">
        <v>441555.0</v>
      </c>
      <c r="GB144" s="62">
        <v>0.0</v>
      </c>
      <c r="GC144" s="62">
        <v>1121086.0</v>
      </c>
      <c r="GD144" s="62">
        <v>333.0</v>
      </c>
      <c r="GE144" s="62">
        <v>0.0</v>
      </c>
      <c r="GF144" s="63">
        <v>5468631.0</v>
      </c>
      <c r="GG144" s="64">
        <v>385098.0</v>
      </c>
      <c r="GH144" s="65">
        <v>0.0</v>
      </c>
      <c r="GI144" s="64">
        <v>0.0</v>
      </c>
      <c r="GJ144" s="64">
        <v>8667938.0</v>
      </c>
      <c r="GK144" s="64">
        <v>-3913926.0</v>
      </c>
      <c r="GL144" s="64">
        <v>6333981.0</v>
      </c>
      <c r="GM144" s="64">
        <v>26438.0</v>
      </c>
      <c r="GN144" s="63">
        <v>1.1499529E7</v>
      </c>
      <c r="GO144" s="66">
        <v>1.696816E7</v>
      </c>
      <c r="GP144" s="64">
        <v>1633222.0</v>
      </c>
      <c r="GQ144" s="64">
        <v>4998.0</v>
      </c>
      <c r="GR144" s="65">
        <v>0.0</v>
      </c>
      <c r="GS144" s="63">
        <v>1638220.0</v>
      </c>
      <c r="GT144" s="67">
        <v>1769740.0</v>
      </c>
      <c r="GU144" s="67">
        <v>1293107.0</v>
      </c>
      <c r="GV144" s="67">
        <v>116247.0</v>
      </c>
      <c r="GW144" s="63">
        <v>3179094.0</v>
      </c>
      <c r="GX144" s="63">
        <v>453816.0</v>
      </c>
      <c r="GY144" s="63">
        <v>1.169703E7</v>
      </c>
      <c r="GZ144" s="66">
        <v>1.696816E7</v>
      </c>
    </row>
    <row r="145" ht="15.75" customHeight="1">
      <c r="A145" s="68">
        <v>140.0</v>
      </c>
      <c r="B145" s="69" t="s">
        <v>185</v>
      </c>
      <c r="C145" s="70">
        <v>0.0</v>
      </c>
      <c r="D145" s="70">
        <v>0.0</v>
      </c>
      <c r="E145" s="70">
        <v>0.0</v>
      </c>
      <c r="F145" s="70">
        <v>0.0</v>
      </c>
      <c r="G145" s="70">
        <v>0.0</v>
      </c>
      <c r="H145" s="70">
        <v>0.0</v>
      </c>
      <c r="I145" s="70">
        <v>0.0</v>
      </c>
      <c r="J145" s="70">
        <v>0.0</v>
      </c>
      <c r="K145" s="70">
        <v>0.0</v>
      </c>
      <c r="L145" s="70">
        <v>0.0</v>
      </c>
      <c r="M145" s="70">
        <v>0.0</v>
      </c>
      <c r="N145" s="70">
        <v>0.0</v>
      </c>
      <c r="O145" s="70">
        <v>0.0</v>
      </c>
      <c r="P145" s="70">
        <v>0.0</v>
      </c>
      <c r="Q145" s="70">
        <v>0.0</v>
      </c>
      <c r="R145" s="70">
        <v>0.0</v>
      </c>
      <c r="S145" s="70">
        <v>0.0</v>
      </c>
      <c r="T145" s="70">
        <v>0.0</v>
      </c>
      <c r="U145" s="70">
        <v>0.0</v>
      </c>
      <c r="V145" s="70">
        <v>0.0</v>
      </c>
      <c r="W145" s="70">
        <v>0.0</v>
      </c>
      <c r="X145" s="70">
        <v>0.0</v>
      </c>
      <c r="Y145" s="70">
        <v>0.0</v>
      </c>
      <c r="Z145" s="70">
        <v>0.0</v>
      </c>
      <c r="AA145" s="70">
        <v>0.0</v>
      </c>
      <c r="AB145" s="70">
        <v>0.0</v>
      </c>
      <c r="AC145" s="70">
        <v>0.0</v>
      </c>
      <c r="AD145" s="70">
        <v>0.0</v>
      </c>
      <c r="AE145" s="70">
        <v>0.0</v>
      </c>
      <c r="AF145" s="70">
        <v>0.0</v>
      </c>
      <c r="AG145" s="70">
        <v>0.0</v>
      </c>
      <c r="AH145" s="70">
        <v>0.0</v>
      </c>
      <c r="AI145" s="70">
        <v>0.0</v>
      </c>
      <c r="AJ145" s="70">
        <v>0.0</v>
      </c>
      <c r="AK145" s="70">
        <v>0.0</v>
      </c>
      <c r="AL145" s="70">
        <v>0.0</v>
      </c>
      <c r="AM145" s="70">
        <v>0.0</v>
      </c>
      <c r="AN145" s="70">
        <v>0.0</v>
      </c>
      <c r="AO145" s="70">
        <v>0.0</v>
      </c>
      <c r="AP145" s="70">
        <v>0.0</v>
      </c>
      <c r="AQ145" s="70">
        <v>0.0</v>
      </c>
      <c r="AR145" s="70">
        <v>0.0</v>
      </c>
      <c r="AS145" s="70">
        <v>0.0</v>
      </c>
      <c r="AT145" s="70">
        <v>0.0</v>
      </c>
      <c r="AU145" s="70">
        <v>0.0</v>
      </c>
      <c r="AV145" s="70">
        <v>0.0</v>
      </c>
      <c r="AW145" s="70">
        <v>0.0</v>
      </c>
      <c r="AX145" s="70">
        <v>0.0</v>
      </c>
      <c r="AY145" s="70">
        <v>0.0</v>
      </c>
      <c r="AZ145" s="70">
        <v>0.0</v>
      </c>
      <c r="BA145" s="70">
        <v>0.0</v>
      </c>
      <c r="BB145" s="70">
        <v>0.0</v>
      </c>
      <c r="BC145" s="70">
        <v>0.0</v>
      </c>
      <c r="BD145" s="70">
        <v>0.0</v>
      </c>
      <c r="BE145" s="70">
        <v>0.0</v>
      </c>
      <c r="BF145" s="70">
        <v>0.0</v>
      </c>
      <c r="BG145" s="70">
        <v>0.0</v>
      </c>
      <c r="BH145" s="70">
        <v>0.0</v>
      </c>
      <c r="BI145" s="70">
        <v>0.0</v>
      </c>
      <c r="BJ145" s="70">
        <v>0.0</v>
      </c>
      <c r="BK145" s="70">
        <v>0.0</v>
      </c>
      <c r="BL145" s="70">
        <v>0.0</v>
      </c>
      <c r="BM145" s="70">
        <v>0.0</v>
      </c>
      <c r="BN145" s="70">
        <v>0.0</v>
      </c>
      <c r="BO145" s="70">
        <v>0.0</v>
      </c>
      <c r="BP145" s="70">
        <v>0.0</v>
      </c>
      <c r="BQ145" s="70">
        <v>0.0</v>
      </c>
      <c r="BR145" s="70">
        <v>0.0</v>
      </c>
      <c r="BS145" s="70">
        <v>0.0</v>
      </c>
      <c r="BT145" s="70">
        <v>0.0</v>
      </c>
      <c r="BU145" s="70">
        <v>0.0</v>
      </c>
      <c r="BV145" s="70">
        <v>0.0</v>
      </c>
      <c r="BW145" s="70">
        <v>0.0</v>
      </c>
      <c r="BX145" s="70">
        <v>0.0</v>
      </c>
      <c r="BY145" s="70">
        <v>0.0</v>
      </c>
      <c r="BZ145" s="70">
        <v>0.0</v>
      </c>
      <c r="CA145" s="70">
        <v>0.0</v>
      </c>
      <c r="CB145" s="70">
        <v>0.0</v>
      </c>
      <c r="CC145" s="70">
        <v>0.0</v>
      </c>
      <c r="CD145" s="70">
        <v>0.0</v>
      </c>
      <c r="CE145" s="70">
        <v>0.0</v>
      </c>
      <c r="CF145" s="70">
        <v>0.0</v>
      </c>
      <c r="CG145" s="70">
        <v>0.0</v>
      </c>
      <c r="CH145" s="70">
        <v>0.0</v>
      </c>
      <c r="CI145" s="70">
        <v>0.0</v>
      </c>
      <c r="CJ145" s="70">
        <v>0.0</v>
      </c>
      <c r="CK145" s="70">
        <v>0.0</v>
      </c>
      <c r="CL145" s="70">
        <v>0.0</v>
      </c>
      <c r="CM145" s="70">
        <v>0.0</v>
      </c>
      <c r="CN145" s="70">
        <v>0.0</v>
      </c>
      <c r="CO145" s="70">
        <v>0.0</v>
      </c>
      <c r="CP145" s="70">
        <v>0.0</v>
      </c>
      <c r="CQ145" s="70">
        <v>130078.0</v>
      </c>
      <c r="CR145" s="70">
        <v>0.0</v>
      </c>
      <c r="CS145" s="70">
        <v>0.0</v>
      </c>
      <c r="CT145" s="70">
        <v>0.0</v>
      </c>
      <c r="CU145" s="70">
        <v>0.0</v>
      </c>
      <c r="CV145" s="70">
        <v>0.0</v>
      </c>
      <c r="CW145" s="70">
        <v>0.0</v>
      </c>
      <c r="CX145" s="70">
        <v>0.0</v>
      </c>
      <c r="CY145" s="70">
        <v>0.0</v>
      </c>
      <c r="CZ145" s="70">
        <v>0.0</v>
      </c>
      <c r="DA145" s="70">
        <v>0.0</v>
      </c>
      <c r="DB145" s="70">
        <v>0.0</v>
      </c>
      <c r="DC145" s="70">
        <v>0.0</v>
      </c>
      <c r="DD145" s="70">
        <v>0.0</v>
      </c>
      <c r="DE145" s="70">
        <v>0.0</v>
      </c>
      <c r="DF145" s="70">
        <v>0.0</v>
      </c>
      <c r="DG145" s="70">
        <v>0.0</v>
      </c>
      <c r="DH145" s="70">
        <v>0.0</v>
      </c>
      <c r="DI145" s="70">
        <v>0.0</v>
      </c>
      <c r="DJ145" s="70">
        <v>0.0</v>
      </c>
      <c r="DK145" s="70">
        <v>0.0</v>
      </c>
      <c r="DL145" s="70">
        <v>0.0</v>
      </c>
      <c r="DM145" s="70">
        <v>0.0</v>
      </c>
      <c r="DN145" s="70">
        <v>0.0</v>
      </c>
      <c r="DO145" s="70">
        <v>0.0</v>
      </c>
      <c r="DP145" s="70">
        <v>0.0</v>
      </c>
      <c r="DQ145" s="70">
        <v>0.0</v>
      </c>
      <c r="DR145" s="70">
        <v>0.0</v>
      </c>
      <c r="DS145" s="70">
        <v>0.0</v>
      </c>
      <c r="DT145" s="70">
        <v>0.0</v>
      </c>
      <c r="DU145" s="70">
        <v>0.0</v>
      </c>
      <c r="DV145" s="70">
        <v>0.0</v>
      </c>
      <c r="DW145" s="70">
        <v>0.0</v>
      </c>
      <c r="DX145" s="70">
        <v>0.0</v>
      </c>
      <c r="DY145" s="70">
        <v>0.0</v>
      </c>
      <c r="DZ145" s="70">
        <v>0.0</v>
      </c>
      <c r="EA145" s="70">
        <v>0.0</v>
      </c>
      <c r="EB145" s="70">
        <v>0.0</v>
      </c>
      <c r="EC145" s="70">
        <v>0.0</v>
      </c>
      <c r="ED145" s="70">
        <v>0.0</v>
      </c>
      <c r="EE145" s="70">
        <v>0.0</v>
      </c>
      <c r="EF145" s="70">
        <v>0.0</v>
      </c>
      <c r="EG145" s="70">
        <v>0.0</v>
      </c>
      <c r="EH145" s="70">
        <v>0.0</v>
      </c>
      <c r="EI145" s="70">
        <v>0.0</v>
      </c>
      <c r="EJ145" s="70">
        <v>0.0</v>
      </c>
      <c r="EK145" s="70">
        <v>326573.0</v>
      </c>
      <c r="EL145" s="70">
        <v>212314.0</v>
      </c>
      <c r="EM145" s="70">
        <v>633.0</v>
      </c>
      <c r="EN145" s="70">
        <v>0.0</v>
      </c>
      <c r="EO145" s="70">
        <v>0.0</v>
      </c>
      <c r="EP145" s="70">
        <v>446.0</v>
      </c>
      <c r="EQ145" s="70">
        <v>0.0</v>
      </c>
      <c r="ER145" s="70">
        <v>0.0</v>
      </c>
      <c r="ES145" s="70">
        <v>0.0</v>
      </c>
      <c r="ET145" s="70">
        <v>87.0</v>
      </c>
      <c r="EU145" s="70">
        <v>0.0</v>
      </c>
      <c r="EV145" s="70">
        <v>0.0</v>
      </c>
      <c r="EW145" s="70">
        <v>0.0</v>
      </c>
      <c r="EX145" s="70">
        <v>0.0</v>
      </c>
      <c r="EY145" s="70">
        <v>0.0</v>
      </c>
      <c r="EZ145" s="70">
        <v>0.0</v>
      </c>
      <c r="FA145" s="70">
        <v>0.0</v>
      </c>
      <c r="FB145" s="70">
        <v>0.0</v>
      </c>
      <c r="FC145" s="70">
        <v>0.0</v>
      </c>
      <c r="FD145" s="70">
        <v>0.0</v>
      </c>
      <c r="FE145" s="70">
        <v>0.0</v>
      </c>
      <c r="FF145" s="70">
        <v>0.0</v>
      </c>
      <c r="FG145" s="70">
        <v>0.0</v>
      </c>
      <c r="FH145" s="70">
        <v>0.0</v>
      </c>
      <c r="FI145" s="70">
        <v>0.0</v>
      </c>
      <c r="FJ145" s="70">
        <v>618.0</v>
      </c>
      <c r="FK145" s="70">
        <v>2301.0</v>
      </c>
      <c r="FL145" s="70">
        <v>0.0</v>
      </c>
      <c r="FM145" s="70">
        <v>0.0</v>
      </c>
      <c r="FN145" s="70">
        <v>0.0</v>
      </c>
      <c r="FO145" s="70">
        <v>0.0</v>
      </c>
      <c r="FP145" s="70">
        <v>0.0</v>
      </c>
      <c r="FQ145" s="70">
        <v>0.0</v>
      </c>
      <c r="FR145" s="70">
        <v>0.0</v>
      </c>
      <c r="FS145" s="70">
        <v>0.0</v>
      </c>
      <c r="FT145" s="70">
        <v>0.0</v>
      </c>
      <c r="FU145" s="70">
        <v>0.0</v>
      </c>
      <c r="FV145" s="70">
        <v>2825204.0</v>
      </c>
      <c r="FW145" s="70">
        <v>34986.0</v>
      </c>
      <c r="FX145" s="70">
        <v>377224.0</v>
      </c>
      <c r="FY145" s="70">
        <v>33935.0</v>
      </c>
      <c r="FZ145" s="70">
        <v>2812.0</v>
      </c>
      <c r="GA145" s="70">
        <v>509373.0</v>
      </c>
      <c r="GB145" s="70">
        <v>64043.0</v>
      </c>
      <c r="GC145" s="70">
        <v>1094434.0</v>
      </c>
      <c r="GD145" s="70">
        <v>5725.0</v>
      </c>
      <c r="GE145" s="70">
        <v>0.0</v>
      </c>
      <c r="GF145" s="71">
        <v>5620786.0</v>
      </c>
      <c r="GG145" s="72">
        <v>4099852.0</v>
      </c>
      <c r="GH145" s="73">
        <v>0.0</v>
      </c>
      <c r="GI145" s="72">
        <v>0.0</v>
      </c>
      <c r="GJ145" s="72">
        <v>7622008.0</v>
      </c>
      <c r="GK145" s="72">
        <v>1411071.0</v>
      </c>
      <c r="GL145" s="72">
        <v>3234027.0</v>
      </c>
      <c r="GM145" s="72">
        <v>31108.0</v>
      </c>
      <c r="GN145" s="71">
        <v>1.6398066E7</v>
      </c>
      <c r="GO145" s="74">
        <v>2.2018852E7</v>
      </c>
      <c r="GP145" s="72">
        <v>2742685.0</v>
      </c>
      <c r="GQ145" s="72">
        <v>6390.0</v>
      </c>
      <c r="GR145" s="73">
        <v>0.0</v>
      </c>
      <c r="GS145" s="71">
        <v>2749075.0</v>
      </c>
      <c r="GT145" s="75">
        <v>1430262.0</v>
      </c>
      <c r="GU145" s="75">
        <v>1112143.0</v>
      </c>
      <c r="GV145" s="75">
        <v>404497.0</v>
      </c>
      <c r="GW145" s="71">
        <v>2946902.0</v>
      </c>
      <c r="GX145" s="71">
        <v>483823.0</v>
      </c>
      <c r="GY145" s="71">
        <v>1.5839052E7</v>
      </c>
      <c r="GZ145" s="74">
        <v>2.2018852E7</v>
      </c>
    </row>
    <row r="146" ht="15.75" customHeight="1">
      <c r="A146" s="52">
        <v>141.0</v>
      </c>
      <c r="B146" s="53" t="s">
        <v>186</v>
      </c>
      <c r="C146" s="54">
        <v>0.0</v>
      </c>
      <c r="D146" s="54">
        <v>0.0</v>
      </c>
      <c r="E146" s="54">
        <v>0.0</v>
      </c>
      <c r="F146" s="54">
        <v>0.0</v>
      </c>
      <c r="G146" s="54">
        <v>0.0</v>
      </c>
      <c r="H146" s="54">
        <v>0.0</v>
      </c>
      <c r="I146" s="54">
        <v>0.0</v>
      </c>
      <c r="J146" s="54">
        <v>0.0</v>
      </c>
      <c r="K146" s="54">
        <v>0.0</v>
      </c>
      <c r="L146" s="54">
        <v>0.0</v>
      </c>
      <c r="M146" s="54">
        <v>0.0</v>
      </c>
      <c r="N146" s="54">
        <v>0.0</v>
      </c>
      <c r="O146" s="54">
        <v>0.0</v>
      </c>
      <c r="P146" s="54">
        <v>0.0</v>
      </c>
      <c r="Q146" s="54">
        <v>0.0</v>
      </c>
      <c r="R146" s="54">
        <v>0.0</v>
      </c>
      <c r="S146" s="54">
        <v>0.0</v>
      </c>
      <c r="T146" s="54">
        <v>0.0</v>
      </c>
      <c r="U146" s="54">
        <v>0.0</v>
      </c>
      <c r="V146" s="54">
        <v>0.0</v>
      </c>
      <c r="W146" s="54">
        <v>0.0</v>
      </c>
      <c r="X146" s="54">
        <v>0.0</v>
      </c>
      <c r="Y146" s="54">
        <v>0.0</v>
      </c>
      <c r="Z146" s="54">
        <v>0.0</v>
      </c>
      <c r="AA146" s="54">
        <v>0.0</v>
      </c>
      <c r="AB146" s="54">
        <v>0.0</v>
      </c>
      <c r="AC146" s="54">
        <v>0.0</v>
      </c>
      <c r="AD146" s="54">
        <v>0.0</v>
      </c>
      <c r="AE146" s="54">
        <v>0.0</v>
      </c>
      <c r="AF146" s="54">
        <v>0.0</v>
      </c>
      <c r="AG146" s="54">
        <v>0.0</v>
      </c>
      <c r="AH146" s="54">
        <v>0.0</v>
      </c>
      <c r="AI146" s="54">
        <v>0.0</v>
      </c>
      <c r="AJ146" s="54">
        <v>0.0</v>
      </c>
      <c r="AK146" s="54">
        <v>0.0</v>
      </c>
      <c r="AL146" s="54">
        <v>0.0</v>
      </c>
      <c r="AM146" s="54">
        <v>0.0</v>
      </c>
      <c r="AN146" s="54">
        <v>0.0</v>
      </c>
      <c r="AO146" s="54">
        <v>0.0</v>
      </c>
      <c r="AP146" s="54">
        <v>0.0</v>
      </c>
      <c r="AQ146" s="54">
        <v>0.0</v>
      </c>
      <c r="AR146" s="54">
        <v>0.0</v>
      </c>
      <c r="AS146" s="54">
        <v>0.0</v>
      </c>
      <c r="AT146" s="54">
        <v>0.0</v>
      </c>
      <c r="AU146" s="54">
        <v>0.0</v>
      </c>
      <c r="AV146" s="54">
        <v>0.0</v>
      </c>
      <c r="AW146" s="54">
        <v>0.0</v>
      </c>
      <c r="AX146" s="54">
        <v>0.0</v>
      </c>
      <c r="AY146" s="54">
        <v>0.0</v>
      </c>
      <c r="AZ146" s="54">
        <v>0.0</v>
      </c>
      <c r="BA146" s="54">
        <v>0.0</v>
      </c>
      <c r="BB146" s="54">
        <v>0.0</v>
      </c>
      <c r="BC146" s="54">
        <v>0.0</v>
      </c>
      <c r="BD146" s="54">
        <v>0.0</v>
      </c>
      <c r="BE146" s="54">
        <v>0.0</v>
      </c>
      <c r="BF146" s="54">
        <v>0.0</v>
      </c>
      <c r="BG146" s="54">
        <v>0.0</v>
      </c>
      <c r="BH146" s="54">
        <v>0.0</v>
      </c>
      <c r="BI146" s="54">
        <v>0.0</v>
      </c>
      <c r="BJ146" s="54">
        <v>0.0</v>
      </c>
      <c r="BK146" s="54">
        <v>0.0</v>
      </c>
      <c r="BL146" s="54">
        <v>0.0</v>
      </c>
      <c r="BM146" s="54">
        <v>0.0</v>
      </c>
      <c r="BN146" s="54">
        <v>0.0</v>
      </c>
      <c r="BO146" s="54">
        <v>0.0</v>
      </c>
      <c r="BP146" s="54">
        <v>0.0</v>
      </c>
      <c r="BQ146" s="54">
        <v>0.0</v>
      </c>
      <c r="BR146" s="54">
        <v>0.0</v>
      </c>
      <c r="BS146" s="54">
        <v>0.0</v>
      </c>
      <c r="BT146" s="54">
        <v>0.0</v>
      </c>
      <c r="BU146" s="54">
        <v>0.0</v>
      </c>
      <c r="BV146" s="54">
        <v>0.0</v>
      </c>
      <c r="BW146" s="54">
        <v>0.0</v>
      </c>
      <c r="BX146" s="54">
        <v>0.0</v>
      </c>
      <c r="BY146" s="54">
        <v>0.0</v>
      </c>
      <c r="BZ146" s="54">
        <v>0.0</v>
      </c>
      <c r="CA146" s="54">
        <v>0.0</v>
      </c>
      <c r="CB146" s="54">
        <v>0.0</v>
      </c>
      <c r="CC146" s="54">
        <v>0.0</v>
      </c>
      <c r="CD146" s="54">
        <v>0.0</v>
      </c>
      <c r="CE146" s="54">
        <v>0.0</v>
      </c>
      <c r="CF146" s="54">
        <v>0.0</v>
      </c>
      <c r="CG146" s="54">
        <v>0.0</v>
      </c>
      <c r="CH146" s="54">
        <v>0.0</v>
      </c>
      <c r="CI146" s="54">
        <v>0.0</v>
      </c>
      <c r="CJ146" s="54">
        <v>0.0</v>
      </c>
      <c r="CK146" s="54">
        <v>0.0</v>
      </c>
      <c r="CL146" s="54">
        <v>0.0</v>
      </c>
      <c r="CM146" s="54">
        <v>0.0</v>
      </c>
      <c r="CN146" s="54">
        <v>0.0</v>
      </c>
      <c r="CO146" s="54">
        <v>0.0</v>
      </c>
      <c r="CP146" s="54">
        <v>0.0</v>
      </c>
      <c r="CQ146" s="54">
        <v>0.0</v>
      </c>
      <c r="CR146" s="54">
        <v>0.0</v>
      </c>
      <c r="CS146" s="54">
        <v>0.0</v>
      </c>
      <c r="CT146" s="54">
        <v>0.0</v>
      </c>
      <c r="CU146" s="54">
        <v>0.0</v>
      </c>
      <c r="CV146" s="54">
        <v>0.0</v>
      </c>
      <c r="CW146" s="54">
        <v>0.0</v>
      </c>
      <c r="CX146" s="54">
        <v>0.0</v>
      </c>
      <c r="CY146" s="54">
        <v>0.0</v>
      </c>
      <c r="CZ146" s="54">
        <v>0.0</v>
      </c>
      <c r="DA146" s="54">
        <v>0.0</v>
      </c>
      <c r="DB146" s="54">
        <v>0.0</v>
      </c>
      <c r="DC146" s="54">
        <v>0.0</v>
      </c>
      <c r="DD146" s="54">
        <v>0.0</v>
      </c>
      <c r="DE146" s="54">
        <v>0.0</v>
      </c>
      <c r="DF146" s="54">
        <v>0.0</v>
      </c>
      <c r="DG146" s="54">
        <v>0.0</v>
      </c>
      <c r="DH146" s="54">
        <v>0.0</v>
      </c>
      <c r="DI146" s="54">
        <v>0.0</v>
      </c>
      <c r="DJ146" s="54">
        <v>0.0</v>
      </c>
      <c r="DK146" s="54">
        <v>0.0</v>
      </c>
      <c r="DL146" s="54">
        <v>0.0</v>
      </c>
      <c r="DM146" s="54">
        <v>0.0</v>
      </c>
      <c r="DN146" s="54">
        <v>0.0</v>
      </c>
      <c r="DO146" s="54">
        <v>0.0</v>
      </c>
      <c r="DP146" s="54">
        <v>0.0</v>
      </c>
      <c r="DQ146" s="54">
        <v>0.0</v>
      </c>
      <c r="DR146" s="54">
        <v>0.0</v>
      </c>
      <c r="DS146" s="54">
        <v>0.0</v>
      </c>
      <c r="DT146" s="54">
        <v>0.0</v>
      </c>
      <c r="DU146" s="54">
        <v>0.0</v>
      </c>
      <c r="DV146" s="54">
        <v>0.0</v>
      </c>
      <c r="DW146" s="54">
        <v>0.0</v>
      </c>
      <c r="DX146" s="54">
        <v>0.0</v>
      </c>
      <c r="DY146" s="54">
        <v>0.0</v>
      </c>
      <c r="DZ146" s="54">
        <v>0.0</v>
      </c>
      <c r="EA146" s="54">
        <v>0.0</v>
      </c>
      <c r="EB146" s="54">
        <v>0.0</v>
      </c>
      <c r="EC146" s="54">
        <v>0.0</v>
      </c>
      <c r="ED146" s="54">
        <v>0.0</v>
      </c>
      <c r="EE146" s="54">
        <v>0.0</v>
      </c>
      <c r="EF146" s="54">
        <v>0.0</v>
      </c>
      <c r="EG146" s="54">
        <v>0.0</v>
      </c>
      <c r="EH146" s="54">
        <v>0.0</v>
      </c>
      <c r="EI146" s="54">
        <v>0.0</v>
      </c>
      <c r="EJ146" s="54">
        <v>0.0</v>
      </c>
      <c r="EK146" s="54">
        <v>0.0</v>
      </c>
      <c r="EL146" s="54">
        <v>0.0</v>
      </c>
      <c r="EM146" s="54">
        <v>44526.0</v>
      </c>
      <c r="EN146" s="54">
        <v>0.0</v>
      </c>
      <c r="EO146" s="54">
        <v>0.0</v>
      </c>
      <c r="EP146" s="54">
        <v>0.0</v>
      </c>
      <c r="EQ146" s="54">
        <v>0.0</v>
      </c>
      <c r="ER146" s="54">
        <v>0.0</v>
      </c>
      <c r="ES146" s="54">
        <v>0.0</v>
      </c>
      <c r="ET146" s="54">
        <v>0.0</v>
      </c>
      <c r="EU146" s="54">
        <v>0.0</v>
      </c>
      <c r="EV146" s="54">
        <v>0.0</v>
      </c>
      <c r="EW146" s="54">
        <v>0.0</v>
      </c>
      <c r="EX146" s="54">
        <v>0.0</v>
      </c>
      <c r="EY146" s="54">
        <v>0.0</v>
      </c>
      <c r="EZ146" s="54">
        <v>0.0</v>
      </c>
      <c r="FA146" s="54">
        <v>0.0</v>
      </c>
      <c r="FB146" s="54">
        <v>0.0</v>
      </c>
      <c r="FC146" s="54">
        <v>0.0</v>
      </c>
      <c r="FD146" s="54">
        <v>0.0</v>
      </c>
      <c r="FE146" s="54">
        <v>0.0</v>
      </c>
      <c r="FF146" s="54">
        <v>0.0</v>
      </c>
      <c r="FG146" s="54">
        <v>0.0</v>
      </c>
      <c r="FH146" s="54">
        <v>0.0</v>
      </c>
      <c r="FI146" s="54">
        <v>0.0</v>
      </c>
      <c r="FJ146" s="54">
        <v>1203.0</v>
      </c>
      <c r="FK146" s="54">
        <v>6790.0</v>
      </c>
      <c r="FL146" s="54">
        <v>0.0</v>
      </c>
      <c r="FM146" s="54">
        <v>0.0</v>
      </c>
      <c r="FN146" s="54">
        <v>0.0</v>
      </c>
      <c r="FO146" s="54">
        <v>0.0</v>
      </c>
      <c r="FP146" s="54">
        <v>0.0</v>
      </c>
      <c r="FQ146" s="54">
        <v>0.0</v>
      </c>
      <c r="FR146" s="54">
        <v>0.0</v>
      </c>
      <c r="FS146" s="54">
        <v>0.0</v>
      </c>
      <c r="FT146" s="54">
        <v>0.0</v>
      </c>
      <c r="FU146" s="54">
        <v>0.0</v>
      </c>
      <c r="FV146" s="54">
        <v>748436.0</v>
      </c>
      <c r="FW146" s="54">
        <v>0.0</v>
      </c>
      <c r="FX146" s="54">
        <v>3441.0</v>
      </c>
      <c r="FY146" s="54">
        <v>1820.0</v>
      </c>
      <c r="FZ146" s="54">
        <v>0.0</v>
      </c>
      <c r="GA146" s="54">
        <v>71488.0</v>
      </c>
      <c r="GB146" s="54">
        <v>39010.0</v>
      </c>
      <c r="GC146" s="54">
        <v>1706655.0</v>
      </c>
      <c r="GD146" s="54">
        <v>0.0</v>
      </c>
      <c r="GE146" s="54">
        <v>0.0</v>
      </c>
      <c r="GF146" s="55">
        <v>2623369.0</v>
      </c>
      <c r="GG146" s="56">
        <v>1.2278426E7</v>
      </c>
      <c r="GH146" s="57">
        <v>0.0</v>
      </c>
      <c r="GI146" s="56">
        <v>0.0</v>
      </c>
      <c r="GJ146" s="56">
        <v>921189.0</v>
      </c>
      <c r="GK146" s="56">
        <v>1116671.0</v>
      </c>
      <c r="GL146" s="56">
        <v>5779722.0</v>
      </c>
      <c r="GM146" s="56">
        <v>35438.0</v>
      </c>
      <c r="GN146" s="55">
        <v>2.0131446E7</v>
      </c>
      <c r="GO146" s="58">
        <v>2.2754815E7</v>
      </c>
      <c r="GP146" s="56">
        <v>2542336.0</v>
      </c>
      <c r="GQ146" s="56">
        <v>6970.0</v>
      </c>
      <c r="GR146" s="57">
        <v>0.0</v>
      </c>
      <c r="GS146" s="55">
        <v>2549306.0</v>
      </c>
      <c r="GT146" s="59">
        <v>2021105.0</v>
      </c>
      <c r="GU146" s="59">
        <v>2708142.0</v>
      </c>
      <c r="GV146" s="59">
        <v>531473.0</v>
      </c>
      <c r="GW146" s="55">
        <v>5260720.0</v>
      </c>
      <c r="GX146" s="55">
        <v>614097.0</v>
      </c>
      <c r="GY146" s="55">
        <v>1.4330692E7</v>
      </c>
      <c r="GZ146" s="58">
        <v>2.2754815E7</v>
      </c>
    </row>
    <row r="147" ht="15.75" customHeight="1">
      <c r="A147" s="60">
        <v>142.0</v>
      </c>
      <c r="B147" s="61" t="s">
        <v>187</v>
      </c>
      <c r="C147" s="62">
        <v>0.0</v>
      </c>
      <c r="D147" s="62">
        <v>0.0</v>
      </c>
      <c r="E147" s="62">
        <v>0.0</v>
      </c>
      <c r="F147" s="62">
        <v>0.0</v>
      </c>
      <c r="G147" s="62">
        <v>0.0</v>
      </c>
      <c r="H147" s="62">
        <v>0.0</v>
      </c>
      <c r="I147" s="62">
        <v>0.0</v>
      </c>
      <c r="J147" s="62">
        <v>0.0</v>
      </c>
      <c r="K147" s="62">
        <v>0.0</v>
      </c>
      <c r="L147" s="62">
        <v>134.0</v>
      </c>
      <c r="M147" s="62">
        <v>163.0</v>
      </c>
      <c r="N147" s="62">
        <v>142.0</v>
      </c>
      <c r="O147" s="62">
        <v>403.0</v>
      </c>
      <c r="P147" s="62">
        <v>62.0</v>
      </c>
      <c r="Q147" s="62">
        <v>380.0</v>
      </c>
      <c r="R147" s="62">
        <v>193.0</v>
      </c>
      <c r="S147" s="62">
        <v>69.0</v>
      </c>
      <c r="T147" s="62">
        <v>188.0</v>
      </c>
      <c r="U147" s="62">
        <v>0.0</v>
      </c>
      <c r="V147" s="62">
        <v>0.0</v>
      </c>
      <c r="W147" s="62">
        <v>0.0</v>
      </c>
      <c r="X147" s="62">
        <v>0.0</v>
      </c>
      <c r="Y147" s="62">
        <v>0.0</v>
      </c>
      <c r="Z147" s="62">
        <v>0.0</v>
      </c>
      <c r="AA147" s="62">
        <v>0.0</v>
      </c>
      <c r="AB147" s="62">
        <v>191.0</v>
      </c>
      <c r="AC147" s="62">
        <v>276.0</v>
      </c>
      <c r="AD147" s="62">
        <v>774.0</v>
      </c>
      <c r="AE147" s="62">
        <v>20.0</v>
      </c>
      <c r="AF147" s="62">
        <v>904.0</v>
      </c>
      <c r="AG147" s="62">
        <v>37.0</v>
      </c>
      <c r="AH147" s="62">
        <v>4.0</v>
      </c>
      <c r="AI147" s="62">
        <v>17.0</v>
      </c>
      <c r="AJ147" s="62">
        <v>0.0</v>
      </c>
      <c r="AK147" s="62">
        <v>0.0</v>
      </c>
      <c r="AL147" s="62">
        <v>74.0</v>
      </c>
      <c r="AM147" s="62">
        <v>28346.0</v>
      </c>
      <c r="AN147" s="62">
        <v>8914.0</v>
      </c>
      <c r="AO147" s="62">
        <v>29614.0</v>
      </c>
      <c r="AP147" s="62">
        <v>1944.0</v>
      </c>
      <c r="AQ147" s="62">
        <v>7424.0</v>
      </c>
      <c r="AR147" s="62">
        <v>3978.0</v>
      </c>
      <c r="AS147" s="62">
        <v>29939.0</v>
      </c>
      <c r="AT147" s="62">
        <v>1781.0</v>
      </c>
      <c r="AU147" s="62">
        <v>2637.0</v>
      </c>
      <c r="AV147" s="62">
        <v>23126.0</v>
      </c>
      <c r="AW147" s="62">
        <v>1024.0</v>
      </c>
      <c r="AX147" s="62">
        <v>3517.0</v>
      </c>
      <c r="AY147" s="62">
        <v>297.0</v>
      </c>
      <c r="AZ147" s="62">
        <v>20.0</v>
      </c>
      <c r="BA147" s="62">
        <v>46.0</v>
      </c>
      <c r="BB147" s="62">
        <v>35.0</v>
      </c>
      <c r="BC147" s="62">
        <v>677.0</v>
      </c>
      <c r="BD147" s="62">
        <v>56.0</v>
      </c>
      <c r="BE147" s="62">
        <v>52.0</v>
      </c>
      <c r="BF147" s="62">
        <v>207.0</v>
      </c>
      <c r="BG147" s="62">
        <v>2072.0</v>
      </c>
      <c r="BH147" s="62">
        <v>11401.0</v>
      </c>
      <c r="BI147" s="62">
        <v>284.0</v>
      </c>
      <c r="BJ147" s="62">
        <v>176.0</v>
      </c>
      <c r="BK147" s="62">
        <v>203.0</v>
      </c>
      <c r="BL147" s="62">
        <v>92.0</v>
      </c>
      <c r="BM147" s="62">
        <v>21.0</v>
      </c>
      <c r="BN147" s="62">
        <v>72.0</v>
      </c>
      <c r="BO147" s="62">
        <v>221.0</v>
      </c>
      <c r="BP147" s="62">
        <v>74.0</v>
      </c>
      <c r="BQ147" s="62">
        <v>93.0</v>
      </c>
      <c r="BR147" s="62">
        <v>110.0</v>
      </c>
      <c r="BS147" s="62">
        <v>65.0</v>
      </c>
      <c r="BT147" s="62">
        <v>7552.0</v>
      </c>
      <c r="BU147" s="62">
        <v>926.0</v>
      </c>
      <c r="BV147" s="62">
        <v>2400.0</v>
      </c>
      <c r="BW147" s="62">
        <v>166.0</v>
      </c>
      <c r="BX147" s="62">
        <v>782.0</v>
      </c>
      <c r="BY147" s="62">
        <v>2518.0</v>
      </c>
      <c r="BZ147" s="62">
        <v>76.0</v>
      </c>
      <c r="CA147" s="62">
        <v>0.0</v>
      </c>
      <c r="CB147" s="62">
        <v>0.0</v>
      </c>
      <c r="CC147" s="62">
        <v>0.0</v>
      </c>
      <c r="CD147" s="62">
        <v>0.0</v>
      </c>
      <c r="CE147" s="62">
        <v>0.0</v>
      </c>
      <c r="CF147" s="62">
        <v>0.0</v>
      </c>
      <c r="CG147" s="62">
        <v>0.0</v>
      </c>
      <c r="CH147" s="62">
        <v>0.0</v>
      </c>
      <c r="CI147" s="62">
        <v>0.0</v>
      </c>
      <c r="CJ147" s="62">
        <v>64.0</v>
      </c>
      <c r="CK147" s="62">
        <v>200.0</v>
      </c>
      <c r="CL147" s="62">
        <v>173.0</v>
      </c>
      <c r="CM147" s="62">
        <v>298.0</v>
      </c>
      <c r="CN147" s="62">
        <v>298.0</v>
      </c>
      <c r="CO147" s="62">
        <v>105.0</v>
      </c>
      <c r="CP147" s="62">
        <v>133.0</v>
      </c>
      <c r="CQ147" s="62">
        <v>0.0</v>
      </c>
      <c r="CR147" s="62">
        <v>1405.0</v>
      </c>
      <c r="CS147" s="62">
        <v>2410.0</v>
      </c>
      <c r="CT147" s="62">
        <v>329958.0</v>
      </c>
      <c r="CU147" s="62">
        <v>90092.0</v>
      </c>
      <c r="CV147" s="62">
        <v>2074.0</v>
      </c>
      <c r="CW147" s="62">
        <v>1022.0</v>
      </c>
      <c r="CX147" s="62">
        <v>263.0</v>
      </c>
      <c r="CY147" s="62">
        <v>208.0</v>
      </c>
      <c r="CZ147" s="62">
        <v>255.0</v>
      </c>
      <c r="DA147" s="62">
        <v>85248.0</v>
      </c>
      <c r="DB147" s="62">
        <v>74.0</v>
      </c>
      <c r="DC147" s="62">
        <v>3988169.0</v>
      </c>
      <c r="DD147" s="62">
        <v>260.0</v>
      </c>
      <c r="DE147" s="62">
        <v>6878.0</v>
      </c>
      <c r="DF147" s="62">
        <v>4081.0</v>
      </c>
      <c r="DG147" s="62">
        <v>1377.0</v>
      </c>
      <c r="DH147" s="62">
        <v>12493.0</v>
      </c>
      <c r="DI147" s="62">
        <v>1171.0</v>
      </c>
      <c r="DJ147" s="62">
        <v>969.0</v>
      </c>
      <c r="DK147" s="62">
        <v>191263.0</v>
      </c>
      <c r="DL147" s="62">
        <v>201.0</v>
      </c>
      <c r="DM147" s="62">
        <v>33661.0</v>
      </c>
      <c r="DN147" s="62">
        <v>2524.0</v>
      </c>
      <c r="DO147" s="62">
        <v>11268.0</v>
      </c>
      <c r="DP147" s="62">
        <v>110.0</v>
      </c>
      <c r="DQ147" s="62">
        <v>19581.0</v>
      </c>
      <c r="DR147" s="62">
        <v>134139.0</v>
      </c>
      <c r="DS147" s="62">
        <v>1174168.0</v>
      </c>
      <c r="DT147" s="62">
        <v>313226.0</v>
      </c>
      <c r="DU147" s="62">
        <v>69023.0</v>
      </c>
      <c r="DV147" s="62">
        <v>85787.0</v>
      </c>
      <c r="DW147" s="62">
        <v>107988.0</v>
      </c>
      <c r="DX147" s="62">
        <v>27474.0</v>
      </c>
      <c r="DY147" s="62">
        <v>86337.0</v>
      </c>
      <c r="DZ147" s="62">
        <v>38466.0</v>
      </c>
      <c r="EA147" s="62">
        <v>478.0</v>
      </c>
      <c r="EB147" s="62">
        <v>659.0</v>
      </c>
      <c r="EC147" s="62">
        <v>863.0</v>
      </c>
      <c r="ED147" s="62">
        <v>840.0</v>
      </c>
      <c r="EE147" s="62">
        <v>1104.0</v>
      </c>
      <c r="EF147" s="62">
        <v>23656.0</v>
      </c>
      <c r="EG147" s="62">
        <v>1133.0</v>
      </c>
      <c r="EH147" s="62">
        <v>780876.0</v>
      </c>
      <c r="EI147" s="62">
        <v>536.0</v>
      </c>
      <c r="EJ147" s="62">
        <v>18977.0</v>
      </c>
      <c r="EK147" s="62">
        <v>0.0</v>
      </c>
      <c r="EL147" s="62">
        <v>3681.0</v>
      </c>
      <c r="EM147" s="62">
        <v>7410.0</v>
      </c>
      <c r="EN147" s="62">
        <v>7018953.0</v>
      </c>
      <c r="EO147" s="62">
        <v>587.0</v>
      </c>
      <c r="EP147" s="62">
        <v>745669.0</v>
      </c>
      <c r="EQ147" s="62">
        <v>381.0</v>
      </c>
      <c r="ER147" s="62">
        <v>301.0</v>
      </c>
      <c r="ES147" s="62">
        <v>116.0</v>
      </c>
      <c r="ET147" s="62">
        <v>223.0</v>
      </c>
      <c r="EU147" s="62">
        <v>153.0</v>
      </c>
      <c r="EV147" s="62">
        <v>109.0</v>
      </c>
      <c r="EW147" s="62">
        <v>0.0</v>
      </c>
      <c r="EX147" s="62">
        <v>209.0</v>
      </c>
      <c r="EY147" s="62">
        <v>0.0</v>
      </c>
      <c r="EZ147" s="62">
        <v>2362.0</v>
      </c>
      <c r="FA147" s="62">
        <v>129.0</v>
      </c>
      <c r="FB147" s="62">
        <v>59084.0</v>
      </c>
      <c r="FC147" s="62">
        <v>798.0</v>
      </c>
      <c r="FD147" s="62">
        <v>0.0</v>
      </c>
      <c r="FE147" s="62">
        <v>0.0</v>
      </c>
      <c r="FF147" s="62">
        <v>0.0</v>
      </c>
      <c r="FG147" s="62">
        <v>0.0</v>
      </c>
      <c r="FH147" s="62">
        <v>0.0</v>
      </c>
      <c r="FI147" s="62">
        <v>0.0</v>
      </c>
      <c r="FJ147" s="62">
        <v>218.0</v>
      </c>
      <c r="FK147" s="62">
        <v>6421.0</v>
      </c>
      <c r="FL147" s="62">
        <v>2637.0</v>
      </c>
      <c r="FM147" s="62">
        <v>340.0</v>
      </c>
      <c r="FN147" s="62">
        <v>101.0</v>
      </c>
      <c r="FO147" s="62">
        <v>198.0</v>
      </c>
      <c r="FP147" s="62">
        <v>1740.0</v>
      </c>
      <c r="FQ147" s="62">
        <v>121.0</v>
      </c>
      <c r="FR147" s="62">
        <v>23.0</v>
      </c>
      <c r="FS147" s="62">
        <v>14.0</v>
      </c>
      <c r="FT147" s="62">
        <v>2774.0</v>
      </c>
      <c r="FU147" s="62">
        <v>52033.0</v>
      </c>
      <c r="FV147" s="62">
        <v>197967.0</v>
      </c>
      <c r="FW147" s="62">
        <v>794.0</v>
      </c>
      <c r="FX147" s="62">
        <v>13002.0</v>
      </c>
      <c r="FY147" s="62">
        <v>2410565.0</v>
      </c>
      <c r="FZ147" s="62">
        <v>0.0</v>
      </c>
      <c r="GA147" s="62">
        <v>196520.0</v>
      </c>
      <c r="GB147" s="62">
        <v>3509164.0</v>
      </c>
      <c r="GC147" s="62">
        <v>389.0</v>
      </c>
      <c r="GD147" s="62">
        <v>746.0</v>
      </c>
      <c r="GE147" s="62">
        <v>14487.0</v>
      </c>
      <c r="GF147" s="63">
        <v>2.2081404E7</v>
      </c>
      <c r="GG147" s="64">
        <v>2477635.0</v>
      </c>
      <c r="GH147" s="65">
        <v>0.0</v>
      </c>
      <c r="GI147" s="64">
        <v>0.0</v>
      </c>
      <c r="GJ147" s="64">
        <v>2.9963189E7</v>
      </c>
      <c r="GK147" s="64">
        <v>542971.0</v>
      </c>
      <c r="GL147" s="64">
        <v>2937471.0</v>
      </c>
      <c r="GM147" s="64">
        <v>0.0</v>
      </c>
      <c r="GN147" s="63">
        <v>3.5921266E7</v>
      </c>
      <c r="GO147" s="66">
        <v>5.800267E7</v>
      </c>
      <c r="GP147" s="64">
        <v>1.3824955E7</v>
      </c>
      <c r="GQ147" s="64">
        <v>0.0</v>
      </c>
      <c r="GR147" s="65">
        <v>0.0</v>
      </c>
      <c r="GS147" s="63">
        <v>1.3824955E7</v>
      </c>
      <c r="GT147" s="67">
        <v>7592563.0</v>
      </c>
      <c r="GU147" s="67">
        <v>6051384.0</v>
      </c>
      <c r="GV147" s="67">
        <v>453328.0</v>
      </c>
      <c r="GW147" s="63">
        <v>1.4097275E7</v>
      </c>
      <c r="GX147" s="63">
        <v>3217936.0</v>
      </c>
      <c r="GY147" s="63">
        <v>2.6862504E7</v>
      </c>
      <c r="GZ147" s="66">
        <v>5.800267E7</v>
      </c>
    </row>
    <row r="148" ht="15.75" customHeight="1">
      <c r="A148" s="60">
        <v>143.0</v>
      </c>
      <c r="B148" s="61" t="s">
        <v>188</v>
      </c>
      <c r="C148" s="62">
        <v>0.0</v>
      </c>
      <c r="D148" s="62">
        <v>0.0</v>
      </c>
      <c r="E148" s="62">
        <v>0.0</v>
      </c>
      <c r="F148" s="62">
        <v>0.0</v>
      </c>
      <c r="G148" s="62">
        <v>0.0</v>
      </c>
      <c r="H148" s="62">
        <v>0.0</v>
      </c>
      <c r="I148" s="62">
        <v>0.0</v>
      </c>
      <c r="J148" s="62">
        <v>0.0</v>
      </c>
      <c r="K148" s="62">
        <v>0.0</v>
      </c>
      <c r="L148" s="62">
        <v>148.0</v>
      </c>
      <c r="M148" s="62">
        <v>142.0</v>
      </c>
      <c r="N148" s="62">
        <v>237.0</v>
      </c>
      <c r="O148" s="62">
        <v>1128.0</v>
      </c>
      <c r="P148" s="62">
        <v>201.0</v>
      </c>
      <c r="Q148" s="62">
        <v>350.0</v>
      </c>
      <c r="R148" s="62">
        <v>223.0</v>
      </c>
      <c r="S148" s="62">
        <v>69.0</v>
      </c>
      <c r="T148" s="62">
        <v>128.0</v>
      </c>
      <c r="U148" s="62">
        <v>0.0</v>
      </c>
      <c r="V148" s="62">
        <v>0.0</v>
      </c>
      <c r="W148" s="62">
        <v>0.0</v>
      </c>
      <c r="X148" s="62">
        <v>0.0</v>
      </c>
      <c r="Y148" s="62">
        <v>0.0</v>
      </c>
      <c r="Z148" s="62">
        <v>0.0</v>
      </c>
      <c r="AA148" s="62">
        <v>0.0</v>
      </c>
      <c r="AB148" s="62">
        <v>208.0</v>
      </c>
      <c r="AC148" s="62">
        <v>0.0</v>
      </c>
      <c r="AD148" s="62">
        <v>38.0</v>
      </c>
      <c r="AE148" s="62">
        <v>2.0</v>
      </c>
      <c r="AF148" s="62">
        <v>372.0</v>
      </c>
      <c r="AG148" s="62">
        <v>43.0</v>
      </c>
      <c r="AH148" s="62">
        <v>5.0</v>
      </c>
      <c r="AI148" s="62">
        <v>10259.0</v>
      </c>
      <c r="AJ148" s="62">
        <v>101.0</v>
      </c>
      <c r="AK148" s="62">
        <v>66.0</v>
      </c>
      <c r="AL148" s="62">
        <v>109.0</v>
      </c>
      <c r="AM148" s="62">
        <v>305386.0</v>
      </c>
      <c r="AN148" s="62">
        <v>13934.0</v>
      </c>
      <c r="AO148" s="62">
        <v>39619.0</v>
      </c>
      <c r="AP148" s="62">
        <v>67.0</v>
      </c>
      <c r="AQ148" s="62">
        <v>4014.0</v>
      </c>
      <c r="AR148" s="62">
        <v>418.0</v>
      </c>
      <c r="AS148" s="62">
        <v>15223.0</v>
      </c>
      <c r="AT148" s="62">
        <v>1406.0</v>
      </c>
      <c r="AU148" s="62">
        <v>9895.0</v>
      </c>
      <c r="AV148" s="62">
        <v>6383.0</v>
      </c>
      <c r="AW148" s="62">
        <v>105.0</v>
      </c>
      <c r="AX148" s="62">
        <v>25889.0</v>
      </c>
      <c r="AY148" s="62">
        <v>13.0</v>
      </c>
      <c r="AZ148" s="62">
        <v>100.0</v>
      </c>
      <c r="BA148" s="62">
        <v>3015.0</v>
      </c>
      <c r="BB148" s="62">
        <v>11635.0</v>
      </c>
      <c r="BC148" s="62">
        <v>85372.0</v>
      </c>
      <c r="BD148" s="62">
        <v>10157.0</v>
      </c>
      <c r="BE148" s="62">
        <v>209.0</v>
      </c>
      <c r="BF148" s="62">
        <v>807.0</v>
      </c>
      <c r="BG148" s="62">
        <v>711.0</v>
      </c>
      <c r="BH148" s="62">
        <v>1856.0</v>
      </c>
      <c r="BI148" s="62">
        <v>304.0</v>
      </c>
      <c r="BJ148" s="62">
        <v>10768.0</v>
      </c>
      <c r="BK148" s="62">
        <v>429.0</v>
      </c>
      <c r="BL148" s="62">
        <v>119.0</v>
      </c>
      <c r="BM148" s="62">
        <v>0.0</v>
      </c>
      <c r="BN148" s="62">
        <v>67.0</v>
      </c>
      <c r="BO148" s="62">
        <v>113.0</v>
      </c>
      <c r="BP148" s="62">
        <v>1231.0</v>
      </c>
      <c r="BQ148" s="62">
        <v>67.0</v>
      </c>
      <c r="BR148" s="62">
        <v>87.0</v>
      </c>
      <c r="BS148" s="62">
        <v>3804.0</v>
      </c>
      <c r="BT148" s="62">
        <v>7560.0</v>
      </c>
      <c r="BU148" s="62">
        <v>6000.0</v>
      </c>
      <c r="BV148" s="62">
        <v>73.0</v>
      </c>
      <c r="BW148" s="62">
        <v>100.0</v>
      </c>
      <c r="BX148" s="62">
        <v>4148.0</v>
      </c>
      <c r="BY148" s="62">
        <v>7666.0</v>
      </c>
      <c r="BZ148" s="62">
        <v>511.0</v>
      </c>
      <c r="CA148" s="62">
        <v>41847.0</v>
      </c>
      <c r="CB148" s="62">
        <v>4483.0</v>
      </c>
      <c r="CC148" s="62">
        <v>2436.0</v>
      </c>
      <c r="CD148" s="62">
        <v>2422.0</v>
      </c>
      <c r="CE148" s="62">
        <v>3577.0</v>
      </c>
      <c r="CF148" s="62">
        <v>4706.0</v>
      </c>
      <c r="CG148" s="62">
        <v>3217.0</v>
      </c>
      <c r="CH148" s="62">
        <v>746.0</v>
      </c>
      <c r="CI148" s="62">
        <v>3008.0</v>
      </c>
      <c r="CJ148" s="62">
        <v>20394.0</v>
      </c>
      <c r="CK148" s="62">
        <v>43421.0</v>
      </c>
      <c r="CL148" s="62">
        <v>24784.0</v>
      </c>
      <c r="CM148" s="62">
        <v>10635.0</v>
      </c>
      <c r="CN148" s="62">
        <v>4137.0</v>
      </c>
      <c r="CO148" s="62">
        <v>73049.0</v>
      </c>
      <c r="CP148" s="62">
        <v>59785.0</v>
      </c>
      <c r="CQ148" s="62">
        <v>4750.0</v>
      </c>
      <c r="CR148" s="62">
        <v>3034.0</v>
      </c>
      <c r="CS148" s="62">
        <v>34739.0</v>
      </c>
      <c r="CT148" s="62">
        <v>25108.0</v>
      </c>
      <c r="CU148" s="62">
        <v>7813.0</v>
      </c>
      <c r="CV148" s="62">
        <v>71972.0</v>
      </c>
      <c r="CW148" s="62">
        <v>7353.0</v>
      </c>
      <c r="CX148" s="62">
        <v>16638.0</v>
      </c>
      <c r="CY148" s="62">
        <v>1220.0</v>
      </c>
      <c r="CZ148" s="62">
        <v>24326.0</v>
      </c>
      <c r="DA148" s="62">
        <v>9455.0</v>
      </c>
      <c r="DB148" s="62">
        <v>1173.0</v>
      </c>
      <c r="DC148" s="62">
        <v>105046.0</v>
      </c>
      <c r="DD148" s="62">
        <v>237.0</v>
      </c>
      <c r="DE148" s="62">
        <v>7519.0</v>
      </c>
      <c r="DF148" s="62">
        <v>9028.0</v>
      </c>
      <c r="DG148" s="62">
        <v>15491.0</v>
      </c>
      <c r="DH148" s="62">
        <v>4364.0</v>
      </c>
      <c r="DI148" s="62">
        <v>2821.0</v>
      </c>
      <c r="DJ148" s="62">
        <v>788.0</v>
      </c>
      <c r="DK148" s="62">
        <v>978.0</v>
      </c>
      <c r="DL148" s="62">
        <v>16142.0</v>
      </c>
      <c r="DM148" s="62">
        <v>6512.0</v>
      </c>
      <c r="DN148" s="62">
        <v>3014.0</v>
      </c>
      <c r="DO148" s="62">
        <v>3412.0</v>
      </c>
      <c r="DP148" s="62">
        <v>309.0</v>
      </c>
      <c r="DQ148" s="62">
        <v>37357.0</v>
      </c>
      <c r="DR148" s="62">
        <v>8972.0</v>
      </c>
      <c r="DS148" s="62">
        <v>1005594.0</v>
      </c>
      <c r="DT148" s="62">
        <v>44188.0</v>
      </c>
      <c r="DU148" s="62">
        <v>123638.0</v>
      </c>
      <c r="DV148" s="62">
        <v>365951.0</v>
      </c>
      <c r="DW148" s="62">
        <v>234951.0</v>
      </c>
      <c r="DX148" s="62">
        <v>199225.0</v>
      </c>
      <c r="DY148" s="62">
        <v>678534.0</v>
      </c>
      <c r="DZ148" s="62">
        <v>5721.0</v>
      </c>
      <c r="EA148" s="62">
        <v>46.0</v>
      </c>
      <c r="EB148" s="62">
        <v>2474.0</v>
      </c>
      <c r="EC148" s="62">
        <v>68431.0</v>
      </c>
      <c r="ED148" s="62">
        <v>19429.0</v>
      </c>
      <c r="EE148" s="62">
        <v>2122.0</v>
      </c>
      <c r="EF148" s="62">
        <v>3932.0</v>
      </c>
      <c r="EG148" s="62">
        <v>10958.0</v>
      </c>
      <c r="EH148" s="62">
        <v>390045.0</v>
      </c>
      <c r="EI148" s="62">
        <v>36021.0</v>
      </c>
      <c r="EJ148" s="62">
        <v>3010.0</v>
      </c>
      <c r="EK148" s="62">
        <v>1238.0</v>
      </c>
      <c r="EL148" s="62">
        <v>1331.0</v>
      </c>
      <c r="EM148" s="62">
        <v>6615.0</v>
      </c>
      <c r="EN148" s="62">
        <v>18500.0</v>
      </c>
      <c r="EO148" s="62">
        <v>1675261.0</v>
      </c>
      <c r="EP148" s="62">
        <v>11072.0</v>
      </c>
      <c r="EQ148" s="62">
        <v>105221.0</v>
      </c>
      <c r="ER148" s="62">
        <v>190.0</v>
      </c>
      <c r="ES148" s="62">
        <v>12231.0</v>
      </c>
      <c r="ET148" s="62">
        <v>12190.0</v>
      </c>
      <c r="EU148" s="62">
        <v>1189461.0</v>
      </c>
      <c r="EV148" s="62">
        <v>18697.0</v>
      </c>
      <c r="EW148" s="62">
        <v>5062.0</v>
      </c>
      <c r="EX148" s="62">
        <v>19208.0</v>
      </c>
      <c r="EY148" s="62">
        <v>65062.0</v>
      </c>
      <c r="EZ148" s="62">
        <v>123005.0</v>
      </c>
      <c r="FA148" s="62">
        <v>92953.0</v>
      </c>
      <c r="FB148" s="62">
        <v>385998.0</v>
      </c>
      <c r="FC148" s="62">
        <v>145626.0</v>
      </c>
      <c r="FD148" s="62">
        <v>1271405.0</v>
      </c>
      <c r="FE148" s="62">
        <v>279165.0</v>
      </c>
      <c r="FF148" s="62">
        <v>65426.0</v>
      </c>
      <c r="FG148" s="62">
        <v>402815.0</v>
      </c>
      <c r="FH148" s="62">
        <v>537144.0</v>
      </c>
      <c r="FI148" s="62">
        <v>62877.0</v>
      </c>
      <c r="FJ148" s="62">
        <v>4366.0</v>
      </c>
      <c r="FK148" s="62">
        <v>11100.0</v>
      </c>
      <c r="FL148" s="62">
        <v>28211.0</v>
      </c>
      <c r="FM148" s="62">
        <v>1414.0</v>
      </c>
      <c r="FN148" s="62">
        <v>53994.0</v>
      </c>
      <c r="FO148" s="62">
        <v>63378.0</v>
      </c>
      <c r="FP148" s="62">
        <v>544538.0</v>
      </c>
      <c r="FQ148" s="62">
        <v>102779.0</v>
      </c>
      <c r="FR148" s="62">
        <v>33.0</v>
      </c>
      <c r="FS148" s="62">
        <v>3540.0</v>
      </c>
      <c r="FT148" s="62">
        <v>717324.0</v>
      </c>
      <c r="FU148" s="62">
        <v>965672.0</v>
      </c>
      <c r="FV148" s="62">
        <v>57894.0</v>
      </c>
      <c r="FW148" s="62">
        <v>1158475.0</v>
      </c>
      <c r="FX148" s="62">
        <v>945769.0</v>
      </c>
      <c r="FY148" s="62">
        <v>1038022.0</v>
      </c>
      <c r="FZ148" s="62">
        <v>1914.0</v>
      </c>
      <c r="GA148" s="62">
        <v>1818805.0</v>
      </c>
      <c r="GB148" s="62">
        <v>99015.0</v>
      </c>
      <c r="GC148" s="62">
        <v>123635.0</v>
      </c>
      <c r="GD148" s="62">
        <v>12733.0</v>
      </c>
      <c r="GE148" s="62">
        <v>286007.0</v>
      </c>
      <c r="GF148" s="63">
        <v>1.9065949E7</v>
      </c>
      <c r="GG148" s="64">
        <v>2.7522357E7</v>
      </c>
      <c r="GH148" s="65">
        <v>0.0</v>
      </c>
      <c r="GI148" s="64">
        <v>0.0</v>
      </c>
      <c r="GJ148" s="64">
        <v>1714551.0</v>
      </c>
      <c r="GK148" s="64">
        <v>-561999.0</v>
      </c>
      <c r="GL148" s="64">
        <v>7553319.0</v>
      </c>
      <c r="GM148" s="64">
        <v>45276.0</v>
      </c>
      <c r="GN148" s="63">
        <v>3.6273504E7</v>
      </c>
      <c r="GO148" s="66">
        <v>5.5339453E7</v>
      </c>
      <c r="GP148" s="64">
        <v>5319761.0</v>
      </c>
      <c r="GQ148" s="64">
        <v>165617.0</v>
      </c>
      <c r="GR148" s="65">
        <v>0.0</v>
      </c>
      <c r="GS148" s="63">
        <v>5485378.0</v>
      </c>
      <c r="GT148" s="67">
        <v>9914149.0</v>
      </c>
      <c r="GU148" s="67">
        <v>6768688.0</v>
      </c>
      <c r="GV148" s="67">
        <v>416348.0</v>
      </c>
      <c r="GW148" s="63">
        <v>1.7099185E7</v>
      </c>
      <c r="GX148" s="63">
        <v>1550488.0</v>
      </c>
      <c r="GY148" s="63">
        <v>3.1204402E7</v>
      </c>
      <c r="GZ148" s="66">
        <v>5.5339453E7</v>
      </c>
    </row>
    <row r="149" ht="15.75" customHeight="1">
      <c r="A149" s="60">
        <v>144.0</v>
      </c>
      <c r="B149" s="61" t="s">
        <v>189</v>
      </c>
      <c r="C149" s="62">
        <v>1169.0</v>
      </c>
      <c r="D149" s="62">
        <v>752.0</v>
      </c>
      <c r="E149" s="62">
        <v>36.0</v>
      </c>
      <c r="F149" s="62">
        <v>63.0</v>
      </c>
      <c r="G149" s="62">
        <v>5.0</v>
      </c>
      <c r="H149" s="62">
        <v>144.0</v>
      </c>
      <c r="I149" s="62">
        <v>124.0</v>
      </c>
      <c r="J149" s="62">
        <v>47.0</v>
      </c>
      <c r="K149" s="62">
        <v>9.0</v>
      </c>
      <c r="L149" s="62">
        <v>27230.0</v>
      </c>
      <c r="M149" s="62">
        <v>1701.0</v>
      </c>
      <c r="N149" s="62">
        <v>2071.0</v>
      </c>
      <c r="O149" s="62">
        <v>4952.0</v>
      </c>
      <c r="P149" s="62">
        <v>718.0</v>
      </c>
      <c r="Q149" s="62">
        <v>612.0</v>
      </c>
      <c r="R149" s="62">
        <v>60115.0</v>
      </c>
      <c r="S149" s="62">
        <v>786.0</v>
      </c>
      <c r="T149" s="62">
        <v>5005.0</v>
      </c>
      <c r="U149" s="62">
        <v>219.0</v>
      </c>
      <c r="V149" s="62">
        <v>233.0</v>
      </c>
      <c r="W149" s="62">
        <v>200.0</v>
      </c>
      <c r="X149" s="62">
        <v>383.0</v>
      </c>
      <c r="Y149" s="62">
        <v>197.0</v>
      </c>
      <c r="Z149" s="62">
        <v>505.0</v>
      </c>
      <c r="AA149" s="62">
        <v>64.0</v>
      </c>
      <c r="AB149" s="62">
        <v>3935.0</v>
      </c>
      <c r="AC149" s="62">
        <v>728.0</v>
      </c>
      <c r="AD149" s="62">
        <v>11507.0</v>
      </c>
      <c r="AE149" s="62">
        <v>244.0</v>
      </c>
      <c r="AF149" s="62">
        <v>11294.0</v>
      </c>
      <c r="AG149" s="62">
        <v>48188.0</v>
      </c>
      <c r="AH149" s="62">
        <v>2999.0</v>
      </c>
      <c r="AI149" s="62">
        <v>334218.0</v>
      </c>
      <c r="AJ149" s="62">
        <v>64192.0</v>
      </c>
      <c r="AK149" s="62">
        <v>6895.0</v>
      </c>
      <c r="AL149" s="62">
        <v>5289.0</v>
      </c>
      <c r="AM149" s="62">
        <v>61353.0</v>
      </c>
      <c r="AN149" s="62">
        <v>1602.0</v>
      </c>
      <c r="AO149" s="62">
        <v>8601.0</v>
      </c>
      <c r="AP149" s="62">
        <v>15.0</v>
      </c>
      <c r="AQ149" s="62">
        <v>884.0</v>
      </c>
      <c r="AR149" s="62">
        <v>100.0</v>
      </c>
      <c r="AS149" s="62">
        <v>3923.0</v>
      </c>
      <c r="AT149" s="62">
        <v>319.0</v>
      </c>
      <c r="AU149" s="62">
        <v>3217.0</v>
      </c>
      <c r="AV149" s="62">
        <v>2277.0</v>
      </c>
      <c r="AW149" s="62">
        <v>98.0</v>
      </c>
      <c r="AX149" s="62">
        <v>595856.0</v>
      </c>
      <c r="AY149" s="62">
        <v>8783.0</v>
      </c>
      <c r="AZ149" s="62">
        <v>105.0</v>
      </c>
      <c r="BA149" s="62">
        <v>335.0</v>
      </c>
      <c r="BB149" s="62">
        <v>15308.0</v>
      </c>
      <c r="BC149" s="62">
        <v>160556.0</v>
      </c>
      <c r="BD149" s="62">
        <v>35303.0</v>
      </c>
      <c r="BE149" s="62">
        <v>15.0</v>
      </c>
      <c r="BF149" s="62">
        <v>51.0</v>
      </c>
      <c r="BG149" s="62">
        <v>0.0</v>
      </c>
      <c r="BH149" s="62">
        <v>2582.0</v>
      </c>
      <c r="BI149" s="62">
        <v>104.0</v>
      </c>
      <c r="BJ149" s="62">
        <v>670.0</v>
      </c>
      <c r="BK149" s="62">
        <v>166.0</v>
      </c>
      <c r="BL149" s="62">
        <v>84.0</v>
      </c>
      <c r="BM149" s="62">
        <v>13.0</v>
      </c>
      <c r="BN149" s="62">
        <v>0.0</v>
      </c>
      <c r="BO149" s="62">
        <v>246.0</v>
      </c>
      <c r="BP149" s="62">
        <v>0.0</v>
      </c>
      <c r="BQ149" s="62">
        <v>0.0</v>
      </c>
      <c r="BR149" s="62">
        <v>0.0</v>
      </c>
      <c r="BS149" s="62">
        <v>0.0</v>
      </c>
      <c r="BT149" s="62">
        <v>48947.0</v>
      </c>
      <c r="BU149" s="62">
        <v>0.0</v>
      </c>
      <c r="BV149" s="62">
        <v>0.0</v>
      </c>
      <c r="BW149" s="62">
        <v>130.0</v>
      </c>
      <c r="BX149" s="62">
        <v>81.0</v>
      </c>
      <c r="BY149" s="62">
        <v>932.0</v>
      </c>
      <c r="BZ149" s="62">
        <v>62.0</v>
      </c>
      <c r="CA149" s="62">
        <v>2946.0</v>
      </c>
      <c r="CB149" s="62">
        <v>1586.0</v>
      </c>
      <c r="CC149" s="62">
        <v>199.0</v>
      </c>
      <c r="CD149" s="62">
        <v>151.0</v>
      </c>
      <c r="CE149" s="62">
        <v>222.0</v>
      </c>
      <c r="CF149" s="62">
        <v>635.0</v>
      </c>
      <c r="CG149" s="62">
        <v>487.0</v>
      </c>
      <c r="CH149" s="62">
        <v>86.0</v>
      </c>
      <c r="CI149" s="62">
        <v>435.0</v>
      </c>
      <c r="CJ149" s="62">
        <v>3756.0</v>
      </c>
      <c r="CK149" s="62">
        <v>7997.0</v>
      </c>
      <c r="CL149" s="62">
        <v>4565.0</v>
      </c>
      <c r="CM149" s="62">
        <v>1808.0</v>
      </c>
      <c r="CN149" s="62">
        <v>1496.0</v>
      </c>
      <c r="CO149" s="62">
        <v>4776.0</v>
      </c>
      <c r="CP149" s="62">
        <v>8683.0</v>
      </c>
      <c r="CQ149" s="62">
        <v>8645.0</v>
      </c>
      <c r="CR149" s="62">
        <v>1226.0</v>
      </c>
      <c r="CS149" s="62">
        <v>3547.0</v>
      </c>
      <c r="CT149" s="62">
        <v>7063.0</v>
      </c>
      <c r="CU149" s="62">
        <v>929.0</v>
      </c>
      <c r="CV149" s="62">
        <v>1673.0</v>
      </c>
      <c r="CW149" s="62">
        <v>182.0</v>
      </c>
      <c r="CX149" s="62">
        <v>439.0</v>
      </c>
      <c r="CY149" s="62">
        <v>30.0</v>
      </c>
      <c r="CZ149" s="62">
        <v>514.0</v>
      </c>
      <c r="DA149" s="62">
        <v>8112.0</v>
      </c>
      <c r="DB149" s="62">
        <v>703.0</v>
      </c>
      <c r="DC149" s="62">
        <v>52184.0</v>
      </c>
      <c r="DD149" s="62">
        <v>237.0</v>
      </c>
      <c r="DE149" s="62">
        <v>209.0</v>
      </c>
      <c r="DF149" s="62">
        <v>250.0</v>
      </c>
      <c r="DG149" s="62">
        <v>51.0</v>
      </c>
      <c r="DH149" s="62">
        <v>825.0</v>
      </c>
      <c r="DI149" s="62">
        <v>1166.0</v>
      </c>
      <c r="DJ149" s="62">
        <v>431.0</v>
      </c>
      <c r="DK149" s="62">
        <v>496.0</v>
      </c>
      <c r="DL149" s="62">
        <v>1903.0</v>
      </c>
      <c r="DM149" s="62">
        <v>697.0</v>
      </c>
      <c r="DN149" s="62">
        <v>82.0</v>
      </c>
      <c r="DO149" s="62">
        <v>1244.0</v>
      </c>
      <c r="DP149" s="62">
        <v>16602.0</v>
      </c>
      <c r="DQ149" s="62">
        <v>625.0</v>
      </c>
      <c r="DR149" s="62">
        <v>10500.0</v>
      </c>
      <c r="DS149" s="62">
        <v>135819.0</v>
      </c>
      <c r="DT149" s="62">
        <v>6925.0</v>
      </c>
      <c r="DU149" s="62">
        <v>16698.0</v>
      </c>
      <c r="DV149" s="62">
        <v>49425.0</v>
      </c>
      <c r="DW149" s="62">
        <v>31732.0</v>
      </c>
      <c r="DX149" s="62">
        <v>27200.0</v>
      </c>
      <c r="DY149" s="62">
        <v>91587.0</v>
      </c>
      <c r="DZ149" s="62">
        <v>4305.0</v>
      </c>
      <c r="EA149" s="62">
        <v>46.0</v>
      </c>
      <c r="EB149" s="62">
        <v>374.0</v>
      </c>
      <c r="EC149" s="62">
        <v>162479.0</v>
      </c>
      <c r="ED149" s="62">
        <v>6759.0</v>
      </c>
      <c r="EE149" s="62">
        <v>2059.0</v>
      </c>
      <c r="EF149" s="62">
        <v>50589.0</v>
      </c>
      <c r="EG149" s="62">
        <v>1154.0</v>
      </c>
      <c r="EH149" s="62">
        <v>86142.0</v>
      </c>
      <c r="EI149" s="62">
        <v>28618.0</v>
      </c>
      <c r="EJ149" s="62">
        <v>0.0</v>
      </c>
      <c r="EK149" s="62">
        <v>306.0</v>
      </c>
      <c r="EL149" s="62">
        <v>54.0</v>
      </c>
      <c r="EM149" s="62">
        <v>0.0</v>
      </c>
      <c r="EN149" s="62">
        <v>0.0</v>
      </c>
      <c r="EO149" s="62">
        <v>172.0</v>
      </c>
      <c r="EP149" s="62">
        <v>3023545.0</v>
      </c>
      <c r="EQ149" s="62">
        <v>2716.0</v>
      </c>
      <c r="ER149" s="62">
        <v>18657.0</v>
      </c>
      <c r="ES149" s="62">
        <v>7547.0</v>
      </c>
      <c r="ET149" s="62">
        <v>788.0</v>
      </c>
      <c r="EU149" s="62">
        <v>245707.0</v>
      </c>
      <c r="EV149" s="62">
        <v>980.0</v>
      </c>
      <c r="EW149" s="62">
        <v>661.0</v>
      </c>
      <c r="EX149" s="62">
        <v>2962.0</v>
      </c>
      <c r="EY149" s="62">
        <v>7367.0</v>
      </c>
      <c r="EZ149" s="62">
        <v>27333.0</v>
      </c>
      <c r="FA149" s="62">
        <v>54663.0</v>
      </c>
      <c r="FB149" s="62">
        <v>193308.0</v>
      </c>
      <c r="FC149" s="62">
        <v>313534.0</v>
      </c>
      <c r="FD149" s="62">
        <v>531399.0</v>
      </c>
      <c r="FE149" s="62">
        <v>4308526.0</v>
      </c>
      <c r="FF149" s="62">
        <v>509343.0</v>
      </c>
      <c r="FG149" s="62">
        <v>3475651.0</v>
      </c>
      <c r="FH149" s="62">
        <v>1274037.0</v>
      </c>
      <c r="FI149" s="62">
        <v>32489.0</v>
      </c>
      <c r="FJ149" s="62">
        <v>2165.0</v>
      </c>
      <c r="FK149" s="62">
        <v>1199.0</v>
      </c>
      <c r="FL149" s="62">
        <v>495573.0</v>
      </c>
      <c r="FM149" s="62">
        <v>72718.0</v>
      </c>
      <c r="FN149" s="62">
        <v>196428.0</v>
      </c>
      <c r="FO149" s="62">
        <v>177262.0</v>
      </c>
      <c r="FP149" s="62">
        <v>512904.0</v>
      </c>
      <c r="FQ149" s="62">
        <v>1335.0</v>
      </c>
      <c r="FR149" s="62">
        <v>6.0</v>
      </c>
      <c r="FS149" s="62">
        <v>4464.0</v>
      </c>
      <c r="FT149" s="62">
        <v>97244.0</v>
      </c>
      <c r="FU149" s="62">
        <v>72816.0</v>
      </c>
      <c r="FV149" s="62">
        <v>212477.0</v>
      </c>
      <c r="FW149" s="62">
        <v>1967695.0</v>
      </c>
      <c r="FX149" s="62">
        <v>672747.0</v>
      </c>
      <c r="FY149" s="62">
        <v>5710934.0</v>
      </c>
      <c r="FZ149" s="62">
        <v>155047.0</v>
      </c>
      <c r="GA149" s="62">
        <v>294888.0</v>
      </c>
      <c r="GB149" s="62">
        <v>480060.0</v>
      </c>
      <c r="GC149" s="62">
        <v>136359.0</v>
      </c>
      <c r="GD149" s="62">
        <v>1624.0</v>
      </c>
      <c r="GE149" s="62">
        <v>2479915.0</v>
      </c>
      <c r="GF149" s="63">
        <v>3.0189456E7</v>
      </c>
      <c r="GG149" s="64">
        <v>0.0</v>
      </c>
      <c r="GH149" s="65">
        <v>0.0</v>
      </c>
      <c r="GI149" s="64">
        <v>0.0</v>
      </c>
      <c r="GJ149" s="64">
        <v>0.0</v>
      </c>
      <c r="GK149" s="64">
        <v>843298.0</v>
      </c>
      <c r="GL149" s="64">
        <v>0.0</v>
      </c>
      <c r="GM149" s="64">
        <v>0.0</v>
      </c>
      <c r="GN149" s="63">
        <v>843298.0</v>
      </c>
      <c r="GO149" s="66">
        <v>3.1032754E7</v>
      </c>
      <c r="GP149" s="64">
        <v>0.0</v>
      </c>
      <c r="GQ149" s="64">
        <v>0.0</v>
      </c>
      <c r="GR149" s="65">
        <v>0.0</v>
      </c>
      <c r="GS149" s="63">
        <v>0.0</v>
      </c>
      <c r="GT149" s="67">
        <v>0.0</v>
      </c>
      <c r="GU149" s="67">
        <v>0.0</v>
      </c>
      <c r="GV149" s="67">
        <v>0.0</v>
      </c>
      <c r="GW149" s="63">
        <v>0.0</v>
      </c>
      <c r="GX149" s="63">
        <v>0.0</v>
      </c>
      <c r="GY149" s="63">
        <v>3.1032754E7</v>
      </c>
      <c r="GZ149" s="66">
        <v>3.1032754E7</v>
      </c>
    </row>
    <row r="150" ht="15.75" customHeight="1">
      <c r="A150" s="68">
        <v>145.0</v>
      </c>
      <c r="B150" s="69" t="s">
        <v>190</v>
      </c>
      <c r="C150" s="70">
        <v>4044.0</v>
      </c>
      <c r="D150" s="70">
        <v>6181.0</v>
      </c>
      <c r="E150" s="70">
        <v>147.0</v>
      </c>
      <c r="F150" s="70">
        <v>2448.0</v>
      </c>
      <c r="G150" s="70">
        <v>65.0</v>
      </c>
      <c r="H150" s="70">
        <v>608.0</v>
      </c>
      <c r="I150" s="70">
        <v>293.0</v>
      </c>
      <c r="J150" s="70">
        <v>167.0</v>
      </c>
      <c r="K150" s="70">
        <v>22.0</v>
      </c>
      <c r="L150" s="70">
        <v>140968.0</v>
      </c>
      <c r="M150" s="70">
        <v>1392.0</v>
      </c>
      <c r="N150" s="70">
        <v>1581.0</v>
      </c>
      <c r="O150" s="70">
        <v>5415.0</v>
      </c>
      <c r="P150" s="70">
        <v>223.0</v>
      </c>
      <c r="Q150" s="70">
        <v>689.0</v>
      </c>
      <c r="R150" s="70">
        <v>69898.0</v>
      </c>
      <c r="S150" s="70">
        <v>487.0</v>
      </c>
      <c r="T150" s="70">
        <v>835.0</v>
      </c>
      <c r="U150" s="70">
        <v>38395.0</v>
      </c>
      <c r="V150" s="70">
        <v>14680.0</v>
      </c>
      <c r="W150" s="70">
        <v>1335.0</v>
      </c>
      <c r="X150" s="70">
        <v>3660.0</v>
      </c>
      <c r="Y150" s="70">
        <v>293.0</v>
      </c>
      <c r="Z150" s="70">
        <v>592.0</v>
      </c>
      <c r="AA150" s="70">
        <v>335.0</v>
      </c>
      <c r="AB150" s="70">
        <v>39383.0</v>
      </c>
      <c r="AC150" s="70">
        <v>918.0</v>
      </c>
      <c r="AD150" s="70">
        <v>82259.0</v>
      </c>
      <c r="AE150" s="70">
        <v>6988.0</v>
      </c>
      <c r="AF150" s="70">
        <v>12098.0</v>
      </c>
      <c r="AG150" s="70">
        <v>98367.0</v>
      </c>
      <c r="AH150" s="70">
        <v>33055.0</v>
      </c>
      <c r="AI150" s="70">
        <v>274373.0</v>
      </c>
      <c r="AJ150" s="70">
        <v>74571.0</v>
      </c>
      <c r="AK150" s="70">
        <v>7608.0</v>
      </c>
      <c r="AL150" s="70">
        <v>9997.0</v>
      </c>
      <c r="AM150" s="70">
        <v>1967941.0</v>
      </c>
      <c r="AN150" s="70">
        <v>1064707.0</v>
      </c>
      <c r="AO150" s="70">
        <v>2194584.0</v>
      </c>
      <c r="AP150" s="70">
        <v>5535.0</v>
      </c>
      <c r="AQ150" s="70">
        <v>31906.0</v>
      </c>
      <c r="AR150" s="70">
        <v>6242.0</v>
      </c>
      <c r="AS150" s="70">
        <v>154381.0</v>
      </c>
      <c r="AT150" s="70">
        <v>24474.0</v>
      </c>
      <c r="AU150" s="70">
        <v>32575.0</v>
      </c>
      <c r="AV150" s="70">
        <v>402705.0</v>
      </c>
      <c r="AW150" s="70">
        <v>3099.0</v>
      </c>
      <c r="AX150" s="70">
        <v>897201.0</v>
      </c>
      <c r="AY150" s="70">
        <v>314161.0</v>
      </c>
      <c r="AZ150" s="70">
        <v>40.0</v>
      </c>
      <c r="BA150" s="70">
        <v>498453.0</v>
      </c>
      <c r="BB150" s="70">
        <v>482332.0</v>
      </c>
      <c r="BC150" s="70">
        <v>1804704.0</v>
      </c>
      <c r="BD150" s="70">
        <v>1478445.0</v>
      </c>
      <c r="BE150" s="70">
        <v>26933.0</v>
      </c>
      <c r="BF150" s="70">
        <v>98670.0</v>
      </c>
      <c r="BG150" s="70">
        <v>40099.0</v>
      </c>
      <c r="BH150" s="70">
        <v>211379.0</v>
      </c>
      <c r="BI150" s="70">
        <v>15075.0</v>
      </c>
      <c r="BJ150" s="70">
        <v>178453.0</v>
      </c>
      <c r="BK150" s="70">
        <v>35491.0</v>
      </c>
      <c r="BL150" s="70">
        <v>18587.0</v>
      </c>
      <c r="BM150" s="70">
        <v>201.0</v>
      </c>
      <c r="BN150" s="70">
        <v>47493.0</v>
      </c>
      <c r="BO150" s="70">
        <v>569279.0</v>
      </c>
      <c r="BP150" s="70">
        <v>741.0</v>
      </c>
      <c r="BQ150" s="70">
        <v>110140.0</v>
      </c>
      <c r="BR150" s="70">
        <v>1236.0</v>
      </c>
      <c r="BS150" s="70">
        <v>89490.0</v>
      </c>
      <c r="BT150" s="70">
        <v>372795.0</v>
      </c>
      <c r="BU150" s="70">
        <v>114632.0</v>
      </c>
      <c r="BV150" s="70">
        <v>915.0</v>
      </c>
      <c r="BW150" s="70">
        <v>357.0</v>
      </c>
      <c r="BX150" s="70">
        <v>20422.0</v>
      </c>
      <c r="BY150" s="70">
        <v>398194.0</v>
      </c>
      <c r="BZ150" s="70">
        <v>26432.0</v>
      </c>
      <c r="CA150" s="70">
        <v>3292796.0</v>
      </c>
      <c r="CB150" s="70">
        <v>626835.0</v>
      </c>
      <c r="CC150" s="70">
        <v>242420.0</v>
      </c>
      <c r="CD150" s="70">
        <v>30315.0</v>
      </c>
      <c r="CE150" s="70">
        <v>45484.0</v>
      </c>
      <c r="CF150" s="70">
        <v>197368.0</v>
      </c>
      <c r="CG150" s="70">
        <v>21280.0</v>
      </c>
      <c r="CH150" s="70">
        <v>112840.0</v>
      </c>
      <c r="CI150" s="70">
        <v>714739.0</v>
      </c>
      <c r="CJ150" s="70">
        <v>232538.0</v>
      </c>
      <c r="CK150" s="70">
        <v>492067.0</v>
      </c>
      <c r="CL150" s="70">
        <v>280862.0</v>
      </c>
      <c r="CM150" s="70">
        <v>111764.0</v>
      </c>
      <c r="CN150" s="70">
        <v>460182.0</v>
      </c>
      <c r="CO150" s="70">
        <v>646825.0</v>
      </c>
      <c r="CP150" s="70">
        <v>653189.0</v>
      </c>
      <c r="CQ150" s="70">
        <v>526286.0</v>
      </c>
      <c r="CR150" s="70">
        <v>989824.0</v>
      </c>
      <c r="CS150" s="70">
        <v>632444.0</v>
      </c>
      <c r="CT150" s="70">
        <v>1469328.0</v>
      </c>
      <c r="CU150" s="70">
        <v>223814.0</v>
      </c>
      <c r="CV150" s="70">
        <v>483346.0</v>
      </c>
      <c r="CW150" s="70">
        <v>69474.0</v>
      </c>
      <c r="CX150" s="70">
        <v>170302.0</v>
      </c>
      <c r="CY150" s="70">
        <v>9689.0</v>
      </c>
      <c r="CZ150" s="70">
        <v>162941.0</v>
      </c>
      <c r="DA150" s="70">
        <v>414587.0</v>
      </c>
      <c r="DB150" s="70">
        <v>253996.0</v>
      </c>
      <c r="DC150" s="70">
        <v>693980.0</v>
      </c>
      <c r="DD150" s="70">
        <v>73279.0</v>
      </c>
      <c r="DE150" s="70">
        <v>173525.0</v>
      </c>
      <c r="DF150" s="70">
        <v>208779.0</v>
      </c>
      <c r="DG150" s="70">
        <v>43012.0</v>
      </c>
      <c r="DH150" s="70">
        <v>510858.0</v>
      </c>
      <c r="DI150" s="70">
        <v>360708.0</v>
      </c>
      <c r="DJ150" s="70">
        <v>1310207.0</v>
      </c>
      <c r="DK150" s="70">
        <v>1713842.0</v>
      </c>
      <c r="DL150" s="70">
        <v>8065963.0</v>
      </c>
      <c r="DM150" s="70">
        <v>304831.0</v>
      </c>
      <c r="DN150" s="70">
        <v>209821.0</v>
      </c>
      <c r="DO150" s="70">
        <v>948677.0</v>
      </c>
      <c r="DP150" s="70">
        <v>77766.0</v>
      </c>
      <c r="DQ150" s="70">
        <v>398350.0</v>
      </c>
      <c r="DR150" s="70">
        <v>2150973.0</v>
      </c>
      <c r="DS150" s="70">
        <v>1442911.0</v>
      </c>
      <c r="DT150" s="70">
        <v>154196.0</v>
      </c>
      <c r="DU150" s="70">
        <v>322761.0</v>
      </c>
      <c r="DV150" s="70">
        <v>955328.0</v>
      </c>
      <c r="DW150" s="70">
        <v>629782.0</v>
      </c>
      <c r="DX150" s="70">
        <v>545125.0</v>
      </c>
      <c r="DY150" s="70">
        <v>1853128.0</v>
      </c>
      <c r="DZ150" s="70">
        <v>693408.0</v>
      </c>
      <c r="EA150" s="70">
        <v>19438.0</v>
      </c>
      <c r="EB150" s="70">
        <v>442396.0</v>
      </c>
      <c r="EC150" s="70">
        <v>431277.0</v>
      </c>
      <c r="ED150" s="70">
        <v>168702.0</v>
      </c>
      <c r="EE150" s="70">
        <v>33345.0</v>
      </c>
      <c r="EF150" s="70">
        <v>36054.0</v>
      </c>
      <c r="EG150" s="70">
        <v>228182.0</v>
      </c>
      <c r="EH150" s="70">
        <v>660495.0</v>
      </c>
      <c r="EI150" s="70">
        <v>548250.0</v>
      </c>
      <c r="EJ150" s="70">
        <v>369248.0</v>
      </c>
      <c r="EK150" s="70">
        <v>148692.0</v>
      </c>
      <c r="EL150" s="70">
        <v>68179.0</v>
      </c>
      <c r="EM150" s="70">
        <v>181964.0</v>
      </c>
      <c r="EN150" s="70">
        <v>1009707.0</v>
      </c>
      <c r="EO150" s="70">
        <v>45518.0</v>
      </c>
      <c r="EP150" s="70">
        <v>83474.0</v>
      </c>
      <c r="EQ150" s="70">
        <v>3.15583104E8</v>
      </c>
      <c r="ER150" s="70">
        <v>462718.0</v>
      </c>
      <c r="ES150" s="70">
        <v>1258932.0</v>
      </c>
      <c r="ET150" s="70">
        <v>605039.0</v>
      </c>
      <c r="EU150" s="70">
        <v>9558129.0</v>
      </c>
      <c r="EV150" s="70">
        <v>666659.0</v>
      </c>
      <c r="EW150" s="70">
        <v>78202.0</v>
      </c>
      <c r="EX150" s="70">
        <v>426213.0</v>
      </c>
      <c r="EY150" s="70">
        <v>4854396.0</v>
      </c>
      <c r="EZ150" s="70">
        <v>2783882.0</v>
      </c>
      <c r="FA150" s="70">
        <v>2558175.0</v>
      </c>
      <c r="FB150" s="70">
        <v>1.3915806E7</v>
      </c>
      <c r="FC150" s="70">
        <v>818592.0</v>
      </c>
      <c r="FD150" s="70">
        <v>5530636.0</v>
      </c>
      <c r="FE150" s="70">
        <v>570741.0</v>
      </c>
      <c r="FF150" s="70">
        <v>719203.0</v>
      </c>
      <c r="FG150" s="70">
        <v>4156736.0</v>
      </c>
      <c r="FH150" s="70">
        <v>8160042.0</v>
      </c>
      <c r="FI150" s="70">
        <v>3444702.0</v>
      </c>
      <c r="FJ150" s="70">
        <v>1425399.0</v>
      </c>
      <c r="FK150" s="70">
        <v>253174.0</v>
      </c>
      <c r="FL150" s="70">
        <v>2231257.0</v>
      </c>
      <c r="FM150" s="70">
        <v>4057594.0</v>
      </c>
      <c r="FN150" s="70">
        <v>1.6179056E7</v>
      </c>
      <c r="FO150" s="70">
        <v>1.0200703E7</v>
      </c>
      <c r="FP150" s="70">
        <v>1733430.0</v>
      </c>
      <c r="FQ150" s="70">
        <v>459492.0</v>
      </c>
      <c r="FR150" s="70">
        <v>534.0</v>
      </c>
      <c r="FS150" s="70">
        <v>448904.0</v>
      </c>
      <c r="FT150" s="70">
        <v>4010539.0</v>
      </c>
      <c r="FU150" s="70">
        <v>1736267.0</v>
      </c>
      <c r="FV150" s="70">
        <v>2238678.0</v>
      </c>
      <c r="FW150" s="70">
        <v>1.4443617E7</v>
      </c>
      <c r="FX150" s="70">
        <v>1526645.0</v>
      </c>
      <c r="FY150" s="70">
        <v>6337629.0</v>
      </c>
      <c r="FZ150" s="70">
        <v>101239.0</v>
      </c>
      <c r="GA150" s="70">
        <v>5298143.0</v>
      </c>
      <c r="GB150" s="70">
        <v>7494263.0</v>
      </c>
      <c r="GC150" s="70">
        <v>3060526.0</v>
      </c>
      <c r="GD150" s="70">
        <v>1850610.0</v>
      </c>
      <c r="GE150" s="70">
        <v>9312733.0</v>
      </c>
      <c r="GF150" s="71">
        <v>5.27110874E8</v>
      </c>
      <c r="GG150" s="72">
        <v>1.44443705E8</v>
      </c>
      <c r="GH150" s="73">
        <v>0.0</v>
      </c>
      <c r="GI150" s="72">
        <v>0.0</v>
      </c>
      <c r="GJ150" s="72">
        <v>0.0</v>
      </c>
      <c r="GK150" s="72">
        <v>0.0</v>
      </c>
      <c r="GL150" s="72">
        <v>0.0</v>
      </c>
      <c r="GM150" s="72">
        <v>0.0</v>
      </c>
      <c r="GN150" s="71">
        <v>1.44443705E8</v>
      </c>
      <c r="GO150" s="74">
        <v>6.71554579E8</v>
      </c>
      <c r="GP150" s="72">
        <v>1831723.0</v>
      </c>
      <c r="GQ150" s="72">
        <v>0.0</v>
      </c>
      <c r="GR150" s="73">
        <v>0.0</v>
      </c>
      <c r="GS150" s="71">
        <v>1831723.0</v>
      </c>
      <c r="GT150" s="75">
        <v>0.0</v>
      </c>
      <c r="GU150" s="75">
        <v>0.0</v>
      </c>
      <c r="GV150" s="75">
        <v>0.0</v>
      </c>
      <c r="GW150" s="71">
        <v>0.0</v>
      </c>
      <c r="GX150" s="71">
        <v>-4.3481882E7</v>
      </c>
      <c r="GY150" s="71">
        <v>7.13204738E8</v>
      </c>
      <c r="GZ150" s="74">
        <v>6.71554579E8</v>
      </c>
    </row>
    <row r="151" ht="15.75" customHeight="1">
      <c r="A151" s="52">
        <v>146.0</v>
      </c>
      <c r="B151" s="53" t="s">
        <v>191</v>
      </c>
      <c r="C151" s="54">
        <v>0.0</v>
      </c>
      <c r="D151" s="54">
        <v>0.0</v>
      </c>
      <c r="E151" s="54">
        <v>0.0</v>
      </c>
      <c r="F151" s="54">
        <v>0.0</v>
      </c>
      <c r="G151" s="54">
        <v>0.0</v>
      </c>
      <c r="H151" s="54">
        <v>0.0</v>
      </c>
      <c r="I151" s="54">
        <v>0.0</v>
      </c>
      <c r="J151" s="54">
        <v>0.0</v>
      </c>
      <c r="K151" s="54">
        <v>0.0</v>
      </c>
      <c r="L151" s="54">
        <v>0.0</v>
      </c>
      <c r="M151" s="54">
        <v>0.0</v>
      </c>
      <c r="N151" s="54">
        <v>0.0</v>
      </c>
      <c r="O151" s="54">
        <v>0.0</v>
      </c>
      <c r="P151" s="54">
        <v>0.0</v>
      </c>
      <c r="Q151" s="54">
        <v>0.0</v>
      </c>
      <c r="R151" s="54">
        <v>0.0</v>
      </c>
      <c r="S151" s="54">
        <v>0.0</v>
      </c>
      <c r="T151" s="54">
        <v>0.0</v>
      </c>
      <c r="U151" s="54">
        <v>0.0</v>
      </c>
      <c r="V151" s="54">
        <v>0.0</v>
      </c>
      <c r="W151" s="54">
        <v>0.0</v>
      </c>
      <c r="X151" s="54">
        <v>0.0</v>
      </c>
      <c r="Y151" s="54">
        <v>0.0</v>
      </c>
      <c r="Z151" s="54">
        <v>0.0</v>
      </c>
      <c r="AA151" s="54">
        <v>0.0</v>
      </c>
      <c r="AB151" s="54">
        <v>4793.0</v>
      </c>
      <c r="AC151" s="54">
        <v>335.0</v>
      </c>
      <c r="AD151" s="54">
        <v>20489.0</v>
      </c>
      <c r="AE151" s="54">
        <v>1405.0</v>
      </c>
      <c r="AF151" s="54">
        <v>0.0</v>
      </c>
      <c r="AG151" s="54">
        <v>0.0</v>
      </c>
      <c r="AH151" s="54">
        <v>0.0</v>
      </c>
      <c r="AI151" s="54">
        <v>903480.0</v>
      </c>
      <c r="AJ151" s="54">
        <v>51445.0</v>
      </c>
      <c r="AK151" s="54">
        <v>17886.0</v>
      </c>
      <c r="AL151" s="54">
        <v>46653.0</v>
      </c>
      <c r="AM151" s="54">
        <v>0.0</v>
      </c>
      <c r="AN151" s="54">
        <v>0.0</v>
      </c>
      <c r="AO151" s="54">
        <v>168787.0</v>
      </c>
      <c r="AP151" s="54">
        <v>0.0</v>
      </c>
      <c r="AQ151" s="54">
        <v>0.0</v>
      </c>
      <c r="AR151" s="54">
        <v>0.0</v>
      </c>
      <c r="AS151" s="54">
        <v>0.0</v>
      </c>
      <c r="AT151" s="54">
        <v>0.0</v>
      </c>
      <c r="AU151" s="54">
        <v>0.0</v>
      </c>
      <c r="AV151" s="54">
        <v>0.0</v>
      </c>
      <c r="AW151" s="54">
        <v>0.0</v>
      </c>
      <c r="AX151" s="54">
        <v>342678.0</v>
      </c>
      <c r="AY151" s="54">
        <v>1684.0</v>
      </c>
      <c r="AZ151" s="54">
        <v>0.0</v>
      </c>
      <c r="BA151" s="54">
        <v>111547.0</v>
      </c>
      <c r="BB151" s="54">
        <v>105832.0</v>
      </c>
      <c r="BC151" s="54">
        <v>51735.0</v>
      </c>
      <c r="BD151" s="54">
        <v>8134.0</v>
      </c>
      <c r="BE151" s="54">
        <v>67204.0</v>
      </c>
      <c r="BF151" s="54">
        <v>365838.0</v>
      </c>
      <c r="BG151" s="54">
        <v>64036.0</v>
      </c>
      <c r="BH151" s="54">
        <v>11811.0</v>
      </c>
      <c r="BI151" s="54">
        <v>494.0</v>
      </c>
      <c r="BJ151" s="54">
        <v>176659.0</v>
      </c>
      <c r="BK151" s="54">
        <v>48622.0</v>
      </c>
      <c r="BL151" s="54">
        <v>3139.0</v>
      </c>
      <c r="BM151" s="54">
        <v>17.0</v>
      </c>
      <c r="BN151" s="54">
        <v>0.0</v>
      </c>
      <c r="BO151" s="54">
        <v>846079.0</v>
      </c>
      <c r="BP151" s="54">
        <v>0.0</v>
      </c>
      <c r="BQ151" s="54">
        <v>0.0</v>
      </c>
      <c r="BR151" s="54">
        <v>47.0</v>
      </c>
      <c r="BS151" s="54">
        <v>7762.0</v>
      </c>
      <c r="BT151" s="54">
        <v>583511.0</v>
      </c>
      <c r="BU151" s="54">
        <v>62050.0</v>
      </c>
      <c r="BV151" s="54">
        <v>0.0</v>
      </c>
      <c r="BW151" s="54">
        <v>8658.0</v>
      </c>
      <c r="BX151" s="54">
        <v>115207.0</v>
      </c>
      <c r="BY151" s="54">
        <v>57179.0</v>
      </c>
      <c r="BZ151" s="54">
        <v>3812.0</v>
      </c>
      <c r="CA151" s="54">
        <v>55077.0</v>
      </c>
      <c r="CB151" s="54">
        <v>353.0</v>
      </c>
      <c r="CC151" s="54">
        <v>3933.0</v>
      </c>
      <c r="CD151" s="54">
        <v>2974.0</v>
      </c>
      <c r="CE151" s="54">
        <v>4402.0</v>
      </c>
      <c r="CF151" s="54">
        <v>11894.0</v>
      </c>
      <c r="CG151" s="54">
        <v>12690.0</v>
      </c>
      <c r="CH151" s="54">
        <v>72145.0</v>
      </c>
      <c r="CI151" s="54">
        <v>236127.0</v>
      </c>
      <c r="CJ151" s="54">
        <v>155580.0</v>
      </c>
      <c r="CK151" s="54">
        <v>336164.0</v>
      </c>
      <c r="CL151" s="54">
        <v>188985.0</v>
      </c>
      <c r="CM151" s="54">
        <v>66715.0</v>
      </c>
      <c r="CN151" s="54">
        <v>334867.0</v>
      </c>
      <c r="CO151" s="54">
        <v>159441.0</v>
      </c>
      <c r="CP151" s="54">
        <v>228253.0</v>
      </c>
      <c r="CQ151" s="54">
        <v>90407.0</v>
      </c>
      <c r="CR151" s="54">
        <v>519705.0</v>
      </c>
      <c r="CS151" s="54">
        <v>101713.0</v>
      </c>
      <c r="CT151" s="54">
        <v>1925928.0</v>
      </c>
      <c r="CU151" s="54">
        <v>55936.0</v>
      </c>
      <c r="CV151" s="54">
        <v>203407.0</v>
      </c>
      <c r="CW151" s="54">
        <v>89612.0</v>
      </c>
      <c r="CX151" s="54">
        <v>231785.0</v>
      </c>
      <c r="CY151" s="54">
        <v>7449.0</v>
      </c>
      <c r="CZ151" s="54">
        <v>99089.0</v>
      </c>
      <c r="DA151" s="54">
        <v>54270.0</v>
      </c>
      <c r="DB151" s="54">
        <v>165114.0</v>
      </c>
      <c r="DC151" s="54">
        <v>106330.0</v>
      </c>
      <c r="DD151" s="54">
        <v>121781.0</v>
      </c>
      <c r="DE151" s="54">
        <v>49844.0</v>
      </c>
      <c r="DF151" s="54">
        <v>59848.0</v>
      </c>
      <c r="DG151" s="54">
        <v>12188.0</v>
      </c>
      <c r="DH151" s="54">
        <v>164842.0</v>
      </c>
      <c r="DI151" s="54">
        <v>511941.0</v>
      </c>
      <c r="DJ151" s="54">
        <v>806174.0</v>
      </c>
      <c r="DK151" s="54">
        <v>569041.0</v>
      </c>
      <c r="DL151" s="54">
        <v>2964748.0</v>
      </c>
      <c r="DM151" s="54">
        <v>217522.0</v>
      </c>
      <c r="DN151" s="54">
        <v>100537.0</v>
      </c>
      <c r="DO151" s="54">
        <v>67104.0</v>
      </c>
      <c r="DP151" s="54">
        <v>0.0</v>
      </c>
      <c r="DQ151" s="54">
        <v>2381.0</v>
      </c>
      <c r="DR151" s="54">
        <v>461362.0</v>
      </c>
      <c r="DS151" s="54">
        <v>55532.0</v>
      </c>
      <c r="DT151" s="54">
        <v>1859.0</v>
      </c>
      <c r="DU151" s="54">
        <v>0.0</v>
      </c>
      <c r="DV151" s="54">
        <v>0.0</v>
      </c>
      <c r="DW151" s="54">
        <v>0.0</v>
      </c>
      <c r="DX151" s="54">
        <v>1765.0</v>
      </c>
      <c r="DY151" s="54">
        <v>40.0</v>
      </c>
      <c r="DZ151" s="54">
        <v>111454.0</v>
      </c>
      <c r="EA151" s="54">
        <v>11471.0</v>
      </c>
      <c r="EB151" s="54">
        <v>102819.0</v>
      </c>
      <c r="EC151" s="54">
        <v>526864.0</v>
      </c>
      <c r="ED151" s="54">
        <v>44232.0</v>
      </c>
      <c r="EE151" s="54">
        <v>0.0</v>
      </c>
      <c r="EF151" s="54">
        <v>0.0</v>
      </c>
      <c r="EG151" s="54">
        <v>18181.0</v>
      </c>
      <c r="EH151" s="54">
        <v>33366.0</v>
      </c>
      <c r="EI151" s="54">
        <v>5028.0</v>
      </c>
      <c r="EJ151" s="54">
        <v>6.0</v>
      </c>
      <c r="EK151" s="54">
        <v>14.0</v>
      </c>
      <c r="EL151" s="54">
        <v>2106.0</v>
      </c>
      <c r="EM151" s="54">
        <v>801.0</v>
      </c>
      <c r="EN151" s="54">
        <v>5448.0</v>
      </c>
      <c r="EO151" s="54">
        <v>1260.0</v>
      </c>
      <c r="EP151" s="54">
        <v>10571.0</v>
      </c>
      <c r="EQ151" s="54">
        <v>2.3933899E7</v>
      </c>
      <c r="ER151" s="54">
        <v>589246.0</v>
      </c>
      <c r="ES151" s="54">
        <v>427.0</v>
      </c>
      <c r="ET151" s="54">
        <v>122339.0</v>
      </c>
      <c r="EU151" s="54">
        <v>105992.0</v>
      </c>
      <c r="EV151" s="54">
        <v>326.0</v>
      </c>
      <c r="EW151" s="54">
        <v>0.0</v>
      </c>
      <c r="EX151" s="54">
        <v>1001.0</v>
      </c>
      <c r="EY151" s="54">
        <v>2077.0</v>
      </c>
      <c r="EZ151" s="54">
        <v>0.0</v>
      </c>
      <c r="FA151" s="54">
        <v>0.0</v>
      </c>
      <c r="FB151" s="54">
        <v>1089433.0</v>
      </c>
      <c r="FC151" s="54">
        <v>0.0</v>
      </c>
      <c r="FD151" s="54">
        <v>0.0</v>
      </c>
      <c r="FE151" s="54">
        <v>0.0</v>
      </c>
      <c r="FF151" s="54">
        <v>0.0</v>
      </c>
      <c r="FG151" s="54">
        <v>382492.0</v>
      </c>
      <c r="FH151" s="54">
        <v>1552.0</v>
      </c>
      <c r="FI151" s="54">
        <v>117.0</v>
      </c>
      <c r="FJ151" s="54">
        <v>6784.0</v>
      </c>
      <c r="FK151" s="54">
        <v>173683.0</v>
      </c>
      <c r="FL151" s="54">
        <v>0.0</v>
      </c>
      <c r="FM151" s="54">
        <v>778.0</v>
      </c>
      <c r="FN151" s="54">
        <v>0.0</v>
      </c>
      <c r="FO151" s="54">
        <v>0.0</v>
      </c>
      <c r="FP151" s="54">
        <v>328.0</v>
      </c>
      <c r="FQ151" s="54">
        <v>0.0</v>
      </c>
      <c r="FR151" s="54">
        <v>0.0</v>
      </c>
      <c r="FS151" s="54">
        <v>0.0</v>
      </c>
      <c r="FT151" s="54">
        <v>0.0</v>
      </c>
      <c r="FU151" s="54">
        <v>38105.0</v>
      </c>
      <c r="FV151" s="54">
        <v>5386.0</v>
      </c>
      <c r="FW151" s="54">
        <v>524958.0</v>
      </c>
      <c r="FX151" s="54">
        <v>265350.0</v>
      </c>
      <c r="FY151" s="54">
        <v>488934.0</v>
      </c>
      <c r="FZ151" s="54">
        <v>2424.0</v>
      </c>
      <c r="GA151" s="54">
        <v>28041.0</v>
      </c>
      <c r="GB151" s="54">
        <v>113350.0</v>
      </c>
      <c r="GC151" s="54">
        <v>65301.0</v>
      </c>
      <c r="GD151" s="54">
        <v>0.0</v>
      </c>
      <c r="GE151" s="54">
        <v>0.0</v>
      </c>
      <c r="GF151" s="55">
        <v>4.4763806E7</v>
      </c>
      <c r="GG151" s="56">
        <v>210353.0</v>
      </c>
      <c r="GH151" s="57">
        <v>0.0</v>
      </c>
      <c r="GI151" s="56">
        <v>0.0</v>
      </c>
      <c r="GJ151" s="56">
        <v>0.0</v>
      </c>
      <c r="GK151" s="56">
        <v>202671.0</v>
      </c>
      <c r="GL151" s="56">
        <v>0.0</v>
      </c>
      <c r="GM151" s="56">
        <v>0.0</v>
      </c>
      <c r="GN151" s="55">
        <v>413024.0</v>
      </c>
      <c r="GO151" s="58">
        <v>4.517683E7</v>
      </c>
      <c r="GP151" s="56">
        <v>1.0</v>
      </c>
      <c r="GQ151" s="56">
        <v>0.0</v>
      </c>
      <c r="GR151" s="57">
        <v>0.0</v>
      </c>
      <c r="GS151" s="55">
        <v>1.0</v>
      </c>
      <c r="GT151" s="59">
        <v>0.0</v>
      </c>
      <c r="GU151" s="59">
        <v>0.0</v>
      </c>
      <c r="GV151" s="59">
        <v>0.0</v>
      </c>
      <c r="GW151" s="55">
        <v>0.0</v>
      </c>
      <c r="GX151" s="55">
        <v>8555.0</v>
      </c>
      <c r="GY151" s="55">
        <v>4.5168274E7</v>
      </c>
      <c r="GZ151" s="58">
        <v>4.517683E7</v>
      </c>
    </row>
    <row r="152" ht="15.75" customHeight="1">
      <c r="A152" s="60">
        <v>147.0</v>
      </c>
      <c r="B152" s="61" t="s">
        <v>192</v>
      </c>
      <c r="C152" s="62">
        <v>0.0</v>
      </c>
      <c r="D152" s="62">
        <v>89.0</v>
      </c>
      <c r="E152" s="62">
        <v>7.0</v>
      </c>
      <c r="F152" s="62">
        <v>46.0</v>
      </c>
      <c r="G152" s="62">
        <v>3.0</v>
      </c>
      <c r="H152" s="62">
        <v>10.0</v>
      </c>
      <c r="I152" s="62">
        <v>5.0</v>
      </c>
      <c r="J152" s="62">
        <v>5.0</v>
      </c>
      <c r="K152" s="62">
        <v>9.0</v>
      </c>
      <c r="L152" s="62">
        <v>14766.0</v>
      </c>
      <c r="M152" s="62">
        <v>628.0</v>
      </c>
      <c r="N152" s="62">
        <v>152.0</v>
      </c>
      <c r="O152" s="62">
        <v>479.0</v>
      </c>
      <c r="P152" s="62">
        <v>80.0</v>
      </c>
      <c r="Q152" s="62">
        <v>363.0</v>
      </c>
      <c r="R152" s="62">
        <v>3376.0</v>
      </c>
      <c r="S152" s="62">
        <v>179.0</v>
      </c>
      <c r="T152" s="62">
        <v>15.0</v>
      </c>
      <c r="U152" s="62">
        <v>11.0</v>
      </c>
      <c r="V152" s="62">
        <v>24.0</v>
      </c>
      <c r="W152" s="62">
        <v>0.0</v>
      </c>
      <c r="X152" s="62">
        <v>28.0</v>
      </c>
      <c r="Y152" s="62">
        <v>6.0</v>
      </c>
      <c r="Z152" s="62">
        <v>9.0</v>
      </c>
      <c r="AA152" s="62">
        <v>1.0</v>
      </c>
      <c r="AB152" s="62">
        <v>1071.0</v>
      </c>
      <c r="AC152" s="62">
        <v>127.0</v>
      </c>
      <c r="AD152" s="62">
        <v>1435.0</v>
      </c>
      <c r="AE152" s="62">
        <v>117.0</v>
      </c>
      <c r="AF152" s="62">
        <v>224.0</v>
      </c>
      <c r="AG152" s="62">
        <v>5.0</v>
      </c>
      <c r="AH152" s="62">
        <v>1.0</v>
      </c>
      <c r="AI152" s="62">
        <v>2843.0</v>
      </c>
      <c r="AJ152" s="62">
        <v>93.0</v>
      </c>
      <c r="AK152" s="62">
        <v>62.0</v>
      </c>
      <c r="AL152" s="62">
        <v>50.0</v>
      </c>
      <c r="AM152" s="62">
        <v>11189.0</v>
      </c>
      <c r="AN152" s="62">
        <v>16502.0</v>
      </c>
      <c r="AO152" s="62">
        <v>25105.0</v>
      </c>
      <c r="AP152" s="62">
        <v>208.0</v>
      </c>
      <c r="AQ152" s="62">
        <v>1818.0</v>
      </c>
      <c r="AR152" s="62">
        <v>288.0</v>
      </c>
      <c r="AS152" s="62">
        <v>3717.0</v>
      </c>
      <c r="AT152" s="62">
        <v>4098.0</v>
      </c>
      <c r="AU152" s="62">
        <v>61.0</v>
      </c>
      <c r="AV152" s="62">
        <v>6001.0</v>
      </c>
      <c r="AW152" s="62">
        <v>115.0</v>
      </c>
      <c r="AX152" s="62">
        <v>48703.0</v>
      </c>
      <c r="AY152" s="62">
        <v>22849.0</v>
      </c>
      <c r="AZ152" s="62">
        <v>440.0</v>
      </c>
      <c r="BA152" s="62">
        <v>2001.0</v>
      </c>
      <c r="BB152" s="62">
        <v>9763.0</v>
      </c>
      <c r="BC152" s="62">
        <v>1639.0</v>
      </c>
      <c r="BD152" s="62">
        <v>250.0</v>
      </c>
      <c r="BE152" s="62">
        <v>81.0</v>
      </c>
      <c r="BF152" s="62">
        <v>325.0</v>
      </c>
      <c r="BG152" s="62">
        <v>16534.0</v>
      </c>
      <c r="BH152" s="62">
        <v>50562.0</v>
      </c>
      <c r="BI152" s="62">
        <v>40.0</v>
      </c>
      <c r="BJ152" s="62">
        <v>3695.0</v>
      </c>
      <c r="BK152" s="62">
        <v>183.0</v>
      </c>
      <c r="BL152" s="62">
        <v>106.0</v>
      </c>
      <c r="BM152" s="62">
        <v>23.0</v>
      </c>
      <c r="BN152" s="62">
        <v>87.0</v>
      </c>
      <c r="BO152" s="62">
        <v>2297.0</v>
      </c>
      <c r="BP152" s="62">
        <v>685.0</v>
      </c>
      <c r="BQ152" s="62">
        <v>749.0</v>
      </c>
      <c r="BR152" s="62">
        <v>3499.0</v>
      </c>
      <c r="BS152" s="62">
        <v>5136.0</v>
      </c>
      <c r="BT152" s="62">
        <v>16588.0</v>
      </c>
      <c r="BU152" s="62">
        <v>42470.0</v>
      </c>
      <c r="BV152" s="62">
        <v>4026.0</v>
      </c>
      <c r="BW152" s="62">
        <v>284.0</v>
      </c>
      <c r="BX152" s="62">
        <v>13556.0</v>
      </c>
      <c r="BY152" s="62">
        <v>3602.0</v>
      </c>
      <c r="BZ152" s="62">
        <v>207.0</v>
      </c>
      <c r="CA152" s="62">
        <v>11552.0</v>
      </c>
      <c r="CB152" s="62">
        <v>6218.0</v>
      </c>
      <c r="CC152" s="62">
        <v>938.0</v>
      </c>
      <c r="CD152" s="62">
        <v>695.0</v>
      </c>
      <c r="CE152" s="62">
        <v>1043.0</v>
      </c>
      <c r="CF152" s="62">
        <v>1578.0</v>
      </c>
      <c r="CG152" s="62">
        <v>4120.0</v>
      </c>
      <c r="CH152" s="62">
        <v>737.0</v>
      </c>
      <c r="CI152" s="62">
        <v>4144.0</v>
      </c>
      <c r="CJ152" s="62">
        <v>299.0</v>
      </c>
      <c r="CK152" s="62">
        <v>673.0</v>
      </c>
      <c r="CL152" s="62">
        <v>303.0</v>
      </c>
      <c r="CM152" s="62">
        <v>130.0</v>
      </c>
      <c r="CN152" s="62">
        <v>347.0</v>
      </c>
      <c r="CO152" s="62">
        <v>879.0</v>
      </c>
      <c r="CP152" s="62">
        <v>875.0</v>
      </c>
      <c r="CQ152" s="62">
        <v>432.0</v>
      </c>
      <c r="CR152" s="62">
        <v>9738.0</v>
      </c>
      <c r="CS152" s="62">
        <v>2423.0</v>
      </c>
      <c r="CT152" s="62">
        <v>13193.0</v>
      </c>
      <c r="CU152" s="62">
        <v>9243.0</v>
      </c>
      <c r="CV152" s="62">
        <v>8114.0</v>
      </c>
      <c r="CW152" s="62">
        <v>6502.0</v>
      </c>
      <c r="CX152" s="62">
        <v>448.0</v>
      </c>
      <c r="CY152" s="62">
        <v>60.0</v>
      </c>
      <c r="CZ152" s="62">
        <v>83868.0</v>
      </c>
      <c r="DA152" s="62">
        <v>29827.0</v>
      </c>
      <c r="DB152" s="62">
        <v>692.0</v>
      </c>
      <c r="DC152" s="62">
        <v>59281.0</v>
      </c>
      <c r="DD152" s="62">
        <v>1856.0</v>
      </c>
      <c r="DE152" s="62">
        <v>808.0</v>
      </c>
      <c r="DF152" s="62">
        <v>137.0</v>
      </c>
      <c r="DG152" s="62">
        <v>426.0</v>
      </c>
      <c r="DH152" s="62">
        <v>2013.0</v>
      </c>
      <c r="DI152" s="62">
        <v>20401.0</v>
      </c>
      <c r="DJ152" s="62">
        <v>5092.0</v>
      </c>
      <c r="DK152" s="62">
        <v>7327.0</v>
      </c>
      <c r="DL152" s="62">
        <v>1066020.0</v>
      </c>
      <c r="DM152" s="62">
        <v>36460.0</v>
      </c>
      <c r="DN152" s="62">
        <v>21339.0</v>
      </c>
      <c r="DO152" s="62">
        <v>28855.0</v>
      </c>
      <c r="DP152" s="62">
        <v>589.0</v>
      </c>
      <c r="DQ152" s="62">
        <v>2984.0</v>
      </c>
      <c r="DR152" s="62">
        <v>77500.0</v>
      </c>
      <c r="DS152" s="62">
        <v>28162.0</v>
      </c>
      <c r="DT152" s="62">
        <v>8179.0</v>
      </c>
      <c r="DU152" s="62">
        <v>2981.0</v>
      </c>
      <c r="DV152" s="62">
        <v>8824.0</v>
      </c>
      <c r="DW152" s="62">
        <v>5666.0</v>
      </c>
      <c r="DX152" s="62">
        <v>5083.0</v>
      </c>
      <c r="DY152" s="62">
        <v>26686.0</v>
      </c>
      <c r="DZ152" s="62">
        <v>5702.0</v>
      </c>
      <c r="EA152" s="62">
        <v>236.0</v>
      </c>
      <c r="EB152" s="62">
        <v>1063.0</v>
      </c>
      <c r="EC152" s="62">
        <v>36185.0</v>
      </c>
      <c r="ED152" s="62">
        <v>3325.0</v>
      </c>
      <c r="EE152" s="62">
        <v>592.0</v>
      </c>
      <c r="EF152" s="62">
        <v>319.0</v>
      </c>
      <c r="EG152" s="62">
        <v>1074.0</v>
      </c>
      <c r="EH152" s="62">
        <v>93709.0</v>
      </c>
      <c r="EI152" s="62">
        <v>2977.0</v>
      </c>
      <c r="EJ152" s="62">
        <v>8374.0</v>
      </c>
      <c r="EK152" s="62">
        <v>350.0</v>
      </c>
      <c r="EL152" s="62">
        <v>945.0</v>
      </c>
      <c r="EM152" s="62">
        <v>983.0</v>
      </c>
      <c r="EN152" s="62">
        <v>3068.0</v>
      </c>
      <c r="EO152" s="62">
        <v>507.0</v>
      </c>
      <c r="EP152" s="62">
        <v>2302.0</v>
      </c>
      <c r="EQ152" s="62">
        <v>191.0</v>
      </c>
      <c r="ER152" s="62">
        <v>420248.0</v>
      </c>
      <c r="ES152" s="62">
        <v>223747.0</v>
      </c>
      <c r="ET152" s="62">
        <v>30088.0</v>
      </c>
      <c r="EU152" s="62">
        <v>38641.0</v>
      </c>
      <c r="EV152" s="62">
        <v>1110.0</v>
      </c>
      <c r="EW152" s="62">
        <v>1730.0</v>
      </c>
      <c r="EX152" s="62">
        <v>3297.0</v>
      </c>
      <c r="EY152" s="62">
        <v>24053.0</v>
      </c>
      <c r="EZ152" s="62">
        <v>21067.0</v>
      </c>
      <c r="FA152" s="62">
        <v>29266.0</v>
      </c>
      <c r="FB152" s="62">
        <v>154096.0</v>
      </c>
      <c r="FC152" s="62">
        <v>1271.0</v>
      </c>
      <c r="FD152" s="62">
        <v>24090.0</v>
      </c>
      <c r="FE152" s="62">
        <v>19111.0</v>
      </c>
      <c r="FF152" s="62">
        <v>8209.0</v>
      </c>
      <c r="FG152" s="62">
        <v>6173.0</v>
      </c>
      <c r="FH152" s="62">
        <v>43475.0</v>
      </c>
      <c r="FI152" s="62">
        <v>2295.0</v>
      </c>
      <c r="FJ152" s="62">
        <v>38997.0</v>
      </c>
      <c r="FK152" s="62">
        <v>6749.0</v>
      </c>
      <c r="FL152" s="62">
        <v>22694.0</v>
      </c>
      <c r="FM152" s="62">
        <v>5742.0</v>
      </c>
      <c r="FN152" s="62">
        <v>253971.0</v>
      </c>
      <c r="FO152" s="62">
        <v>17940.0</v>
      </c>
      <c r="FP152" s="62">
        <v>16592.0</v>
      </c>
      <c r="FQ152" s="62">
        <v>664.0</v>
      </c>
      <c r="FR152" s="62">
        <v>2.0</v>
      </c>
      <c r="FS152" s="62">
        <v>99.0</v>
      </c>
      <c r="FT152" s="62">
        <v>27681.0</v>
      </c>
      <c r="FU152" s="62">
        <v>816929.0</v>
      </c>
      <c r="FV152" s="62">
        <v>162503.0</v>
      </c>
      <c r="FW152" s="62">
        <v>1106375.0</v>
      </c>
      <c r="FX152" s="62">
        <v>125741.0</v>
      </c>
      <c r="FY152" s="62">
        <v>627087.0</v>
      </c>
      <c r="FZ152" s="62">
        <v>14916.0</v>
      </c>
      <c r="GA152" s="62">
        <v>335573.0</v>
      </c>
      <c r="GB152" s="62">
        <v>1127635.0</v>
      </c>
      <c r="GC152" s="62">
        <v>75830.0</v>
      </c>
      <c r="GD152" s="62">
        <v>1404.0</v>
      </c>
      <c r="GE152" s="62">
        <v>1978282.0</v>
      </c>
      <c r="GF152" s="63">
        <v>9938816.0</v>
      </c>
      <c r="GG152" s="64">
        <v>4.0332985E7</v>
      </c>
      <c r="GH152" s="65">
        <v>0.0</v>
      </c>
      <c r="GI152" s="64">
        <v>0.0</v>
      </c>
      <c r="GJ152" s="64">
        <v>0.0</v>
      </c>
      <c r="GK152" s="64">
        <v>0.0</v>
      </c>
      <c r="GL152" s="64">
        <v>0.0</v>
      </c>
      <c r="GM152" s="64">
        <v>0.0</v>
      </c>
      <c r="GN152" s="63">
        <v>4.0332985E7</v>
      </c>
      <c r="GO152" s="66">
        <v>5.0271801E7</v>
      </c>
      <c r="GP152" s="64">
        <v>0.0</v>
      </c>
      <c r="GQ152" s="64">
        <v>0.0</v>
      </c>
      <c r="GR152" s="65">
        <v>0.0</v>
      </c>
      <c r="GS152" s="63">
        <v>0.0</v>
      </c>
      <c r="GT152" s="67">
        <v>0.0</v>
      </c>
      <c r="GU152" s="67">
        <v>0.0</v>
      </c>
      <c r="GV152" s="67">
        <v>0.0</v>
      </c>
      <c r="GW152" s="63">
        <v>0.0</v>
      </c>
      <c r="GX152" s="63">
        <v>-284695.0</v>
      </c>
      <c r="GY152" s="63">
        <v>5.0556496E7</v>
      </c>
      <c r="GZ152" s="66">
        <v>5.0271801E7</v>
      </c>
    </row>
    <row r="153" ht="15.75" customHeight="1">
      <c r="A153" s="60">
        <v>148.0</v>
      </c>
      <c r="B153" s="61" t="s">
        <v>193</v>
      </c>
      <c r="C153" s="62">
        <v>0.0</v>
      </c>
      <c r="D153" s="62">
        <v>0.0</v>
      </c>
      <c r="E153" s="62">
        <v>0.0</v>
      </c>
      <c r="F153" s="62">
        <v>0.0</v>
      </c>
      <c r="G153" s="62">
        <v>0.0</v>
      </c>
      <c r="H153" s="62">
        <v>0.0</v>
      </c>
      <c r="I153" s="62">
        <v>0.0</v>
      </c>
      <c r="J153" s="62">
        <v>0.0</v>
      </c>
      <c r="K153" s="62">
        <v>0.0</v>
      </c>
      <c r="L153" s="62">
        <v>0.0</v>
      </c>
      <c r="M153" s="62">
        <v>7192.0</v>
      </c>
      <c r="N153" s="62">
        <v>0.0</v>
      </c>
      <c r="O153" s="62">
        <v>113438.0</v>
      </c>
      <c r="P153" s="62">
        <v>0.0</v>
      </c>
      <c r="Q153" s="62">
        <v>376.0</v>
      </c>
      <c r="R153" s="62">
        <v>0.0</v>
      </c>
      <c r="S153" s="62">
        <v>0.0</v>
      </c>
      <c r="T153" s="62">
        <v>0.0</v>
      </c>
      <c r="U153" s="62">
        <v>139.0</v>
      </c>
      <c r="V153" s="62">
        <v>7624.0</v>
      </c>
      <c r="W153" s="62">
        <v>55.0</v>
      </c>
      <c r="X153" s="62">
        <v>223.0</v>
      </c>
      <c r="Y153" s="62">
        <v>113.0</v>
      </c>
      <c r="Z153" s="62">
        <v>160.0</v>
      </c>
      <c r="AA153" s="62">
        <v>397.0</v>
      </c>
      <c r="AB153" s="62">
        <v>10168.0</v>
      </c>
      <c r="AC153" s="62">
        <v>567.0</v>
      </c>
      <c r="AD153" s="62">
        <v>9309.0</v>
      </c>
      <c r="AE153" s="62">
        <v>2894.0</v>
      </c>
      <c r="AF153" s="62">
        <v>160.0</v>
      </c>
      <c r="AG153" s="62">
        <v>0.0</v>
      </c>
      <c r="AH153" s="62">
        <v>0.0</v>
      </c>
      <c r="AI153" s="62">
        <v>42476.0</v>
      </c>
      <c r="AJ153" s="62">
        <v>5141.0</v>
      </c>
      <c r="AK153" s="62">
        <v>340.0</v>
      </c>
      <c r="AL153" s="62">
        <v>412.0</v>
      </c>
      <c r="AM153" s="62">
        <v>143049.0</v>
      </c>
      <c r="AN153" s="62">
        <v>126879.0</v>
      </c>
      <c r="AO153" s="62">
        <v>221364.0</v>
      </c>
      <c r="AP153" s="62">
        <v>1217.0</v>
      </c>
      <c r="AQ153" s="62">
        <v>5397.0</v>
      </c>
      <c r="AR153" s="62">
        <v>2543.0</v>
      </c>
      <c r="AS153" s="62">
        <v>18736.0</v>
      </c>
      <c r="AT153" s="62">
        <v>2228.0</v>
      </c>
      <c r="AU153" s="62">
        <v>1651.0</v>
      </c>
      <c r="AV153" s="62">
        <v>30878.0</v>
      </c>
      <c r="AW153" s="62">
        <v>693.0</v>
      </c>
      <c r="AX153" s="62">
        <v>3612.0</v>
      </c>
      <c r="AY153" s="62">
        <v>230.0</v>
      </c>
      <c r="AZ153" s="62">
        <v>480.0</v>
      </c>
      <c r="BA153" s="62">
        <v>5557.0</v>
      </c>
      <c r="BB153" s="62">
        <v>70165.0</v>
      </c>
      <c r="BC153" s="62">
        <v>107.0</v>
      </c>
      <c r="BD153" s="62">
        <v>62.0</v>
      </c>
      <c r="BE153" s="62">
        <v>318.0</v>
      </c>
      <c r="BF153" s="62">
        <v>1281.0</v>
      </c>
      <c r="BG153" s="62">
        <v>223.0</v>
      </c>
      <c r="BH153" s="62">
        <v>65434.0</v>
      </c>
      <c r="BI153" s="62">
        <v>63.0</v>
      </c>
      <c r="BJ153" s="62">
        <v>606.0</v>
      </c>
      <c r="BK153" s="62">
        <v>185.0</v>
      </c>
      <c r="BL153" s="62">
        <v>43.0</v>
      </c>
      <c r="BM153" s="62">
        <v>6.0</v>
      </c>
      <c r="BN153" s="62">
        <v>0.0</v>
      </c>
      <c r="BO153" s="62">
        <v>24897.0</v>
      </c>
      <c r="BP153" s="62">
        <v>903.0</v>
      </c>
      <c r="BQ153" s="62">
        <v>219.0</v>
      </c>
      <c r="BR153" s="62">
        <v>98.0</v>
      </c>
      <c r="BS153" s="62">
        <v>285.0</v>
      </c>
      <c r="BT153" s="62">
        <v>608.0</v>
      </c>
      <c r="BU153" s="62">
        <v>1363.0</v>
      </c>
      <c r="BV153" s="62">
        <v>376.0</v>
      </c>
      <c r="BW153" s="62">
        <v>0.0</v>
      </c>
      <c r="BX153" s="62">
        <v>84.0</v>
      </c>
      <c r="BY153" s="62">
        <v>116743.0</v>
      </c>
      <c r="BZ153" s="62">
        <v>8292.0</v>
      </c>
      <c r="CA153" s="62">
        <v>29130.0</v>
      </c>
      <c r="CB153" s="62">
        <v>17159.0</v>
      </c>
      <c r="CC153" s="62">
        <v>2641.0</v>
      </c>
      <c r="CD153" s="62">
        <v>2617.0</v>
      </c>
      <c r="CE153" s="62">
        <v>3163.0</v>
      </c>
      <c r="CF153" s="62">
        <v>3587.0</v>
      </c>
      <c r="CG153" s="62">
        <v>7428.0</v>
      </c>
      <c r="CH153" s="62">
        <v>4534.0</v>
      </c>
      <c r="CI153" s="62">
        <v>26117.0</v>
      </c>
      <c r="CJ153" s="62">
        <v>5989.0</v>
      </c>
      <c r="CK153" s="62">
        <v>12178.0</v>
      </c>
      <c r="CL153" s="62">
        <v>8257.0</v>
      </c>
      <c r="CM153" s="62">
        <v>3571.0</v>
      </c>
      <c r="CN153" s="62">
        <v>9558.0</v>
      </c>
      <c r="CO153" s="62">
        <v>29284.0</v>
      </c>
      <c r="CP153" s="62">
        <v>26130.0</v>
      </c>
      <c r="CQ153" s="62">
        <v>3522.0</v>
      </c>
      <c r="CR153" s="62">
        <v>773.0</v>
      </c>
      <c r="CS153" s="62">
        <v>6659.0</v>
      </c>
      <c r="CT153" s="62">
        <v>99634.0</v>
      </c>
      <c r="CU153" s="62">
        <v>23380.0</v>
      </c>
      <c r="CV153" s="62">
        <v>68530.0</v>
      </c>
      <c r="CW153" s="62">
        <v>8778.0</v>
      </c>
      <c r="CX153" s="62">
        <v>22520.0</v>
      </c>
      <c r="CY153" s="62">
        <v>1027.0</v>
      </c>
      <c r="CZ153" s="62">
        <v>22161.0</v>
      </c>
      <c r="DA153" s="62">
        <v>42392.0</v>
      </c>
      <c r="DB153" s="62">
        <v>34311.0</v>
      </c>
      <c r="DC153" s="62">
        <v>70923.0</v>
      </c>
      <c r="DD153" s="62">
        <v>7793.0</v>
      </c>
      <c r="DE153" s="62">
        <v>2171.0</v>
      </c>
      <c r="DF153" s="62">
        <v>9341.0</v>
      </c>
      <c r="DG153" s="62">
        <v>1599.0</v>
      </c>
      <c r="DH153" s="62">
        <v>12935.0</v>
      </c>
      <c r="DI153" s="62">
        <v>14012.0</v>
      </c>
      <c r="DJ153" s="62">
        <v>11715.0</v>
      </c>
      <c r="DK153" s="62">
        <v>15808.0</v>
      </c>
      <c r="DL153" s="62">
        <v>750.0</v>
      </c>
      <c r="DM153" s="62">
        <v>3002.0</v>
      </c>
      <c r="DN153" s="62">
        <v>168.0</v>
      </c>
      <c r="DO153" s="62">
        <v>12937.0</v>
      </c>
      <c r="DP153" s="62">
        <v>68.0</v>
      </c>
      <c r="DQ153" s="62">
        <v>2416.0</v>
      </c>
      <c r="DR153" s="62">
        <v>72263.0</v>
      </c>
      <c r="DS153" s="62">
        <v>63558.0</v>
      </c>
      <c r="DT153" s="62">
        <v>7061.0</v>
      </c>
      <c r="DU153" s="62">
        <v>1920.0</v>
      </c>
      <c r="DV153" s="62">
        <v>12017.0</v>
      </c>
      <c r="DW153" s="62">
        <v>3808.0</v>
      </c>
      <c r="DX153" s="62">
        <v>1833.0</v>
      </c>
      <c r="DY153" s="62">
        <v>30098.0</v>
      </c>
      <c r="DZ153" s="62">
        <v>32584.0</v>
      </c>
      <c r="EA153" s="62">
        <v>5178.0</v>
      </c>
      <c r="EB153" s="62">
        <v>55305.0</v>
      </c>
      <c r="EC153" s="62">
        <v>29601.0</v>
      </c>
      <c r="ED153" s="62">
        <v>2418.0</v>
      </c>
      <c r="EE153" s="62">
        <v>1749.0</v>
      </c>
      <c r="EF153" s="62">
        <v>828.0</v>
      </c>
      <c r="EG153" s="62">
        <v>1908.0</v>
      </c>
      <c r="EH153" s="62">
        <v>168340.0</v>
      </c>
      <c r="EI153" s="62">
        <v>336.0</v>
      </c>
      <c r="EJ153" s="62">
        <v>7252.0</v>
      </c>
      <c r="EK153" s="62">
        <v>1375.0</v>
      </c>
      <c r="EL153" s="62">
        <v>20271.0</v>
      </c>
      <c r="EM153" s="62">
        <v>6230.0</v>
      </c>
      <c r="EN153" s="62">
        <v>4227.0</v>
      </c>
      <c r="EO153" s="62">
        <v>3822.0</v>
      </c>
      <c r="EP153" s="62">
        <v>3714.0</v>
      </c>
      <c r="EQ153" s="62">
        <v>34955.0</v>
      </c>
      <c r="ER153" s="62">
        <v>169.0</v>
      </c>
      <c r="ES153" s="62">
        <v>4366.0</v>
      </c>
      <c r="ET153" s="62">
        <v>1793553.0</v>
      </c>
      <c r="EU153" s="62">
        <v>258072.0</v>
      </c>
      <c r="EV153" s="62">
        <v>12097.0</v>
      </c>
      <c r="EW153" s="62">
        <v>4403.0</v>
      </c>
      <c r="EX153" s="62">
        <v>107756.0</v>
      </c>
      <c r="EY153" s="62">
        <v>15774.0</v>
      </c>
      <c r="EZ153" s="62">
        <v>70374.0</v>
      </c>
      <c r="FA153" s="62">
        <v>121968.0</v>
      </c>
      <c r="FB153" s="62">
        <v>313513.0</v>
      </c>
      <c r="FC153" s="62">
        <v>467.0</v>
      </c>
      <c r="FD153" s="62">
        <v>481903.0</v>
      </c>
      <c r="FE153" s="62">
        <v>44551.0</v>
      </c>
      <c r="FF153" s="62">
        <v>6651.0</v>
      </c>
      <c r="FG153" s="62">
        <v>161786.0</v>
      </c>
      <c r="FH153" s="62">
        <v>498494.0</v>
      </c>
      <c r="FI153" s="62">
        <v>8872.0</v>
      </c>
      <c r="FJ153" s="62">
        <v>5047.0</v>
      </c>
      <c r="FK153" s="62">
        <v>6882.0</v>
      </c>
      <c r="FL153" s="62">
        <v>22644.0</v>
      </c>
      <c r="FM153" s="62">
        <v>27639.0</v>
      </c>
      <c r="FN153" s="62">
        <v>3277.0</v>
      </c>
      <c r="FO153" s="62">
        <v>1908.0</v>
      </c>
      <c r="FP153" s="62">
        <v>33192.0</v>
      </c>
      <c r="FQ153" s="62">
        <v>17691.0</v>
      </c>
      <c r="FR153" s="62">
        <v>1.0</v>
      </c>
      <c r="FS153" s="62">
        <v>228.0</v>
      </c>
      <c r="FT153" s="62">
        <v>20630.0</v>
      </c>
      <c r="FU153" s="62">
        <v>61637.0</v>
      </c>
      <c r="FV153" s="62">
        <v>46957.0</v>
      </c>
      <c r="FW153" s="62">
        <v>978545.0</v>
      </c>
      <c r="FX153" s="62">
        <v>3806.0</v>
      </c>
      <c r="FY153" s="62">
        <v>592342.0</v>
      </c>
      <c r="FZ153" s="62">
        <v>5714.0</v>
      </c>
      <c r="GA153" s="62">
        <v>3098.0</v>
      </c>
      <c r="GB153" s="62">
        <v>539077.0</v>
      </c>
      <c r="GC153" s="62">
        <v>243.0</v>
      </c>
      <c r="GD153" s="62">
        <v>116.0</v>
      </c>
      <c r="GE153" s="62">
        <v>173677.0</v>
      </c>
      <c r="GF153" s="63">
        <v>8770498.0</v>
      </c>
      <c r="GG153" s="64">
        <v>7833000.0</v>
      </c>
      <c r="GH153" s="65">
        <v>0.0</v>
      </c>
      <c r="GI153" s="64">
        <v>2703691.0</v>
      </c>
      <c r="GJ153" s="64">
        <v>0.0</v>
      </c>
      <c r="GK153" s="64">
        <v>0.0</v>
      </c>
      <c r="GL153" s="64">
        <v>722641.0</v>
      </c>
      <c r="GM153" s="64">
        <v>0.0</v>
      </c>
      <c r="GN153" s="63">
        <v>1.1259332E7</v>
      </c>
      <c r="GO153" s="66">
        <v>2.002983E7</v>
      </c>
      <c r="GP153" s="64">
        <v>211797.0</v>
      </c>
      <c r="GQ153" s="64">
        <v>0.0</v>
      </c>
      <c r="GR153" s="65">
        <v>0.0</v>
      </c>
      <c r="GS153" s="63">
        <v>211797.0</v>
      </c>
      <c r="GT153" s="67">
        <v>0.0</v>
      </c>
      <c r="GU153" s="67">
        <v>0.0</v>
      </c>
      <c r="GV153" s="67">
        <v>0.0</v>
      </c>
      <c r="GW153" s="63">
        <v>0.0</v>
      </c>
      <c r="GX153" s="63">
        <v>305468.0</v>
      </c>
      <c r="GY153" s="63">
        <v>1.9512565E7</v>
      </c>
      <c r="GZ153" s="66">
        <v>2.002983E7</v>
      </c>
    </row>
    <row r="154" ht="15.75" customHeight="1">
      <c r="A154" s="60">
        <v>149.0</v>
      </c>
      <c r="B154" s="61" t="s">
        <v>194</v>
      </c>
      <c r="C154" s="62">
        <v>3824.0</v>
      </c>
      <c r="D154" s="62">
        <v>19037.0</v>
      </c>
      <c r="E154" s="62">
        <v>8417.0</v>
      </c>
      <c r="F154" s="62">
        <v>72431.0</v>
      </c>
      <c r="G154" s="62">
        <v>4253.0</v>
      </c>
      <c r="H154" s="62">
        <v>9742.0</v>
      </c>
      <c r="I154" s="62">
        <v>11265.0</v>
      </c>
      <c r="J154" s="62">
        <v>10929.0</v>
      </c>
      <c r="K154" s="62">
        <v>63.0</v>
      </c>
      <c r="L154" s="62">
        <v>95836.0</v>
      </c>
      <c r="M154" s="62">
        <v>101.0</v>
      </c>
      <c r="N154" s="62">
        <v>986.0</v>
      </c>
      <c r="O154" s="62">
        <v>11953.0</v>
      </c>
      <c r="P154" s="62">
        <v>4.0</v>
      </c>
      <c r="Q154" s="62">
        <v>25664.0</v>
      </c>
      <c r="R154" s="62">
        <v>56761.0</v>
      </c>
      <c r="S154" s="62">
        <v>6001.0</v>
      </c>
      <c r="T154" s="62">
        <v>33431.0</v>
      </c>
      <c r="U154" s="62">
        <v>20983.0</v>
      </c>
      <c r="V154" s="62">
        <v>232669.0</v>
      </c>
      <c r="W154" s="62">
        <v>5388.0</v>
      </c>
      <c r="X154" s="62">
        <v>9368.0</v>
      </c>
      <c r="Y154" s="62">
        <v>49101.0</v>
      </c>
      <c r="Z154" s="62">
        <v>46297.0</v>
      </c>
      <c r="AA154" s="62">
        <v>5207.0</v>
      </c>
      <c r="AB154" s="62">
        <v>108312.0</v>
      </c>
      <c r="AC154" s="62">
        <v>2778.0</v>
      </c>
      <c r="AD154" s="62">
        <v>50831.0</v>
      </c>
      <c r="AE154" s="62">
        <v>7773.0</v>
      </c>
      <c r="AF154" s="62">
        <v>34641.0</v>
      </c>
      <c r="AG154" s="62">
        <v>1158580.0</v>
      </c>
      <c r="AH154" s="62">
        <v>529938.0</v>
      </c>
      <c r="AI154" s="62">
        <v>553.0</v>
      </c>
      <c r="AJ154" s="62">
        <v>51612.0</v>
      </c>
      <c r="AK154" s="62">
        <v>2065.0</v>
      </c>
      <c r="AL154" s="62">
        <v>8019.0</v>
      </c>
      <c r="AM154" s="62">
        <v>944351.0</v>
      </c>
      <c r="AN154" s="62">
        <v>739676.0</v>
      </c>
      <c r="AO154" s="62">
        <v>1505043.0</v>
      </c>
      <c r="AP154" s="62">
        <v>11013.0</v>
      </c>
      <c r="AQ154" s="62">
        <v>46315.0</v>
      </c>
      <c r="AR154" s="62">
        <v>23021.0</v>
      </c>
      <c r="AS154" s="62">
        <v>169603.0</v>
      </c>
      <c r="AT154" s="62">
        <v>20170.0</v>
      </c>
      <c r="AU154" s="62">
        <v>14939.0</v>
      </c>
      <c r="AV154" s="62">
        <v>279514.0</v>
      </c>
      <c r="AW154" s="62">
        <v>5799.0</v>
      </c>
      <c r="AX154" s="62">
        <v>594873.0</v>
      </c>
      <c r="AY154" s="62">
        <v>74570.0</v>
      </c>
      <c r="AZ154" s="62">
        <v>4505.0</v>
      </c>
      <c r="BA154" s="62">
        <v>58511.0</v>
      </c>
      <c r="BB154" s="62">
        <v>79236.0</v>
      </c>
      <c r="BC154" s="62">
        <v>4.0</v>
      </c>
      <c r="BD154" s="62">
        <v>0.0</v>
      </c>
      <c r="BE154" s="62">
        <v>325.0</v>
      </c>
      <c r="BF154" s="62">
        <v>1136.0</v>
      </c>
      <c r="BG154" s="62">
        <v>0.0</v>
      </c>
      <c r="BH154" s="62">
        <v>4975.0</v>
      </c>
      <c r="BI154" s="62">
        <v>316.0</v>
      </c>
      <c r="BJ154" s="62">
        <v>667.0</v>
      </c>
      <c r="BK154" s="62">
        <v>1654.0</v>
      </c>
      <c r="BL154" s="62">
        <v>266.0</v>
      </c>
      <c r="BM154" s="62">
        <v>38.0</v>
      </c>
      <c r="BN154" s="62">
        <v>0.0</v>
      </c>
      <c r="BO154" s="62">
        <v>59464.0</v>
      </c>
      <c r="BP154" s="62">
        <v>0.0</v>
      </c>
      <c r="BQ154" s="62">
        <v>0.0</v>
      </c>
      <c r="BR154" s="62">
        <v>0.0</v>
      </c>
      <c r="BS154" s="62">
        <v>0.0</v>
      </c>
      <c r="BT154" s="62">
        <v>0.0</v>
      </c>
      <c r="BU154" s="62">
        <v>319.0</v>
      </c>
      <c r="BV154" s="62">
        <v>0.0</v>
      </c>
      <c r="BW154" s="62">
        <v>0.0</v>
      </c>
      <c r="BX154" s="62">
        <v>1176.0</v>
      </c>
      <c r="BY154" s="62">
        <v>19075.0</v>
      </c>
      <c r="BZ154" s="62">
        <v>1271.0</v>
      </c>
      <c r="CA154" s="62">
        <v>0.0</v>
      </c>
      <c r="CB154" s="62">
        <v>0.0</v>
      </c>
      <c r="CC154" s="62">
        <v>1659.0</v>
      </c>
      <c r="CD154" s="62">
        <v>0.0</v>
      </c>
      <c r="CE154" s="62">
        <v>0.0</v>
      </c>
      <c r="CF154" s="62">
        <v>196.0</v>
      </c>
      <c r="CG154" s="62">
        <v>0.0</v>
      </c>
      <c r="CH154" s="62">
        <v>0.0</v>
      </c>
      <c r="CI154" s="62">
        <v>0.0</v>
      </c>
      <c r="CJ154" s="62">
        <v>14071.0</v>
      </c>
      <c r="CK154" s="62">
        <v>29960.0</v>
      </c>
      <c r="CL154" s="62">
        <v>17100.0</v>
      </c>
      <c r="CM154" s="62">
        <v>8117.0</v>
      </c>
      <c r="CN154" s="62">
        <v>2854.0</v>
      </c>
      <c r="CO154" s="62">
        <v>49652.0</v>
      </c>
      <c r="CP154" s="62">
        <v>41350.0</v>
      </c>
      <c r="CQ154" s="62">
        <v>15692.0</v>
      </c>
      <c r="CR154" s="62">
        <v>6560.0</v>
      </c>
      <c r="CS154" s="62">
        <v>3.0</v>
      </c>
      <c r="CT154" s="62">
        <v>768.0</v>
      </c>
      <c r="CU154" s="62">
        <v>0.0</v>
      </c>
      <c r="CV154" s="62">
        <v>3.0</v>
      </c>
      <c r="CW154" s="62">
        <v>0.0</v>
      </c>
      <c r="CX154" s="62">
        <v>0.0</v>
      </c>
      <c r="CY154" s="62">
        <v>0.0</v>
      </c>
      <c r="CZ154" s="62">
        <v>15.0</v>
      </c>
      <c r="DA154" s="62">
        <v>3683.0</v>
      </c>
      <c r="DB154" s="62">
        <v>0.0</v>
      </c>
      <c r="DC154" s="62">
        <v>0.0</v>
      </c>
      <c r="DD154" s="62">
        <v>0.0</v>
      </c>
      <c r="DE154" s="62">
        <v>854.0</v>
      </c>
      <c r="DF154" s="62">
        <v>1026.0</v>
      </c>
      <c r="DG154" s="62">
        <v>364.0</v>
      </c>
      <c r="DH154" s="62">
        <v>4066.0</v>
      </c>
      <c r="DI154" s="62">
        <v>0.0</v>
      </c>
      <c r="DJ154" s="62">
        <v>2148.0</v>
      </c>
      <c r="DK154" s="62">
        <v>0.0</v>
      </c>
      <c r="DL154" s="62">
        <v>130035.0</v>
      </c>
      <c r="DM154" s="62">
        <v>197.0</v>
      </c>
      <c r="DN154" s="62">
        <v>42838.0</v>
      </c>
      <c r="DO154" s="62">
        <v>7125.0</v>
      </c>
      <c r="DP154" s="62">
        <v>0.0</v>
      </c>
      <c r="DQ154" s="62">
        <v>8678.0</v>
      </c>
      <c r="DR154" s="62">
        <v>661939.0</v>
      </c>
      <c r="DS154" s="62">
        <v>551224.0</v>
      </c>
      <c r="DT154" s="62">
        <v>46027.0</v>
      </c>
      <c r="DU154" s="62">
        <v>19429.0</v>
      </c>
      <c r="DV154" s="62">
        <v>0.0</v>
      </c>
      <c r="DW154" s="62">
        <v>0.0</v>
      </c>
      <c r="DX154" s="62">
        <v>426982.0</v>
      </c>
      <c r="DY154" s="62">
        <v>1811379.0</v>
      </c>
      <c r="DZ154" s="62">
        <v>3293.0</v>
      </c>
      <c r="EA154" s="62">
        <v>28.0</v>
      </c>
      <c r="EB154" s="62">
        <v>40.0</v>
      </c>
      <c r="EC154" s="62">
        <v>71322.0</v>
      </c>
      <c r="ED154" s="62">
        <v>108540.0</v>
      </c>
      <c r="EE154" s="62">
        <v>0.0</v>
      </c>
      <c r="EF154" s="62">
        <v>2504.0</v>
      </c>
      <c r="EG154" s="62">
        <v>15201.0</v>
      </c>
      <c r="EH154" s="62">
        <v>169832.0</v>
      </c>
      <c r="EI154" s="62">
        <v>163850.0</v>
      </c>
      <c r="EJ154" s="62">
        <v>13558.0</v>
      </c>
      <c r="EK154" s="62">
        <v>3466.0</v>
      </c>
      <c r="EL154" s="62">
        <v>36287.0</v>
      </c>
      <c r="EM154" s="62">
        <v>15807.0</v>
      </c>
      <c r="EN154" s="62">
        <v>0.0</v>
      </c>
      <c r="EO154" s="62">
        <v>13163.0</v>
      </c>
      <c r="EP154" s="62">
        <v>20343.0</v>
      </c>
      <c r="EQ154" s="62">
        <v>79926.0</v>
      </c>
      <c r="ER154" s="62">
        <v>5939.0</v>
      </c>
      <c r="ES154" s="62">
        <v>173690.0</v>
      </c>
      <c r="ET154" s="62">
        <v>28988.0</v>
      </c>
      <c r="EU154" s="62">
        <v>2.5864675E7</v>
      </c>
      <c r="EV154" s="62">
        <v>39739.0</v>
      </c>
      <c r="EW154" s="62">
        <v>90609.0</v>
      </c>
      <c r="EX154" s="62">
        <v>239610.0</v>
      </c>
      <c r="EY154" s="62">
        <v>439414.0</v>
      </c>
      <c r="EZ154" s="62">
        <v>1233032.0</v>
      </c>
      <c r="FA154" s="62">
        <v>733591.0</v>
      </c>
      <c r="FB154" s="62">
        <v>1.4721286E7</v>
      </c>
      <c r="FC154" s="62">
        <v>16655.0</v>
      </c>
      <c r="FD154" s="62">
        <v>474791.0</v>
      </c>
      <c r="FE154" s="62">
        <v>37895.0</v>
      </c>
      <c r="FF154" s="62">
        <v>63451.0</v>
      </c>
      <c r="FG154" s="62">
        <v>274795.0</v>
      </c>
      <c r="FH154" s="62">
        <v>2423354.0</v>
      </c>
      <c r="FI154" s="62">
        <v>75362.0</v>
      </c>
      <c r="FJ154" s="62">
        <v>24253.0</v>
      </c>
      <c r="FK154" s="62">
        <v>10468.0</v>
      </c>
      <c r="FL154" s="62">
        <v>112537.0</v>
      </c>
      <c r="FM154" s="62">
        <v>87400.0</v>
      </c>
      <c r="FN154" s="62">
        <v>825499.0</v>
      </c>
      <c r="FO154" s="62">
        <v>291182.0</v>
      </c>
      <c r="FP154" s="62">
        <v>3439753.0</v>
      </c>
      <c r="FQ154" s="62">
        <v>152397.0</v>
      </c>
      <c r="FR154" s="62">
        <v>1449.0</v>
      </c>
      <c r="FS154" s="62">
        <v>179303.0</v>
      </c>
      <c r="FT154" s="62">
        <v>7.8555475E7</v>
      </c>
      <c r="FU154" s="62">
        <v>3003316.0</v>
      </c>
      <c r="FV154" s="62">
        <v>1075529.0</v>
      </c>
      <c r="FW154" s="62">
        <v>0.0</v>
      </c>
      <c r="FX154" s="62">
        <v>0.0</v>
      </c>
      <c r="FY154" s="62">
        <v>0.0</v>
      </c>
      <c r="FZ154" s="62">
        <v>0.0</v>
      </c>
      <c r="GA154" s="62">
        <v>1385581.0</v>
      </c>
      <c r="GB154" s="62">
        <v>277510.0</v>
      </c>
      <c r="GC154" s="62">
        <v>144245.0</v>
      </c>
      <c r="GD154" s="62">
        <v>143283.0</v>
      </c>
      <c r="GE154" s="62">
        <v>914558.0</v>
      </c>
      <c r="GF154" s="63">
        <v>1.49540406E8</v>
      </c>
      <c r="GG154" s="64">
        <v>0.0</v>
      </c>
      <c r="GH154" s="65">
        <v>0.0</v>
      </c>
      <c r="GI154" s="64">
        <v>0.0</v>
      </c>
      <c r="GJ154" s="64">
        <v>1.995944898E9</v>
      </c>
      <c r="GK154" s="64">
        <v>-836899.0</v>
      </c>
      <c r="GL154" s="64">
        <v>0.0</v>
      </c>
      <c r="GM154" s="64">
        <v>3180336.0</v>
      </c>
      <c r="GN154" s="63">
        <v>1.998288335E9</v>
      </c>
      <c r="GO154" s="66">
        <v>2.147828741E9</v>
      </c>
      <c r="GP154" s="64">
        <v>0.0</v>
      </c>
      <c r="GQ154" s="64">
        <v>3575039.0</v>
      </c>
      <c r="GR154" s="65">
        <v>0.0</v>
      </c>
      <c r="GS154" s="63">
        <v>3575039.0</v>
      </c>
      <c r="GT154" s="67">
        <v>0.0</v>
      </c>
      <c r="GU154" s="67">
        <v>0.0</v>
      </c>
      <c r="GV154" s="67">
        <v>0.0</v>
      </c>
      <c r="GW154" s="63">
        <v>0.0</v>
      </c>
      <c r="GX154" s="63">
        <v>4.3220027E7</v>
      </c>
      <c r="GY154" s="63">
        <v>2.101033675E9</v>
      </c>
      <c r="GZ154" s="66">
        <v>2.147828741E9</v>
      </c>
    </row>
    <row r="155" ht="15.75" customHeight="1">
      <c r="A155" s="68">
        <v>150.0</v>
      </c>
      <c r="B155" s="69" t="s">
        <v>195</v>
      </c>
      <c r="C155" s="70">
        <v>0.0</v>
      </c>
      <c r="D155" s="70">
        <v>0.0</v>
      </c>
      <c r="E155" s="70">
        <v>0.0</v>
      </c>
      <c r="F155" s="70">
        <v>0.0</v>
      </c>
      <c r="G155" s="70">
        <v>0.0</v>
      </c>
      <c r="H155" s="70">
        <v>0.0</v>
      </c>
      <c r="I155" s="70">
        <v>0.0</v>
      </c>
      <c r="J155" s="70">
        <v>0.0</v>
      </c>
      <c r="K155" s="70">
        <v>0.0</v>
      </c>
      <c r="L155" s="70">
        <v>0.0</v>
      </c>
      <c r="M155" s="70">
        <v>0.0</v>
      </c>
      <c r="N155" s="70">
        <v>71.0</v>
      </c>
      <c r="O155" s="70">
        <v>0.0</v>
      </c>
      <c r="P155" s="70">
        <v>0.0</v>
      </c>
      <c r="Q155" s="70">
        <v>15867.0</v>
      </c>
      <c r="R155" s="70">
        <v>0.0</v>
      </c>
      <c r="S155" s="70">
        <v>0.0</v>
      </c>
      <c r="T155" s="70">
        <v>24022.0</v>
      </c>
      <c r="U155" s="70">
        <v>4643.0</v>
      </c>
      <c r="V155" s="70">
        <v>301753.0</v>
      </c>
      <c r="W155" s="70">
        <v>1031.0</v>
      </c>
      <c r="X155" s="70">
        <v>11165.0</v>
      </c>
      <c r="Y155" s="70">
        <v>34451.0</v>
      </c>
      <c r="Z155" s="70">
        <v>27270.0</v>
      </c>
      <c r="AA155" s="70">
        <v>1153.0</v>
      </c>
      <c r="AB155" s="70">
        <v>2635.0</v>
      </c>
      <c r="AC155" s="70">
        <v>1885.0</v>
      </c>
      <c r="AD155" s="70">
        <v>5931.0</v>
      </c>
      <c r="AE155" s="70">
        <v>732.0</v>
      </c>
      <c r="AF155" s="70">
        <v>6945.0</v>
      </c>
      <c r="AG155" s="70">
        <v>384672.0</v>
      </c>
      <c r="AH155" s="70">
        <v>63375.0</v>
      </c>
      <c r="AI155" s="70">
        <v>0.0</v>
      </c>
      <c r="AJ155" s="70">
        <v>0.0</v>
      </c>
      <c r="AK155" s="70">
        <v>0.0</v>
      </c>
      <c r="AL155" s="70">
        <v>0.0</v>
      </c>
      <c r="AM155" s="70">
        <v>28755.0</v>
      </c>
      <c r="AN155" s="70">
        <v>29403.0</v>
      </c>
      <c r="AO155" s="70">
        <v>88799.0</v>
      </c>
      <c r="AP155" s="70">
        <v>41103.0</v>
      </c>
      <c r="AQ155" s="70">
        <v>21086.0</v>
      </c>
      <c r="AR155" s="70">
        <v>6621.0</v>
      </c>
      <c r="AS155" s="70">
        <v>38505.0</v>
      </c>
      <c r="AT155" s="70">
        <v>10793.0</v>
      </c>
      <c r="AU155" s="70">
        <v>5.0</v>
      </c>
      <c r="AV155" s="70">
        <v>15117.0</v>
      </c>
      <c r="AW155" s="70">
        <v>53.0</v>
      </c>
      <c r="AX155" s="70">
        <v>376203.0</v>
      </c>
      <c r="AY155" s="70">
        <v>134299.0</v>
      </c>
      <c r="AZ155" s="70">
        <v>1004.0</v>
      </c>
      <c r="BA155" s="70">
        <v>42472.0</v>
      </c>
      <c r="BB155" s="70">
        <v>11040.0</v>
      </c>
      <c r="BC155" s="70">
        <v>0.0</v>
      </c>
      <c r="BD155" s="70">
        <v>0.0</v>
      </c>
      <c r="BE155" s="70">
        <v>0.0</v>
      </c>
      <c r="BF155" s="70">
        <v>0.0</v>
      </c>
      <c r="BG155" s="70">
        <v>0.0</v>
      </c>
      <c r="BH155" s="70">
        <v>90.0</v>
      </c>
      <c r="BI155" s="70">
        <v>0.0</v>
      </c>
      <c r="BJ155" s="70">
        <v>68.0</v>
      </c>
      <c r="BK155" s="70">
        <v>152.0</v>
      </c>
      <c r="BL155" s="70">
        <v>0.0</v>
      </c>
      <c r="BM155" s="70">
        <v>8.0</v>
      </c>
      <c r="BN155" s="70">
        <v>0.0</v>
      </c>
      <c r="BO155" s="70">
        <v>4922.0</v>
      </c>
      <c r="BP155" s="70">
        <v>0.0</v>
      </c>
      <c r="BQ155" s="70">
        <v>0.0</v>
      </c>
      <c r="BR155" s="70">
        <v>0.0</v>
      </c>
      <c r="BS155" s="70">
        <v>0.0</v>
      </c>
      <c r="BT155" s="70">
        <v>0.0</v>
      </c>
      <c r="BU155" s="70">
        <v>0.0</v>
      </c>
      <c r="BV155" s="70">
        <v>0.0</v>
      </c>
      <c r="BW155" s="70">
        <v>0.0</v>
      </c>
      <c r="BX155" s="70">
        <v>0.0</v>
      </c>
      <c r="BY155" s="70">
        <v>19755.0</v>
      </c>
      <c r="BZ155" s="70">
        <v>0.0</v>
      </c>
      <c r="CA155" s="70">
        <v>5711.0</v>
      </c>
      <c r="CB155" s="70">
        <v>3076.0</v>
      </c>
      <c r="CC155" s="70">
        <v>417.0</v>
      </c>
      <c r="CD155" s="70">
        <v>315.0</v>
      </c>
      <c r="CE155" s="70">
        <v>463.0</v>
      </c>
      <c r="CF155" s="70">
        <v>1335.0</v>
      </c>
      <c r="CG155" s="70">
        <v>116.0</v>
      </c>
      <c r="CH155" s="70">
        <v>341.0</v>
      </c>
      <c r="CI155" s="70">
        <v>2149.0</v>
      </c>
      <c r="CJ155" s="70">
        <v>190.0</v>
      </c>
      <c r="CK155" s="70">
        <v>0.0</v>
      </c>
      <c r="CL155" s="70">
        <v>0.0</v>
      </c>
      <c r="CM155" s="70">
        <v>0.0</v>
      </c>
      <c r="CN155" s="70">
        <v>0.0</v>
      </c>
      <c r="CO155" s="70">
        <v>441.0</v>
      </c>
      <c r="CP155" s="70">
        <v>773.0</v>
      </c>
      <c r="CQ155" s="70">
        <v>367.0</v>
      </c>
      <c r="CR155" s="70">
        <v>126919.0</v>
      </c>
      <c r="CS155" s="70">
        <v>1316.0</v>
      </c>
      <c r="CT155" s="70">
        <v>673.0</v>
      </c>
      <c r="CU155" s="70">
        <v>228.0</v>
      </c>
      <c r="CV155" s="70">
        <v>427.0</v>
      </c>
      <c r="CW155" s="70">
        <v>46.0</v>
      </c>
      <c r="CX155" s="70">
        <v>112.0</v>
      </c>
      <c r="CY155" s="70">
        <v>8.0</v>
      </c>
      <c r="CZ155" s="70">
        <v>139.0</v>
      </c>
      <c r="DA155" s="70">
        <v>619.0</v>
      </c>
      <c r="DB155" s="70">
        <v>158.0</v>
      </c>
      <c r="DC155" s="70">
        <v>1234.0</v>
      </c>
      <c r="DD155" s="70">
        <v>60.0</v>
      </c>
      <c r="DE155" s="70">
        <v>122.0</v>
      </c>
      <c r="DF155" s="70">
        <v>147.0</v>
      </c>
      <c r="DG155" s="70">
        <v>30.0</v>
      </c>
      <c r="DH155" s="70">
        <v>423.0</v>
      </c>
      <c r="DI155" s="70">
        <v>8616.0</v>
      </c>
      <c r="DJ155" s="70">
        <v>6106.0</v>
      </c>
      <c r="DK155" s="70">
        <v>6039.0</v>
      </c>
      <c r="DL155" s="70">
        <v>1648.0</v>
      </c>
      <c r="DM155" s="70">
        <v>603.0</v>
      </c>
      <c r="DN155" s="70">
        <v>107.0</v>
      </c>
      <c r="DO155" s="70">
        <v>692.0</v>
      </c>
      <c r="DP155" s="70">
        <v>60.0</v>
      </c>
      <c r="DQ155" s="70">
        <v>305.0</v>
      </c>
      <c r="DR155" s="70">
        <v>3709.0</v>
      </c>
      <c r="DS155" s="70">
        <v>3440.0</v>
      </c>
      <c r="DT155" s="70">
        <v>0.0</v>
      </c>
      <c r="DU155" s="70">
        <v>0.0</v>
      </c>
      <c r="DV155" s="70">
        <v>0.0</v>
      </c>
      <c r="DW155" s="70">
        <v>0.0</v>
      </c>
      <c r="DX155" s="70">
        <v>30.0</v>
      </c>
      <c r="DY155" s="70">
        <v>0.0</v>
      </c>
      <c r="DZ155" s="70">
        <v>14037.0</v>
      </c>
      <c r="EA155" s="70">
        <v>47.0</v>
      </c>
      <c r="EB155" s="70">
        <v>5.0</v>
      </c>
      <c r="EC155" s="70">
        <v>10995.0</v>
      </c>
      <c r="ED155" s="70">
        <v>6234.0</v>
      </c>
      <c r="EE155" s="70">
        <v>117.0</v>
      </c>
      <c r="EF155" s="70">
        <v>133.0</v>
      </c>
      <c r="EG155" s="70">
        <v>487.0</v>
      </c>
      <c r="EH155" s="70">
        <v>0.0</v>
      </c>
      <c r="EI155" s="70">
        <v>1776.0</v>
      </c>
      <c r="EJ155" s="70">
        <v>52.0</v>
      </c>
      <c r="EK155" s="70">
        <v>25.0</v>
      </c>
      <c r="EL155" s="70">
        <v>985.0</v>
      </c>
      <c r="EM155" s="70">
        <v>425.0</v>
      </c>
      <c r="EN155" s="70">
        <v>0.0</v>
      </c>
      <c r="EO155" s="70">
        <v>6.0</v>
      </c>
      <c r="EP155" s="70">
        <v>644.0</v>
      </c>
      <c r="EQ155" s="70">
        <v>2928.0</v>
      </c>
      <c r="ER155" s="70">
        <v>1056.0</v>
      </c>
      <c r="ES155" s="70">
        <v>155604.0</v>
      </c>
      <c r="ET155" s="70">
        <v>389263.0</v>
      </c>
      <c r="EU155" s="70">
        <v>4629302.0</v>
      </c>
      <c r="EV155" s="70">
        <v>5154.0</v>
      </c>
      <c r="EW155" s="70">
        <v>13715.0</v>
      </c>
      <c r="EX155" s="70">
        <v>26310.0</v>
      </c>
      <c r="EY155" s="70">
        <v>17336.0</v>
      </c>
      <c r="EZ155" s="70">
        <v>193546.0</v>
      </c>
      <c r="FA155" s="70">
        <v>37904.0</v>
      </c>
      <c r="FB155" s="70">
        <v>1277139.0</v>
      </c>
      <c r="FC155" s="70">
        <v>9779.0</v>
      </c>
      <c r="FD155" s="70">
        <v>77997.0</v>
      </c>
      <c r="FE155" s="70">
        <v>4661.0</v>
      </c>
      <c r="FF155" s="70">
        <v>12605.0</v>
      </c>
      <c r="FG155" s="70">
        <v>40089.0</v>
      </c>
      <c r="FH155" s="70">
        <v>603745.0</v>
      </c>
      <c r="FI155" s="70">
        <v>13856.0</v>
      </c>
      <c r="FJ155" s="70">
        <v>101.0</v>
      </c>
      <c r="FK155" s="70">
        <v>574.0</v>
      </c>
      <c r="FL155" s="70">
        <v>13354.0</v>
      </c>
      <c r="FM155" s="70">
        <v>54880.0</v>
      </c>
      <c r="FN155" s="70">
        <v>429119.0</v>
      </c>
      <c r="FO155" s="70">
        <v>118252.0</v>
      </c>
      <c r="FP155" s="70">
        <v>911020.0</v>
      </c>
      <c r="FQ155" s="70">
        <v>1292.0</v>
      </c>
      <c r="FR155" s="70">
        <v>1.0</v>
      </c>
      <c r="FS155" s="70">
        <v>611.0</v>
      </c>
      <c r="FT155" s="70">
        <v>344768.0</v>
      </c>
      <c r="FU155" s="70">
        <v>471482.0</v>
      </c>
      <c r="FV155" s="70">
        <v>6428.0</v>
      </c>
      <c r="FW155" s="70">
        <v>4.0779786E7</v>
      </c>
      <c r="FX155" s="70">
        <v>3840879.0</v>
      </c>
      <c r="FY155" s="70">
        <v>756574.0</v>
      </c>
      <c r="FZ155" s="70">
        <v>183379.0</v>
      </c>
      <c r="GA155" s="70">
        <v>608834.0</v>
      </c>
      <c r="GB155" s="70">
        <v>383302.0</v>
      </c>
      <c r="GC155" s="70">
        <v>79190.0</v>
      </c>
      <c r="GD155" s="70">
        <v>184.0</v>
      </c>
      <c r="GE155" s="70">
        <v>3066718.0</v>
      </c>
      <c r="GF155" s="71">
        <v>6.1536249E7</v>
      </c>
      <c r="GG155" s="72">
        <v>3.1436631E7</v>
      </c>
      <c r="GH155" s="73">
        <v>0.0</v>
      </c>
      <c r="GI155" s="72">
        <v>0.0</v>
      </c>
      <c r="GJ155" s="72">
        <v>1.22165277E8</v>
      </c>
      <c r="GK155" s="72">
        <v>0.0</v>
      </c>
      <c r="GL155" s="72">
        <v>0.0</v>
      </c>
      <c r="GM155" s="72">
        <v>530056.0</v>
      </c>
      <c r="GN155" s="71">
        <v>1.54131964E8</v>
      </c>
      <c r="GO155" s="74">
        <v>2.15668213E8</v>
      </c>
      <c r="GP155" s="72">
        <v>0.0</v>
      </c>
      <c r="GQ155" s="72">
        <v>595840.0</v>
      </c>
      <c r="GR155" s="73">
        <v>0.0</v>
      </c>
      <c r="GS155" s="71">
        <v>595840.0</v>
      </c>
      <c r="GT155" s="75">
        <v>0.0</v>
      </c>
      <c r="GU155" s="75">
        <v>0.0</v>
      </c>
      <c r="GV155" s="75">
        <v>0.0</v>
      </c>
      <c r="GW155" s="71">
        <v>0.0</v>
      </c>
      <c r="GX155" s="71">
        <v>6246535.0</v>
      </c>
      <c r="GY155" s="71">
        <v>2.08825838E8</v>
      </c>
      <c r="GZ155" s="74">
        <v>2.15668213E8</v>
      </c>
    </row>
    <row r="156" ht="15.75" customHeight="1">
      <c r="A156" s="52">
        <v>151.0</v>
      </c>
      <c r="B156" s="53" t="s">
        <v>196</v>
      </c>
      <c r="C156" s="54">
        <v>9441.0</v>
      </c>
      <c r="D156" s="54">
        <v>37177.0</v>
      </c>
      <c r="E156" s="54">
        <v>8352.0</v>
      </c>
      <c r="F156" s="54">
        <v>124917.0</v>
      </c>
      <c r="G156" s="54">
        <v>7539.0</v>
      </c>
      <c r="H156" s="54">
        <v>17210.0</v>
      </c>
      <c r="I156" s="54">
        <v>19945.0</v>
      </c>
      <c r="J156" s="54">
        <v>19361.0</v>
      </c>
      <c r="K156" s="54">
        <v>131.0</v>
      </c>
      <c r="L156" s="54">
        <v>23575.0</v>
      </c>
      <c r="M156" s="54">
        <v>15128.0</v>
      </c>
      <c r="N156" s="54">
        <v>1926.0</v>
      </c>
      <c r="O156" s="54">
        <v>170308.0</v>
      </c>
      <c r="P156" s="54">
        <v>17.0</v>
      </c>
      <c r="Q156" s="54">
        <v>106101.0</v>
      </c>
      <c r="R156" s="54">
        <v>7745.0</v>
      </c>
      <c r="S156" s="54">
        <v>28120.0</v>
      </c>
      <c r="T156" s="54">
        <v>73966.0</v>
      </c>
      <c r="U156" s="54">
        <v>114201.0</v>
      </c>
      <c r="V156" s="54">
        <v>1199511.0</v>
      </c>
      <c r="W156" s="54">
        <v>13992.0</v>
      </c>
      <c r="X156" s="54">
        <v>40170.0</v>
      </c>
      <c r="Y156" s="54">
        <v>164166.0</v>
      </c>
      <c r="Z156" s="54">
        <v>104416.0</v>
      </c>
      <c r="AA156" s="54">
        <v>6244.0</v>
      </c>
      <c r="AB156" s="54">
        <v>34884.0</v>
      </c>
      <c r="AC156" s="54">
        <v>20987.0</v>
      </c>
      <c r="AD156" s="54">
        <v>89704.0</v>
      </c>
      <c r="AE156" s="54">
        <v>43941.0</v>
      </c>
      <c r="AF156" s="54">
        <v>46848.0</v>
      </c>
      <c r="AG156" s="54">
        <v>135984.0</v>
      </c>
      <c r="AH156" s="54">
        <v>156423.0</v>
      </c>
      <c r="AI156" s="54">
        <v>0.0</v>
      </c>
      <c r="AJ156" s="54">
        <v>82858.0</v>
      </c>
      <c r="AK156" s="54">
        <v>3141.0</v>
      </c>
      <c r="AL156" s="54">
        <v>12579.0</v>
      </c>
      <c r="AM156" s="54">
        <v>0.0</v>
      </c>
      <c r="AN156" s="54">
        <v>0.0</v>
      </c>
      <c r="AO156" s="54">
        <v>0.0</v>
      </c>
      <c r="AP156" s="54">
        <v>0.0</v>
      </c>
      <c r="AQ156" s="54">
        <v>0.0</v>
      </c>
      <c r="AR156" s="54">
        <v>0.0</v>
      </c>
      <c r="AS156" s="54">
        <v>0.0</v>
      </c>
      <c r="AT156" s="54">
        <v>0.0</v>
      </c>
      <c r="AU156" s="54">
        <v>0.0</v>
      </c>
      <c r="AV156" s="54">
        <v>0.0</v>
      </c>
      <c r="AW156" s="54">
        <v>0.0</v>
      </c>
      <c r="AX156" s="54">
        <v>0.0</v>
      </c>
      <c r="AY156" s="54">
        <v>0.0</v>
      </c>
      <c r="AZ156" s="54">
        <v>156.0</v>
      </c>
      <c r="BA156" s="54">
        <v>0.0</v>
      </c>
      <c r="BB156" s="54">
        <v>0.0</v>
      </c>
      <c r="BC156" s="54">
        <v>0.0</v>
      </c>
      <c r="BD156" s="54">
        <v>0.0</v>
      </c>
      <c r="BE156" s="54">
        <v>0.0</v>
      </c>
      <c r="BF156" s="54">
        <v>0.0</v>
      </c>
      <c r="BG156" s="54">
        <v>0.0</v>
      </c>
      <c r="BH156" s="54">
        <v>0.0</v>
      </c>
      <c r="BI156" s="54">
        <v>0.0</v>
      </c>
      <c r="BJ156" s="54">
        <v>0.0</v>
      </c>
      <c r="BK156" s="54">
        <v>0.0</v>
      </c>
      <c r="BL156" s="54">
        <v>0.0</v>
      </c>
      <c r="BM156" s="54">
        <v>0.0</v>
      </c>
      <c r="BN156" s="54">
        <v>0.0</v>
      </c>
      <c r="BO156" s="54">
        <v>0.0</v>
      </c>
      <c r="BP156" s="54">
        <v>0.0</v>
      </c>
      <c r="BQ156" s="54">
        <v>0.0</v>
      </c>
      <c r="BR156" s="54">
        <v>0.0</v>
      </c>
      <c r="BS156" s="54">
        <v>0.0</v>
      </c>
      <c r="BT156" s="54">
        <v>0.0</v>
      </c>
      <c r="BU156" s="54">
        <v>0.0</v>
      </c>
      <c r="BV156" s="54">
        <v>0.0</v>
      </c>
      <c r="BW156" s="54">
        <v>0.0</v>
      </c>
      <c r="BX156" s="54">
        <v>0.0</v>
      </c>
      <c r="BY156" s="54">
        <v>0.0</v>
      </c>
      <c r="BZ156" s="54">
        <v>0.0</v>
      </c>
      <c r="CA156" s="54">
        <v>0.0</v>
      </c>
      <c r="CB156" s="54">
        <v>0.0</v>
      </c>
      <c r="CC156" s="54">
        <v>0.0</v>
      </c>
      <c r="CD156" s="54">
        <v>0.0</v>
      </c>
      <c r="CE156" s="54">
        <v>0.0</v>
      </c>
      <c r="CF156" s="54">
        <v>0.0</v>
      </c>
      <c r="CG156" s="54">
        <v>0.0</v>
      </c>
      <c r="CH156" s="54">
        <v>0.0</v>
      </c>
      <c r="CI156" s="54">
        <v>0.0</v>
      </c>
      <c r="CJ156" s="54">
        <v>0.0</v>
      </c>
      <c r="CK156" s="54">
        <v>0.0</v>
      </c>
      <c r="CL156" s="54">
        <v>0.0</v>
      </c>
      <c r="CM156" s="54">
        <v>0.0</v>
      </c>
      <c r="CN156" s="54">
        <v>0.0</v>
      </c>
      <c r="CO156" s="54">
        <v>0.0</v>
      </c>
      <c r="CP156" s="54">
        <v>0.0</v>
      </c>
      <c r="CQ156" s="54">
        <v>0.0</v>
      </c>
      <c r="CR156" s="54">
        <v>0.0</v>
      </c>
      <c r="CS156" s="54">
        <v>0.0</v>
      </c>
      <c r="CT156" s="54">
        <v>0.0</v>
      </c>
      <c r="CU156" s="54">
        <v>0.0</v>
      </c>
      <c r="CV156" s="54">
        <v>0.0</v>
      </c>
      <c r="CW156" s="54">
        <v>0.0</v>
      </c>
      <c r="CX156" s="54">
        <v>0.0</v>
      </c>
      <c r="CY156" s="54">
        <v>0.0</v>
      </c>
      <c r="CZ156" s="54">
        <v>0.0</v>
      </c>
      <c r="DA156" s="54">
        <v>0.0</v>
      </c>
      <c r="DB156" s="54">
        <v>0.0</v>
      </c>
      <c r="DC156" s="54">
        <v>0.0</v>
      </c>
      <c r="DD156" s="54">
        <v>0.0</v>
      </c>
      <c r="DE156" s="54">
        <v>0.0</v>
      </c>
      <c r="DF156" s="54">
        <v>0.0</v>
      </c>
      <c r="DG156" s="54">
        <v>0.0</v>
      </c>
      <c r="DH156" s="54">
        <v>0.0</v>
      </c>
      <c r="DI156" s="54">
        <v>0.0</v>
      </c>
      <c r="DJ156" s="54">
        <v>0.0</v>
      </c>
      <c r="DK156" s="54">
        <v>0.0</v>
      </c>
      <c r="DL156" s="54">
        <v>0.0</v>
      </c>
      <c r="DM156" s="54">
        <v>0.0</v>
      </c>
      <c r="DN156" s="54">
        <v>0.0</v>
      </c>
      <c r="DO156" s="54">
        <v>0.0</v>
      </c>
      <c r="DP156" s="54">
        <v>0.0</v>
      </c>
      <c r="DQ156" s="54">
        <v>0.0</v>
      </c>
      <c r="DR156" s="54">
        <v>0.0</v>
      </c>
      <c r="DS156" s="54">
        <v>0.0</v>
      </c>
      <c r="DT156" s="54">
        <v>0.0</v>
      </c>
      <c r="DU156" s="54">
        <v>0.0</v>
      </c>
      <c r="DV156" s="54">
        <v>0.0</v>
      </c>
      <c r="DW156" s="54">
        <v>0.0</v>
      </c>
      <c r="DX156" s="54">
        <v>0.0</v>
      </c>
      <c r="DY156" s="54">
        <v>0.0</v>
      </c>
      <c r="DZ156" s="54">
        <v>0.0</v>
      </c>
      <c r="EA156" s="54">
        <v>0.0</v>
      </c>
      <c r="EB156" s="54">
        <v>0.0</v>
      </c>
      <c r="EC156" s="54">
        <v>0.0</v>
      </c>
      <c r="ED156" s="54">
        <v>0.0</v>
      </c>
      <c r="EE156" s="54">
        <v>0.0</v>
      </c>
      <c r="EF156" s="54">
        <v>0.0</v>
      </c>
      <c r="EG156" s="54">
        <v>0.0</v>
      </c>
      <c r="EH156" s="54">
        <v>0.0</v>
      </c>
      <c r="EI156" s="54">
        <v>0.0</v>
      </c>
      <c r="EJ156" s="54">
        <v>0.0</v>
      </c>
      <c r="EK156" s="54">
        <v>0.0</v>
      </c>
      <c r="EL156" s="54">
        <v>0.0</v>
      </c>
      <c r="EM156" s="54">
        <v>0.0</v>
      </c>
      <c r="EN156" s="54">
        <v>0.0</v>
      </c>
      <c r="EO156" s="54">
        <v>0.0</v>
      </c>
      <c r="EP156" s="54">
        <v>0.0</v>
      </c>
      <c r="EQ156" s="54">
        <v>0.0</v>
      </c>
      <c r="ER156" s="54">
        <v>0.0</v>
      </c>
      <c r="ES156" s="54">
        <v>0.0</v>
      </c>
      <c r="ET156" s="54">
        <v>0.0</v>
      </c>
      <c r="EU156" s="54">
        <v>0.0</v>
      </c>
      <c r="EV156" s="54">
        <v>0.0</v>
      </c>
      <c r="EW156" s="54">
        <v>359945.0</v>
      </c>
      <c r="EX156" s="54">
        <v>0.0</v>
      </c>
      <c r="EY156" s="54">
        <v>0.0</v>
      </c>
      <c r="EZ156" s="54">
        <v>0.0</v>
      </c>
      <c r="FA156" s="54">
        <v>0.0</v>
      </c>
      <c r="FB156" s="54">
        <v>0.0</v>
      </c>
      <c r="FC156" s="54">
        <v>0.0</v>
      </c>
      <c r="FD156" s="54">
        <v>0.0</v>
      </c>
      <c r="FE156" s="54">
        <v>0.0</v>
      </c>
      <c r="FF156" s="54">
        <v>0.0</v>
      </c>
      <c r="FG156" s="54">
        <v>0.0</v>
      </c>
      <c r="FH156" s="54">
        <v>0.0</v>
      </c>
      <c r="FI156" s="54">
        <v>0.0</v>
      </c>
      <c r="FJ156" s="54">
        <v>0.0</v>
      </c>
      <c r="FK156" s="54">
        <v>0.0</v>
      </c>
      <c r="FL156" s="54">
        <v>0.0</v>
      </c>
      <c r="FM156" s="54">
        <v>0.0</v>
      </c>
      <c r="FN156" s="54">
        <v>0.0</v>
      </c>
      <c r="FO156" s="54">
        <v>0.0</v>
      </c>
      <c r="FP156" s="54">
        <v>0.0</v>
      </c>
      <c r="FQ156" s="54">
        <v>0.0</v>
      </c>
      <c r="FR156" s="54">
        <v>0.0</v>
      </c>
      <c r="FS156" s="54">
        <v>0.0</v>
      </c>
      <c r="FT156" s="54">
        <v>0.0</v>
      </c>
      <c r="FU156" s="54">
        <v>0.0</v>
      </c>
      <c r="FV156" s="54">
        <v>0.0</v>
      </c>
      <c r="FW156" s="54">
        <v>0.0</v>
      </c>
      <c r="FX156" s="54">
        <v>0.0</v>
      </c>
      <c r="FY156" s="54">
        <v>0.0</v>
      </c>
      <c r="FZ156" s="54">
        <v>0.0</v>
      </c>
      <c r="GA156" s="54">
        <v>0.0</v>
      </c>
      <c r="GB156" s="54">
        <v>0.0</v>
      </c>
      <c r="GC156" s="54">
        <v>0.0</v>
      </c>
      <c r="GD156" s="54">
        <v>0.0</v>
      </c>
      <c r="GE156" s="54">
        <v>0.0</v>
      </c>
      <c r="GF156" s="55">
        <v>3301109.0</v>
      </c>
      <c r="GG156" s="56">
        <v>0.0</v>
      </c>
      <c r="GH156" s="57">
        <v>0.0</v>
      </c>
      <c r="GI156" s="56">
        <v>0.0</v>
      </c>
      <c r="GJ156" s="56">
        <v>3.6132647E7</v>
      </c>
      <c r="GK156" s="56">
        <v>0.0</v>
      </c>
      <c r="GL156" s="56">
        <v>0.0</v>
      </c>
      <c r="GM156" s="56">
        <v>0.0</v>
      </c>
      <c r="GN156" s="55">
        <v>3.6132647E7</v>
      </c>
      <c r="GO156" s="58">
        <v>3.9433756E7</v>
      </c>
      <c r="GP156" s="56">
        <v>0.0</v>
      </c>
      <c r="GQ156" s="56">
        <v>0.0</v>
      </c>
      <c r="GR156" s="57">
        <v>0.0</v>
      </c>
      <c r="GS156" s="55">
        <v>0.0</v>
      </c>
      <c r="GT156" s="59">
        <v>0.0</v>
      </c>
      <c r="GU156" s="59">
        <v>0.0</v>
      </c>
      <c r="GV156" s="59">
        <v>0.0</v>
      </c>
      <c r="GW156" s="55">
        <v>0.0</v>
      </c>
      <c r="GX156" s="55">
        <v>0.0</v>
      </c>
      <c r="GY156" s="55">
        <v>3.9433756E7</v>
      </c>
      <c r="GZ156" s="58">
        <v>3.9433756E7</v>
      </c>
    </row>
    <row r="157" ht="15.75" customHeight="1">
      <c r="A157" s="60">
        <v>152.0</v>
      </c>
      <c r="B157" s="61" t="s">
        <v>197</v>
      </c>
      <c r="C157" s="62">
        <v>3577.0</v>
      </c>
      <c r="D157" s="62">
        <v>21980.0</v>
      </c>
      <c r="E157" s="62">
        <v>10076.0</v>
      </c>
      <c r="F157" s="62">
        <v>50267.0</v>
      </c>
      <c r="G157" s="62">
        <v>5096.0</v>
      </c>
      <c r="H157" s="62">
        <v>11633.0</v>
      </c>
      <c r="I157" s="62">
        <v>13483.0</v>
      </c>
      <c r="J157" s="62">
        <v>13089.0</v>
      </c>
      <c r="K157" s="62">
        <v>146.0</v>
      </c>
      <c r="L157" s="62">
        <v>0.0</v>
      </c>
      <c r="M157" s="62">
        <v>63.0</v>
      </c>
      <c r="N157" s="62">
        <v>2081.0</v>
      </c>
      <c r="O157" s="62">
        <v>713.0</v>
      </c>
      <c r="P157" s="62">
        <v>8.0</v>
      </c>
      <c r="Q157" s="62">
        <v>55299.0</v>
      </c>
      <c r="R157" s="62">
        <v>130314.0</v>
      </c>
      <c r="S157" s="62">
        <v>27724.0</v>
      </c>
      <c r="T157" s="62">
        <v>126034.0</v>
      </c>
      <c r="U157" s="62">
        <v>97190.0</v>
      </c>
      <c r="V157" s="62">
        <v>502125.0</v>
      </c>
      <c r="W157" s="62">
        <v>52355.0</v>
      </c>
      <c r="X157" s="62">
        <v>43518.0</v>
      </c>
      <c r="Y157" s="62">
        <v>126827.0</v>
      </c>
      <c r="Z157" s="62">
        <v>215037.0</v>
      </c>
      <c r="AA157" s="62">
        <v>4987.0</v>
      </c>
      <c r="AB157" s="62">
        <v>30026.0</v>
      </c>
      <c r="AC157" s="62">
        <v>9369.0</v>
      </c>
      <c r="AD157" s="62">
        <v>118047.0</v>
      </c>
      <c r="AE157" s="62">
        <v>9320.0</v>
      </c>
      <c r="AF157" s="62">
        <v>60984.0</v>
      </c>
      <c r="AG157" s="62">
        <v>726508.0</v>
      </c>
      <c r="AH157" s="62">
        <v>680200.0</v>
      </c>
      <c r="AI157" s="62">
        <v>127.0</v>
      </c>
      <c r="AJ157" s="62">
        <v>59322.0</v>
      </c>
      <c r="AK157" s="62">
        <v>3630.0</v>
      </c>
      <c r="AL157" s="62">
        <v>8636.0</v>
      </c>
      <c r="AM157" s="62">
        <v>200544.0</v>
      </c>
      <c r="AN157" s="62">
        <v>118481.0</v>
      </c>
      <c r="AO157" s="62">
        <v>435370.0</v>
      </c>
      <c r="AP157" s="62">
        <v>25500.0</v>
      </c>
      <c r="AQ157" s="62">
        <v>55573.0</v>
      </c>
      <c r="AR157" s="62">
        <v>31658.0</v>
      </c>
      <c r="AS157" s="62">
        <v>151398.0</v>
      </c>
      <c r="AT157" s="62">
        <v>41432.0</v>
      </c>
      <c r="AU157" s="62">
        <v>111.0</v>
      </c>
      <c r="AV157" s="62">
        <v>61774.0</v>
      </c>
      <c r="AW157" s="62">
        <v>183.0</v>
      </c>
      <c r="AX157" s="62">
        <v>1258879.0</v>
      </c>
      <c r="AY157" s="62">
        <v>156315.0</v>
      </c>
      <c r="AZ157" s="62">
        <v>2324.0</v>
      </c>
      <c r="BA157" s="62">
        <v>21917.0</v>
      </c>
      <c r="BB157" s="62">
        <v>45211.0</v>
      </c>
      <c r="BC157" s="62">
        <v>0.0</v>
      </c>
      <c r="BD157" s="62">
        <v>0.0</v>
      </c>
      <c r="BE157" s="62">
        <v>71.0</v>
      </c>
      <c r="BF157" s="62">
        <v>163.0</v>
      </c>
      <c r="BG157" s="62">
        <v>0.0</v>
      </c>
      <c r="BH157" s="62">
        <v>221.0</v>
      </c>
      <c r="BI157" s="62">
        <v>0.0</v>
      </c>
      <c r="BJ157" s="62">
        <v>0.0</v>
      </c>
      <c r="BK157" s="62">
        <v>0.0</v>
      </c>
      <c r="BL157" s="62">
        <v>0.0</v>
      </c>
      <c r="BM157" s="62">
        <v>0.0</v>
      </c>
      <c r="BN157" s="62">
        <v>0.0</v>
      </c>
      <c r="BO157" s="62">
        <v>32211.0</v>
      </c>
      <c r="BP157" s="62">
        <v>0.0</v>
      </c>
      <c r="BQ157" s="62">
        <v>0.0</v>
      </c>
      <c r="BR157" s="62">
        <v>0.0</v>
      </c>
      <c r="BS157" s="62">
        <v>0.0</v>
      </c>
      <c r="BT157" s="62">
        <v>0.0</v>
      </c>
      <c r="BU157" s="62">
        <v>0.0</v>
      </c>
      <c r="BV157" s="62">
        <v>0.0</v>
      </c>
      <c r="BW157" s="62">
        <v>0.0</v>
      </c>
      <c r="BX157" s="62">
        <v>0.0</v>
      </c>
      <c r="BY157" s="62">
        <v>57528.0</v>
      </c>
      <c r="BZ157" s="62">
        <v>0.0</v>
      </c>
      <c r="CA157" s="62">
        <v>0.0</v>
      </c>
      <c r="CB157" s="62">
        <v>0.0</v>
      </c>
      <c r="CC157" s="62">
        <v>0.0</v>
      </c>
      <c r="CD157" s="62">
        <v>0.0</v>
      </c>
      <c r="CE157" s="62">
        <v>0.0</v>
      </c>
      <c r="CF157" s="62">
        <v>0.0</v>
      </c>
      <c r="CG157" s="62">
        <v>0.0</v>
      </c>
      <c r="CH157" s="62">
        <v>0.0</v>
      </c>
      <c r="CI157" s="62">
        <v>0.0</v>
      </c>
      <c r="CJ157" s="62">
        <v>4899.0</v>
      </c>
      <c r="CK157" s="62">
        <v>0.0</v>
      </c>
      <c r="CL157" s="62">
        <v>1097.0</v>
      </c>
      <c r="CM157" s="62">
        <v>417.0</v>
      </c>
      <c r="CN157" s="62">
        <v>6501.0</v>
      </c>
      <c r="CO157" s="62">
        <v>7555.0</v>
      </c>
      <c r="CP157" s="62">
        <v>11482.0</v>
      </c>
      <c r="CQ157" s="62">
        <v>0.0</v>
      </c>
      <c r="CR157" s="62">
        <v>4527.0</v>
      </c>
      <c r="CS157" s="62">
        <v>0.0</v>
      </c>
      <c r="CT157" s="62">
        <v>0.0</v>
      </c>
      <c r="CU157" s="62">
        <v>0.0</v>
      </c>
      <c r="CV157" s="62">
        <v>0.0</v>
      </c>
      <c r="CW157" s="62">
        <v>0.0</v>
      </c>
      <c r="CX157" s="62">
        <v>0.0</v>
      </c>
      <c r="CY157" s="62">
        <v>0.0</v>
      </c>
      <c r="CZ157" s="62">
        <v>0.0</v>
      </c>
      <c r="DA157" s="62">
        <v>0.0</v>
      </c>
      <c r="DB157" s="62">
        <v>0.0</v>
      </c>
      <c r="DC157" s="62">
        <v>0.0</v>
      </c>
      <c r="DD157" s="62">
        <v>0.0</v>
      </c>
      <c r="DE157" s="62">
        <v>2146.0</v>
      </c>
      <c r="DF157" s="62">
        <v>2577.0</v>
      </c>
      <c r="DG157" s="62">
        <v>525.0</v>
      </c>
      <c r="DH157" s="62">
        <v>7229.0</v>
      </c>
      <c r="DI157" s="62">
        <v>0.0</v>
      </c>
      <c r="DJ157" s="62">
        <v>1407.0</v>
      </c>
      <c r="DK157" s="62">
        <v>0.0</v>
      </c>
      <c r="DL157" s="62">
        <v>0.0</v>
      </c>
      <c r="DM157" s="62">
        <v>50.0</v>
      </c>
      <c r="DN157" s="62">
        <v>714.0</v>
      </c>
      <c r="DO157" s="62">
        <v>0.0</v>
      </c>
      <c r="DP157" s="62">
        <v>0.0</v>
      </c>
      <c r="DQ157" s="62">
        <v>5154.0</v>
      </c>
      <c r="DR157" s="62">
        <v>13649.0</v>
      </c>
      <c r="DS157" s="62">
        <v>0.0</v>
      </c>
      <c r="DT157" s="62">
        <v>0.0</v>
      </c>
      <c r="DU157" s="62">
        <v>0.0</v>
      </c>
      <c r="DV157" s="62">
        <v>0.0</v>
      </c>
      <c r="DW157" s="62">
        <v>0.0</v>
      </c>
      <c r="DX157" s="62">
        <v>353.0</v>
      </c>
      <c r="DY157" s="62">
        <v>698.0</v>
      </c>
      <c r="DZ157" s="62">
        <v>1063.0</v>
      </c>
      <c r="EA157" s="62">
        <v>28.0</v>
      </c>
      <c r="EB157" s="62">
        <v>23.0</v>
      </c>
      <c r="EC157" s="62">
        <v>46296.0</v>
      </c>
      <c r="ED157" s="62">
        <v>17233.0</v>
      </c>
      <c r="EE157" s="62">
        <v>0.0</v>
      </c>
      <c r="EF157" s="62">
        <v>2410.0</v>
      </c>
      <c r="EG157" s="62">
        <v>0.0</v>
      </c>
      <c r="EH157" s="62">
        <v>0.0</v>
      </c>
      <c r="EI157" s="62">
        <v>29485.0</v>
      </c>
      <c r="EJ157" s="62">
        <v>0.0</v>
      </c>
      <c r="EK157" s="62">
        <v>0.0</v>
      </c>
      <c r="EL157" s="62">
        <v>0.0</v>
      </c>
      <c r="EM157" s="62">
        <v>0.0</v>
      </c>
      <c r="EN157" s="62">
        <v>0.0</v>
      </c>
      <c r="EO157" s="62">
        <v>0.0</v>
      </c>
      <c r="EP157" s="62">
        <v>4883.0</v>
      </c>
      <c r="EQ157" s="62">
        <v>11523.0</v>
      </c>
      <c r="ER157" s="62">
        <v>13336.0</v>
      </c>
      <c r="ES157" s="62">
        <v>37696.0</v>
      </c>
      <c r="ET157" s="62">
        <v>1636.0</v>
      </c>
      <c r="EU157" s="62">
        <v>3168953.0</v>
      </c>
      <c r="EV157" s="62">
        <v>0.0</v>
      </c>
      <c r="EW157" s="62">
        <v>0.0</v>
      </c>
      <c r="EX157" s="62">
        <v>1748135.0</v>
      </c>
      <c r="EY157" s="62">
        <v>1694756.0</v>
      </c>
      <c r="EZ157" s="62">
        <v>0.0</v>
      </c>
      <c r="FA157" s="62">
        <v>0.0</v>
      </c>
      <c r="FB157" s="62">
        <v>0.0</v>
      </c>
      <c r="FC157" s="62">
        <v>248512.0</v>
      </c>
      <c r="FD157" s="62">
        <v>0.0</v>
      </c>
      <c r="FE157" s="62">
        <v>28321.0</v>
      </c>
      <c r="FF157" s="62">
        <v>51057.0</v>
      </c>
      <c r="FG157" s="62">
        <v>267023.0</v>
      </c>
      <c r="FH157" s="62">
        <v>1889765.0</v>
      </c>
      <c r="FI157" s="62">
        <v>101760.0</v>
      </c>
      <c r="FJ157" s="62">
        <v>1075.0</v>
      </c>
      <c r="FK157" s="62">
        <v>1365.0</v>
      </c>
      <c r="FL157" s="62">
        <v>0.0</v>
      </c>
      <c r="FM157" s="62">
        <v>0.0</v>
      </c>
      <c r="FN157" s="62">
        <v>0.0</v>
      </c>
      <c r="FO157" s="62">
        <v>0.0</v>
      </c>
      <c r="FP157" s="62">
        <v>0.0</v>
      </c>
      <c r="FQ157" s="62">
        <v>0.0</v>
      </c>
      <c r="FR157" s="62">
        <v>0.0</v>
      </c>
      <c r="FS157" s="62">
        <v>0.0</v>
      </c>
      <c r="FT157" s="62">
        <v>454674.0</v>
      </c>
      <c r="FU157" s="62">
        <v>0.0</v>
      </c>
      <c r="FV157" s="62">
        <v>0.0</v>
      </c>
      <c r="FW157" s="62">
        <v>0.0</v>
      </c>
      <c r="FX157" s="62">
        <v>0.0</v>
      </c>
      <c r="FY157" s="62">
        <v>0.0</v>
      </c>
      <c r="FZ157" s="62">
        <v>0.0</v>
      </c>
      <c r="GA157" s="62">
        <v>8517.0</v>
      </c>
      <c r="GB157" s="62">
        <v>0.0</v>
      </c>
      <c r="GC157" s="62">
        <v>0.0</v>
      </c>
      <c r="GD157" s="62">
        <v>0.0</v>
      </c>
      <c r="GE157" s="62">
        <v>0.0</v>
      </c>
      <c r="GF157" s="63">
        <v>1.581716E7</v>
      </c>
      <c r="GG157" s="64">
        <v>0.0</v>
      </c>
      <c r="GH157" s="65">
        <v>0.0</v>
      </c>
      <c r="GI157" s="64">
        <v>0.0</v>
      </c>
      <c r="GJ157" s="64">
        <v>1.40294086E8</v>
      </c>
      <c r="GK157" s="64">
        <v>0.0</v>
      </c>
      <c r="GL157" s="64">
        <v>0.0</v>
      </c>
      <c r="GM157" s="64">
        <v>660561.0</v>
      </c>
      <c r="GN157" s="63">
        <v>1.40954647E8</v>
      </c>
      <c r="GO157" s="66">
        <v>1.56771807E8</v>
      </c>
      <c r="GP157" s="64">
        <v>0.0</v>
      </c>
      <c r="GQ157" s="64">
        <v>739766.0</v>
      </c>
      <c r="GR157" s="65">
        <v>0.0</v>
      </c>
      <c r="GS157" s="63">
        <v>739766.0</v>
      </c>
      <c r="GT157" s="67">
        <v>0.0</v>
      </c>
      <c r="GU157" s="67">
        <v>0.0</v>
      </c>
      <c r="GV157" s="67">
        <v>0.0</v>
      </c>
      <c r="GW157" s="63">
        <v>0.0</v>
      </c>
      <c r="GX157" s="63">
        <v>0.0</v>
      </c>
      <c r="GY157" s="63">
        <v>1.56032041E8</v>
      </c>
      <c r="GZ157" s="66">
        <v>1.56771807E8</v>
      </c>
    </row>
    <row r="158" ht="15.75" customHeight="1">
      <c r="A158" s="60">
        <v>153.0</v>
      </c>
      <c r="B158" s="61" t="s">
        <v>198</v>
      </c>
      <c r="C158" s="62">
        <v>0.0</v>
      </c>
      <c r="D158" s="62">
        <v>0.0</v>
      </c>
      <c r="E158" s="62">
        <v>0.0</v>
      </c>
      <c r="F158" s="62">
        <v>0.0</v>
      </c>
      <c r="G158" s="62">
        <v>0.0</v>
      </c>
      <c r="H158" s="62">
        <v>0.0</v>
      </c>
      <c r="I158" s="62">
        <v>0.0</v>
      </c>
      <c r="J158" s="62">
        <v>0.0</v>
      </c>
      <c r="K158" s="62">
        <v>0.0</v>
      </c>
      <c r="L158" s="62">
        <v>0.0</v>
      </c>
      <c r="M158" s="62">
        <v>0.0</v>
      </c>
      <c r="N158" s="62">
        <v>0.0</v>
      </c>
      <c r="O158" s="62">
        <v>0.0</v>
      </c>
      <c r="P158" s="62">
        <v>0.0</v>
      </c>
      <c r="Q158" s="62">
        <v>0.0</v>
      </c>
      <c r="R158" s="62">
        <v>0.0</v>
      </c>
      <c r="S158" s="62">
        <v>0.0</v>
      </c>
      <c r="T158" s="62">
        <v>0.0</v>
      </c>
      <c r="U158" s="62">
        <v>0.0</v>
      </c>
      <c r="V158" s="62">
        <v>0.0</v>
      </c>
      <c r="W158" s="62">
        <v>0.0</v>
      </c>
      <c r="X158" s="62">
        <v>0.0</v>
      </c>
      <c r="Y158" s="62">
        <v>0.0</v>
      </c>
      <c r="Z158" s="62">
        <v>0.0</v>
      </c>
      <c r="AA158" s="62">
        <v>0.0</v>
      </c>
      <c r="AB158" s="62">
        <v>0.0</v>
      </c>
      <c r="AC158" s="62">
        <v>0.0</v>
      </c>
      <c r="AD158" s="62">
        <v>0.0</v>
      </c>
      <c r="AE158" s="62">
        <v>0.0</v>
      </c>
      <c r="AF158" s="62">
        <v>29568.0</v>
      </c>
      <c r="AG158" s="62">
        <v>726750.0</v>
      </c>
      <c r="AH158" s="62">
        <v>456738.0</v>
      </c>
      <c r="AI158" s="62">
        <v>4457.0</v>
      </c>
      <c r="AJ158" s="62">
        <v>105386.0</v>
      </c>
      <c r="AK158" s="62">
        <v>9786.0</v>
      </c>
      <c r="AL158" s="62">
        <v>19162.0</v>
      </c>
      <c r="AM158" s="62">
        <v>1231310.0</v>
      </c>
      <c r="AN158" s="62">
        <v>1822565.0</v>
      </c>
      <c r="AO158" s="62">
        <v>5079036.0</v>
      </c>
      <c r="AP158" s="62">
        <v>115091.0</v>
      </c>
      <c r="AQ158" s="62">
        <v>127510.0</v>
      </c>
      <c r="AR158" s="62">
        <v>181058.0</v>
      </c>
      <c r="AS158" s="62">
        <v>180730.0</v>
      </c>
      <c r="AT158" s="62">
        <v>15425.0</v>
      </c>
      <c r="AU158" s="62">
        <v>505.0</v>
      </c>
      <c r="AV158" s="62">
        <v>114657.0</v>
      </c>
      <c r="AW158" s="62">
        <v>94.0</v>
      </c>
      <c r="AX158" s="62">
        <v>574028.0</v>
      </c>
      <c r="AY158" s="62">
        <v>414825.0</v>
      </c>
      <c r="AZ158" s="62">
        <v>42121.0</v>
      </c>
      <c r="BA158" s="62">
        <v>364032.0</v>
      </c>
      <c r="BB158" s="62">
        <v>465539.0</v>
      </c>
      <c r="BC158" s="62">
        <v>0.0</v>
      </c>
      <c r="BD158" s="62">
        <v>0.0</v>
      </c>
      <c r="BE158" s="62">
        <v>939.0</v>
      </c>
      <c r="BF158" s="62">
        <v>1942.0</v>
      </c>
      <c r="BG158" s="62">
        <v>0.0</v>
      </c>
      <c r="BH158" s="62">
        <v>0.0</v>
      </c>
      <c r="BI158" s="62">
        <v>0.0</v>
      </c>
      <c r="BJ158" s="62">
        <v>2526.0</v>
      </c>
      <c r="BK158" s="62">
        <v>3339.0</v>
      </c>
      <c r="BL158" s="62">
        <v>0.0</v>
      </c>
      <c r="BM158" s="62">
        <v>0.0</v>
      </c>
      <c r="BN158" s="62">
        <v>0.0</v>
      </c>
      <c r="BO158" s="62">
        <v>59.0</v>
      </c>
      <c r="BP158" s="62">
        <v>0.0</v>
      </c>
      <c r="BQ158" s="62">
        <v>0.0</v>
      </c>
      <c r="BR158" s="62">
        <v>0.0</v>
      </c>
      <c r="BS158" s="62">
        <v>0.0</v>
      </c>
      <c r="BT158" s="62">
        <v>0.0</v>
      </c>
      <c r="BU158" s="62">
        <v>506.0</v>
      </c>
      <c r="BV158" s="62">
        <v>0.0</v>
      </c>
      <c r="BW158" s="62">
        <v>0.0</v>
      </c>
      <c r="BX158" s="62">
        <v>0.0</v>
      </c>
      <c r="BY158" s="62">
        <v>0.0</v>
      </c>
      <c r="BZ158" s="62">
        <v>0.0</v>
      </c>
      <c r="CA158" s="62">
        <v>0.0</v>
      </c>
      <c r="CB158" s="62">
        <v>0.0</v>
      </c>
      <c r="CC158" s="62">
        <v>0.0</v>
      </c>
      <c r="CD158" s="62">
        <v>0.0</v>
      </c>
      <c r="CE158" s="62">
        <v>0.0</v>
      </c>
      <c r="CF158" s="62">
        <v>0.0</v>
      </c>
      <c r="CG158" s="62">
        <v>0.0</v>
      </c>
      <c r="CH158" s="62">
        <v>0.0</v>
      </c>
      <c r="CI158" s="62">
        <v>0.0</v>
      </c>
      <c r="CJ158" s="62">
        <v>56356.0</v>
      </c>
      <c r="CK158" s="62">
        <v>0.0</v>
      </c>
      <c r="CL158" s="62">
        <v>12624.0</v>
      </c>
      <c r="CM158" s="62">
        <v>2208.0</v>
      </c>
      <c r="CN158" s="62">
        <v>44119.0</v>
      </c>
      <c r="CO158" s="62">
        <v>51270.0</v>
      </c>
      <c r="CP158" s="62">
        <v>75248.0</v>
      </c>
      <c r="CQ158" s="62">
        <v>0.0</v>
      </c>
      <c r="CR158" s="62">
        <v>6562.0</v>
      </c>
      <c r="CS158" s="62">
        <v>51.0</v>
      </c>
      <c r="CT158" s="62">
        <v>54.0</v>
      </c>
      <c r="CU158" s="62">
        <v>0.0</v>
      </c>
      <c r="CV158" s="62">
        <v>30.0</v>
      </c>
      <c r="CW158" s="62">
        <v>0.0</v>
      </c>
      <c r="CX158" s="62">
        <v>0.0</v>
      </c>
      <c r="CY158" s="62">
        <v>0.0</v>
      </c>
      <c r="CZ158" s="62">
        <v>0.0</v>
      </c>
      <c r="DA158" s="62">
        <v>0.0</v>
      </c>
      <c r="DB158" s="62">
        <v>0.0</v>
      </c>
      <c r="DC158" s="62">
        <v>0.0</v>
      </c>
      <c r="DD158" s="62">
        <v>0.0</v>
      </c>
      <c r="DE158" s="62">
        <v>3683.0</v>
      </c>
      <c r="DF158" s="62">
        <v>4422.0</v>
      </c>
      <c r="DG158" s="62">
        <v>906.0</v>
      </c>
      <c r="DH158" s="62">
        <v>13278.0</v>
      </c>
      <c r="DI158" s="62">
        <v>0.0</v>
      </c>
      <c r="DJ158" s="62">
        <v>2691.0</v>
      </c>
      <c r="DK158" s="62">
        <v>0.0</v>
      </c>
      <c r="DL158" s="62">
        <v>0.0</v>
      </c>
      <c r="DM158" s="62">
        <v>570.0</v>
      </c>
      <c r="DN158" s="62">
        <v>8214.0</v>
      </c>
      <c r="DO158" s="62">
        <v>0.0</v>
      </c>
      <c r="DP158" s="62">
        <v>0.0</v>
      </c>
      <c r="DQ158" s="62">
        <v>2931.0</v>
      </c>
      <c r="DR158" s="62">
        <v>7852.0</v>
      </c>
      <c r="DS158" s="62">
        <v>0.0</v>
      </c>
      <c r="DT158" s="62">
        <v>0.0</v>
      </c>
      <c r="DU158" s="62">
        <v>0.0</v>
      </c>
      <c r="DV158" s="62">
        <v>0.0</v>
      </c>
      <c r="DW158" s="62">
        <v>0.0</v>
      </c>
      <c r="DX158" s="62">
        <v>2604.0</v>
      </c>
      <c r="DY158" s="62">
        <v>13951.0</v>
      </c>
      <c r="DZ158" s="62">
        <v>641.0</v>
      </c>
      <c r="EA158" s="62">
        <v>73.0</v>
      </c>
      <c r="EB158" s="62">
        <v>660.0</v>
      </c>
      <c r="EC158" s="62">
        <v>0.0</v>
      </c>
      <c r="ED158" s="62">
        <v>0.0</v>
      </c>
      <c r="EE158" s="62">
        <v>0.0</v>
      </c>
      <c r="EF158" s="62">
        <v>0.0</v>
      </c>
      <c r="EG158" s="62">
        <v>0.0</v>
      </c>
      <c r="EH158" s="62">
        <v>0.0</v>
      </c>
      <c r="EI158" s="62">
        <v>35.0</v>
      </c>
      <c r="EJ158" s="62">
        <v>0.0</v>
      </c>
      <c r="EK158" s="62">
        <v>0.0</v>
      </c>
      <c r="EL158" s="62">
        <v>105124.0</v>
      </c>
      <c r="EM158" s="62">
        <v>48388.0</v>
      </c>
      <c r="EN158" s="62">
        <v>0.0</v>
      </c>
      <c r="EO158" s="62">
        <v>662.0</v>
      </c>
      <c r="EP158" s="62">
        <v>39099.0</v>
      </c>
      <c r="EQ158" s="62">
        <v>1795.0</v>
      </c>
      <c r="ER158" s="62">
        <v>204123.0</v>
      </c>
      <c r="ES158" s="62">
        <v>56269.0</v>
      </c>
      <c r="ET158" s="62">
        <v>14391.0</v>
      </c>
      <c r="EU158" s="62">
        <v>1.6483319E7</v>
      </c>
      <c r="EV158" s="62">
        <v>0.0</v>
      </c>
      <c r="EW158" s="62">
        <v>0.0</v>
      </c>
      <c r="EX158" s="62">
        <v>0.0</v>
      </c>
      <c r="EY158" s="62">
        <v>716943.0</v>
      </c>
      <c r="EZ158" s="62">
        <v>0.0</v>
      </c>
      <c r="FA158" s="62">
        <v>0.0</v>
      </c>
      <c r="FB158" s="62">
        <v>0.0</v>
      </c>
      <c r="FC158" s="62">
        <v>0.0</v>
      </c>
      <c r="FD158" s="62">
        <v>0.0</v>
      </c>
      <c r="FE158" s="62">
        <v>0.0</v>
      </c>
      <c r="FF158" s="62">
        <v>0.0</v>
      </c>
      <c r="FG158" s="62">
        <v>0.0</v>
      </c>
      <c r="FH158" s="62">
        <v>0.0</v>
      </c>
      <c r="FI158" s="62">
        <v>0.0</v>
      </c>
      <c r="FJ158" s="62">
        <v>0.0</v>
      </c>
      <c r="FK158" s="62">
        <v>0.0</v>
      </c>
      <c r="FL158" s="62">
        <v>0.0</v>
      </c>
      <c r="FM158" s="62">
        <v>0.0</v>
      </c>
      <c r="FN158" s="62">
        <v>0.0</v>
      </c>
      <c r="FO158" s="62">
        <v>0.0</v>
      </c>
      <c r="FP158" s="62">
        <v>0.0</v>
      </c>
      <c r="FQ158" s="62">
        <v>0.0</v>
      </c>
      <c r="FR158" s="62">
        <v>0.0</v>
      </c>
      <c r="FS158" s="62">
        <v>0.0</v>
      </c>
      <c r="FT158" s="62">
        <v>0.0</v>
      </c>
      <c r="FU158" s="62">
        <v>0.0</v>
      </c>
      <c r="FV158" s="62">
        <v>0.0</v>
      </c>
      <c r="FW158" s="62">
        <v>0.0</v>
      </c>
      <c r="FX158" s="62">
        <v>0.0</v>
      </c>
      <c r="FY158" s="62">
        <v>0.0</v>
      </c>
      <c r="FZ158" s="62">
        <v>0.0</v>
      </c>
      <c r="GA158" s="62">
        <v>0.0</v>
      </c>
      <c r="GB158" s="62">
        <v>0.0</v>
      </c>
      <c r="GC158" s="62">
        <v>0.0</v>
      </c>
      <c r="GD158" s="62">
        <v>0.0</v>
      </c>
      <c r="GE158" s="62">
        <v>0.0</v>
      </c>
      <c r="GF158" s="63">
        <v>3.007083E7</v>
      </c>
      <c r="GG158" s="64">
        <v>0.0</v>
      </c>
      <c r="GH158" s="65">
        <v>0.0</v>
      </c>
      <c r="GI158" s="64">
        <v>0.0</v>
      </c>
      <c r="GJ158" s="64">
        <v>9.46046815E8</v>
      </c>
      <c r="GK158" s="64">
        <v>0.0</v>
      </c>
      <c r="GL158" s="64">
        <v>0.0</v>
      </c>
      <c r="GM158" s="64">
        <v>929607.0</v>
      </c>
      <c r="GN158" s="63">
        <v>9.46976422E8</v>
      </c>
      <c r="GO158" s="66">
        <v>9.77047252E8</v>
      </c>
      <c r="GP158" s="64">
        <v>0.0</v>
      </c>
      <c r="GQ158" s="64">
        <v>1047753.0</v>
      </c>
      <c r="GR158" s="65">
        <v>0.0</v>
      </c>
      <c r="GS158" s="63">
        <v>1047753.0</v>
      </c>
      <c r="GT158" s="67">
        <v>0.0</v>
      </c>
      <c r="GU158" s="67">
        <v>0.0</v>
      </c>
      <c r="GV158" s="67">
        <v>0.0</v>
      </c>
      <c r="GW158" s="63">
        <v>0.0</v>
      </c>
      <c r="GX158" s="63">
        <v>3.8472925E7</v>
      </c>
      <c r="GY158" s="63">
        <v>9.37526574E8</v>
      </c>
      <c r="GZ158" s="66">
        <v>9.77047252E8</v>
      </c>
    </row>
    <row r="159" ht="15.75" customHeight="1">
      <c r="A159" s="60">
        <v>154.0</v>
      </c>
      <c r="B159" s="61" t="s">
        <v>199</v>
      </c>
      <c r="C159" s="62">
        <v>0.0</v>
      </c>
      <c r="D159" s="62">
        <v>0.0</v>
      </c>
      <c r="E159" s="62">
        <v>0.0</v>
      </c>
      <c r="F159" s="62">
        <v>0.0</v>
      </c>
      <c r="G159" s="62">
        <v>0.0</v>
      </c>
      <c r="H159" s="62">
        <v>0.0</v>
      </c>
      <c r="I159" s="62">
        <v>0.0</v>
      </c>
      <c r="J159" s="62">
        <v>0.0</v>
      </c>
      <c r="K159" s="62">
        <v>0.0</v>
      </c>
      <c r="L159" s="62">
        <v>0.0</v>
      </c>
      <c r="M159" s="62">
        <v>0.0</v>
      </c>
      <c r="N159" s="62">
        <v>0.0</v>
      </c>
      <c r="O159" s="62">
        <v>0.0</v>
      </c>
      <c r="P159" s="62">
        <v>0.0</v>
      </c>
      <c r="Q159" s="62">
        <v>0.0</v>
      </c>
      <c r="R159" s="62">
        <v>0.0</v>
      </c>
      <c r="S159" s="62">
        <v>0.0</v>
      </c>
      <c r="T159" s="62">
        <v>0.0</v>
      </c>
      <c r="U159" s="62">
        <v>0.0</v>
      </c>
      <c r="V159" s="62">
        <v>0.0</v>
      </c>
      <c r="W159" s="62">
        <v>0.0</v>
      </c>
      <c r="X159" s="62">
        <v>0.0</v>
      </c>
      <c r="Y159" s="62">
        <v>0.0</v>
      </c>
      <c r="Z159" s="62">
        <v>0.0</v>
      </c>
      <c r="AA159" s="62">
        <v>0.0</v>
      </c>
      <c r="AB159" s="62">
        <v>0.0</v>
      </c>
      <c r="AC159" s="62">
        <v>0.0</v>
      </c>
      <c r="AD159" s="62">
        <v>0.0</v>
      </c>
      <c r="AE159" s="62">
        <v>0.0</v>
      </c>
      <c r="AF159" s="62">
        <v>0.0</v>
      </c>
      <c r="AG159" s="62">
        <v>0.0</v>
      </c>
      <c r="AH159" s="62">
        <v>0.0</v>
      </c>
      <c r="AI159" s="62">
        <v>0.0</v>
      </c>
      <c r="AJ159" s="62">
        <v>0.0</v>
      </c>
      <c r="AK159" s="62">
        <v>0.0</v>
      </c>
      <c r="AL159" s="62">
        <v>0.0</v>
      </c>
      <c r="AM159" s="62">
        <v>0.0</v>
      </c>
      <c r="AN159" s="62">
        <v>0.0</v>
      </c>
      <c r="AO159" s="62">
        <v>0.0</v>
      </c>
      <c r="AP159" s="62">
        <v>0.0</v>
      </c>
      <c r="AQ159" s="62">
        <v>0.0</v>
      </c>
      <c r="AR159" s="62">
        <v>0.0</v>
      </c>
      <c r="AS159" s="62">
        <v>0.0</v>
      </c>
      <c r="AT159" s="62">
        <v>0.0</v>
      </c>
      <c r="AU159" s="62">
        <v>0.0</v>
      </c>
      <c r="AV159" s="62">
        <v>0.0</v>
      </c>
      <c r="AW159" s="62">
        <v>0.0</v>
      </c>
      <c r="AX159" s="62">
        <v>0.0</v>
      </c>
      <c r="AY159" s="62">
        <v>0.0</v>
      </c>
      <c r="AZ159" s="62">
        <v>0.0</v>
      </c>
      <c r="BA159" s="62">
        <v>0.0</v>
      </c>
      <c r="BB159" s="62">
        <v>0.0</v>
      </c>
      <c r="BC159" s="62">
        <v>0.0</v>
      </c>
      <c r="BD159" s="62">
        <v>0.0</v>
      </c>
      <c r="BE159" s="62">
        <v>0.0</v>
      </c>
      <c r="BF159" s="62">
        <v>0.0</v>
      </c>
      <c r="BG159" s="62">
        <v>0.0</v>
      </c>
      <c r="BH159" s="62">
        <v>0.0</v>
      </c>
      <c r="BI159" s="62">
        <v>0.0</v>
      </c>
      <c r="BJ159" s="62">
        <v>0.0</v>
      </c>
      <c r="BK159" s="62">
        <v>0.0</v>
      </c>
      <c r="BL159" s="62">
        <v>0.0</v>
      </c>
      <c r="BM159" s="62">
        <v>0.0</v>
      </c>
      <c r="BN159" s="62">
        <v>0.0</v>
      </c>
      <c r="BO159" s="62">
        <v>0.0</v>
      </c>
      <c r="BP159" s="62">
        <v>0.0</v>
      </c>
      <c r="BQ159" s="62">
        <v>0.0</v>
      </c>
      <c r="BR159" s="62">
        <v>0.0</v>
      </c>
      <c r="BS159" s="62">
        <v>0.0</v>
      </c>
      <c r="BT159" s="62">
        <v>0.0</v>
      </c>
      <c r="BU159" s="62">
        <v>0.0</v>
      </c>
      <c r="BV159" s="62">
        <v>0.0</v>
      </c>
      <c r="BW159" s="62">
        <v>0.0</v>
      </c>
      <c r="BX159" s="62">
        <v>0.0</v>
      </c>
      <c r="BY159" s="62">
        <v>0.0</v>
      </c>
      <c r="BZ159" s="62">
        <v>0.0</v>
      </c>
      <c r="CA159" s="62">
        <v>0.0</v>
      </c>
      <c r="CB159" s="62">
        <v>0.0</v>
      </c>
      <c r="CC159" s="62">
        <v>0.0</v>
      </c>
      <c r="CD159" s="62">
        <v>0.0</v>
      </c>
      <c r="CE159" s="62">
        <v>0.0</v>
      </c>
      <c r="CF159" s="62">
        <v>0.0</v>
      </c>
      <c r="CG159" s="62">
        <v>0.0</v>
      </c>
      <c r="CH159" s="62">
        <v>0.0</v>
      </c>
      <c r="CI159" s="62">
        <v>0.0</v>
      </c>
      <c r="CJ159" s="62">
        <v>0.0</v>
      </c>
      <c r="CK159" s="62">
        <v>0.0</v>
      </c>
      <c r="CL159" s="62">
        <v>0.0</v>
      </c>
      <c r="CM159" s="62">
        <v>0.0</v>
      </c>
      <c r="CN159" s="62">
        <v>0.0</v>
      </c>
      <c r="CO159" s="62">
        <v>0.0</v>
      </c>
      <c r="CP159" s="62">
        <v>0.0</v>
      </c>
      <c r="CQ159" s="62">
        <v>0.0</v>
      </c>
      <c r="CR159" s="62">
        <v>0.0</v>
      </c>
      <c r="CS159" s="62">
        <v>0.0</v>
      </c>
      <c r="CT159" s="62">
        <v>0.0</v>
      </c>
      <c r="CU159" s="62">
        <v>0.0</v>
      </c>
      <c r="CV159" s="62">
        <v>0.0</v>
      </c>
      <c r="CW159" s="62">
        <v>0.0</v>
      </c>
      <c r="CX159" s="62">
        <v>0.0</v>
      </c>
      <c r="CY159" s="62">
        <v>0.0</v>
      </c>
      <c r="CZ159" s="62">
        <v>0.0</v>
      </c>
      <c r="DA159" s="62">
        <v>0.0</v>
      </c>
      <c r="DB159" s="62">
        <v>0.0</v>
      </c>
      <c r="DC159" s="62">
        <v>0.0</v>
      </c>
      <c r="DD159" s="62">
        <v>0.0</v>
      </c>
      <c r="DE159" s="62">
        <v>0.0</v>
      </c>
      <c r="DF159" s="62">
        <v>0.0</v>
      </c>
      <c r="DG159" s="62">
        <v>0.0</v>
      </c>
      <c r="DH159" s="62">
        <v>0.0</v>
      </c>
      <c r="DI159" s="62">
        <v>0.0</v>
      </c>
      <c r="DJ159" s="62">
        <v>0.0</v>
      </c>
      <c r="DK159" s="62">
        <v>0.0</v>
      </c>
      <c r="DL159" s="62">
        <v>0.0</v>
      </c>
      <c r="DM159" s="62">
        <v>0.0</v>
      </c>
      <c r="DN159" s="62">
        <v>0.0</v>
      </c>
      <c r="DO159" s="62">
        <v>0.0</v>
      </c>
      <c r="DP159" s="62">
        <v>0.0</v>
      </c>
      <c r="DQ159" s="62">
        <v>0.0</v>
      </c>
      <c r="DR159" s="62">
        <v>0.0</v>
      </c>
      <c r="DS159" s="62">
        <v>0.0</v>
      </c>
      <c r="DT159" s="62">
        <v>0.0</v>
      </c>
      <c r="DU159" s="62">
        <v>0.0</v>
      </c>
      <c r="DV159" s="62">
        <v>0.0</v>
      </c>
      <c r="DW159" s="62">
        <v>0.0</v>
      </c>
      <c r="DX159" s="62">
        <v>0.0</v>
      </c>
      <c r="DY159" s="62">
        <v>0.0</v>
      </c>
      <c r="DZ159" s="62">
        <v>0.0</v>
      </c>
      <c r="EA159" s="62">
        <v>0.0</v>
      </c>
      <c r="EB159" s="62">
        <v>0.0</v>
      </c>
      <c r="EC159" s="62">
        <v>0.0</v>
      </c>
      <c r="ED159" s="62">
        <v>0.0</v>
      </c>
      <c r="EE159" s="62">
        <v>0.0</v>
      </c>
      <c r="EF159" s="62">
        <v>0.0</v>
      </c>
      <c r="EG159" s="62">
        <v>0.0</v>
      </c>
      <c r="EH159" s="62">
        <v>0.0</v>
      </c>
      <c r="EI159" s="62">
        <v>0.0</v>
      </c>
      <c r="EJ159" s="62">
        <v>0.0</v>
      </c>
      <c r="EK159" s="62">
        <v>0.0</v>
      </c>
      <c r="EL159" s="62">
        <v>0.0</v>
      </c>
      <c r="EM159" s="62">
        <v>0.0</v>
      </c>
      <c r="EN159" s="62">
        <v>0.0</v>
      </c>
      <c r="EO159" s="62">
        <v>0.0</v>
      </c>
      <c r="EP159" s="62">
        <v>0.0</v>
      </c>
      <c r="EQ159" s="62">
        <v>0.0</v>
      </c>
      <c r="ER159" s="62">
        <v>0.0</v>
      </c>
      <c r="ES159" s="62">
        <v>0.0</v>
      </c>
      <c r="ET159" s="62">
        <v>0.0</v>
      </c>
      <c r="EU159" s="62">
        <v>0.0</v>
      </c>
      <c r="EV159" s="62">
        <v>0.0</v>
      </c>
      <c r="EW159" s="62">
        <v>0.0</v>
      </c>
      <c r="EX159" s="62">
        <v>0.0</v>
      </c>
      <c r="EY159" s="62">
        <v>0.0</v>
      </c>
      <c r="EZ159" s="62">
        <v>0.0</v>
      </c>
      <c r="FA159" s="62">
        <v>0.0</v>
      </c>
      <c r="FB159" s="62">
        <v>0.0</v>
      </c>
      <c r="FC159" s="62">
        <v>0.0</v>
      </c>
      <c r="FD159" s="62">
        <v>0.0</v>
      </c>
      <c r="FE159" s="62">
        <v>0.0</v>
      </c>
      <c r="FF159" s="62">
        <v>0.0</v>
      </c>
      <c r="FG159" s="62">
        <v>0.0</v>
      </c>
      <c r="FH159" s="62">
        <v>0.0</v>
      </c>
      <c r="FI159" s="62">
        <v>0.0</v>
      </c>
      <c r="FJ159" s="62">
        <v>0.0</v>
      </c>
      <c r="FK159" s="62">
        <v>0.0</v>
      </c>
      <c r="FL159" s="62">
        <v>0.0</v>
      </c>
      <c r="FM159" s="62">
        <v>0.0</v>
      </c>
      <c r="FN159" s="62">
        <v>0.0</v>
      </c>
      <c r="FO159" s="62">
        <v>0.0</v>
      </c>
      <c r="FP159" s="62">
        <v>0.0</v>
      </c>
      <c r="FQ159" s="62">
        <v>0.0</v>
      </c>
      <c r="FR159" s="62">
        <v>0.0</v>
      </c>
      <c r="FS159" s="62">
        <v>0.0</v>
      </c>
      <c r="FT159" s="62">
        <v>0.0</v>
      </c>
      <c r="FU159" s="62">
        <v>0.0</v>
      </c>
      <c r="FV159" s="62">
        <v>0.0</v>
      </c>
      <c r="FW159" s="62">
        <v>0.0</v>
      </c>
      <c r="FX159" s="62">
        <v>0.0</v>
      </c>
      <c r="FY159" s="62">
        <v>0.0</v>
      </c>
      <c r="FZ159" s="62">
        <v>0.0</v>
      </c>
      <c r="GA159" s="62">
        <v>0.0</v>
      </c>
      <c r="GB159" s="62">
        <v>0.0</v>
      </c>
      <c r="GC159" s="62">
        <v>0.0</v>
      </c>
      <c r="GD159" s="62">
        <v>0.0</v>
      </c>
      <c r="GE159" s="62">
        <v>0.0</v>
      </c>
      <c r="GF159" s="63">
        <v>0.0</v>
      </c>
      <c r="GG159" s="64">
        <v>0.0</v>
      </c>
      <c r="GH159" s="65">
        <v>0.0</v>
      </c>
      <c r="GI159" s="64">
        <v>0.0</v>
      </c>
      <c r="GJ159" s="64">
        <v>0.0</v>
      </c>
      <c r="GK159" s="64">
        <v>0.0</v>
      </c>
      <c r="GL159" s="64">
        <v>0.0</v>
      </c>
      <c r="GM159" s="64">
        <v>0.0</v>
      </c>
      <c r="GN159" s="63">
        <v>0.0</v>
      </c>
      <c r="GO159" s="66">
        <v>0.0</v>
      </c>
      <c r="GP159" s="64">
        <v>0.0</v>
      </c>
      <c r="GQ159" s="64">
        <v>0.0</v>
      </c>
      <c r="GR159" s="65">
        <v>0.0</v>
      </c>
      <c r="GS159" s="63">
        <v>0.0</v>
      </c>
      <c r="GT159" s="67">
        <v>-1.45073856E8</v>
      </c>
      <c r="GU159" s="67">
        <v>-1.15719423E8</v>
      </c>
      <c r="GV159" s="67">
        <v>0.0</v>
      </c>
      <c r="GW159" s="63">
        <v>-2.60793279E8</v>
      </c>
      <c r="GX159" s="63">
        <v>0.0</v>
      </c>
      <c r="GY159" s="63">
        <v>2.60793279E8</v>
      </c>
      <c r="GZ159" s="66">
        <v>0.0</v>
      </c>
    </row>
    <row r="160" ht="15.75" customHeight="1">
      <c r="A160" s="68">
        <v>155.0</v>
      </c>
      <c r="B160" s="69" t="s">
        <v>200</v>
      </c>
      <c r="C160" s="70">
        <v>20225.0</v>
      </c>
      <c r="D160" s="70">
        <v>59114.0</v>
      </c>
      <c r="E160" s="70">
        <v>1155.0</v>
      </c>
      <c r="F160" s="70">
        <v>2969.0</v>
      </c>
      <c r="G160" s="70">
        <v>3682.0</v>
      </c>
      <c r="H160" s="70">
        <v>20769.0</v>
      </c>
      <c r="I160" s="70">
        <v>12148.0</v>
      </c>
      <c r="J160" s="70">
        <v>5759.0</v>
      </c>
      <c r="K160" s="70">
        <v>18.0</v>
      </c>
      <c r="L160" s="70">
        <v>19378.0</v>
      </c>
      <c r="M160" s="70">
        <v>1144.0</v>
      </c>
      <c r="N160" s="70">
        <v>2641.0</v>
      </c>
      <c r="O160" s="70">
        <v>59376.0</v>
      </c>
      <c r="P160" s="70">
        <v>43.0</v>
      </c>
      <c r="Q160" s="70">
        <v>105351.0</v>
      </c>
      <c r="R160" s="70">
        <v>24788.0</v>
      </c>
      <c r="S160" s="70">
        <v>57813.0</v>
      </c>
      <c r="T160" s="70">
        <v>138730.0</v>
      </c>
      <c r="U160" s="70">
        <v>110009.0</v>
      </c>
      <c r="V160" s="70">
        <v>248499.0</v>
      </c>
      <c r="W160" s="70">
        <v>8413.0</v>
      </c>
      <c r="X160" s="70">
        <v>23079.0</v>
      </c>
      <c r="Y160" s="70">
        <v>154500.0</v>
      </c>
      <c r="Z160" s="70">
        <v>240118.0</v>
      </c>
      <c r="AA160" s="70">
        <v>931.0</v>
      </c>
      <c r="AB160" s="70">
        <v>297515.0</v>
      </c>
      <c r="AC160" s="70">
        <v>354.0</v>
      </c>
      <c r="AD160" s="70">
        <v>26481.0</v>
      </c>
      <c r="AE160" s="70">
        <v>4505.0</v>
      </c>
      <c r="AF160" s="70">
        <v>134131.0</v>
      </c>
      <c r="AG160" s="70">
        <v>1112979.0</v>
      </c>
      <c r="AH160" s="70">
        <v>472931.0</v>
      </c>
      <c r="AI160" s="70">
        <v>37613.0</v>
      </c>
      <c r="AJ160" s="70">
        <v>18762.0</v>
      </c>
      <c r="AK160" s="70">
        <v>2445.0</v>
      </c>
      <c r="AL160" s="70">
        <v>6936.0</v>
      </c>
      <c r="AM160" s="70">
        <v>1406081.0</v>
      </c>
      <c r="AN160" s="70">
        <v>76905.0</v>
      </c>
      <c r="AO160" s="70">
        <v>295361.0</v>
      </c>
      <c r="AP160" s="70">
        <v>482.0</v>
      </c>
      <c r="AQ160" s="70">
        <v>27886.0</v>
      </c>
      <c r="AR160" s="70">
        <v>4279.0</v>
      </c>
      <c r="AS160" s="70">
        <v>115102.0</v>
      </c>
      <c r="AT160" s="70">
        <v>11481.0</v>
      </c>
      <c r="AU160" s="70">
        <v>74001.0</v>
      </c>
      <c r="AV160" s="70">
        <v>926961.0</v>
      </c>
      <c r="AW160" s="70">
        <v>2023.0</v>
      </c>
      <c r="AX160" s="70">
        <v>2646739.0</v>
      </c>
      <c r="AY160" s="70">
        <v>16246.0</v>
      </c>
      <c r="AZ160" s="70">
        <v>36817.0</v>
      </c>
      <c r="BA160" s="70">
        <v>725980.0</v>
      </c>
      <c r="BB160" s="70">
        <v>639337.0</v>
      </c>
      <c r="BC160" s="70">
        <v>3144.0</v>
      </c>
      <c r="BD160" s="70">
        <v>128.0</v>
      </c>
      <c r="BE160" s="70">
        <v>1062.0</v>
      </c>
      <c r="BF160" s="70">
        <v>3781.0</v>
      </c>
      <c r="BG160" s="70">
        <v>408.0</v>
      </c>
      <c r="BH160" s="70">
        <v>47867.0</v>
      </c>
      <c r="BI160" s="70">
        <v>1369.0</v>
      </c>
      <c r="BJ160" s="70">
        <v>13696.0</v>
      </c>
      <c r="BK160" s="70">
        <v>2858.0</v>
      </c>
      <c r="BL160" s="70">
        <v>538.0</v>
      </c>
      <c r="BM160" s="70">
        <v>58.0</v>
      </c>
      <c r="BN160" s="70">
        <v>0.0</v>
      </c>
      <c r="BO160" s="70">
        <v>18580.0</v>
      </c>
      <c r="BP160" s="70">
        <v>1104.0</v>
      </c>
      <c r="BQ160" s="70">
        <v>0.0</v>
      </c>
      <c r="BR160" s="70">
        <v>7798.0</v>
      </c>
      <c r="BS160" s="70">
        <v>0.0</v>
      </c>
      <c r="BT160" s="70">
        <v>4267.0</v>
      </c>
      <c r="BU160" s="70">
        <v>8739.0</v>
      </c>
      <c r="BV160" s="70">
        <v>8682.0</v>
      </c>
      <c r="BW160" s="70">
        <v>476.0</v>
      </c>
      <c r="BX160" s="70">
        <v>16053.0</v>
      </c>
      <c r="BY160" s="70">
        <v>527981.0</v>
      </c>
      <c r="BZ160" s="70">
        <v>33758.0</v>
      </c>
      <c r="CA160" s="70">
        <v>166646.0</v>
      </c>
      <c r="CB160" s="70">
        <v>89721.0</v>
      </c>
      <c r="CC160" s="70">
        <v>12090.0</v>
      </c>
      <c r="CD160" s="70">
        <v>9165.0</v>
      </c>
      <c r="CE160" s="70">
        <v>13485.0</v>
      </c>
      <c r="CF160" s="70">
        <v>38638.0</v>
      </c>
      <c r="CG160" s="70">
        <v>6213.0</v>
      </c>
      <c r="CH160" s="70">
        <v>4908.0</v>
      </c>
      <c r="CI160" s="70">
        <v>30015.0</v>
      </c>
      <c r="CJ160" s="70">
        <v>56988.0</v>
      </c>
      <c r="CK160" s="70">
        <v>120888.0</v>
      </c>
      <c r="CL160" s="70">
        <v>70113.0</v>
      </c>
      <c r="CM160" s="70">
        <v>25093.0</v>
      </c>
      <c r="CN160" s="70">
        <v>0.0</v>
      </c>
      <c r="CO160" s="70">
        <v>395.0</v>
      </c>
      <c r="CP160" s="70">
        <v>3431.0</v>
      </c>
      <c r="CQ160" s="70">
        <v>525.0</v>
      </c>
      <c r="CR160" s="70">
        <v>38968.0</v>
      </c>
      <c r="CS160" s="70">
        <v>603355.0</v>
      </c>
      <c r="CT160" s="70">
        <v>199426.0</v>
      </c>
      <c r="CU160" s="70">
        <v>57416.0</v>
      </c>
      <c r="CV160" s="70">
        <v>100870.0</v>
      </c>
      <c r="CW160" s="70">
        <v>11025.0</v>
      </c>
      <c r="CX160" s="70">
        <v>27252.0</v>
      </c>
      <c r="CY160" s="70">
        <v>1824.0</v>
      </c>
      <c r="CZ160" s="70">
        <v>36837.0</v>
      </c>
      <c r="DA160" s="70">
        <v>187928.0</v>
      </c>
      <c r="DB160" s="70">
        <v>38108.0</v>
      </c>
      <c r="DC160" s="70">
        <v>476679.0</v>
      </c>
      <c r="DD160" s="70">
        <v>15822.0</v>
      </c>
      <c r="DE160" s="70">
        <v>20861.0</v>
      </c>
      <c r="DF160" s="70">
        <v>25053.0</v>
      </c>
      <c r="DG160" s="70">
        <v>5089.0</v>
      </c>
      <c r="DH160" s="70">
        <v>71191.0</v>
      </c>
      <c r="DI160" s="70">
        <v>18208.0</v>
      </c>
      <c r="DJ160" s="70">
        <v>27424.0</v>
      </c>
      <c r="DK160" s="70">
        <v>24342.0</v>
      </c>
      <c r="DL160" s="70">
        <v>557012.0</v>
      </c>
      <c r="DM160" s="70">
        <v>204756.0</v>
      </c>
      <c r="DN160" s="70">
        <v>21829.0</v>
      </c>
      <c r="DO160" s="70">
        <v>66114.0</v>
      </c>
      <c r="DP160" s="70">
        <v>41992.0</v>
      </c>
      <c r="DQ160" s="70">
        <v>27991.0</v>
      </c>
      <c r="DR160" s="70">
        <v>98122.0</v>
      </c>
      <c r="DS160" s="70">
        <v>240608.0</v>
      </c>
      <c r="DT160" s="70">
        <v>12862.0</v>
      </c>
      <c r="DU160" s="70">
        <v>28788.0</v>
      </c>
      <c r="DV160" s="70">
        <v>85208.0</v>
      </c>
      <c r="DW160" s="70">
        <v>54706.0</v>
      </c>
      <c r="DX160" s="70">
        <v>50334.0</v>
      </c>
      <c r="DY160" s="70">
        <v>184200.0</v>
      </c>
      <c r="DZ160" s="70">
        <v>222134.0</v>
      </c>
      <c r="EA160" s="70">
        <v>24301.0</v>
      </c>
      <c r="EB160" s="70">
        <v>218554.0</v>
      </c>
      <c r="EC160" s="70">
        <v>340640.0</v>
      </c>
      <c r="ED160" s="70">
        <v>16381.0</v>
      </c>
      <c r="EE160" s="70">
        <v>13919.0</v>
      </c>
      <c r="EF160" s="70">
        <v>5323.0</v>
      </c>
      <c r="EG160" s="70">
        <v>26918.0</v>
      </c>
      <c r="EH160" s="70">
        <v>117006.0</v>
      </c>
      <c r="EI160" s="70">
        <v>45049.0</v>
      </c>
      <c r="EJ160" s="70">
        <v>14134.0</v>
      </c>
      <c r="EK160" s="70">
        <v>7964.0</v>
      </c>
      <c r="EL160" s="70">
        <v>4322.0</v>
      </c>
      <c r="EM160" s="70">
        <v>25116.0</v>
      </c>
      <c r="EN160" s="70">
        <v>117178.0</v>
      </c>
      <c r="EO160" s="70">
        <v>2755.0</v>
      </c>
      <c r="EP160" s="70">
        <v>21333.0</v>
      </c>
      <c r="EQ160" s="70">
        <v>797149.0</v>
      </c>
      <c r="ER160" s="70">
        <v>5667.0</v>
      </c>
      <c r="ES160" s="70">
        <v>58082.0</v>
      </c>
      <c r="ET160" s="70">
        <v>20858.0</v>
      </c>
      <c r="EU160" s="70">
        <v>1833885.0</v>
      </c>
      <c r="EV160" s="70">
        <v>122053.0</v>
      </c>
      <c r="EW160" s="70">
        <v>10810.0</v>
      </c>
      <c r="EX160" s="70">
        <v>184727.0</v>
      </c>
      <c r="EY160" s="70">
        <v>741922.0</v>
      </c>
      <c r="EZ160" s="70">
        <v>3055573.0</v>
      </c>
      <c r="FA160" s="70">
        <v>1745133.0</v>
      </c>
      <c r="FB160" s="70">
        <v>1.9170733E7</v>
      </c>
      <c r="FC160" s="70">
        <v>2489.0</v>
      </c>
      <c r="FD160" s="70">
        <v>4.6466001E7</v>
      </c>
      <c r="FE160" s="70">
        <v>440889.0</v>
      </c>
      <c r="FF160" s="70">
        <v>227742.0</v>
      </c>
      <c r="FG160" s="70">
        <v>1048423.0</v>
      </c>
      <c r="FH160" s="70">
        <v>907123.0</v>
      </c>
      <c r="FI160" s="70">
        <v>3608794.0</v>
      </c>
      <c r="FJ160" s="70">
        <v>34927.0</v>
      </c>
      <c r="FK160" s="70">
        <v>14092.0</v>
      </c>
      <c r="FL160" s="70">
        <v>142439.0</v>
      </c>
      <c r="FM160" s="70">
        <v>61379.0</v>
      </c>
      <c r="FN160" s="70">
        <v>375917.0</v>
      </c>
      <c r="FO160" s="70">
        <v>60555.0</v>
      </c>
      <c r="FP160" s="70">
        <v>1715417.0</v>
      </c>
      <c r="FQ160" s="70">
        <v>910390.0</v>
      </c>
      <c r="FR160" s="70">
        <v>5583.0</v>
      </c>
      <c r="FS160" s="70">
        <v>73517.0</v>
      </c>
      <c r="FT160" s="70">
        <v>1493849.0</v>
      </c>
      <c r="FU160" s="70">
        <v>5734941.0</v>
      </c>
      <c r="FV160" s="70">
        <v>8368273.0</v>
      </c>
      <c r="FW160" s="70">
        <v>2369693.0</v>
      </c>
      <c r="FX160" s="70">
        <v>214523.0</v>
      </c>
      <c r="FY160" s="70">
        <v>3490945.0</v>
      </c>
      <c r="FZ160" s="70">
        <v>4455.0</v>
      </c>
      <c r="GA160" s="70">
        <v>928721.0</v>
      </c>
      <c r="GB160" s="70">
        <v>1162940.0</v>
      </c>
      <c r="GC160" s="70">
        <v>171496.0</v>
      </c>
      <c r="GD160" s="70">
        <v>22335.0</v>
      </c>
      <c r="GE160" s="70">
        <v>2872608.0</v>
      </c>
      <c r="GF160" s="71">
        <v>1.27353921E8</v>
      </c>
      <c r="GG160" s="72">
        <v>1.16432442E8</v>
      </c>
      <c r="GH160" s="73">
        <v>0.0</v>
      </c>
      <c r="GI160" s="72">
        <v>0.0</v>
      </c>
      <c r="GJ160" s="72">
        <v>0.0</v>
      </c>
      <c r="GK160" s="72">
        <v>0.0</v>
      </c>
      <c r="GL160" s="72">
        <v>0.0</v>
      </c>
      <c r="GM160" s="72">
        <v>0.0</v>
      </c>
      <c r="GN160" s="71">
        <v>1.16432442E8</v>
      </c>
      <c r="GO160" s="74">
        <v>2.43786363E8</v>
      </c>
      <c r="GP160" s="72">
        <v>0.0</v>
      </c>
      <c r="GQ160" s="72">
        <v>0.0</v>
      </c>
      <c r="GR160" s="73">
        <v>0.0</v>
      </c>
      <c r="GS160" s="71">
        <v>0.0</v>
      </c>
      <c r="GT160" s="75">
        <v>0.0</v>
      </c>
      <c r="GU160" s="75">
        <v>0.0</v>
      </c>
      <c r="GV160" s="75">
        <v>0.0</v>
      </c>
      <c r="GW160" s="71">
        <v>0.0</v>
      </c>
      <c r="GX160" s="71">
        <v>4734963.0</v>
      </c>
      <c r="GY160" s="71">
        <v>2.390514E8</v>
      </c>
      <c r="GZ160" s="74">
        <v>2.43786363E8</v>
      </c>
    </row>
    <row r="161" ht="15.75" customHeight="1">
      <c r="A161" s="52">
        <v>156.0</v>
      </c>
      <c r="B161" s="53" t="s">
        <v>201</v>
      </c>
      <c r="C161" s="54">
        <v>0.0</v>
      </c>
      <c r="D161" s="54">
        <v>0.0</v>
      </c>
      <c r="E161" s="54">
        <v>0.0</v>
      </c>
      <c r="F161" s="54">
        <v>0.0</v>
      </c>
      <c r="G161" s="54">
        <v>0.0</v>
      </c>
      <c r="H161" s="54">
        <v>0.0</v>
      </c>
      <c r="I161" s="54">
        <v>0.0</v>
      </c>
      <c r="J161" s="54">
        <v>0.0</v>
      </c>
      <c r="K161" s="54">
        <v>0.0</v>
      </c>
      <c r="L161" s="54">
        <v>0.0</v>
      </c>
      <c r="M161" s="54">
        <v>0.0</v>
      </c>
      <c r="N161" s="54">
        <v>0.0</v>
      </c>
      <c r="O161" s="54">
        <v>0.0</v>
      </c>
      <c r="P161" s="54">
        <v>0.0</v>
      </c>
      <c r="Q161" s="54">
        <v>0.0</v>
      </c>
      <c r="R161" s="54">
        <v>0.0</v>
      </c>
      <c r="S161" s="54">
        <v>0.0</v>
      </c>
      <c r="T161" s="54">
        <v>0.0</v>
      </c>
      <c r="U161" s="54">
        <v>0.0</v>
      </c>
      <c r="V161" s="54">
        <v>0.0</v>
      </c>
      <c r="W161" s="54">
        <v>0.0</v>
      </c>
      <c r="X161" s="54">
        <v>0.0</v>
      </c>
      <c r="Y161" s="54">
        <v>0.0</v>
      </c>
      <c r="Z161" s="54">
        <v>0.0</v>
      </c>
      <c r="AA161" s="54">
        <v>0.0</v>
      </c>
      <c r="AB161" s="54">
        <v>0.0</v>
      </c>
      <c r="AC161" s="54">
        <v>0.0</v>
      </c>
      <c r="AD161" s="54">
        <v>0.0</v>
      </c>
      <c r="AE161" s="54">
        <v>0.0</v>
      </c>
      <c r="AF161" s="54">
        <v>0.0</v>
      </c>
      <c r="AG161" s="54">
        <v>0.0</v>
      </c>
      <c r="AH161" s="54">
        <v>0.0</v>
      </c>
      <c r="AI161" s="54">
        <v>0.0</v>
      </c>
      <c r="AJ161" s="54">
        <v>0.0</v>
      </c>
      <c r="AK161" s="54">
        <v>0.0</v>
      </c>
      <c r="AL161" s="54">
        <v>0.0</v>
      </c>
      <c r="AM161" s="54">
        <v>0.0</v>
      </c>
      <c r="AN161" s="54">
        <v>0.0</v>
      </c>
      <c r="AO161" s="54">
        <v>0.0</v>
      </c>
      <c r="AP161" s="54">
        <v>0.0</v>
      </c>
      <c r="AQ161" s="54">
        <v>0.0</v>
      </c>
      <c r="AR161" s="54">
        <v>0.0</v>
      </c>
      <c r="AS161" s="54">
        <v>0.0</v>
      </c>
      <c r="AT161" s="54">
        <v>0.0</v>
      </c>
      <c r="AU161" s="54">
        <v>0.0</v>
      </c>
      <c r="AV161" s="54">
        <v>0.0</v>
      </c>
      <c r="AW161" s="54">
        <v>0.0</v>
      </c>
      <c r="AX161" s="54">
        <v>0.0</v>
      </c>
      <c r="AY161" s="54">
        <v>0.0</v>
      </c>
      <c r="AZ161" s="54">
        <v>0.0</v>
      </c>
      <c r="BA161" s="54">
        <v>0.0</v>
      </c>
      <c r="BB161" s="54">
        <v>0.0</v>
      </c>
      <c r="BC161" s="54">
        <v>0.0</v>
      </c>
      <c r="BD161" s="54">
        <v>0.0</v>
      </c>
      <c r="BE161" s="54">
        <v>0.0</v>
      </c>
      <c r="BF161" s="54">
        <v>0.0</v>
      </c>
      <c r="BG161" s="54">
        <v>0.0</v>
      </c>
      <c r="BH161" s="54">
        <v>0.0</v>
      </c>
      <c r="BI161" s="54">
        <v>0.0</v>
      </c>
      <c r="BJ161" s="54">
        <v>0.0</v>
      </c>
      <c r="BK161" s="54">
        <v>0.0</v>
      </c>
      <c r="BL161" s="54">
        <v>0.0</v>
      </c>
      <c r="BM161" s="54">
        <v>0.0</v>
      </c>
      <c r="BN161" s="54">
        <v>0.0</v>
      </c>
      <c r="BO161" s="54">
        <v>0.0</v>
      </c>
      <c r="BP161" s="54">
        <v>0.0</v>
      </c>
      <c r="BQ161" s="54">
        <v>0.0</v>
      </c>
      <c r="BR161" s="54">
        <v>0.0</v>
      </c>
      <c r="BS161" s="54">
        <v>0.0</v>
      </c>
      <c r="BT161" s="54">
        <v>0.0</v>
      </c>
      <c r="BU161" s="54">
        <v>0.0</v>
      </c>
      <c r="BV161" s="54">
        <v>0.0</v>
      </c>
      <c r="BW161" s="54">
        <v>0.0</v>
      </c>
      <c r="BX161" s="54">
        <v>0.0</v>
      </c>
      <c r="BY161" s="54">
        <v>0.0</v>
      </c>
      <c r="BZ161" s="54">
        <v>0.0</v>
      </c>
      <c r="CA161" s="54">
        <v>0.0</v>
      </c>
      <c r="CB161" s="54">
        <v>0.0</v>
      </c>
      <c r="CC161" s="54">
        <v>0.0</v>
      </c>
      <c r="CD161" s="54">
        <v>0.0</v>
      </c>
      <c r="CE161" s="54">
        <v>0.0</v>
      </c>
      <c r="CF161" s="54">
        <v>0.0</v>
      </c>
      <c r="CG161" s="54">
        <v>0.0</v>
      </c>
      <c r="CH161" s="54">
        <v>0.0</v>
      </c>
      <c r="CI161" s="54">
        <v>0.0</v>
      </c>
      <c r="CJ161" s="54">
        <v>0.0</v>
      </c>
      <c r="CK161" s="54">
        <v>0.0</v>
      </c>
      <c r="CL161" s="54">
        <v>0.0</v>
      </c>
      <c r="CM161" s="54">
        <v>0.0</v>
      </c>
      <c r="CN161" s="54">
        <v>0.0</v>
      </c>
      <c r="CO161" s="54">
        <v>0.0</v>
      </c>
      <c r="CP161" s="54">
        <v>0.0</v>
      </c>
      <c r="CQ161" s="54">
        <v>0.0</v>
      </c>
      <c r="CR161" s="54">
        <v>0.0</v>
      </c>
      <c r="CS161" s="54">
        <v>0.0</v>
      </c>
      <c r="CT161" s="54">
        <v>0.0</v>
      </c>
      <c r="CU161" s="54">
        <v>0.0</v>
      </c>
      <c r="CV161" s="54">
        <v>0.0</v>
      </c>
      <c r="CW161" s="54">
        <v>0.0</v>
      </c>
      <c r="CX161" s="54">
        <v>0.0</v>
      </c>
      <c r="CY161" s="54">
        <v>0.0</v>
      </c>
      <c r="CZ161" s="54">
        <v>0.0</v>
      </c>
      <c r="DA161" s="54">
        <v>0.0</v>
      </c>
      <c r="DB161" s="54">
        <v>0.0</v>
      </c>
      <c r="DC161" s="54">
        <v>0.0</v>
      </c>
      <c r="DD161" s="54">
        <v>0.0</v>
      </c>
      <c r="DE161" s="54">
        <v>0.0</v>
      </c>
      <c r="DF161" s="54">
        <v>0.0</v>
      </c>
      <c r="DG161" s="54">
        <v>0.0</v>
      </c>
      <c r="DH161" s="54">
        <v>0.0</v>
      </c>
      <c r="DI161" s="54">
        <v>0.0</v>
      </c>
      <c r="DJ161" s="54">
        <v>0.0</v>
      </c>
      <c r="DK161" s="54">
        <v>0.0</v>
      </c>
      <c r="DL161" s="54">
        <v>0.0</v>
      </c>
      <c r="DM161" s="54">
        <v>0.0</v>
      </c>
      <c r="DN161" s="54">
        <v>0.0</v>
      </c>
      <c r="DO161" s="54">
        <v>0.0</v>
      </c>
      <c r="DP161" s="54">
        <v>0.0</v>
      </c>
      <c r="DQ161" s="54">
        <v>0.0</v>
      </c>
      <c r="DR161" s="54">
        <v>0.0</v>
      </c>
      <c r="DS161" s="54">
        <v>0.0</v>
      </c>
      <c r="DT161" s="54">
        <v>0.0</v>
      </c>
      <c r="DU161" s="54">
        <v>0.0</v>
      </c>
      <c r="DV161" s="54">
        <v>0.0</v>
      </c>
      <c r="DW161" s="54">
        <v>0.0</v>
      </c>
      <c r="DX161" s="54">
        <v>0.0</v>
      </c>
      <c r="DY161" s="54">
        <v>0.0</v>
      </c>
      <c r="DZ161" s="54">
        <v>0.0</v>
      </c>
      <c r="EA161" s="54">
        <v>0.0</v>
      </c>
      <c r="EB161" s="54">
        <v>0.0</v>
      </c>
      <c r="EC161" s="54">
        <v>0.0</v>
      </c>
      <c r="ED161" s="54">
        <v>0.0</v>
      </c>
      <c r="EE161" s="54">
        <v>0.0</v>
      </c>
      <c r="EF161" s="54">
        <v>0.0</v>
      </c>
      <c r="EG161" s="54">
        <v>0.0</v>
      </c>
      <c r="EH161" s="54">
        <v>0.0</v>
      </c>
      <c r="EI161" s="54">
        <v>0.0</v>
      </c>
      <c r="EJ161" s="54">
        <v>0.0</v>
      </c>
      <c r="EK161" s="54">
        <v>0.0</v>
      </c>
      <c r="EL161" s="54">
        <v>0.0</v>
      </c>
      <c r="EM161" s="54">
        <v>0.0</v>
      </c>
      <c r="EN161" s="54">
        <v>0.0</v>
      </c>
      <c r="EO161" s="54">
        <v>0.0</v>
      </c>
      <c r="EP161" s="54">
        <v>0.0</v>
      </c>
      <c r="EQ161" s="54">
        <v>0.0</v>
      </c>
      <c r="ER161" s="54">
        <v>0.0</v>
      </c>
      <c r="ES161" s="54">
        <v>0.0</v>
      </c>
      <c r="ET161" s="54">
        <v>0.0</v>
      </c>
      <c r="EU161" s="54">
        <v>0.0</v>
      </c>
      <c r="EV161" s="54">
        <v>0.0</v>
      </c>
      <c r="EW161" s="54">
        <v>0.0</v>
      </c>
      <c r="EX161" s="54">
        <v>0.0</v>
      </c>
      <c r="EY161" s="54">
        <v>0.0</v>
      </c>
      <c r="EZ161" s="54">
        <v>0.0</v>
      </c>
      <c r="FA161" s="54">
        <v>0.0</v>
      </c>
      <c r="FB161" s="54">
        <v>0.0</v>
      </c>
      <c r="FC161" s="54">
        <v>0.0</v>
      </c>
      <c r="FD161" s="54">
        <v>0.0</v>
      </c>
      <c r="FE161" s="54">
        <v>0.0</v>
      </c>
      <c r="FF161" s="54">
        <v>0.0</v>
      </c>
      <c r="FG161" s="54">
        <v>0.0</v>
      </c>
      <c r="FH161" s="54">
        <v>0.0</v>
      </c>
      <c r="FI161" s="54">
        <v>0.0</v>
      </c>
      <c r="FJ161" s="54">
        <v>0.0</v>
      </c>
      <c r="FK161" s="54">
        <v>0.0</v>
      </c>
      <c r="FL161" s="54">
        <v>0.0</v>
      </c>
      <c r="FM161" s="54">
        <v>0.0</v>
      </c>
      <c r="FN161" s="54">
        <v>0.0</v>
      </c>
      <c r="FO161" s="54">
        <v>0.0</v>
      </c>
      <c r="FP161" s="54">
        <v>0.0</v>
      </c>
      <c r="FQ161" s="54">
        <v>0.0</v>
      </c>
      <c r="FR161" s="54">
        <v>0.0</v>
      </c>
      <c r="FS161" s="54">
        <v>0.0</v>
      </c>
      <c r="FT161" s="54">
        <v>0.0</v>
      </c>
      <c r="FU161" s="54">
        <v>0.0</v>
      </c>
      <c r="FV161" s="54">
        <v>0.0</v>
      </c>
      <c r="FW161" s="54">
        <v>0.0</v>
      </c>
      <c r="FX161" s="54">
        <v>0.0</v>
      </c>
      <c r="FY161" s="54">
        <v>0.0</v>
      </c>
      <c r="FZ161" s="54">
        <v>0.0</v>
      </c>
      <c r="GA161" s="54">
        <v>0.0</v>
      </c>
      <c r="GB161" s="54">
        <v>0.0</v>
      </c>
      <c r="GC161" s="54">
        <v>0.0</v>
      </c>
      <c r="GD161" s="54">
        <v>0.0</v>
      </c>
      <c r="GE161" s="54">
        <v>0.0</v>
      </c>
      <c r="GF161" s="55">
        <v>0.0</v>
      </c>
      <c r="GG161" s="56">
        <v>0.0</v>
      </c>
      <c r="GH161" s="57">
        <v>0.0</v>
      </c>
      <c r="GI161" s="56">
        <v>0.0</v>
      </c>
      <c r="GJ161" s="56">
        <v>0.0</v>
      </c>
      <c r="GK161" s="56">
        <v>0.0</v>
      </c>
      <c r="GL161" s="56">
        <v>0.0</v>
      </c>
      <c r="GM161" s="56">
        <v>0.0</v>
      </c>
      <c r="GN161" s="55">
        <v>0.0</v>
      </c>
      <c r="GO161" s="58">
        <v>0.0</v>
      </c>
      <c r="GP161" s="56">
        <v>0.0</v>
      </c>
      <c r="GQ161" s="56">
        <v>0.0</v>
      </c>
      <c r="GR161" s="57">
        <v>0.0</v>
      </c>
      <c r="GS161" s="55">
        <v>0.0</v>
      </c>
      <c r="GT161" s="59">
        <v>-1.270420692E9</v>
      </c>
      <c r="GU161" s="59">
        <v>-1.16123571E9</v>
      </c>
      <c r="GV161" s="59">
        <v>0.0</v>
      </c>
      <c r="GW161" s="55">
        <v>-2.431656402E9</v>
      </c>
      <c r="GX161" s="55">
        <v>0.0</v>
      </c>
      <c r="GY161" s="55">
        <v>2.431656402E9</v>
      </c>
      <c r="GZ161" s="58">
        <v>0.0</v>
      </c>
    </row>
    <row r="162" ht="15.75" customHeight="1">
      <c r="A162" s="60">
        <v>157.0</v>
      </c>
      <c r="B162" s="61" t="s">
        <v>202</v>
      </c>
      <c r="C162" s="62">
        <v>0.0</v>
      </c>
      <c r="D162" s="62">
        <v>0.0</v>
      </c>
      <c r="E162" s="62">
        <v>0.0</v>
      </c>
      <c r="F162" s="62">
        <v>0.0</v>
      </c>
      <c r="G162" s="62">
        <v>0.0</v>
      </c>
      <c r="H162" s="62">
        <v>0.0</v>
      </c>
      <c r="I162" s="62">
        <v>0.0</v>
      </c>
      <c r="J162" s="62">
        <v>0.0</v>
      </c>
      <c r="K162" s="62">
        <v>0.0</v>
      </c>
      <c r="L162" s="62">
        <v>3.0</v>
      </c>
      <c r="M162" s="62">
        <v>0.0</v>
      </c>
      <c r="N162" s="62">
        <v>67.0</v>
      </c>
      <c r="O162" s="62">
        <v>245.0</v>
      </c>
      <c r="P162" s="62">
        <v>23.0</v>
      </c>
      <c r="Q162" s="62">
        <v>0.0</v>
      </c>
      <c r="R162" s="62">
        <v>4.0</v>
      </c>
      <c r="S162" s="62">
        <v>0.0</v>
      </c>
      <c r="T162" s="62">
        <v>40.0</v>
      </c>
      <c r="U162" s="62">
        <v>6.0</v>
      </c>
      <c r="V162" s="62">
        <v>11.0</v>
      </c>
      <c r="W162" s="62">
        <v>0.0</v>
      </c>
      <c r="X162" s="62">
        <v>103.0</v>
      </c>
      <c r="Y162" s="62">
        <v>0.0</v>
      </c>
      <c r="Z162" s="62">
        <v>32.0</v>
      </c>
      <c r="AA162" s="62">
        <v>10.0</v>
      </c>
      <c r="AB162" s="62">
        <v>0.0</v>
      </c>
      <c r="AC162" s="62">
        <v>1.0</v>
      </c>
      <c r="AD162" s="62">
        <v>0.0</v>
      </c>
      <c r="AE162" s="62">
        <v>0.0</v>
      </c>
      <c r="AF162" s="62">
        <v>0.0</v>
      </c>
      <c r="AG162" s="62">
        <v>10.0</v>
      </c>
      <c r="AH162" s="62">
        <v>7.0</v>
      </c>
      <c r="AI162" s="62">
        <v>85.0</v>
      </c>
      <c r="AJ162" s="62">
        <v>64.0</v>
      </c>
      <c r="AK162" s="62">
        <v>37.0</v>
      </c>
      <c r="AL162" s="62">
        <v>21.0</v>
      </c>
      <c r="AM162" s="62">
        <v>990820.0</v>
      </c>
      <c r="AN162" s="62">
        <v>77117.0</v>
      </c>
      <c r="AO162" s="62">
        <v>26535.0</v>
      </c>
      <c r="AP162" s="62">
        <v>36.0</v>
      </c>
      <c r="AQ162" s="62">
        <v>2309.0</v>
      </c>
      <c r="AR162" s="62">
        <v>0.0</v>
      </c>
      <c r="AS162" s="62">
        <v>6.0</v>
      </c>
      <c r="AT162" s="62">
        <v>1.0</v>
      </c>
      <c r="AU162" s="62">
        <v>5.0</v>
      </c>
      <c r="AV162" s="62">
        <v>8.0</v>
      </c>
      <c r="AW162" s="62">
        <v>28.0</v>
      </c>
      <c r="AX162" s="62">
        <v>785.0</v>
      </c>
      <c r="AY162" s="62">
        <v>84.0</v>
      </c>
      <c r="AZ162" s="62">
        <v>25.0</v>
      </c>
      <c r="BA162" s="62">
        <v>26.0</v>
      </c>
      <c r="BB162" s="62">
        <v>93.0</v>
      </c>
      <c r="BC162" s="62">
        <v>0.0</v>
      </c>
      <c r="BD162" s="62">
        <v>0.0</v>
      </c>
      <c r="BE162" s="62">
        <v>0.0</v>
      </c>
      <c r="BF162" s="62">
        <v>3.0</v>
      </c>
      <c r="BG162" s="62">
        <v>3.0</v>
      </c>
      <c r="BH162" s="62">
        <v>125.0</v>
      </c>
      <c r="BI162" s="62">
        <v>20.0</v>
      </c>
      <c r="BJ162" s="62">
        <v>72.0</v>
      </c>
      <c r="BK162" s="62">
        <v>29.0</v>
      </c>
      <c r="BL162" s="62">
        <v>33.0</v>
      </c>
      <c r="BM162" s="62">
        <v>0.0</v>
      </c>
      <c r="BN162" s="62">
        <v>0.0</v>
      </c>
      <c r="BO162" s="62">
        <v>64.0</v>
      </c>
      <c r="BP162" s="62">
        <v>0.0</v>
      </c>
      <c r="BQ162" s="62">
        <v>0.0</v>
      </c>
      <c r="BR162" s="62">
        <v>22.0</v>
      </c>
      <c r="BS162" s="62">
        <v>3.0</v>
      </c>
      <c r="BT162" s="62">
        <v>2.0</v>
      </c>
      <c r="BU162" s="62">
        <v>136.0</v>
      </c>
      <c r="BV162" s="62">
        <v>0.0</v>
      </c>
      <c r="BW162" s="62">
        <v>0.0</v>
      </c>
      <c r="BX162" s="62">
        <v>1.0</v>
      </c>
      <c r="BY162" s="62">
        <v>33.0</v>
      </c>
      <c r="BZ162" s="62">
        <v>1.0</v>
      </c>
      <c r="CA162" s="62">
        <v>1.0</v>
      </c>
      <c r="CB162" s="62">
        <v>0.0</v>
      </c>
      <c r="CC162" s="62">
        <v>0.0</v>
      </c>
      <c r="CD162" s="62">
        <v>3.0</v>
      </c>
      <c r="CE162" s="62">
        <v>0.0</v>
      </c>
      <c r="CF162" s="62">
        <v>1.0</v>
      </c>
      <c r="CG162" s="62">
        <v>0.0</v>
      </c>
      <c r="CH162" s="62">
        <v>0.0</v>
      </c>
      <c r="CI162" s="62">
        <v>0.0</v>
      </c>
      <c r="CJ162" s="62">
        <v>0.0</v>
      </c>
      <c r="CK162" s="62">
        <v>0.0</v>
      </c>
      <c r="CL162" s="62">
        <v>0.0</v>
      </c>
      <c r="CM162" s="62">
        <v>0.0</v>
      </c>
      <c r="CN162" s="62">
        <v>0.0</v>
      </c>
      <c r="CO162" s="62">
        <v>0.0</v>
      </c>
      <c r="CP162" s="62">
        <v>0.0</v>
      </c>
      <c r="CQ162" s="62">
        <v>1.0</v>
      </c>
      <c r="CR162" s="62">
        <v>335.0</v>
      </c>
      <c r="CS162" s="62">
        <v>10.0</v>
      </c>
      <c r="CT162" s="62">
        <v>18.0</v>
      </c>
      <c r="CU162" s="62">
        <v>417.0</v>
      </c>
      <c r="CV162" s="62">
        <v>12.0</v>
      </c>
      <c r="CW162" s="62">
        <v>290.0</v>
      </c>
      <c r="CX162" s="62">
        <v>3.0</v>
      </c>
      <c r="CY162" s="62">
        <v>0.0</v>
      </c>
      <c r="CZ162" s="62">
        <v>7.0</v>
      </c>
      <c r="DA162" s="62">
        <v>0.0</v>
      </c>
      <c r="DB162" s="62">
        <v>7.0</v>
      </c>
      <c r="DC162" s="62">
        <v>91.0</v>
      </c>
      <c r="DD162" s="62">
        <v>0.0</v>
      </c>
      <c r="DE162" s="62">
        <v>91.0</v>
      </c>
      <c r="DF162" s="62">
        <v>109.0</v>
      </c>
      <c r="DG162" s="62">
        <v>22.0</v>
      </c>
      <c r="DH162" s="62">
        <v>299.0</v>
      </c>
      <c r="DI162" s="62">
        <v>433.0</v>
      </c>
      <c r="DJ162" s="62">
        <v>184.0</v>
      </c>
      <c r="DK162" s="62">
        <v>364.0</v>
      </c>
      <c r="DL162" s="62">
        <v>80.0</v>
      </c>
      <c r="DM162" s="62">
        <v>29.0</v>
      </c>
      <c r="DN162" s="62">
        <v>5.0</v>
      </c>
      <c r="DO162" s="62">
        <v>2471.0</v>
      </c>
      <c r="DP162" s="62">
        <v>265.0</v>
      </c>
      <c r="DQ162" s="62">
        <v>1328.0</v>
      </c>
      <c r="DR162" s="62">
        <v>3356.0</v>
      </c>
      <c r="DS162" s="62">
        <v>73.0</v>
      </c>
      <c r="DT162" s="62">
        <v>14.0</v>
      </c>
      <c r="DU162" s="62">
        <v>13.0</v>
      </c>
      <c r="DV162" s="62">
        <v>9.0</v>
      </c>
      <c r="DW162" s="62">
        <v>8.0</v>
      </c>
      <c r="DX162" s="62">
        <v>38.0</v>
      </c>
      <c r="DY162" s="62">
        <v>14.0</v>
      </c>
      <c r="DZ162" s="62">
        <v>0.0</v>
      </c>
      <c r="EA162" s="62">
        <v>289.0</v>
      </c>
      <c r="EB162" s="62">
        <v>2593.0</v>
      </c>
      <c r="EC162" s="62">
        <v>0.0</v>
      </c>
      <c r="ED162" s="62">
        <v>0.0</v>
      </c>
      <c r="EE162" s="62">
        <v>0.0</v>
      </c>
      <c r="EF162" s="62">
        <v>250.0</v>
      </c>
      <c r="EG162" s="62">
        <v>17.0</v>
      </c>
      <c r="EH162" s="62">
        <v>104.0</v>
      </c>
      <c r="EI162" s="62">
        <v>7.0</v>
      </c>
      <c r="EJ162" s="62">
        <v>0.0</v>
      </c>
      <c r="EK162" s="62">
        <v>0.0</v>
      </c>
      <c r="EL162" s="62">
        <v>5.0</v>
      </c>
      <c r="EM162" s="62">
        <v>0.0</v>
      </c>
      <c r="EN162" s="62">
        <v>103.0</v>
      </c>
      <c r="EO162" s="62">
        <v>35.0</v>
      </c>
      <c r="EP162" s="62">
        <v>51.0</v>
      </c>
      <c r="EQ162" s="62">
        <v>318.0</v>
      </c>
      <c r="ER162" s="62">
        <v>38.0</v>
      </c>
      <c r="ES162" s="62">
        <v>355.0</v>
      </c>
      <c r="ET162" s="62">
        <v>3508.0</v>
      </c>
      <c r="EU162" s="62">
        <v>62520.0</v>
      </c>
      <c r="EV162" s="62">
        <v>696.0</v>
      </c>
      <c r="EW162" s="62">
        <v>636.0</v>
      </c>
      <c r="EX162" s="62">
        <v>3287.0</v>
      </c>
      <c r="EY162" s="62">
        <v>16922.0</v>
      </c>
      <c r="EZ162" s="62">
        <v>4525.0</v>
      </c>
      <c r="FA162" s="62">
        <v>2335.0</v>
      </c>
      <c r="FB162" s="62">
        <v>200735.0</v>
      </c>
      <c r="FC162" s="62">
        <v>147.0</v>
      </c>
      <c r="FD162" s="62">
        <v>6534.0</v>
      </c>
      <c r="FE162" s="62">
        <v>53.0</v>
      </c>
      <c r="FF162" s="62">
        <v>39.0</v>
      </c>
      <c r="FG162" s="62">
        <v>3007.0</v>
      </c>
      <c r="FH162" s="62">
        <v>712.0</v>
      </c>
      <c r="FI162" s="62">
        <v>414.0</v>
      </c>
      <c r="FJ162" s="62">
        <v>120.0</v>
      </c>
      <c r="FK162" s="62">
        <v>145.0</v>
      </c>
      <c r="FL162" s="62">
        <v>3494.0</v>
      </c>
      <c r="FM162" s="62">
        <v>13188.0</v>
      </c>
      <c r="FN162" s="62">
        <v>18217.0</v>
      </c>
      <c r="FO162" s="62">
        <v>1421.0</v>
      </c>
      <c r="FP162" s="62">
        <v>11665.0</v>
      </c>
      <c r="FQ162" s="62">
        <v>27030.0</v>
      </c>
      <c r="FR162" s="62">
        <v>2.0</v>
      </c>
      <c r="FS162" s="62">
        <v>494.0</v>
      </c>
      <c r="FT162" s="62">
        <v>4920.0</v>
      </c>
      <c r="FU162" s="62">
        <v>39732.0</v>
      </c>
      <c r="FV162" s="62">
        <v>51137.0</v>
      </c>
      <c r="FW162" s="62">
        <v>1737282.0</v>
      </c>
      <c r="FX162" s="62">
        <v>241695.0</v>
      </c>
      <c r="FY162" s="62">
        <v>962086.0</v>
      </c>
      <c r="FZ162" s="62">
        <v>92283.0</v>
      </c>
      <c r="GA162" s="62">
        <v>13782.0</v>
      </c>
      <c r="GB162" s="62">
        <v>2451.0</v>
      </c>
      <c r="GC162" s="62">
        <v>740.0</v>
      </c>
      <c r="GD162" s="62">
        <v>25.0</v>
      </c>
      <c r="GE162" s="62">
        <v>17635.0</v>
      </c>
      <c r="GF162" s="63">
        <v>4659374.0</v>
      </c>
      <c r="GG162" s="64">
        <v>1924616.0</v>
      </c>
      <c r="GH162" s="65">
        <v>0.0</v>
      </c>
      <c r="GI162" s="64">
        <v>0.0</v>
      </c>
      <c r="GJ162" s="64">
        <v>0.0</v>
      </c>
      <c r="GK162" s="64">
        <v>0.0</v>
      </c>
      <c r="GL162" s="64">
        <v>0.0</v>
      </c>
      <c r="GM162" s="64">
        <v>134946.0</v>
      </c>
      <c r="GN162" s="63">
        <v>2059562.0</v>
      </c>
      <c r="GO162" s="66">
        <v>6718936.0</v>
      </c>
      <c r="GP162" s="64">
        <v>0.0</v>
      </c>
      <c r="GQ162" s="64">
        <v>166562.0</v>
      </c>
      <c r="GR162" s="65">
        <v>0.0</v>
      </c>
      <c r="GS162" s="63">
        <v>166562.0</v>
      </c>
      <c r="GT162" s="67">
        <v>0.0</v>
      </c>
      <c r="GU162" s="67">
        <v>0.0</v>
      </c>
      <c r="GV162" s="67">
        <v>-3693823.0</v>
      </c>
      <c r="GW162" s="63">
        <v>-3693823.0</v>
      </c>
      <c r="GX162" s="63">
        <v>-3268598.0</v>
      </c>
      <c r="GY162" s="63">
        <v>1.3514795E7</v>
      </c>
      <c r="GZ162" s="66">
        <v>6718936.0</v>
      </c>
    </row>
    <row r="163" ht="15.75" customHeight="1">
      <c r="A163" s="60">
        <v>158.0</v>
      </c>
      <c r="B163" s="61" t="s">
        <v>203</v>
      </c>
      <c r="C163" s="62">
        <v>9538.0</v>
      </c>
      <c r="D163" s="62">
        <v>29270.0</v>
      </c>
      <c r="E163" s="62">
        <v>2112.0</v>
      </c>
      <c r="F163" s="62">
        <v>20361.0</v>
      </c>
      <c r="G163" s="62">
        <v>371.0</v>
      </c>
      <c r="H163" s="62">
        <v>427.0</v>
      </c>
      <c r="I163" s="62">
        <v>2510.0</v>
      </c>
      <c r="J163" s="62">
        <v>112.0</v>
      </c>
      <c r="K163" s="62">
        <v>88.0</v>
      </c>
      <c r="L163" s="62">
        <v>578825.0</v>
      </c>
      <c r="M163" s="62">
        <v>10982.0</v>
      </c>
      <c r="N163" s="62">
        <v>99501.0</v>
      </c>
      <c r="O163" s="62">
        <v>66752.0</v>
      </c>
      <c r="P163" s="62">
        <v>1559.0</v>
      </c>
      <c r="Q163" s="62">
        <v>76268.0</v>
      </c>
      <c r="R163" s="62">
        <v>511281.0</v>
      </c>
      <c r="S163" s="62">
        <v>5491.0</v>
      </c>
      <c r="T163" s="62">
        <v>256546.0</v>
      </c>
      <c r="U163" s="62">
        <v>50306.0</v>
      </c>
      <c r="V163" s="62">
        <v>324300.0</v>
      </c>
      <c r="W163" s="62">
        <v>3044.0</v>
      </c>
      <c r="X163" s="62">
        <v>11589.0</v>
      </c>
      <c r="Y163" s="62">
        <v>52658.0</v>
      </c>
      <c r="Z163" s="62">
        <v>54207.0</v>
      </c>
      <c r="AA163" s="62">
        <v>16433.0</v>
      </c>
      <c r="AB163" s="62">
        <v>19516.0</v>
      </c>
      <c r="AC163" s="62">
        <v>5927.0</v>
      </c>
      <c r="AD163" s="62">
        <v>50286.0</v>
      </c>
      <c r="AE163" s="62">
        <v>9037.0</v>
      </c>
      <c r="AF163" s="62">
        <v>25002.0</v>
      </c>
      <c r="AG163" s="62">
        <v>162112.0</v>
      </c>
      <c r="AH163" s="62">
        <v>46421.0</v>
      </c>
      <c r="AI163" s="62">
        <v>985732.0</v>
      </c>
      <c r="AJ163" s="62">
        <v>37416.0</v>
      </c>
      <c r="AK163" s="62">
        <v>9756.0</v>
      </c>
      <c r="AL163" s="62">
        <v>7968.0</v>
      </c>
      <c r="AM163" s="62">
        <v>9320485.0</v>
      </c>
      <c r="AN163" s="62">
        <v>663590.0</v>
      </c>
      <c r="AO163" s="62">
        <v>1634630.0</v>
      </c>
      <c r="AP163" s="62">
        <v>9877.0</v>
      </c>
      <c r="AQ163" s="62">
        <v>306328.0</v>
      </c>
      <c r="AR163" s="62">
        <v>419790.0</v>
      </c>
      <c r="AS163" s="62">
        <v>984909.0</v>
      </c>
      <c r="AT163" s="62">
        <v>344103.0</v>
      </c>
      <c r="AU163" s="62">
        <v>155507.0</v>
      </c>
      <c r="AV163" s="62">
        <v>2067349.0</v>
      </c>
      <c r="AW163" s="62">
        <v>20622.0</v>
      </c>
      <c r="AX163" s="62">
        <v>9492421.0</v>
      </c>
      <c r="AY163" s="62">
        <v>515139.0</v>
      </c>
      <c r="AZ163" s="62">
        <v>52475.0</v>
      </c>
      <c r="BA163" s="62">
        <v>876543.0</v>
      </c>
      <c r="BB163" s="62">
        <v>1478106.0</v>
      </c>
      <c r="BC163" s="62">
        <v>943469.0</v>
      </c>
      <c r="BD163" s="62">
        <v>923999.0</v>
      </c>
      <c r="BE163" s="62">
        <v>52513.0</v>
      </c>
      <c r="BF163" s="62">
        <v>177854.0</v>
      </c>
      <c r="BG163" s="62">
        <v>25865.0</v>
      </c>
      <c r="BH163" s="62">
        <v>220752.0</v>
      </c>
      <c r="BI163" s="62">
        <v>2712.0</v>
      </c>
      <c r="BJ163" s="62">
        <v>20499.0</v>
      </c>
      <c r="BK163" s="62">
        <v>49747.0</v>
      </c>
      <c r="BL163" s="62">
        <v>1398.0</v>
      </c>
      <c r="BM163" s="62">
        <v>196.0</v>
      </c>
      <c r="BN163" s="62">
        <v>80.0</v>
      </c>
      <c r="BO163" s="62">
        <v>1103978.0</v>
      </c>
      <c r="BP163" s="62">
        <v>191.0</v>
      </c>
      <c r="BQ163" s="62">
        <v>146.0</v>
      </c>
      <c r="BR163" s="62">
        <v>40948.0</v>
      </c>
      <c r="BS163" s="62">
        <v>45549.0</v>
      </c>
      <c r="BT163" s="62">
        <v>339059.0</v>
      </c>
      <c r="BU163" s="62">
        <v>548738.0</v>
      </c>
      <c r="BV163" s="62">
        <v>93118.0</v>
      </c>
      <c r="BW163" s="62">
        <v>624.0</v>
      </c>
      <c r="BX163" s="62">
        <v>154284.0</v>
      </c>
      <c r="BY163" s="62">
        <v>1755515.0</v>
      </c>
      <c r="BZ163" s="62">
        <v>117030.0</v>
      </c>
      <c r="CA163" s="62">
        <v>565377.0</v>
      </c>
      <c r="CB163" s="62">
        <v>694141.0</v>
      </c>
      <c r="CC163" s="62">
        <v>64312.0</v>
      </c>
      <c r="CD163" s="62">
        <v>97264.0</v>
      </c>
      <c r="CE163" s="62">
        <v>58193.0</v>
      </c>
      <c r="CF163" s="62">
        <v>311286.0</v>
      </c>
      <c r="CG163" s="62">
        <v>116425.0</v>
      </c>
      <c r="CH163" s="62">
        <v>99766.0</v>
      </c>
      <c r="CI163" s="62">
        <v>408778.0</v>
      </c>
      <c r="CJ163" s="62">
        <v>600291.0</v>
      </c>
      <c r="CK163" s="62">
        <v>1249543.0</v>
      </c>
      <c r="CL163" s="62">
        <v>729829.0</v>
      </c>
      <c r="CM163" s="62">
        <v>287571.0</v>
      </c>
      <c r="CN163" s="62">
        <v>1567253.0</v>
      </c>
      <c r="CO163" s="62">
        <v>1630042.0</v>
      </c>
      <c r="CP163" s="62">
        <v>2376088.0</v>
      </c>
      <c r="CQ163" s="62">
        <v>1468317.0</v>
      </c>
      <c r="CR163" s="62">
        <v>696948.0</v>
      </c>
      <c r="CS163" s="62">
        <v>1170594.0</v>
      </c>
      <c r="CT163" s="62">
        <v>1262305.0</v>
      </c>
      <c r="CU163" s="62">
        <v>393012.0</v>
      </c>
      <c r="CV163" s="62">
        <v>880386.0</v>
      </c>
      <c r="CW163" s="62">
        <v>68783.0</v>
      </c>
      <c r="CX163" s="62">
        <v>371369.0</v>
      </c>
      <c r="CY163" s="62">
        <v>16960.0</v>
      </c>
      <c r="CZ163" s="62">
        <v>223061.0</v>
      </c>
      <c r="DA163" s="62">
        <v>363100.0</v>
      </c>
      <c r="DB163" s="62">
        <v>326746.0</v>
      </c>
      <c r="DC163" s="62">
        <v>799563.0</v>
      </c>
      <c r="DD163" s="62">
        <v>276031.0</v>
      </c>
      <c r="DE163" s="62">
        <v>118626.0</v>
      </c>
      <c r="DF163" s="62">
        <v>142435.0</v>
      </c>
      <c r="DG163" s="62">
        <v>29177.0</v>
      </c>
      <c r="DH163" s="62">
        <v>405258.0</v>
      </c>
      <c r="DI163" s="62">
        <v>354649.0</v>
      </c>
      <c r="DJ163" s="62">
        <v>606077.0</v>
      </c>
      <c r="DK163" s="62">
        <v>1529261.0</v>
      </c>
      <c r="DL163" s="62">
        <v>1848307.0</v>
      </c>
      <c r="DM163" s="62">
        <v>553558.0</v>
      </c>
      <c r="DN163" s="62">
        <v>67096.0</v>
      </c>
      <c r="DO163" s="62">
        <v>932687.0</v>
      </c>
      <c r="DP163" s="62">
        <v>94839.0</v>
      </c>
      <c r="DQ163" s="62">
        <v>594992.0</v>
      </c>
      <c r="DR163" s="62">
        <v>1241201.0</v>
      </c>
      <c r="DS163" s="62">
        <v>909791.0</v>
      </c>
      <c r="DT163" s="62">
        <v>49640.0</v>
      </c>
      <c r="DU163" s="62">
        <v>112933.0</v>
      </c>
      <c r="DV163" s="62">
        <v>330659.0</v>
      </c>
      <c r="DW163" s="62">
        <v>212718.0</v>
      </c>
      <c r="DX163" s="62">
        <v>182217.0</v>
      </c>
      <c r="DY163" s="62">
        <v>609704.0</v>
      </c>
      <c r="DZ163" s="62">
        <v>71589.0</v>
      </c>
      <c r="EA163" s="62">
        <v>8495.0</v>
      </c>
      <c r="EB163" s="62">
        <v>79631.0</v>
      </c>
      <c r="EC163" s="62">
        <v>149702.0</v>
      </c>
      <c r="ED163" s="62">
        <v>105778.0</v>
      </c>
      <c r="EE163" s="62">
        <v>84506.0</v>
      </c>
      <c r="EF163" s="62">
        <v>71500.0</v>
      </c>
      <c r="EG163" s="62">
        <v>64415.0</v>
      </c>
      <c r="EH163" s="62">
        <v>391318.0</v>
      </c>
      <c r="EI163" s="62">
        <v>1823137.0</v>
      </c>
      <c r="EJ163" s="62">
        <v>537531.0</v>
      </c>
      <c r="EK163" s="62">
        <v>149079.0</v>
      </c>
      <c r="EL163" s="62">
        <v>175584.0</v>
      </c>
      <c r="EM163" s="62">
        <v>192130.0</v>
      </c>
      <c r="EN163" s="62">
        <v>138722.0</v>
      </c>
      <c r="EO163" s="62">
        <v>31938.0</v>
      </c>
      <c r="EP163" s="62">
        <v>45279.0</v>
      </c>
      <c r="EQ163" s="62">
        <v>242637.0</v>
      </c>
      <c r="ER163" s="62">
        <v>32230.0</v>
      </c>
      <c r="ES163" s="62">
        <v>881781.0</v>
      </c>
      <c r="ET163" s="62">
        <v>611358.0</v>
      </c>
      <c r="EU163" s="62">
        <v>5.3010943E7</v>
      </c>
      <c r="EV163" s="62">
        <v>4872567.0</v>
      </c>
      <c r="EW163" s="62">
        <v>982040.0</v>
      </c>
      <c r="EX163" s="62">
        <v>4282749.0</v>
      </c>
      <c r="EY163" s="62">
        <v>3.9160149E7</v>
      </c>
      <c r="EZ163" s="62">
        <v>4881142.0</v>
      </c>
      <c r="FA163" s="62">
        <v>1854231.0</v>
      </c>
      <c r="FB163" s="62">
        <v>5.6446462E7</v>
      </c>
      <c r="FC163" s="62">
        <v>6888.0</v>
      </c>
      <c r="FD163" s="62">
        <v>1964358.0</v>
      </c>
      <c r="FE163" s="62">
        <v>201750.0</v>
      </c>
      <c r="FF163" s="62">
        <v>305806.0</v>
      </c>
      <c r="FG163" s="62">
        <v>801383.0</v>
      </c>
      <c r="FH163" s="62">
        <v>1936611.0</v>
      </c>
      <c r="FI163" s="62">
        <v>5474986.0</v>
      </c>
      <c r="FJ163" s="62">
        <v>34002.0</v>
      </c>
      <c r="FK163" s="62">
        <v>459241.0</v>
      </c>
      <c r="FL163" s="62">
        <v>1405485.0</v>
      </c>
      <c r="FM163" s="62">
        <v>425769.0</v>
      </c>
      <c r="FN163" s="62">
        <v>1558086.0</v>
      </c>
      <c r="FO163" s="62">
        <v>399285.0</v>
      </c>
      <c r="FP163" s="62">
        <v>1247497.0</v>
      </c>
      <c r="FQ163" s="62">
        <v>358111.0</v>
      </c>
      <c r="FR163" s="62">
        <v>94.0</v>
      </c>
      <c r="FS163" s="62">
        <v>308015.0</v>
      </c>
      <c r="FT163" s="62">
        <v>1576153.0</v>
      </c>
      <c r="FU163" s="62">
        <v>6254521.0</v>
      </c>
      <c r="FV163" s="62">
        <v>2994745.0</v>
      </c>
      <c r="FW163" s="62">
        <v>2.9143831E7</v>
      </c>
      <c r="FX163" s="62">
        <v>5229359.0</v>
      </c>
      <c r="FY163" s="62">
        <v>4461598.0</v>
      </c>
      <c r="FZ163" s="62">
        <v>164724.0</v>
      </c>
      <c r="GA163" s="62">
        <v>7464702.0</v>
      </c>
      <c r="GB163" s="62">
        <v>2669315.0</v>
      </c>
      <c r="GC163" s="62">
        <v>1365258.0</v>
      </c>
      <c r="GD163" s="62">
        <v>173522.0</v>
      </c>
      <c r="GE163" s="62">
        <v>1806135.0</v>
      </c>
      <c r="GF163" s="63">
        <v>3.20172854E8</v>
      </c>
      <c r="GG163" s="64">
        <v>1.79119077E8</v>
      </c>
      <c r="GH163" s="65">
        <v>0.0</v>
      </c>
      <c r="GI163" s="64">
        <v>0.0</v>
      </c>
      <c r="GJ163" s="64">
        <v>0.0</v>
      </c>
      <c r="GK163" s="64">
        <v>0.0</v>
      </c>
      <c r="GL163" s="64">
        <v>0.0</v>
      </c>
      <c r="GM163" s="64">
        <v>1822669.0</v>
      </c>
      <c r="GN163" s="63">
        <v>1.80941746E8</v>
      </c>
      <c r="GO163" s="66">
        <v>5.011146E8</v>
      </c>
      <c r="GP163" s="64">
        <v>0.0</v>
      </c>
      <c r="GQ163" s="64">
        <v>5283253.0</v>
      </c>
      <c r="GR163" s="65">
        <v>-4602581.0</v>
      </c>
      <c r="GS163" s="63">
        <v>680672.0</v>
      </c>
      <c r="GT163" s="67">
        <v>0.0</v>
      </c>
      <c r="GU163" s="67">
        <v>0.0</v>
      </c>
      <c r="GV163" s="67">
        <v>-2.96741497E8</v>
      </c>
      <c r="GW163" s="63">
        <v>-2.96741497E8</v>
      </c>
      <c r="GX163" s="63">
        <v>-1663354.0</v>
      </c>
      <c r="GY163" s="63">
        <v>7.98838779E8</v>
      </c>
      <c r="GZ163" s="66">
        <v>5.011146E8</v>
      </c>
    </row>
    <row r="164" ht="15.75" customHeight="1">
      <c r="A164" s="60">
        <v>159.0</v>
      </c>
      <c r="B164" s="61" t="s">
        <v>204</v>
      </c>
      <c r="C164" s="62">
        <v>0.0</v>
      </c>
      <c r="D164" s="62">
        <v>0.0</v>
      </c>
      <c r="E164" s="62">
        <v>0.0</v>
      </c>
      <c r="F164" s="62">
        <v>0.0</v>
      </c>
      <c r="G164" s="62">
        <v>0.0</v>
      </c>
      <c r="H164" s="62">
        <v>0.0</v>
      </c>
      <c r="I164" s="62">
        <v>0.0</v>
      </c>
      <c r="J164" s="62">
        <v>0.0</v>
      </c>
      <c r="K164" s="62">
        <v>0.0</v>
      </c>
      <c r="L164" s="62">
        <v>686.0</v>
      </c>
      <c r="M164" s="62">
        <v>274.0</v>
      </c>
      <c r="N164" s="62">
        <v>7223.0</v>
      </c>
      <c r="O164" s="62">
        <v>4801.0</v>
      </c>
      <c r="P164" s="62">
        <v>0.0</v>
      </c>
      <c r="Q164" s="62">
        <v>1396.0</v>
      </c>
      <c r="R164" s="62">
        <v>2183.0</v>
      </c>
      <c r="S164" s="62">
        <v>135.0</v>
      </c>
      <c r="T164" s="62">
        <v>545.0</v>
      </c>
      <c r="U164" s="62">
        <v>510.0</v>
      </c>
      <c r="V164" s="62">
        <v>3191.0</v>
      </c>
      <c r="W164" s="62">
        <v>109.0</v>
      </c>
      <c r="X164" s="62">
        <v>357.0</v>
      </c>
      <c r="Y164" s="62">
        <v>643.0</v>
      </c>
      <c r="Z164" s="62">
        <v>654.0</v>
      </c>
      <c r="AA164" s="62">
        <v>817.0</v>
      </c>
      <c r="AB164" s="62">
        <v>935.0</v>
      </c>
      <c r="AC164" s="62">
        <v>770.0</v>
      </c>
      <c r="AD164" s="62">
        <v>1238.0</v>
      </c>
      <c r="AE164" s="62">
        <v>0.0</v>
      </c>
      <c r="AF164" s="62">
        <v>502.0</v>
      </c>
      <c r="AG164" s="62">
        <v>4418.0</v>
      </c>
      <c r="AH164" s="62">
        <v>1123.0</v>
      </c>
      <c r="AI164" s="62">
        <v>7920.0</v>
      </c>
      <c r="AJ164" s="62">
        <v>1428.0</v>
      </c>
      <c r="AK164" s="62">
        <v>1764.0</v>
      </c>
      <c r="AL164" s="62">
        <v>2859.0</v>
      </c>
      <c r="AM164" s="62">
        <v>1.6777799E7</v>
      </c>
      <c r="AN164" s="62">
        <v>2330720.0</v>
      </c>
      <c r="AO164" s="62">
        <v>1474816.0</v>
      </c>
      <c r="AP164" s="62">
        <v>285.0</v>
      </c>
      <c r="AQ164" s="62">
        <v>126623.0</v>
      </c>
      <c r="AR164" s="62">
        <v>1536.0</v>
      </c>
      <c r="AS164" s="62">
        <v>35181.0</v>
      </c>
      <c r="AT164" s="62">
        <v>2532.0</v>
      </c>
      <c r="AU164" s="62">
        <v>48610.0</v>
      </c>
      <c r="AV164" s="62">
        <v>776952.0</v>
      </c>
      <c r="AW164" s="62">
        <v>13631.0</v>
      </c>
      <c r="AX164" s="62">
        <v>1590049.0</v>
      </c>
      <c r="AY164" s="62">
        <v>159649.0</v>
      </c>
      <c r="AZ164" s="62">
        <v>1177.0</v>
      </c>
      <c r="BA164" s="62">
        <v>150297.0</v>
      </c>
      <c r="BB164" s="62">
        <v>379112.0</v>
      </c>
      <c r="BC164" s="62">
        <v>17207.0</v>
      </c>
      <c r="BD164" s="62">
        <v>2913.0</v>
      </c>
      <c r="BE164" s="62">
        <v>3337.0</v>
      </c>
      <c r="BF164" s="62">
        <v>14786.0</v>
      </c>
      <c r="BG164" s="62">
        <v>431.0</v>
      </c>
      <c r="BH164" s="62">
        <v>37387.0</v>
      </c>
      <c r="BI164" s="62">
        <v>4577.0</v>
      </c>
      <c r="BJ164" s="62">
        <v>13964.0</v>
      </c>
      <c r="BK164" s="62">
        <v>912.0</v>
      </c>
      <c r="BL164" s="62">
        <v>154.0</v>
      </c>
      <c r="BM164" s="62">
        <v>14.0</v>
      </c>
      <c r="BN164" s="62">
        <v>0.0</v>
      </c>
      <c r="BO164" s="62">
        <v>314.0</v>
      </c>
      <c r="BP164" s="62">
        <v>202.0</v>
      </c>
      <c r="BQ164" s="62">
        <v>133.0</v>
      </c>
      <c r="BR164" s="62">
        <v>166.0</v>
      </c>
      <c r="BS164" s="62">
        <v>19330.0</v>
      </c>
      <c r="BT164" s="62">
        <v>5068.0</v>
      </c>
      <c r="BU164" s="62">
        <v>4960.0</v>
      </c>
      <c r="BV164" s="62">
        <v>19044.0</v>
      </c>
      <c r="BW164" s="62">
        <v>553.0</v>
      </c>
      <c r="BX164" s="62">
        <v>1344.0</v>
      </c>
      <c r="BY164" s="62">
        <v>15737.0</v>
      </c>
      <c r="BZ164" s="62">
        <v>1049.0</v>
      </c>
      <c r="CA164" s="62">
        <v>70338.0</v>
      </c>
      <c r="CB164" s="62">
        <v>38764.0</v>
      </c>
      <c r="CC164" s="62">
        <v>32655.0</v>
      </c>
      <c r="CD164" s="62">
        <v>51418.0</v>
      </c>
      <c r="CE164" s="62">
        <v>45456.0</v>
      </c>
      <c r="CF164" s="62">
        <v>28936.0</v>
      </c>
      <c r="CG164" s="62">
        <v>28439.0</v>
      </c>
      <c r="CH164" s="62">
        <v>6491.0</v>
      </c>
      <c r="CI164" s="62">
        <v>34622.0</v>
      </c>
      <c r="CJ164" s="62">
        <v>196679.0</v>
      </c>
      <c r="CK164" s="62">
        <v>880350.0</v>
      </c>
      <c r="CL164" s="62">
        <v>243233.0</v>
      </c>
      <c r="CM164" s="62">
        <v>74813.0</v>
      </c>
      <c r="CN164" s="62">
        <v>25088.0</v>
      </c>
      <c r="CO164" s="62">
        <v>30165.0</v>
      </c>
      <c r="CP164" s="62">
        <v>45063.0</v>
      </c>
      <c r="CQ164" s="62">
        <v>40540.0</v>
      </c>
      <c r="CR164" s="62">
        <v>94299.0</v>
      </c>
      <c r="CS164" s="62">
        <v>2073934.0</v>
      </c>
      <c r="CT164" s="62">
        <v>44688.0</v>
      </c>
      <c r="CU164" s="62">
        <v>1959.0</v>
      </c>
      <c r="CV164" s="62">
        <v>3649.0</v>
      </c>
      <c r="CW164" s="62">
        <v>395.0</v>
      </c>
      <c r="CX164" s="62">
        <v>951.0</v>
      </c>
      <c r="CY164" s="62">
        <v>64.0</v>
      </c>
      <c r="CZ164" s="62">
        <v>1222.0</v>
      </c>
      <c r="DA164" s="62">
        <v>2025.0</v>
      </c>
      <c r="DB164" s="62">
        <v>4626.0</v>
      </c>
      <c r="DC164" s="62">
        <v>3095.0</v>
      </c>
      <c r="DD164" s="62">
        <v>513.0</v>
      </c>
      <c r="DE164" s="62">
        <v>3144.0</v>
      </c>
      <c r="DF164" s="62">
        <v>3774.0</v>
      </c>
      <c r="DG164" s="62">
        <v>810.0</v>
      </c>
      <c r="DH164" s="62">
        <v>10839.0</v>
      </c>
      <c r="DI164" s="62">
        <v>49373.0</v>
      </c>
      <c r="DJ164" s="62">
        <v>50826.0</v>
      </c>
      <c r="DK164" s="62">
        <v>82662.0</v>
      </c>
      <c r="DL164" s="62">
        <v>108152.0</v>
      </c>
      <c r="DM164" s="62">
        <v>151282.0</v>
      </c>
      <c r="DN164" s="62">
        <v>15045.0</v>
      </c>
      <c r="DO164" s="62">
        <v>147710.0</v>
      </c>
      <c r="DP164" s="62">
        <v>8551.0</v>
      </c>
      <c r="DQ164" s="62">
        <v>58540.0</v>
      </c>
      <c r="DR164" s="62">
        <v>103868.0</v>
      </c>
      <c r="DS164" s="62">
        <v>11703.0</v>
      </c>
      <c r="DT164" s="62">
        <v>534.0</v>
      </c>
      <c r="DU164" s="62">
        <v>971.0</v>
      </c>
      <c r="DV164" s="62">
        <v>2718.0</v>
      </c>
      <c r="DW164" s="62">
        <v>1754.0</v>
      </c>
      <c r="DX164" s="62">
        <v>1673.0</v>
      </c>
      <c r="DY164" s="62">
        <v>4971.0</v>
      </c>
      <c r="DZ164" s="62">
        <v>6919.0</v>
      </c>
      <c r="EA164" s="62">
        <v>731.0</v>
      </c>
      <c r="EB164" s="62">
        <v>6605.0</v>
      </c>
      <c r="EC164" s="62">
        <v>8936.0</v>
      </c>
      <c r="ED164" s="62">
        <v>2627.0</v>
      </c>
      <c r="EE164" s="62">
        <v>2128.0</v>
      </c>
      <c r="EF164" s="62">
        <v>8367.0</v>
      </c>
      <c r="EG164" s="62">
        <v>2117.0</v>
      </c>
      <c r="EH164" s="62">
        <v>32758.0</v>
      </c>
      <c r="EI164" s="62">
        <v>22404.0</v>
      </c>
      <c r="EJ164" s="62">
        <v>10457.0</v>
      </c>
      <c r="EK164" s="62">
        <v>2820.0</v>
      </c>
      <c r="EL164" s="62">
        <v>3767.0</v>
      </c>
      <c r="EM164" s="62">
        <v>3221.0</v>
      </c>
      <c r="EN164" s="62">
        <v>2558.0</v>
      </c>
      <c r="EO164" s="62">
        <v>3725.0</v>
      </c>
      <c r="EP164" s="62">
        <v>1429.0</v>
      </c>
      <c r="EQ164" s="62">
        <v>8967.0</v>
      </c>
      <c r="ER164" s="62">
        <v>130.0</v>
      </c>
      <c r="ES164" s="62">
        <v>10674.0</v>
      </c>
      <c r="ET164" s="62">
        <v>82713.0</v>
      </c>
      <c r="EU164" s="62">
        <v>176557.0</v>
      </c>
      <c r="EV164" s="62">
        <v>6057.0</v>
      </c>
      <c r="EW164" s="62">
        <v>3241.0</v>
      </c>
      <c r="EX164" s="62">
        <v>13059.0</v>
      </c>
      <c r="EY164" s="62">
        <v>71077.0</v>
      </c>
      <c r="EZ164" s="62">
        <v>419210.0</v>
      </c>
      <c r="FA164" s="62">
        <v>27668.0</v>
      </c>
      <c r="FB164" s="62">
        <v>1435932.0</v>
      </c>
      <c r="FC164" s="62">
        <v>94.0</v>
      </c>
      <c r="FD164" s="62">
        <v>2061.0</v>
      </c>
      <c r="FE164" s="62">
        <v>22865.0</v>
      </c>
      <c r="FF164" s="62">
        <v>7195.0</v>
      </c>
      <c r="FG164" s="62">
        <v>32886.0</v>
      </c>
      <c r="FH164" s="62">
        <v>1084634.0</v>
      </c>
      <c r="FI164" s="62">
        <v>655558.0</v>
      </c>
      <c r="FJ164" s="62">
        <v>651.0</v>
      </c>
      <c r="FK164" s="62">
        <v>5704.0</v>
      </c>
      <c r="FL164" s="62">
        <v>209120.0</v>
      </c>
      <c r="FM164" s="62">
        <v>13574.0</v>
      </c>
      <c r="FN164" s="62">
        <v>395154.0</v>
      </c>
      <c r="FO164" s="62">
        <v>24665.0</v>
      </c>
      <c r="FP164" s="62">
        <v>38404.0</v>
      </c>
      <c r="FQ164" s="62">
        <v>16254.0</v>
      </c>
      <c r="FR164" s="62">
        <v>7.0</v>
      </c>
      <c r="FS164" s="62">
        <v>11163.0</v>
      </c>
      <c r="FT164" s="62">
        <v>83673.0</v>
      </c>
      <c r="FU164" s="62">
        <v>769839.0</v>
      </c>
      <c r="FV164" s="62">
        <v>538261.0</v>
      </c>
      <c r="FW164" s="62">
        <v>1289449.0</v>
      </c>
      <c r="FX164" s="62">
        <v>79571.0</v>
      </c>
      <c r="FY164" s="62">
        <v>239661.0</v>
      </c>
      <c r="FZ164" s="62">
        <v>23778.0</v>
      </c>
      <c r="GA164" s="62">
        <v>40038.0</v>
      </c>
      <c r="GB164" s="62">
        <v>23960.0</v>
      </c>
      <c r="GC164" s="62">
        <v>3199.0</v>
      </c>
      <c r="GD164" s="62">
        <v>3450.0</v>
      </c>
      <c r="GE164" s="62">
        <v>43726.0</v>
      </c>
      <c r="GF164" s="63">
        <v>3.703785E7</v>
      </c>
      <c r="GG164" s="64">
        <v>7875909.0</v>
      </c>
      <c r="GH164" s="65">
        <v>0.0</v>
      </c>
      <c r="GI164" s="64">
        <v>0.0</v>
      </c>
      <c r="GJ164" s="64">
        <v>0.0</v>
      </c>
      <c r="GK164" s="64">
        <v>0.0</v>
      </c>
      <c r="GL164" s="64">
        <v>0.0</v>
      </c>
      <c r="GM164" s="64">
        <v>1.3617165E7</v>
      </c>
      <c r="GN164" s="63">
        <v>2.1493074E7</v>
      </c>
      <c r="GO164" s="66">
        <v>5.8530924E7</v>
      </c>
      <c r="GP164" s="64">
        <v>0.0</v>
      </c>
      <c r="GQ164" s="64">
        <v>8.2799387E7</v>
      </c>
      <c r="GR164" s="65">
        <v>-8.2396154E7</v>
      </c>
      <c r="GS164" s="63">
        <v>403233.0</v>
      </c>
      <c r="GT164" s="67">
        <v>0.0</v>
      </c>
      <c r="GU164" s="67">
        <v>0.0</v>
      </c>
      <c r="GV164" s="67">
        <v>-7.807709E7</v>
      </c>
      <c r="GW164" s="63">
        <v>-7.807709E7</v>
      </c>
      <c r="GX164" s="63">
        <v>-2046300.0</v>
      </c>
      <c r="GY164" s="63">
        <v>1.38251081E8</v>
      </c>
      <c r="GZ164" s="66">
        <v>5.8530924E7</v>
      </c>
    </row>
    <row r="165" ht="15.75" customHeight="1">
      <c r="A165" s="68">
        <v>160.0</v>
      </c>
      <c r="B165" s="69" t="s">
        <v>205</v>
      </c>
      <c r="C165" s="70">
        <v>6569.0</v>
      </c>
      <c r="D165" s="70">
        <v>8241.0</v>
      </c>
      <c r="E165" s="70">
        <v>27.0</v>
      </c>
      <c r="F165" s="70">
        <v>3995.0</v>
      </c>
      <c r="G165" s="70">
        <v>206.0</v>
      </c>
      <c r="H165" s="70">
        <v>975.0</v>
      </c>
      <c r="I165" s="70">
        <v>109.0</v>
      </c>
      <c r="J165" s="70">
        <v>255.0</v>
      </c>
      <c r="K165" s="70">
        <v>7.0</v>
      </c>
      <c r="L165" s="70">
        <v>6842.0</v>
      </c>
      <c r="M165" s="70">
        <v>4038.0</v>
      </c>
      <c r="N165" s="70">
        <v>1644.0</v>
      </c>
      <c r="O165" s="70">
        <v>14992.0</v>
      </c>
      <c r="P165" s="70">
        <v>0.0</v>
      </c>
      <c r="Q165" s="70">
        <v>6244.0</v>
      </c>
      <c r="R165" s="70">
        <v>3567.0</v>
      </c>
      <c r="S165" s="70">
        <v>3531.0</v>
      </c>
      <c r="T165" s="70">
        <v>44399.0</v>
      </c>
      <c r="U165" s="70">
        <v>2753.0</v>
      </c>
      <c r="V165" s="70">
        <v>11426.0</v>
      </c>
      <c r="W165" s="70">
        <v>142.0</v>
      </c>
      <c r="X165" s="70">
        <v>1406.0</v>
      </c>
      <c r="Y165" s="70">
        <v>4949.0</v>
      </c>
      <c r="Z165" s="70">
        <v>5605.0</v>
      </c>
      <c r="AA165" s="70">
        <v>6768.0</v>
      </c>
      <c r="AB165" s="70">
        <v>6873.0</v>
      </c>
      <c r="AC165" s="70">
        <v>877.0</v>
      </c>
      <c r="AD165" s="70">
        <v>6286.0</v>
      </c>
      <c r="AE165" s="70">
        <v>0.0</v>
      </c>
      <c r="AF165" s="70">
        <v>1823.0</v>
      </c>
      <c r="AG165" s="70">
        <v>28426.0</v>
      </c>
      <c r="AH165" s="70">
        <v>6991.0</v>
      </c>
      <c r="AI165" s="70">
        <v>45753.0</v>
      </c>
      <c r="AJ165" s="70">
        <v>14219.0</v>
      </c>
      <c r="AK165" s="70">
        <v>2047.0</v>
      </c>
      <c r="AL165" s="70">
        <v>1305.0</v>
      </c>
      <c r="AM165" s="70">
        <v>2567700.0</v>
      </c>
      <c r="AN165" s="70">
        <v>1350293.0</v>
      </c>
      <c r="AO165" s="70">
        <v>1544430.0</v>
      </c>
      <c r="AP165" s="70">
        <v>260.0</v>
      </c>
      <c r="AQ165" s="70">
        <v>41019.0</v>
      </c>
      <c r="AR165" s="70">
        <v>426.0</v>
      </c>
      <c r="AS165" s="70">
        <v>39818.0</v>
      </c>
      <c r="AT165" s="70">
        <v>969.0</v>
      </c>
      <c r="AU165" s="70">
        <v>85898.0</v>
      </c>
      <c r="AV165" s="70">
        <v>110899.0</v>
      </c>
      <c r="AW165" s="70">
        <v>10292.0</v>
      </c>
      <c r="AX165" s="70">
        <v>119827.0</v>
      </c>
      <c r="AY165" s="70">
        <v>251501.0</v>
      </c>
      <c r="AZ165" s="70">
        <v>241.0</v>
      </c>
      <c r="BA165" s="70">
        <v>70725.0</v>
      </c>
      <c r="BB165" s="70">
        <v>44636.0</v>
      </c>
      <c r="BC165" s="70">
        <v>15601.0</v>
      </c>
      <c r="BD165" s="70">
        <v>1793.0</v>
      </c>
      <c r="BE165" s="70">
        <v>1669.0</v>
      </c>
      <c r="BF165" s="70">
        <v>6436.0</v>
      </c>
      <c r="BG165" s="70">
        <v>1048.0</v>
      </c>
      <c r="BH165" s="70">
        <v>19089.0</v>
      </c>
      <c r="BI165" s="70">
        <v>2166.0</v>
      </c>
      <c r="BJ165" s="70">
        <v>16025.0</v>
      </c>
      <c r="BK165" s="70">
        <v>1862.0</v>
      </c>
      <c r="BL165" s="70">
        <v>514.0</v>
      </c>
      <c r="BM165" s="70">
        <v>27.0</v>
      </c>
      <c r="BN165" s="70">
        <v>20.0</v>
      </c>
      <c r="BO165" s="70">
        <v>3043.0</v>
      </c>
      <c r="BP165" s="70">
        <v>192.0</v>
      </c>
      <c r="BQ165" s="70">
        <v>132.0</v>
      </c>
      <c r="BR165" s="70">
        <v>418.0</v>
      </c>
      <c r="BS165" s="70">
        <v>585.0</v>
      </c>
      <c r="BT165" s="70">
        <v>13435.0</v>
      </c>
      <c r="BU165" s="70">
        <v>12453.0</v>
      </c>
      <c r="BV165" s="70">
        <v>1847.0</v>
      </c>
      <c r="BW165" s="70">
        <v>246.0</v>
      </c>
      <c r="BX165" s="70">
        <v>10976.0</v>
      </c>
      <c r="BY165" s="70">
        <v>96719.0</v>
      </c>
      <c r="BZ165" s="70">
        <v>6447.0</v>
      </c>
      <c r="CA165" s="70">
        <v>49931.0</v>
      </c>
      <c r="CB165" s="70">
        <v>17021.0</v>
      </c>
      <c r="CC165" s="70">
        <v>7626.0</v>
      </c>
      <c r="CD165" s="70">
        <v>9764.0</v>
      </c>
      <c r="CE165" s="70">
        <v>5417.0</v>
      </c>
      <c r="CF165" s="70">
        <v>38151.0</v>
      </c>
      <c r="CG165" s="70">
        <v>6626.0</v>
      </c>
      <c r="CH165" s="70">
        <v>11302.0</v>
      </c>
      <c r="CI165" s="70">
        <v>70532.0</v>
      </c>
      <c r="CJ165" s="70">
        <v>201202.0</v>
      </c>
      <c r="CK165" s="70">
        <v>428387.0</v>
      </c>
      <c r="CL165" s="70">
        <v>244515.0</v>
      </c>
      <c r="CM165" s="70">
        <v>86355.0</v>
      </c>
      <c r="CN165" s="70">
        <v>2232.0</v>
      </c>
      <c r="CO165" s="70">
        <v>5491.0</v>
      </c>
      <c r="CP165" s="70">
        <v>11140.0</v>
      </c>
      <c r="CQ165" s="70">
        <v>5101.0</v>
      </c>
      <c r="CR165" s="70">
        <v>150783.0</v>
      </c>
      <c r="CS165" s="70">
        <v>366246.0</v>
      </c>
      <c r="CT165" s="70">
        <v>44991.0</v>
      </c>
      <c r="CU165" s="70">
        <v>12785.0</v>
      </c>
      <c r="CV165" s="70">
        <v>23814.0</v>
      </c>
      <c r="CW165" s="70">
        <v>2591.0</v>
      </c>
      <c r="CX165" s="70">
        <v>6246.0</v>
      </c>
      <c r="CY165" s="70">
        <v>425.0</v>
      </c>
      <c r="CZ165" s="70">
        <v>8241.0</v>
      </c>
      <c r="DA165" s="70">
        <v>9747.0</v>
      </c>
      <c r="DB165" s="70">
        <v>9580.0</v>
      </c>
      <c r="DC165" s="70">
        <v>12767.0</v>
      </c>
      <c r="DD165" s="70">
        <v>3368.0</v>
      </c>
      <c r="DE165" s="70">
        <v>4009.0</v>
      </c>
      <c r="DF165" s="70">
        <v>4814.0</v>
      </c>
      <c r="DG165" s="70">
        <v>990.0</v>
      </c>
      <c r="DH165" s="70">
        <v>13896.0</v>
      </c>
      <c r="DI165" s="70">
        <v>77302.0</v>
      </c>
      <c r="DJ165" s="70">
        <v>82476.0</v>
      </c>
      <c r="DK165" s="70">
        <v>119650.0</v>
      </c>
      <c r="DL165" s="70">
        <v>148395.0</v>
      </c>
      <c r="DM165" s="70">
        <v>155227.0</v>
      </c>
      <c r="DN165" s="70">
        <v>16138.0</v>
      </c>
      <c r="DO165" s="70">
        <v>147155.0</v>
      </c>
      <c r="DP165" s="70">
        <v>2380.0</v>
      </c>
      <c r="DQ165" s="70">
        <v>50488.0</v>
      </c>
      <c r="DR165" s="70">
        <v>79495.0</v>
      </c>
      <c r="DS165" s="70">
        <v>3922.0</v>
      </c>
      <c r="DT165" s="70">
        <v>163.0</v>
      </c>
      <c r="DU165" s="70">
        <v>103.0</v>
      </c>
      <c r="DV165" s="70">
        <v>64.0</v>
      </c>
      <c r="DW165" s="70">
        <v>69.0</v>
      </c>
      <c r="DX165" s="70">
        <v>659.0</v>
      </c>
      <c r="DY165" s="70">
        <v>65.0</v>
      </c>
      <c r="DZ165" s="70">
        <v>18820.0</v>
      </c>
      <c r="EA165" s="70">
        <v>2148.0</v>
      </c>
      <c r="EB165" s="70">
        <v>19287.0</v>
      </c>
      <c r="EC165" s="70">
        <v>2397.0</v>
      </c>
      <c r="ED165" s="70">
        <v>13537.0</v>
      </c>
      <c r="EE165" s="70">
        <v>0.0</v>
      </c>
      <c r="EF165" s="70">
        <v>0.0</v>
      </c>
      <c r="EG165" s="70">
        <v>590.0</v>
      </c>
      <c r="EH165" s="70">
        <v>156324.0</v>
      </c>
      <c r="EI165" s="70">
        <v>69446.0</v>
      </c>
      <c r="EJ165" s="70">
        <v>1490.0</v>
      </c>
      <c r="EK165" s="70">
        <v>8621.0</v>
      </c>
      <c r="EL165" s="70">
        <v>8374.0</v>
      </c>
      <c r="EM165" s="70">
        <v>9810.0</v>
      </c>
      <c r="EN165" s="70">
        <v>8878.0</v>
      </c>
      <c r="EO165" s="70">
        <v>805.0</v>
      </c>
      <c r="EP165" s="70">
        <v>3733.0</v>
      </c>
      <c r="EQ165" s="70">
        <v>6272.0</v>
      </c>
      <c r="ER165" s="70">
        <v>1240.0</v>
      </c>
      <c r="ES165" s="70">
        <v>9386.0</v>
      </c>
      <c r="ET165" s="70">
        <v>5790.0</v>
      </c>
      <c r="EU165" s="70">
        <v>1613206.0</v>
      </c>
      <c r="EV165" s="70">
        <v>6737.0</v>
      </c>
      <c r="EW165" s="70">
        <v>9056.0</v>
      </c>
      <c r="EX165" s="70">
        <v>27440.0</v>
      </c>
      <c r="EY165" s="70">
        <v>203223.0</v>
      </c>
      <c r="EZ165" s="70">
        <v>117110.0</v>
      </c>
      <c r="FA165" s="70">
        <v>31159.0</v>
      </c>
      <c r="FB165" s="70">
        <v>469929.0</v>
      </c>
      <c r="FC165" s="70">
        <v>65.0</v>
      </c>
      <c r="FD165" s="70">
        <v>47855.0</v>
      </c>
      <c r="FE165" s="70">
        <v>30637.0</v>
      </c>
      <c r="FF165" s="70">
        <v>12551.0</v>
      </c>
      <c r="FG165" s="70">
        <v>0.0</v>
      </c>
      <c r="FH165" s="70">
        <v>324653.0</v>
      </c>
      <c r="FI165" s="70">
        <v>263754.0</v>
      </c>
      <c r="FJ165" s="70">
        <v>5337.0</v>
      </c>
      <c r="FK165" s="70">
        <v>33651.0</v>
      </c>
      <c r="FL165" s="70">
        <v>579951.0</v>
      </c>
      <c r="FM165" s="70">
        <v>9504.0</v>
      </c>
      <c r="FN165" s="70">
        <v>37807.0</v>
      </c>
      <c r="FO165" s="70">
        <v>25171.0</v>
      </c>
      <c r="FP165" s="70">
        <v>6630.0</v>
      </c>
      <c r="FQ165" s="70">
        <v>5076.0</v>
      </c>
      <c r="FR165" s="70">
        <v>10.0</v>
      </c>
      <c r="FS165" s="70">
        <v>3847.0</v>
      </c>
      <c r="FT165" s="70">
        <v>12842.0</v>
      </c>
      <c r="FU165" s="70">
        <v>1240296.0</v>
      </c>
      <c r="FV165" s="70">
        <v>1136927.0</v>
      </c>
      <c r="FW165" s="70">
        <v>8353.0</v>
      </c>
      <c r="FX165" s="70">
        <v>1035.0</v>
      </c>
      <c r="FY165" s="70">
        <v>4988.0</v>
      </c>
      <c r="FZ165" s="70">
        <v>364.0</v>
      </c>
      <c r="GA165" s="70">
        <v>29348.0</v>
      </c>
      <c r="GB165" s="70">
        <v>19938.0</v>
      </c>
      <c r="GC165" s="70">
        <v>4664.0</v>
      </c>
      <c r="GD165" s="70">
        <v>6503.0</v>
      </c>
      <c r="GE165" s="70">
        <v>34447.0</v>
      </c>
      <c r="GF165" s="71">
        <v>1.6175816E7</v>
      </c>
      <c r="GG165" s="72">
        <v>1.2229841E7</v>
      </c>
      <c r="GH165" s="73">
        <v>0.0</v>
      </c>
      <c r="GI165" s="72">
        <v>0.0</v>
      </c>
      <c r="GJ165" s="72">
        <v>0.0</v>
      </c>
      <c r="GK165" s="72">
        <v>0.0</v>
      </c>
      <c r="GL165" s="72">
        <v>0.0</v>
      </c>
      <c r="GM165" s="72">
        <v>556686.0</v>
      </c>
      <c r="GN165" s="71">
        <v>1.2786527E7</v>
      </c>
      <c r="GO165" s="74">
        <v>2.8962343E7</v>
      </c>
      <c r="GP165" s="72">
        <v>0.0</v>
      </c>
      <c r="GQ165" s="72">
        <v>65589.0</v>
      </c>
      <c r="GR165" s="73">
        <v>0.0</v>
      </c>
      <c r="GS165" s="71">
        <v>65589.0</v>
      </c>
      <c r="GT165" s="75">
        <v>0.0</v>
      </c>
      <c r="GU165" s="75">
        <v>0.0</v>
      </c>
      <c r="GV165" s="75">
        <v>-7908634.0</v>
      </c>
      <c r="GW165" s="71">
        <v>-7908634.0</v>
      </c>
      <c r="GX165" s="71">
        <v>0.0</v>
      </c>
      <c r="GY165" s="71">
        <v>3.6805388E7</v>
      </c>
      <c r="GZ165" s="74">
        <v>2.8962343E7</v>
      </c>
    </row>
    <row r="166" ht="15.75" customHeight="1">
      <c r="A166" s="52">
        <v>161.0</v>
      </c>
      <c r="B166" s="53" t="s">
        <v>206</v>
      </c>
      <c r="C166" s="54">
        <v>0.0</v>
      </c>
      <c r="D166" s="54">
        <v>0.0</v>
      </c>
      <c r="E166" s="54">
        <v>0.0</v>
      </c>
      <c r="F166" s="54">
        <v>0.0</v>
      </c>
      <c r="G166" s="54">
        <v>0.0</v>
      </c>
      <c r="H166" s="54">
        <v>0.0</v>
      </c>
      <c r="I166" s="54">
        <v>0.0</v>
      </c>
      <c r="J166" s="54">
        <v>0.0</v>
      </c>
      <c r="K166" s="54">
        <v>0.0</v>
      </c>
      <c r="L166" s="54">
        <v>0.0</v>
      </c>
      <c r="M166" s="54">
        <v>106.0</v>
      </c>
      <c r="N166" s="54">
        <v>13838.0</v>
      </c>
      <c r="O166" s="54">
        <v>5112.0</v>
      </c>
      <c r="P166" s="54">
        <v>110.0</v>
      </c>
      <c r="Q166" s="54">
        <v>34485.0</v>
      </c>
      <c r="R166" s="54">
        <v>0.0</v>
      </c>
      <c r="S166" s="54">
        <v>0.0</v>
      </c>
      <c r="T166" s="54">
        <v>31730.0</v>
      </c>
      <c r="U166" s="54">
        <v>12064.0</v>
      </c>
      <c r="V166" s="54">
        <v>334982.0</v>
      </c>
      <c r="W166" s="54">
        <v>352.0</v>
      </c>
      <c r="X166" s="54">
        <v>3491.0</v>
      </c>
      <c r="Y166" s="54">
        <v>18855.0</v>
      </c>
      <c r="Z166" s="54">
        <v>32581.0</v>
      </c>
      <c r="AA166" s="54">
        <v>2411.0</v>
      </c>
      <c r="AB166" s="54">
        <v>17652.0</v>
      </c>
      <c r="AC166" s="54">
        <v>1641.0</v>
      </c>
      <c r="AD166" s="54">
        <v>21282.0</v>
      </c>
      <c r="AE166" s="54">
        <v>0.0</v>
      </c>
      <c r="AF166" s="54">
        <v>4965.0</v>
      </c>
      <c r="AG166" s="54">
        <v>60230.0</v>
      </c>
      <c r="AH166" s="54">
        <v>16690.0</v>
      </c>
      <c r="AI166" s="54">
        <v>169756.0</v>
      </c>
      <c r="AJ166" s="54">
        <v>41861.0</v>
      </c>
      <c r="AK166" s="54">
        <v>3149.0</v>
      </c>
      <c r="AL166" s="54">
        <v>3879.0</v>
      </c>
      <c r="AM166" s="54">
        <v>1680463.0</v>
      </c>
      <c r="AN166" s="54">
        <v>570110.0</v>
      </c>
      <c r="AO166" s="54">
        <v>1136587.0</v>
      </c>
      <c r="AP166" s="54">
        <v>639.0</v>
      </c>
      <c r="AQ166" s="54">
        <v>157911.0</v>
      </c>
      <c r="AR166" s="54">
        <v>16549.0</v>
      </c>
      <c r="AS166" s="54">
        <v>95550.0</v>
      </c>
      <c r="AT166" s="54">
        <v>9031.0</v>
      </c>
      <c r="AU166" s="54">
        <v>86054.0</v>
      </c>
      <c r="AV166" s="54">
        <v>1097667.0</v>
      </c>
      <c r="AW166" s="54">
        <v>11357.0</v>
      </c>
      <c r="AX166" s="54">
        <v>1413156.0</v>
      </c>
      <c r="AY166" s="54">
        <v>2140.0</v>
      </c>
      <c r="AZ166" s="54">
        <v>2517.0</v>
      </c>
      <c r="BA166" s="54">
        <v>217357.0</v>
      </c>
      <c r="BB166" s="54">
        <v>386042.0</v>
      </c>
      <c r="BC166" s="54">
        <v>24556.0</v>
      </c>
      <c r="BD166" s="54">
        <v>2132.0</v>
      </c>
      <c r="BE166" s="54">
        <v>19918.0</v>
      </c>
      <c r="BF166" s="54">
        <v>67089.0</v>
      </c>
      <c r="BG166" s="54">
        <v>6226.0</v>
      </c>
      <c r="BH166" s="54">
        <v>128181.0</v>
      </c>
      <c r="BI166" s="54">
        <v>10635.0</v>
      </c>
      <c r="BJ166" s="54">
        <v>78765.0</v>
      </c>
      <c r="BK166" s="54">
        <v>11064.0</v>
      </c>
      <c r="BL166" s="54">
        <v>2422.0</v>
      </c>
      <c r="BM166" s="54">
        <v>55.0</v>
      </c>
      <c r="BN166" s="54">
        <v>2599.0</v>
      </c>
      <c r="BO166" s="54">
        <v>22650.0</v>
      </c>
      <c r="BP166" s="54">
        <v>239.0</v>
      </c>
      <c r="BQ166" s="54">
        <v>654.0</v>
      </c>
      <c r="BR166" s="54">
        <v>7717.0</v>
      </c>
      <c r="BS166" s="54">
        <v>18604.0</v>
      </c>
      <c r="BT166" s="54">
        <v>81213.0</v>
      </c>
      <c r="BU166" s="54">
        <v>105967.0</v>
      </c>
      <c r="BV166" s="54">
        <v>19171.0</v>
      </c>
      <c r="BW166" s="54">
        <v>946.0</v>
      </c>
      <c r="BX166" s="54">
        <v>142894.0</v>
      </c>
      <c r="BY166" s="54">
        <v>1129937.0</v>
      </c>
      <c r="BZ166" s="54">
        <v>75326.0</v>
      </c>
      <c r="CA166" s="54">
        <v>627392.0</v>
      </c>
      <c r="CB166" s="54">
        <v>104032.0</v>
      </c>
      <c r="CC166" s="54">
        <v>44950.0</v>
      </c>
      <c r="CD166" s="54">
        <v>43929.0</v>
      </c>
      <c r="CE166" s="54">
        <v>88736.0</v>
      </c>
      <c r="CF166" s="54">
        <v>57836.0</v>
      </c>
      <c r="CG166" s="54">
        <v>38161.0</v>
      </c>
      <c r="CH166" s="54">
        <v>63234.0</v>
      </c>
      <c r="CI166" s="54">
        <v>194358.0</v>
      </c>
      <c r="CJ166" s="54">
        <v>157542.0</v>
      </c>
      <c r="CK166" s="54">
        <v>335430.0</v>
      </c>
      <c r="CL166" s="54">
        <v>191457.0</v>
      </c>
      <c r="CM166" s="54">
        <v>70688.0</v>
      </c>
      <c r="CN166" s="54">
        <v>97591.0</v>
      </c>
      <c r="CO166" s="54">
        <v>117696.0</v>
      </c>
      <c r="CP166" s="54">
        <v>180793.0</v>
      </c>
      <c r="CQ166" s="54">
        <v>94516.0</v>
      </c>
      <c r="CR166" s="54">
        <v>377595.0</v>
      </c>
      <c r="CS166" s="54">
        <v>210572.0</v>
      </c>
      <c r="CT166" s="54">
        <v>184538.0</v>
      </c>
      <c r="CU166" s="54">
        <v>70314.0</v>
      </c>
      <c r="CV166" s="54">
        <v>122821.0</v>
      </c>
      <c r="CW166" s="54">
        <v>35025.0</v>
      </c>
      <c r="CX166" s="54">
        <v>77029.0</v>
      </c>
      <c r="CY166" s="54">
        <v>4388.0</v>
      </c>
      <c r="CZ166" s="54">
        <v>64491.0</v>
      </c>
      <c r="DA166" s="54">
        <v>154378.0</v>
      </c>
      <c r="DB166" s="54">
        <v>62313.0</v>
      </c>
      <c r="DC166" s="54">
        <v>265350.0</v>
      </c>
      <c r="DD166" s="54">
        <v>31046.0</v>
      </c>
      <c r="DE166" s="54">
        <v>47369.0</v>
      </c>
      <c r="DF166" s="54">
        <v>56876.0</v>
      </c>
      <c r="DG166" s="54">
        <v>11888.0</v>
      </c>
      <c r="DH166" s="54">
        <v>103121.0</v>
      </c>
      <c r="DI166" s="54">
        <v>283698.0</v>
      </c>
      <c r="DJ166" s="54">
        <v>144007.0</v>
      </c>
      <c r="DK166" s="54">
        <v>168424.0</v>
      </c>
      <c r="DL166" s="54">
        <v>569840.0</v>
      </c>
      <c r="DM166" s="54">
        <v>123914.0</v>
      </c>
      <c r="DN166" s="54">
        <v>12079.0</v>
      </c>
      <c r="DO166" s="54">
        <v>41516.0</v>
      </c>
      <c r="DP166" s="54">
        <v>11828.0</v>
      </c>
      <c r="DQ166" s="54">
        <v>44804.0</v>
      </c>
      <c r="DR166" s="54">
        <v>595211.0</v>
      </c>
      <c r="DS166" s="54">
        <v>201552.0</v>
      </c>
      <c r="DT166" s="54">
        <v>13865.0</v>
      </c>
      <c r="DU166" s="54">
        <v>33719.0</v>
      </c>
      <c r="DV166" s="54">
        <v>99803.0</v>
      </c>
      <c r="DW166" s="54">
        <v>64076.0</v>
      </c>
      <c r="DX166" s="54">
        <v>59267.0</v>
      </c>
      <c r="DY166" s="54">
        <v>184972.0</v>
      </c>
      <c r="DZ166" s="54">
        <v>230026.0</v>
      </c>
      <c r="EA166" s="54">
        <v>25533.0</v>
      </c>
      <c r="EB166" s="54">
        <v>124145.0</v>
      </c>
      <c r="EC166" s="54">
        <v>149283.0</v>
      </c>
      <c r="ED166" s="54">
        <v>63085.0</v>
      </c>
      <c r="EE166" s="54">
        <v>57590.0</v>
      </c>
      <c r="EF166" s="54">
        <v>14289.0</v>
      </c>
      <c r="EG166" s="54">
        <v>25844.0</v>
      </c>
      <c r="EH166" s="54">
        <v>322381.0</v>
      </c>
      <c r="EI166" s="54">
        <v>302926.0</v>
      </c>
      <c r="EJ166" s="54">
        <v>88321.0</v>
      </c>
      <c r="EK166" s="54">
        <v>59181.0</v>
      </c>
      <c r="EL166" s="54">
        <v>72144.0</v>
      </c>
      <c r="EM166" s="54">
        <v>18303.0</v>
      </c>
      <c r="EN166" s="54">
        <v>162541.0</v>
      </c>
      <c r="EO166" s="54">
        <v>26212.0</v>
      </c>
      <c r="EP166" s="54">
        <v>35048.0</v>
      </c>
      <c r="EQ166" s="54">
        <v>73781.0</v>
      </c>
      <c r="ER166" s="54">
        <v>5408.0</v>
      </c>
      <c r="ES166" s="54">
        <v>46627.0</v>
      </c>
      <c r="ET166" s="54">
        <v>90040.0</v>
      </c>
      <c r="EU166" s="54">
        <v>3131468.0</v>
      </c>
      <c r="EV166" s="54">
        <v>188476.0</v>
      </c>
      <c r="EW166" s="54">
        <v>976843.0</v>
      </c>
      <c r="EX166" s="54">
        <v>355485.0</v>
      </c>
      <c r="EY166" s="54">
        <v>880348.0</v>
      </c>
      <c r="EZ166" s="54">
        <v>1631986.0</v>
      </c>
      <c r="FA166" s="54">
        <v>433803.0</v>
      </c>
      <c r="FB166" s="54">
        <v>1.0420909E7</v>
      </c>
      <c r="FC166" s="54">
        <v>21422.0</v>
      </c>
      <c r="FD166" s="54">
        <v>1269794.0</v>
      </c>
      <c r="FE166" s="54">
        <v>372424.0</v>
      </c>
      <c r="FF166" s="54">
        <v>319192.0</v>
      </c>
      <c r="FG166" s="54">
        <v>2156149.0</v>
      </c>
      <c r="FH166" s="54">
        <v>1448275.0</v>
      </c>
      <c r="FI166" s="54">
        <v>480994.0</v>
      </c>
      <c r="FJ166" s="54">
        <v>20341.0</v>
      </c>
      <c r="FK166" s="54">
        <v>69943.0</v>
      </c>
      <c r="FL166" s="54">
        <v>1087546.0</v>
      </c>
      <c r="FM166" s="54">
        <v>79750.0</v>
      </c>
      <c r="FN166" s="54">
        <v>393911.0</v>
      </c>
      <c r="FO166" s="54">
        <v>196864.0</v>
      </c>
      <c r="FP166" s="54">
        <v>1755465.0</v>
      </c>
      <c r="FQ166" s="54">
        <v>290534.0</v>
      </c>
      <c r="FR166" s="54">
        <v>50.0</v>
      </c>
      <c r="FS166" s="54">
        <v>121965.0</v>
      </c>
      <c r="FT166" s="54">
        <v>1383693.0</v>
      </c>
      <c r="FU166" s="54">
        <v>1920936.0</v>
      </c>
      <c r="FV166" s="54">
        <v>1271760.0</v>
      </c>
      <c r="FW166" s="54">
        <v>1.9146093E7</v>
      </c>
      <c r="FX166" s="54">
        <v>2185403.0</v>
      </c>
      <c r="FY166" s="54">
        <v>2904063.0</v>
      </c>
      <c r="FZ166" s="54">
        <v>30450.0</v>
      </c>
      <c r="GA166" s="54">
        <v>578661.0</v>
      </c>
      <c r="GB166" s="54">
        <v>1016795.0</v>
      </c>
      <c r="GC166" s="54">
        <v>240419.0</v>
      </c>
      <c r="GD166" s="54">
        <v>42766.0</v>
      </c>
      <c r="GE166" s="54">
        <v>499847.0</v>
      </c>
      <c r="GF166" s="55">
        <v>7.8030873E7</v>
      </c>
      <c r="GG166" s="56">
        <v>1.60597197E8</v>
      </c>
      <c r="GH166" s="57">
        <v>0.0</v>
      </c>
      <c r="GI166" s="56">
        <v>0.0</v>
      </c>
      <c r="GJ166" s="56">
        <v>0.0</v>
      </c>
      <c r="GK166" s="56">
        <v>0.0</v>
      </c>
      <c r="GL166" s="56">
        <v>0.0</v>
      </c>
      <c r="GM166" s="56">
        <v>1.6378362E7</v>
      </c>
      <c r="GN166" s="55">
        <v>1.76975559E8</v>
      </c>
      <c r="GO166" s="58">
        <v>2.55006432E8</v>
      </c>
      <c r="GP166" s="56">
        <v>0.0</v>
      </c>
      <c r="GQ166" s="56">
        <v>1.1864036E7</v>
      </c>
      <c r="GR166" s="57">
        <v>-7245881.0</v>
      </c>
      <c r="GS166" s="55">
        <v>4618155.0</v>
      </c>
      <c r="GT166" s="59">
        <v>0.0</v>
      </c>
      <c r="GU166" s="59">
        <v>0.0</v>
      </c>
      <c r="GV166" s="59">
        <v>-3.562957E7</v>
      </c>
      <c r="GW166" s="55">
        <v>-3.562957E7</v>
      </c>
      <c r="GX166" s="55">
        <v>3265506.0</v>
      </c>
      <c r="GY166" s="55">
        <v>2.82752341E8</v>
      </c>
      <c r="GZ166" s="58">
        <v>2.55006432E8</v>
      </c>
    </row>
    <row r="167" ht="15.75" customHeight="1">
      <c r="A167" s="60">
        <v>162.0</v>
      </c>
      <c r="B167" s="61" t="s">
        <v>207</v>
      </c>
      <c r="C167" s="62">
        <v>489.0</v>
      </c>
      <c r="D167" s="62">
        <v>4190.0</v>
      </c>
      <c r="E167" s="62">
        <v>32.0</v>
      </c>
      <c r="F167" s="62">
        <v>1733.0</v>
      </c>
      <c r="G167" s="62">
        <v>73.0</v>
      </c>
      <c r="H167" s="62">
        <v>423.0</v>
      </c>
      <c r="I167" s="62">
        <v>202.0</v>
      </c>
      <c r="J167" s="62">
        <v>111.0</v>
      </c>
      <c r="K167" s="62">
        <v>10.0</v>
      </c>
      <c r="L167" s="62">
        <v>20216.0</v>
      </c>
      <c r="M167" s="62">
        <v>3388.0</v>
      </c>
      <c r="N167" s="62">
        <v>10394.0</v>
      </c>
      <c r="O167" s="62">
        <v>10134.0</v>
      </c>
      <c r="P167" s="62">
        <v>49.0</v>
      </c>
      <c r="Q167" s="62">
        <v>29272.0</v>
      </c>
      <c r="R167" s="62">
        <v>246249.0</v>
      </c>
      <c r="S167" s="62">
        <v>2770.0</v>
      </c>
      <c r="T167" s="62">
        <v>160788.0</v>
      </c>
      <c r="U167" s="62">
        <v>57065.0</v>
      </c>
      <c r="V167" s="62">
        <v>297994.0</v>
      </c>
      <c r="W167" s="62">
        <v>9975.0</v>
      </c>
      <c r="X167" s="62">
        <v>4424.0</v>
      </c>
      <c r="Y167" s="62">
        <v>25410.0</v>
      </c>
      <c r="Z167" s="62">
        <v>34983.0</v>
      </c>
      <c r="AA167" s="62">
        <v>9039.0</v>
      </c>
      <c r="AB167" s="62">
        <v>1310.0</v>
      </c>
      <c r="AC167" s="62">
        <v>48.0</v>
      </c>
      <c r="AD167" s="62">
        <v>1645.0</v>
      </c>
      <c r="AE167" s="62">
        <v>0.0</v>
      </c>
      <c r="AF167" s="62">
        <v>2535.0</v>
      </c>
      <c r="AG167" s="62">
        <v>49021.0</v>
      </c>
      <c r="AH167" s="62">
        <v>15318.0</v>
      </c>
      <c r="AI167" s="62">
        <v>199032.0</v>
      </c>
      <c r="AJ167" s="62">
        <v>31514.0</v>
      </c>
      <c r="AK167" s="62">
        <v>4207.0</v>
      </c>
      <c r="AL167" s="62">
        <v>8818.0</v>
      </c>
      <c r="AM167" s="62">
        <v>5334284.0</v>
      </c>
      <c r="AN167" s="62">
        <v>99332.0</v>
      </c>
      <c r="AO167" s="62">
        <v>610491.0</v>
      </c>
      <c r="AP167" s="62">
        <v>897.0</v>
      </c>
      <c r="AQ167" s="62">
        <v>32824.0</v>
      </c>
      <c r="AR167" s="62">
        <v>1970.0</v>
      </c>
      <c r="AS167" s="62">
        <v>32929.0</v>
      </c>
      <c r="AT167" s="62">
        <v>3425.0</v>
      </c>
      <c r="AU167" s="62">
        <v>27652.0</v>
      </c>
      <c r="AV167" s="62">
        <v>331980.0</v>
      </c>
      <c r="AW167" s="62">
        <v>1487.0</v>
      </c>
      <c r="AX167" s="62">
        <v>484379.0</v>
      </c>
      <c r="AY167" s="62">
        <v>638.0</v>
      </c>
      <c r="AZ167" s="62">
        <v>719.0</v>
      </c>
      <c r="BA167" s="62">
        <v>160461.0</v>
      </c>
      <c r="BB167" s="62">
        <v>134027.0</v>
      </c>
      <c r="BC167" s="62">
        <v>1761.0</v>
      </c>
      <c r="BD167" s="62">
        <v>44.0</v>
      </c>
      <c r="BE167" s="62">
        <v>5481.0</v>
      </c>
      <c r="BF167" s="62">
        <v>16941.0</v>
      </c>
      <c r="BG167" s="62">
        <v>3110.0</v>
      </c>
      <c r="BH167" s="62">
        <v>19492.0</v>
      </c>
      <c r="BI167" s="62">
        <v>4433.0</v>
      </c>
      <c r="BJ167" s="62">
        <v>32905.0</v>
      </c>
      <c r="BK167" s="62">
        <v>4586.0</v>
      </c>
      <c r="BL167" s="62">
        <v>1082.0</v>
      </c>
      <c r="BM167" s="62">
        <v>22.0</v>
      </c>
      <c r="BN167" s="62">
        <v>1899.0</v>
      </c>
      <c r="BO167" s="62">
        <v>6774.0</v>
      </c>
      <c r="BP167" s="62">
        <v>274.0</v>
      </c>
      <c r="BQ167" s="62">
        <v>872.0</v>
      </c>
      <c r="BR167" s="62">
        <v>519.0</v>
      </c>
      <c r="BS167" s="62">
        <v>0.0</v>
      </c>
      <c r="BT167" s="62">
        <v>24484.0</v>
      </c>
      <c r="BU167" s="62">
        <v>40809.0</v>
      </c>
      <c r="BV167" s="62">
        <v>5926.0</v>
      </c>
      <c r="BW167" s="62">
        <v>571.0</v>
      </c>
      <c r="BX167" s="62">
        <v>36625.0</v>
      </c>
      <c r="BY167" s="62">
        <v>224612.0</v>
      </c>
      <c r="BZ167" s="62">
        <v>14974.0</v>
      </c>
      <c r="CA167" s="62">
        <v>171561.0</v>
      </c>
      <c r="CB167" s="62">
        <v>38297.0</v>
      </c>
      <c r="CC167" s="62">
        <v>10929.0</v>
      </c>
      <c r="CD167" s="62">
        <v>8270.0</v>
      </c>
      <c r="CE167" s="62">
        <v>12215.0</v>
      </c>
      <c r="CF167" s="62">
        <v>35697.0</v>
      </c>
      <c r="CG167" s="62">
        <v>18473.0</v>
      </c>
      <c r="CH167" s="62">
        <v>10610.0</v>
      </c>
      <c r="CI167" s="62">
        <v>63286.0</v>
      </c>
      <c r="CJ167" s="62">
        <v>69673.0</v>
      </c>
      <c r="CK167" s="62">
        <v>148343.0</v>
      </c>
      <c r="CL167" s="62">
        <v>84672.0</v>
      </c>
      <c r="CM167" s="62">
        <v>35378.0</v>
      </c>
      <c r="CN167" s="62">
        <v>68900.0</v>
      </c>
      <c r="CO167" s="62">
        <v>83100.0</v>
      </c>
      <c r="CP167" s="62">
        <v>124805.0</v>
      </c>
      <c r="CQ167" s="62">
        <v>3734.0</v>
      </c>
      <c r="CR167" s="62">
        <v>409326.0</v>
      </c>
      <c r="CS167" s="62">
        <v>42318.0</v>
      </c>
      <c r="CT167" s="62">
        <v>309130.0</v>
      </c>
      <c r="CU167" s="62">
        <v>84314.0</v>
      </c>
      <c r="CV167" s="62">
        <v>156806.0</v>
      </c>
      <c r="CW167" s="62">
        <v>78713.0</v>
      </c>
      <c r="CX167" s="62">
        <v>41158.0</v>
      </c>
      <c r="CY167" s="62">
        <v>2801.0</v>
      </c>
      <c r="CZ167" s="62">
        <v>46859.0</v>
      </c>
      <c r="DA167" s="62">
        <v>138261.0</v>
      </c>
      <c r="DB167" s="62">
        <v>52841.0</v>
      </c>
      <c r="DC167" s="62">
        <v>559680.0</v>
      </c>
      <c r="DD167" s="62">
        <v>23343.0</v>
      </c>
      <c r="DE167" s="62">
        <v>11664.0</v>
      </c>
      <c r="DF167" s="62">
        <v>14005.0</v>
      </c>
      <c r="DG167" s="62">
        <v>22006.0</v>
      </c>
      <c r="DH167" s="62">
        <v>43156.0</v>
      </c>
      <c r="DI167" s="62">
        <v>195268.0</v>
      </c>
      <c r="DJ167" s="62">
        <v>242692.0</v>
      </c>
      <c r="DK167" s="62">
        <v>3379777.0</v>
      </c>
      <c r="DL167" s="62">
        <v>333244.0</v>
      </c>
      <c r="DM167" s="62">
        <v>98096.0</v>
      </c>
      <c r="DN167" s="62">
        <v>13356.0</v>
      </c>
      <c r="DO167" s="62">
        <v>52295.0</v>
      </c>
      <c r="DP167" s="62">
        <v>5564.0</v>
      </c>
      <c r="DQ167" s="62">
        <v>72396.0</v>
      </c>
      <c r="DR167" s="62">
        <v>63723.0</v>
      </c>
      <c r="DS167" s="62">
        <v>769516.0</v>
      </c>
      <c r="DT167" s="62">
        <v>119457.0</v>
      </c>
      <c r="DU167" s="62">
        <v>288055.0</v>
      </c>
      <c r="DV167" s="62">
        <v>852603.0</v>
      </c>
      <c r="DW167" s="62">
        <v>547395.0</v>
      </c>
      <c r="DX167" s="62">
        <v>466320.0</v>
      </c>
      <c r="DY167" s="62">
        <v>1580491.0</v>
      </c>
      <c r="DZ167" s="62">
        <v>294418.0</v>
      </c>
      <c r="EA167" s="62">
        <v>33337.0</v>
      </c>
      <c r="EB167" s="62">
        <v>305224.0</v>
      </c>
      <c r="EC167" s="62">
        <v>81833.0</v>
      </c>
      <c r="ED167" s="62">
        <v>69102.0</v>
      </c>
      <c r="EE167" s="62">
        <v>36397.0</v>
      </c>
      <c r="EF167" s="62">
        <v>17013.0</v>
      </c>
      <c r="EG167" s="62">
        <v>46737.0</v>
      </c>
      <c r="EH167" s="62">
        <v>90441.0</v>
      </c>
      <c r="EI167" s="62">
        <v>639019.0</v>
      </c>
      <c r="EJ167" s="62">
        <v>80548.0</v>
      </c>
      <c r="EK167" s="62">
        <v>21951.0</v>
      </c>
      <c r="EL167" s="62">
        <v>22097.0</v>
      </c>
      <c r="EM167" s="62">
        <v>30629.0</v>
      </c>
      <c r="EN167" s="62">
        <v>201313.0</v>
      </c>
      <c r="EO167" s="62">
        <v>1501072.0</v>
      </c>
      <c r="EP167" s="62">
        <v>121858.0</v>
      </c>
      <c r="EQ167" s="62">
        <v>25374.0</v>
      </c>
      <c r="ER167" s="62">
        <v>444.0</v>
      </c>
      <c r="ES167" s="62">
        <v>51951.0</v>
      </c>
      <c r="ET167" s="62">
        <v>52081.0</v>
      </c>
      <c r="EU167" s="62">
        <v>1.9586591E7</v>
      </c>
      <c r="EV167" s="62">
        <v>236361.0</v>
      </c>
      <c r="EW167" s="62">
        <v>408448.0</v>
      </c>
      <c r="EX167" s="62">
        <v>1339329.0</v>
      </c>
      <c r="EY167" s="62">
        <v>1.492519E7</v>
      </c>
      <c r="EZ167" s="62">
        <v>401795.0</v>
      </c>
      <c r="FA167" s="62">
        <v>525991.0</v>
      </c>
      <c r="FB167" s="62">
        <v>1.3649816E7</v>
      </c>
      <c r="FC167" s="62">
        <v>10866.0</v>
      </c>
      <c r="FD167" s="62">
        <v>3.1053708E7</v>
      </c>
      <c r="FE167" s="62">
        <v>1.2046961E7</v>
      </c>
      <c r="FF167" s="62">
        <v>2089447.0</v>
      </c>
      <c r="FG167" s="62">
        <v>2.4661585E7</v>
      </c>
      <c r="FH167" s="62">
        <v>3941613.0</v>
      </c>
      <c r="FI167" s="62">
        <v>187731.0</v>
      </c>
      <c r="FJ167" s="62">
        <v>7222.0</v>
      </c>
      <c r="FK167" s="62">
        <v>43201.0</v>
      </c>
      <c r="FL167" s="62">
        <v>507424.0</v>
      </c>
      <c r="FM167" s="62">
        <v>10929.0</v>
      </c>
      <c r="FN167" s="62">
        <v>126315.0</v>
      </c>
      <c r="FO167" s="62">
        <v>35131.0</v>
      </c>
      <c r="FP167" s="62">
        <v>215374.0</v>
      </c>
      <c r="FQ167" s="62">
        <v>5006.0</v>
      </c>
      <c r="FR167" s="62">
        <v>2.0</v>
      </c>
      <c r="FS167" s="62">
        <v>25611.0</v>
      </c>
      <c r="FT167" s="62">
        <v>240850.0</v>
      </c>
      <c r="FU167" s="62">
        <v>759605.0</v>
      </c>
      <c r="FV167" s="62">
        <v>257009.0</v>
      </c>
      <c r="FW167" s="62">
        <v>487632.0</v>
      </c>
      <c r="FX167" s="62">
        <v>31586.0</v>
      </c>
      <c r="FY167" s="62">
        <v>239059.0</v>
      </c>
      <c r="FZ167" s="62">
        <v>5914.0</v>
      </c>
      <c r="GA167" s="62">
        <v>395810.0</v>
      </c>
      <c r="GB167" s="62">
        <v>240115.0</v>
      </c>
      <c r="GC167" s="62">
        <v>36313.0</v>
      </c>
      <c r="GD167" s="62">
        <v>24766.0</v>
      </c>
      <c r="GE167" s="62">
        <v>128538.0</v>
      </c>
      <c r="GF167" s="63">
        <v>1.53664807E8</v>
      </c>
      <c r="GG167" s="64">
        <v>1.1403728E7</v>
      </c>
      <c r="GH167" s="65">
        <v>0.0</v>
      </c>
      <c r="GI167" s="64">
        <v>0.0</v>
      </c>
      <c r="GJ167" s="64">
        <v>0.0</v>
      </c>
      <c r="GK167" s="64">
        <v>0.0</v>
      </c>
      <c r="GL167" s="64">
        <v>0.0</v>
      </c>
      <c r="GM167" s="64">
        <v>8488226.0</v>
      </c>
      <c r="GN167" s="63">
        <v>1.9891954E7</v>
      </c>
      <c r="GO167" s="66">
        <v>1.73556761E8</v>
      </c>
      <c r="GP167" s="64">
        <v>0.0</v>
      </c>
      <c r="GQ167" s="64">
        <v>9647540.0</v>
      </c>
      <c r="GR167" s="65">
        <v>0.0</v>
      </c>
      <c r="GS167" s="63">
        <v>9647540.0</v>
      </c>
      <c r="GT167" s="67">
        <v>0.0</v>
      </c>
      <c r="GU167" s="67">
        <v>0.0</v>
      </c>
      <c r="GV167" s="67">
        <v>-3.3104991E7</v>
      </c>
      <c r="GW167" s="63">
        <v>-3.3104991E7</v>
      </c>
      <c r="GX167" s="63">
        <v>1078452.0</v>
      </c>
      <c r="GY167" s="63">
        <v>1.9593576E8</v>
      </c>
      <c r="GZ167" s="66">
        <v>1.73556761E8</v>
      </c>
    </row>
    <row r="168" ht="15.75" customHeight="1">
      <c r="A168" s="60">
        <v>163.0</v>
      </c>
      <c r="B168" s="61" t="s">
        <v>208</v>
      </c>
      <c r="C168" s="62">
        <v>99.0</v>
      </c>
      <c r="D168" s="62">
        <v>28.0</v>
      </c>
      <c r="E168" s="62">
        <v>22.0</v>
      </c>
      <c r="F168" s="62">
        <v>19.0</v>
      </c>
      <c r="G168" s="62">
        <v>57.0</v>
      </c>
      <c r="H168" s="62">
        <v>192.0</v>
      </c>
      <c r="I168" s="62">
        <v>75.0</v>
      </c>
      <c r="J168" s="62">
        <v>90.0</v>
      </c>
      <c r="K168" s="62">
        <v>9.0</v>
      </c>
      <c r="L168" s="62">
        <v>241.0</v>
      </c>
      <c r="M168" s="62">
        <v>19.0</v>
      </c>
      <c r="N168" s="62">
        <v>129.0</v>
      </c>
      <c r="O168" s="62">
        <v>265.0</v>
      </c>
      <c r="P168" s="62">
        <v>78.0</v>
      </c>
      <c r="Q168" s="62">
        <v>399.0</v>
      </c>
      <c r="R168" s="62">
        <v>235.0</v>
      </c>
      <c r="S168" s="62">
        <v>25.0</v>
      </c>
      <c r="T168" s="62">
        <v>124.0</v>
      </c>
      <c r="U168" s="62">
        <v>45.0</v>
      </c>
      <c r="V168" s="62">
        <v>47.0</v>
      </c>
      <c r="W168" s="62">
        <v>12.0</v>
      </c>
      <c r="X168" s="62">
        <v>948.0</v>
      </c>
      <c r="Y168" s="62">
        <v>46.0</v>
      </c>
      <c r="Z168" s="62">
        <v>42.0</v>
      </c>
      <c r="AA168" s="62">
        <v>64.0</v>
      </c>
      <c r="AB168" s="62">
        <v>47.0</v>
      </c>
      <c r="AC168" s="62">
        <v>39.0</v>
      </c>
      <c r="AD168" s="62">
        <v>116.0</v>
      </c>
      <c r="AE168" s="62">
        <v>33.0</v>
      </c>
      <c r="AF168" s="62">
        <v>28.0</v>
      </c>
      <c r="AG168" s="62">
        <v>94.0</v>
      </c>
      <c r="AH168" s="62">
        <v>72.0</v>
      </c>
      <c r="AI168" s="62">
        <v>634.0</v>
      </c>
      <c r="AJ168" s="62">
        <v>332.0</v>
      </c>
      <c r="AK168" s="62">
        <v>224.0</v>
      </c>
      <c r="AL168" s="62">
        <v>55.0</v>
      </c>
      <c r="AM168" s="62">
        <v>354.0</v>
      </c>
      <c r="AN168" s="62">
        <v>176.0</v>
      </c>
      <c r="AO168" s="62">
        <v>226.0</v>
      </c>
      <c r="AP168" s="62">
        <v>56.0</v>
      </c>
      <c r="AQ168" s="62">
        <v>91.0</v>
      </c>
      <c r="AR168" s="62">
        <v>101.0</v>
      </c>
      <c r="AS168" s="62">
        <v>70.0</v>
      </c>
      <c r="AT168" s="62">
        <v>31.0</v>
      </c>
      <c r="AU168" s="62">
        <v>31.0</v>
      </c>
      <c r="AV168" s="62">
        <v>109.0</v>
      </c>
      <c r="AW168" s="62">
        <v>138.0</v>
      </c>
      <c r="AX168" s="62">
        <v>359.0</v>
      </c>
      <c r="AY168" s="62">
        <v>58.0</v>
      </c>
      <c r="AZ168" s="62">
        <v>187.0</v>
      </c>
      <c r="BA168" s="62">
        <v>237.0</v>
      </c>
      <c r="BB168" s="62">
        <v>205.0</v>
      </c>
      <c r="BC168" s="62">
        <v>229.0</v>
      </c>
      <c r="BD168" s="62">
        <v>21.0</v>
      </c>
      <c r="BE168" s="62">
        <v>41.0</v>
      </c>
      <c r="BF168" s="62">
        <v>144.0</v>
      </c>
      <c r="BG168" s="62">
        <v>100.0</v>
      </c>
      <c r="BH168" s="62">
        <v>1601.0</v>
      </c>
      <c r="BI168" s="62">
        <v>32.0</v>
      </c>
      <c r="BJ168" s="62">
        <v>278.0</v>
      </c>
      <c r="BK168" s="62">
        <v>187.0</v>
      </c>
      <c r="BL168" s="62">
        <v>94.0</v>
      </c>
      <c r="BM168" s="62">
        <v>14.0</v>
      </c>
      <c r="BN168" s="62">
        <v>0.0</v>
      </c>
      <c r="BO168" s="62">
        <v>98.0</v>
      </c>
      <c r="BP168" s="62">
        <v>196.0</v>
      </c>
      <c r="BQ168" s="62">
        <v>0.0</v>
      </c>
      <c r="BR168" s="62">
        <v>51.0</v>
      </c>
      <c r="BS168" s="62">
        <v>0.0</v>
      </c>
      <c r="BT168" s="62">
        <v>789.0</v>
      </c>
      <c r="BU168" s="62">
        <v>1671.0</v>
      </c>
      <c r="BV168" s="62">
        <v>118.0</v>
      </c>
      <c r="BW168" s="62">
        <v>12.0</v>
      </c>
      <c r="BX168" s="62">
        <v>221.0</v>
      </c>
      <c r="BY168" s="62">
        <v>369.0</v>
      </c>
      <c r="BZ168" s="62">
        <v>25.0</v>
      </c>
      <c r="CA168" s="62">
        <v>1728.0</v>
      </c>
      <c r="CB168" s="62">
        <v>927.0</v>
      </c>
      <c r="CC168" s="62">
        <v>122.0</v>
      </c>
      <c r="CD168" s="62">
        <v>93.0</v>
      </c>
      <c r="CE168" s="62">
        <v>136.0</v>
      </c>
      <c r="CF168" s="62">
        <v>393.0</v>
      </c>
      <c r="CG168" s="62">
        <v>1313.0</v>
      </c>
      <c r="CH168" s="62">
        <v>13186.0</v>
      </c>
      <c r="CI168" s="62">
        <v>83820.0</v>
      </c>
      <c r="CJ168" s="62">
        <v>20.0</v>
      </c>
      <c r="CK168" s="62">
        <v>44.0</v>
      </c>
      <c r="CL168" s="62">
        <v>25.0</v>
      </c>
      <c r="CM168" s="62">
        <v>242.0</v>
      </c>
      <c r="CN168" s="62">
        <v>16183.0</v>
      </c>
      <c r="CO168" s="62">
        <v>22884.0</v>
      </c>
      <c r="CP168" s="62">
        <v>35829.0</v>
      </c>
      <c r="CQ168" s="62">
        <v>18583.0</v>
      </c>
      <c r="CR168" s="62">
        <v>7779.0</v>
      </c>
      <c r="CS168" s="62">
        <v>0.0</v>
      </c>
      <c r="CT168" s="62">
        <v>90593.0</v>
      </c>
      <c r="CU168" s="62">
        <v>8995.0</v>
      </c>
      <c r="CV168" s="62">
        <v>16804.0</v>
      </c>
      <c r="CW168" s="62">
        <v>1827.0</v>
      </c>
      <c r="CX168" s="62">
        <v>4405.0</v>
      </c>
      <c r="CY168" s="62">
        <v>300.0</v>
      </c>
      <c r="CZ168" s="62">
        <v>5487.0</v>
      </c>
      <c r="DA168" s="62">
        <v>6138.0</v>
      </c>
      <c r="DB168" s="62">
        <v>6825.0</v>
      </c>
      <c r="DC168" s="62">
        <v>7699.0</v>
      </c>
      <c r="DD168" s="62">
        <v>2376.0</v>
      </c>
      <c r="DE168" s="62">
        <v>3844.0</v>
      </c>
      <c r="DF168" s="62">
        <v>4616.0</v>
      </c>
      <c r="DG168" s="62">
        <v>1313.0</v>
      </c>
      <c r="DH168" s="62">
        <v>12713.0</v>
      </c>
      <c r="DI168" s="62">
        <v>8783.0</v>
      </c>
      <c r="DJ168" s="62">
        <v>4289.0</v>
      </c>
      <c r="DK168" s="62">
        <v>5344.0</v>
      </c>
      <c r="DL168" s="62">
        <v>87.0</v>
      </c>
      <c r="DM168" s="62">
        <v>32.0</v>
      </c>
      <c r="DN168" s="62">
        <v>42.0</v>
      </c>
      <c r="DO168" s="62">
        <v>259.0</v>
      </c>
      <c r="DP168" s="62">
        <v>27.0</v>
      </c>
      <c r="DQ168" s="62">
        <v>333.0</v>
      </c>
      <c r="DR168" s="62">
        <v>359.0</v>
      </c>
      <c r="DS168" s="62">
        <v>705.0</v>
      </c>
      <c r="DT168" s="62">
        <v>2078.0</v>
      </c>
      <c r="DU168" s="62">
        <v>45.0</v>
      </c>
      <c r="DV168" s="62">
        <v>134.0</v>
      </c>
      <c r="DW168" s="62">
        <v>86.0</v>
      </c>
      <c r="DX168" s="62">
        <v>92.0</v>
      </c>
      <c r="DY168" s="62">
        <v>251.0</v>
      </c>
      <c r="DZ168" s="62">
        <v>172.0</v>
      </c>
      <c r="EA168" s="62">
        <v>17.0</v>
      </c>
      <c r="EB168" s="62">
        <v>158.0</v>
      </c>
      <c r="EC168" s="62">
        <v>490.0</v>
      </c>
      <c r="ED168" s="62">
        <v>126.0</v>
      </c>
      <c r="EE168" s="62">
        <v>67.0</v>
      </c>
      <c r="EF168" s="62">
        <v>354.0</v>
      </c>
      <c r="EG168" s="62">
        <v>264.0</v>
      </c>
      <c r="EH168" s="62">
        <v>848.0</v>
      </c>
      <c r="EI168" s="62">
        <v>1375.0</v>
      </c>
      <c r="EJ168" s="62">
        <v>6459.0</v>
      </c>
      <c r="EK168" s="62">
        <v>124.0</v>
      </c>
      <c r="EL168" s="62">
        <v>355.0</v>
      </c>
      <c r="EM168" s="62">
        <v>197.0</v>
      </c>
      <c r="EN168" s="62">
        <v>372.0</v>
      </c>
      <c r="EO168" s="62">
        <v>695.0</v>
      </c>
      <c r="EP168" s="62">
        <v>74.0</v>
      </c>
      <c r="EQ168" s="62">
        <v>620.0</v>
      </c>
      <c r="ER168" s="62">
        <v>263.0</v>
      </c>
      <c r="ES168" s="62">
        <v>917.0</v>
      </c>
      <c r="ET168" s="62">
        <v>9887.0</v>
      </c>
      <c r="EU168" s="62">
        <v>310818.0</v>
      </c>
      <c r="EV168" s="62">
        <v>6929.0</v>
      </c>
      <c r="EW168" s="62">
        <v>3748.0</v>
      </c>
      <c r="EX168" s="62">
        <v>32066.0</v>
      </c>
      <c r="EY168" s="62">
        <v>115922.0</v>
      </c>
      <c r="EZ168" s="62">
        <v>108376.0</v>
      </c>
      <c r="FA168" s="62">
        <v>98353.0</v>
      </c>
      <c r="FB168" s="62">
        <v>1402705.0</v>
      </c>
      <c r="FC168" s="62">
        <v>528.0</v>
      </c>
      <c r="FD168" s="62">
        <v>22828.0</v>
      </c>
      <c r="FE168" s="62">
        <v>1019.0</v>
      </c>
      <c r="FF168" s="62">
        <v>1254.0</v>
      </c>
      <c r="FG168" s="62">
        <v>155863.0</v>
      </c>
      <c r="FH168" s="62">
        <v>139362.0</v>
      </c>
      <c r="FI168" s="62">
        <v>5717.0</v>
      </c>
      <c r="FJ168" s="62">
        <v>43.0</v>
      </c>
      <c r="FK168" s="62">
        <v>4090.0</v>
      </c>
      <c r="FL168" s="62">
        <v>665994.0</v>
      </c>
      <c r="FM168" s="62">
        <v>4915.0</v>
      </c>
      <c r="FN168" s="62">
        <v>22807.0</v>
      </c>
      <c r="FO168" s="62">
        <v>18994.0</v>
      </c>
      <c r="FP168" s="62">
        <v>23368.0</v>
      </c>
      <c r="FQ168" s="62">
        <v>2007.0</v>
      </c>
      <c r="FR168" s="62">
        <v>3.0</v>
      </c>
      <c r="FS168" s="62">
        <v>5003.0</v>
      </c>
      <c r="FT168" s="62">
        <v>7282.0</v>
      </c>
      <c r="FU168" s="62">
        <v>51600.0</v>
      </c>
      <c r="FV168" s="62">
        <v>111933.0</v>
      </c>
      <c r="FW168" s="62">
        <v>3383448.0</v>
      </c>
      <c r="FX168" s="62">
        <v>842088.0</v>
      </c>
      <c r="FY168" s="62">
        <v>825320.0</v>
      </c>
      <c r="FZ168" s="62">
        <v>4546.0</v>
      </c>
      <c r="GA168" s="62">
        <v>1700.0</v>
      </c>
      <c r="GB168" s="62">
        <v>2074.0</v>
      </c>
      <c r="GC168" s="62">
        <v>622.0</v>
      </c>
      <c r="GD168" s="62">
        <v>89.0</v>
      </c>
      <c r="GE168" s="62">
        <v>41048.0</v>
      </c>
      <c r="GF168" s="63">
        <v>8862188.0</v>
      </c>
      <c r="GG168" s="64">
        <v>2.0763253E7</v>
      </c>
      <c r="GH168" s="65">
        <v>0.0</v>
      </c>
      <c r="GI168" s="64">
        <v>0.0</v>
      </c>
      <c r="GJ168" s="64">
        <v>0.0</v>
      </c>
      <c r="GK168" s="64">
        <v>0.0</v>
      </c>
      <c r="GL168" s="64">
        <v>42.0</v>
      </c>
      <c r="GM168" s="64">
        <v>847940.0</v>
      </c>
      <c r="GN168" s="63">
        <v>2.1611235E7</v>
      </c>
      <c r="GO168" s="66">
        <v>3.0473423E7</v>
      </c>
      <c r="GP168" s="64">
        <v>231.0</v>
      </c>
      <c r="GQ168" s="64">
        <v>4892.0</v>
      </c>
      <c r="GR168" s="65">
        <v>0.0</v>
      </c>
      <c r="GS168" s="63">
        <v>5123.0</v>
      </c>
      <c r="GT168" s="67">
        <v>0.0</v>
      </c>
      <c r="GU168" s="67">
        <v>37606.0</v>
      </c>
      <c r="GV168" s="67">
        <v>-3.6074278E7</v>
      </c>
      <c r="GW168" s="63">
        <v>-3.6036672E7</v>
      </c>
      <c r="GX168" s="63">
        <v>422190.0</v>
      </c>
      <c r="GY168" s="63">
        <v>6.6082782E7</v>
      </c>
      <c r="GZ168" s="66">
        <v>3.0473423E7</v>
      </c>
    </row>
    <row r="169" ht="15.75" customHeight="1">
      <c r="A169" s="60">
        <v>164.0</v>
      </c>
      <c r="B169" s="61" t="s">
        <v>209</v>
      </c>
      <c r="C169" s="62">
        <v>0.0</v>
      </c>
      <c r="D169" s="62">
        <v>0.0</v>
      </c>
      <c r="E169" s="62">
        <v>0.0</v>
      </c>
      <c r="F169" s="62">
        <v>0.0</v>
      </c>
      <c r="G169" s="62">
        <v>0.0</v>
      </c>
      <c r="H169" s="62">
        <v>0.0</v>
      </c>
      <c r="I169" s="62">
        <v>0.0</v>
      </c>
      <c r="J169" s="62">
        <v>0.0</v>
      </c>
      <c r="K169" s="62">
        <v>0.0</v>
      </c>
      <c r="L169" s="62">
        <v>7202.0</v>
      </c>
      <c r="M169" s="62">
        <v>105.0</v>
      </c>
      <c r="N169" s="62">
        <v>149.0</v>
      </c>
      <c r="O169" s="62">
        <v>1711.0</v>
      </c>
      <c r="P169" s="62">
        <v>26.0</v>
      </c>
      <c r="Q169" s="62">
        <v>605.0</v>
      </c>
      <c r="R169" s="62">
        <v>8311.0</v>
      </c>
      <c r="S169" s="62">
        <v>299.0</v>
      </c>
      <c r="T169" s="62">
        <v>208.0</v>
      </c>
      <c r="U169" s="62">
        <v>103.0</v>
      </c>
      <c r="V169" s="62">
        <v>4456.0</v>
      </c>
      <c r="W169" s="62">
        <v>90.0</v>
      </c>
      <c r="X169" s="62">
        <v>0.0</v>
      </c>
      <c r="Y169" s="62">
        <v>644.0</v>
      </c>
      <c r="Z169" s="62">
        <v>592.0</v>
      </c>
      <c r="AA169" s="62">
        <v>276.0</v>
      </c>
      <c r="AB169" s="62">
        <v>93.0</v>
      </c>
      <c r="AC169" s="62">
        <v>16.0</v>
      </c>
      <c r="AD169" s="62">
        <v>254.0</v>
      </c>
      <c r="AE169" s="62">
        <v>0.0</v>
      </c>
      <c r="AF169" s="62">
        <v>830.0</v>
      </c>
      <c r="AG169" s="62">
        <v>3797.0</v>
      </c>
      <c r="AH169" s="62">
        <v>1082.0</v>
      </c>
      <c r="AI169" s="62">
        <v>488.0</v>
      </c>
      <c r="AJ169" s="62">
        <v>204.0</v>
      </c>
      <c r="AK169" s="62">
        <v>158.0</v>
      </c>
      <c r="AL169" s="62">
        <v>113.0</v>
      </c>
      <c r="AM169" s="62">
        <v>196818.0</v>
      </c>
      <c r="AN169" s="62">
        <v>49699.0</v>
      </c>
      <c r="AO169" s="62">
        <v>35130.0</v>
      </c>
      <c r="AP169" s="62">
        <v>100.0</v>
      </c>
      <c r="AQ169" s="62">
        <v>1121.0</v>
      </c>
      <c r="AR169" s="62">
        <v>2120.0</v>
      </c>
      <c r="AS169" s="62">
        <v>15414.0</v>
      </c>
      <c r="AT169" s="62">
        <v>3380.0</v>
      </c>
      <c r="AU169" s="62">
        <v>740.0</v>
      </c>
      <c r="AV169" s="62">
        <v>6266.0</v>
      </c>
      <c r="AW169" s="62">
        <v>274.0</v>
      </c>
      <c r="AX169" s="62">
        <v>65078.0</v>
      </c>
      <c r="AY169" s="62">
        <v>20192.0</v>
      </c>
      <c r="AZ169" s="62">
        <v>166.0</v>
      </c>
      <c r="BA169" s="62">
        <v>246917.0</v>
      </c>
      <c r="BB169" s="62">
        <v>187418.0</v>
      </c>
      <c r="BC169" s="62">
        <v>19869.0</v>
      </c>
      <c r="BD169" s="62">
        <v>455.0</v>
      </c>
      <c r="BE169" s="62">
        <v>6242.0</v>
      </c>
      <c r="BF169" s="62">
        <v>21529.0</v>
      </c>
      <c r="BG169" s="62">
        <v>49650.0</v>
      </c>
      <c r="BH169" s="62">
        <v>163620.0</v>
      </c>
      <c r="BI169" s="62">
        <v>5294.0</v>
      </c>
      <c r="BJ169" s="62">
        <v>197351.0</v>
      </c>
      <c r="BK169" s="62">
        <v>9055.0</v>
      </c>
      <c r="BL169" s="62">
        <v>2798.0</v>
      </c>
      <c r="BM169" s="62">
        <v>115.0</v>
      </c>
      <c r="BN169" s="62">
        <v>2486.0</v>
      </c>
      <c r="BO169" s="62">
        <v>110077.0</v>
      </c>
      <c r="BP169" s="62">
        <v>16960.0</v>
      </c>
      <c r="BQ169" s="62">
        <v>79241.0</v>
      </c>
      <c r="BR169" s="62">
        <v>1290.0</v>
      </c>
      <c r="BS169" s="62">
        <v>3565.0</v>
      </c>
      <c r="BT169" s="62">
        <v>134657.0</v>
      </c>
      <c r="BU169" s="62">
        <v>111641.0</v>
      </c>
      <c r="BV169" s="62">
        <v>71828.0</v>
      </c>
      <c r="BW169" s="62">
        <v>2172.0</v>
      </c>
      <c r="BX169" s="62">
        <v>105891.0</v>
      </c>
      <c r="BY169" s="62">
        <v>458230.0</v>
      </c>
      <c r="BZ169" s="62">
        <v>30547.0</v>
      </c>
      <c r="CA169" s="62">
        <v>62212.0</v>
      </c>
      <c r="CB169" s="62">
        <v>31769.0</v>
      </c>
      <c r="CC169" s="62">
        <v>1165.0</v>
      </c>
      <c r="CD169" s="62">
        <v>4813.0</v>
      </c>
      <c r="CE169" s="62">
        <v>1301.0</v>
      </c>
      <c r="CF169" s="62">
        <v>12327.0</v>
      </c>
      <c r="CG169" s="62">
        <v>6277.0</v>
      </c>
      <c r="CH169" s="62">
        <v>36319.0</v>
      </c>
      <c r="CI169" s="62">
        <v>130239.0</v>
      </c>
      <c r="CJ169" s="62">
        <v>16605.0</v>
      </c>
      <c r="CK169" s="62">
        <v>35353.0</v>
      </c>
      <c r="CL169" s="62">
        <v>20179.0</v>
      </c>
      <c r="CM169" s="62">
        <v>11869.0</v>
      </c>
      <c r="CN169" s="62">
        <v>65701.0</v>
      </c>
      <c r="CO169" s="62">
        <v>78887.0</v>
      </c>
      <c r="CP169" s="62">
        <v>119399.0</v>
      </c>
      <c r="CQ169" s="62">
        <v>63326.0</v>
      </c>
      <c r="CR169" s="62">
        <v>33965.0</v>
      </c>
      <c r="CS169" s="62">
        <v>11873.0</v>
      </c>
      <c r="CT169" s="62">
        <v>101847.0</v>
      </c>
      <c r="CU169" s="62">
        <v>94251.0</v>
      </c>
      <c r="CV169" s="62">
        <v>176518.0</v>
      </c>
      <c r="CW169" s="62">
        <v>47865.0</v>
      </c>
      <c r="CX169" s="62">
        <v>46304.0</v>
      </c>
      <c r="CY169" s="62">
        <v>3152.0</v>
      </c>
      <c r="CZ169" s="62">
        <v>55569.0</v>
      </c>
      <c r="DA169" s="62">
        <v>85567.0</v>
      </c>
      <c r="DB169" s="62">
        <v>62084.0</v>
      </c>
      <c r="DC169" s="62">
        <v>243379.0</v>
      </c>
      <c r="DD169" s="62">
        <v>127211.0</v>
      </c>
      <c r="DE169" s="62">
        <v>26421.0</v>
      </c>
      <c r="DF169" s="62">
        <v>31724.0</v>
      </c>
      <c r="DG169" s="62">
        <v>6782.0</v>
      </c>
      <c r="DH169" s="62">
        <v>90273.0</v>
      </c>
      <c r="DI169" s="62">
        <v>75621.0</v>
      </c>
      <c r="DJ169" s="62">
        <v>18470.0</v>
      </c>
      <c r="DK169" s="62">
        <v>22864.0</v>
      </c>
      <c r="DL169" s="62">
        <v>48405.0</v>
      </c>
      <c r="DM169" s="62">
        <v>17711.0</v>
      </c>
      <c r="DN169" s="62">
        <v>2299.0</v>
      </c>
      <c r="DO169" s="62">
        <v>56834.0</v>
      </c>
      <c r="DP169" s="62">
        <v>5954.0</v>
      </c>
      <c r="DQ169" s="62">
        <v>31805.0</v>
      </c>
      <c r="DR169" s="62">
        <v>84683.0</v>
      </c>
      <c r="DS169" s="62">
        <v>121330.0</v>
      </c>
      <c r="DT169" s="62">
        <v>29597.0</v>
      </c>
      <c r="DU169" s="62">
        <v>2797.0</v>
      </c>
      <c r="DV169" s="62">
        <v>3199.0</v>
      </c>
      <c r="DW169" s="62">
        <v>2121.0</v>
      </c>
      <c r="DX169" s="62">
        <v>4700.0</v>
      </c>
      <c r="DY169" s="62">
        <v>31.0</v>
      </c>
      <c r="DZ169" s="62">
        <v>209751.0</v>
      </c>
      <c r="EA169" s="62">
        <v>22807.0</v>
      </c>
      <c r="EB169" s="62">
        <v>204496.0</v>
      </c>
      <c r="EC169" s="62">
        <v>263495.0</v>
      </c>
      <c r="ED169" s="62">
        <v>23097.0</v>
      </c>
      <c r="EE169" s="62">
        <v>41272.0</v>
      </c>
      <c r="EF169" s="62">
        <v>14304.0</v>
      </c>
      <c r="EG169" s="62">
        <v>34750.0</v>
      </c>
      <c r="EH169" s="62">
        <v>437636.0</v>
      </c>
      <c r="EI169" s="62">
        <v>597723.0</v>
      </c>
      <c r="EJ169" s="62">
        <v>43185.0</v>
      </c>
      <c r="EK169" s="62">
        <v>3605.0</v>
      </c>
      <c r="EL169" s="62">
        <v>9247.0</v>
      </c>
      <c r="EM169" s="62">
        <v>4534.0</v>
      </c>
      <c r="EN169" s="62">
        <v>139088.0</v>
      </c>
      <c r="EO169" s="62">
        <v>26880.0</v>
      </c>
      <c r="EP169" s="62">
        <v>18013.0</v>
      </c>
      <c r="EQ169" s="62">
        <v>67326.0</v>
      </c>
      <c r="ER169" s="62">
        <v>1765.0</v>
      </c>
      <c r="ES169" s="62">
        <v>43112.0</v>
      </c>
      <c r="ET169" s="62">
        <v>31760.0</v>
      </c>
      <c r="EU169" s="62">
        <v>2415751.0</v>
      </c>
      <c r="EV169" s="62">
        <v>18269.0</v>
      </c>
      <c r="EW169" s="62">
        <v>12951.0</v>
      </c>
      <c r="EX169" s="62">
        <v>48499.0</v>
      </c>
      <c r="EY169" s="62">
        <v>209415.0</v>
      </c>
      <c r="EZ169" s="62">
        <v>433723.0</v>
      </c>
      <c r="FA169" s="62">
        <v>197653.0</v>
      </c>
      <c r="FB169" s="62">
        <v>4099670.0</v>
      </c>
      <c r="FC169" s="62">
        <v>6746.0</v>
      </c>
      <c r="FD169" s="62">
        <v>2448864.0</v>
      </c>
      <c r="FE169" s="62">
        <v>312042.0</v>
      </c>
      <c r="FF169" s="62">
        <v>104040.0</v>
      </c>
      <c r="FG169" s="62">
        <v>2205909.0</v>
      </c>
      <c r="FH169" s="62">
        <v>391157.0</v>
      </c>
      <c r="FI169" s="62">
        <v>74775.0</v>
      </c>
      <c r="FJ169" s="62">
        <v>14638.0</v>
      </c>
      <c r="FK169" s="62">
        <v>20275.0</v>
      </c>
      <c r="FL169" s="62">
        <v>748556.0</v>
      </c>
      <c r="FM169" s="62">
        <v>49116.0</v>
      </c>
      <c r="FN169" s="62">
        <v>400227.0</v>
      </c>
      <c r="FO169" s="62">
        <v>166669.0</v>
      </c>
      <c r="FP169" s="62">
        <v>574093.0</v>
      </c>
      <c r="FQ169" s="62">
        <v>206751.0</v>
      </c>
      <c r="FR169" s="62">
        <v>56.0</v>
      </c>
      <c r="FS169" s="62">
        <v>289572.0</v>
      </c>
      <c r="FT169" s="62">
        <v>1092041.0</v>
      </c>
      <c r="FU169" s="62">
        <v>1531034.0</v>
      </c>
      <c r="FV169" s="62">
        <v>784430.0</v>
      </c>
      <c r="FW169" s="62">
        <v>2.3607432E7</v>
      </c>
      <c r="FX169" s="62">
        <v>1.2267867E7</v>
      </c>
      <c r="FY169" s="62">
        <v>4319699.0</v>
      </c>
      <c r="FZ169" s="62">
        <v>89922.0</v>
      </c>
      <c r="GA169" s="62">
        <v>972369.0</v>
      </c>
      <c r="GB169" s="62">
        <v>1486811.0</v>
      </c>
      <c r="GC169" s="62">
        <v>614958.0</v>
      </c>
      <c r="GD169" s="62">
        <v>8632.0</v>
      </c>
      <c r="GE169" s="62">
        <v>6621218.0</v>
      </c>
      <c r="GF169" s="63">
        <v>7.6021831E7</v>
      </c>
      <c r="GG169" s="64">
        <v>5.3964208E7</v>
      </c>
      <c r="GH169" s="65">
        <v>0.0</v>
      </c>
      <c r="GI169" s="64">
        <v>0.0</v>
      </c>
      <c r="GJ169" s="64">
        <v>0.0</v>
      </c>
      <c r="GK169" s="64">
        <v>0.0</v>
      </c>
      <c r="GL169" s="64">
        <v>0.0</v>
      </c>
      <c r="GM169" s="64">
        <v>2.0854821E7</v>
      </c>
      <c r="GN169" s="63">
        <v>7.4819029E7</v>
      </c>
      <c r="GO169" s="66">
        <v>1.5084086E8</v>
      </c>
      <c r="GP169" s="64">
        <v>0.0</v>
      </c>
      <c r="GQ169" s="64">
        <v>8516649.0</v>
      </c>
      <c r="GR169" s="65">
        <v>0.0</v>
      </c>
      <c r="GS169" s="63">
        <v>8516649.0</v>
      </c>
      <c r="GT169" s="67">
        <v>0.0</v>
      </c>
      <c r="GU169" s="67">
        <v>0.0</v>
      </c>
      <c r="GV169" s="67">
        <v>0.0</v>
      </c>
      <c r="GW169" s="63">
        <v>0.0</v>
      </c>
      <c r="GX169" s="63">
        <v>3239350.0</v>
      </c>
      <c r="GY169" s="63">
        <v>1.39084861E8</v>
      </c>
      <c r="GZ169" s="66">
        <v>1.5084086E8</v>
      </c>
    </row>
    <row r="170" ht="15.75" customHeight="1">
      <c r="A170" s="68">
        <v>165.0</v>
      </c>
      <c r="B170" s="69" t="s">
        <v>210</v>
      </c>
      <c r="C170" s="70">
        <v>14109.0</v>
      </c>
      <c r="D170" s="70">
        <v>217.0</v>
      </c>
      <c r="E170" s="70">
        <v>35.0</v>
      </c>
      <c r="F170" s="70">
        <v>552.0</v>
      </c>
      <c r="G170" s="70">
        <v>88.0</v>
      </c>
      <c r="H170" s="70">
        <v>487.0</v>
      </c>
      <c r="I170" s="70">
        <v>979.0</v>
      </c>
      <c r="J170" s="70">
        <v>332.0</v>
      </c>
      <c r="K170" s="70">
        <v>10.0</v>
      </c>
      <c r="L170" s="70">
        <v>17838.0</v>
      </c>
      <c r="M170" s="70">
        <v>5649.0</v>
      </c>
      <c r="N170" s="70">
        <v>3339.0</v>
      </c>
      <c r="O170" s="70">
        <v>7291.0</v>
      </c>
      <c r="P170" s="70">
        <v>19.0</v>
      </c>
      <c r="Q170" s="70">
        <v>7246.0</v>
      </c>
      <c r="R170" s="70">
        <v>2020.0</v>
      </c>
      <c r="S170" s="70">
        <v>416.0</v>
      </c>
      <c r="T170" s="70">
        <v>42703.0</v>
      </c>
      <c r="U170" s="70">
        <v>738.0</v>
      </c>
      <c r="V170" s="70">
        <v>19311.0</v>
      </c>
      <c r="W170" s="70">
        <v>494.0</v>
      </c>
      <c r="X170" s="70">
        <v>4467.0</v>
      </c>
      <c r="Y170" s="70">
        <v>1556.0</v>
      </c>
      <c r="Z170" s="70">
        <v>1247.0</v>
      </c>
      <c r="AA170" s="70">
        <v>2837.0</v>
      </c>
      <c r="AB170" s="70">
        <v>19268.0</v>
      </c>
      <c r="AC170" s="70">
        <v>2895.0</v>
      </c>
      <c r="AD170" s="70">
        <v>30509.0</v>
      </c>
      <c r="AE170" s="70">
        <v>8066.0</v>
      </c>
      <c r="AF170" s="70">
        <v>23913.0</v>
      </c>
      <c r="AG170" s="70">
        <v>60573.0</v>
      </c>
      <c r="AH170" s="70">
        <v>14288.0</v>
      </c>
      <c r="AI170" s="70">
        <v>502798.0</v>
      </c>
      <c r="AJ170" s="70">
        <v>8303.0</v>
      </c>
      <c r="AK170" s="70">
        <v>2696.0</v>
      </c>
      <c r="AL170" s="70">
        <v>1280.0</v>
      </c>
      <c r="AM170" s="70">
        <v>438.0</v>
      </c>
      <c r="AN170" s="70">
        <v>276034.0</v>
      </c>
      <c r="AO170" s="70">
        <v>27464.0</v>
      </c>
      <c r="AP170" s="70">
        <v>59.0</v>
      </c>
      <c r="AQ170" s="70">
        <v>6604.0</v>
      </c>
      <c r="AR170" s="70">
        <v>905.0</v>
      </c>
      <c r="AS170" s="70">
        <v>47600.0</v>
      </c>
      <c r="AT170" s="70">
        <v>2753.0</v>
      </c>
      <c r="AU170" s="70">
        <v>31082.0</v>
      </c>
      <c r="AV170" s="70">
        <v>98033.0</v>
      </c>
      <c r="AW170" s="70">
        <v>8729.0</v>
      </c>
      <c r="AX170" s="70">
        <v>433971.0</v>
      </c>
      <c r="AY170" s="70">
        <v>421.0</v>
      </c>
      <c r="AZ170" s="70">
        <v>9750.0</v>
      </c>
      <c r="BA170" s="70">
        <v>22518.0</v>
      </c>
      <c r="BB170" s="70">
        <v>29291.0</v>
      </c>
      <c r="BC170" s="70">
        <v>25617.0</v>
      </c>
      <c r="BD170" s="70">
        <v>2939.0</v>
      </c>
      <c r="BE170" s="70">
        <v>26.0</v>
      </c>
      <c r="BF170" s="70">
        <v>113.0</v>
      </c>
      <c r="BG170" s="70">
        <v>23274.0</v>
      </c>
      <c r="BH170" s="70">
        <v>99147.0</v>
      </c>
      <c r="BI170" s="70">
        <v>125.0</v>
      </c>
      <c r="BJ170" s="70">
        <v>4439.0</v>
      </c>
      <c r="BK170" s="70">
        <v>271.0</v>
      </c>
      <c r="BL170" s="70">
        <v>15.0</v>
      </c>
      <c r="BM170" s="70">
        <v>13.0</v>
      </c>
      <c r="BN170" s="70">
        <v>0.0</v>
      </c>
      <c r="BO170" s="70">
        <v>379.0</v>
      </c>
      <c r="BP170" s="70">
        <v>65.0</v>
      </c>
      <c r="BQ170" s="70">
        <v>53.0</v>
      </c>
      <c r="BR170" s="70">
        <v>78.0</v>
      </c>
      <c r="BS170" s="70">
        <v>154.0</v>
      </c>
      <c r="BT170" s="70">
        <v>16170.0</v>
      </c>
      <c r="BU170" s="70">
        <v>22833.0</v>
      </c>
      <c r="BV170" s="70">
        <v>0.0</v>
      </c>
      <c r="BW170" s="70">
        <v>887.0</v>
      </c>
      <c r="BX170" s="70">
        <v>17496.0</v>
      </c>
      <c r="BY170" s="70">
        <v>285332.0</v>
      </c>
      <c r="BZ170" s="70">
        <v>28309.0</v>
      </c>
      <c r="CA170" s="70">
        <v>22077.0</v>
      </c>
      <c r="CB170" s="70">
        <v>11884.0</v>
      </c>
      <c r="CC170" s="70">
        <v>37884.0</v>
      </c>
      <c r="CD170" s="70">
        <v>1433.0</v>
      </c>
      <c r="CE170" s="70">
        <v>23644.0</v>
      </c>
      <c r="CF170" s="70">
        <v>14813.0</v>
      </c>
      <c r="CG170" s="70">
        <v>14127.0</v>
      </c>
      <c r="CH170" s="70">
        <v>12091.0</v>
      </c>
      <c r="CI170" s="70">
        <v>25732.0</v>
      </c>
      <c r="CJ170" s="70">
        <v>45795.0</v>
      </c>
      <c r="CK170" s="70">
        <v>97504.0</v>
      </c>
      <c r="CL170" s="70">
        <v>55654.0</v>
      </c>
      <c r="CM170" s="70">
        <v>20326.0</v>
      </c>
      <c r="CN170" s="70">
        <v>29692.0</v>
      </c>
      <c r="CO170" s="70">
        <v>36089.0</v>
      </c>
      <c r="CP170" s="70">
        <v>54488.0</v>
      </c>
      <c r="CQ170" s="70">
        <v>275197.0</v>
      </c>
      <c r="CR170" s="70">
        <v>208338.0</v>
      </c>
      <c r="CS170" s="70">
        <v>365078.0</v>
      </c>
      <c r="CT170" s="70">
        <v>34512.0</v>
      </c>
      <c r="CU170" s="70">
        <v>10973.0</v>
      </c>
      <c r="CV170" s="70">
        <v>66309.0</v>
      </c>
      <c r="CW170" s="70">
        <v>2234.0</v>
      </c>
      <c r="CX170" s="70">
        <v>11283.0</v>
      </c>
      <c r="CY170" s="70">
        <v>2797.0</v>
      </c>
      <c r="CZ170" s="70">
        <v>8434.0</v>
      </c>
      <c r="DA170" s="70">
        <v>320576.0</v>
      </c>
      <c r="DB170" s="70">
        <v>8988.0</v>
      </c>
      <c r="DC170" s="70">
        <v>669294.0</v>
      </c>
      <c r="DD170" s="70">
        <v>2905.0</v>
      </c>
      <c r="DE170" s="70">
        <v>24815.0</v>
      </c>
      <c r="DF170" s="70">
        <v>23483.0</v>
      </c>
      <c r="DG170" s="70">
        <v>4952.0</v>
      </c>
      <c r="DH170" s="70">
        <v>72605.0</v>
      </c>
      <c r="DI170" s="70">
        <v>226311.0</v>
      </c>
      <c r="DJ170" s="70">
        <v>27297.0</v>
      </c>
      <c r="DK170" s="70">
        <v>40127.0</v>
      </c>
      <c r="DL170" s="70">
        <v>77596.0</v>
      </c>
      <c r="DM170" s="70">
        <v>39122.0</v>
      </c>
      <c r="DN170" s="70">
        <v>6483.0</v>
      </c>
      <c r="DO170" s="70">
        <v>631799.0</v>
      </c>
      <c r="DP170" s="70">
        <v>1525.0</v>
      </c>
      <c r="DQ170" s="70">
        <v>86955.0</v>
      </c>
      <c r="DR170" s="70">
        <v>37888.0</v>
      </c>
      <c r="DS170" s="70">
        <v>567678.0</v>
      </c>
      <c r="DT170" s="70">
        <v>29533.0</v>
      </c>
      <c r="DU170" s="70">
        <v>69676.0</v>
      </c>
      <c r="DV170" s="70">
        <v>206231.0</v>
      </c>
      <c r="DW170" s="70">
        <v>132406.0</v>
      </c>
      <c r="DX170" s="70">
        <v>116191.0</v>
      </c>
      <c r="DY170" s="70">
        <v>382170.0</v>
      </c>
      <c r="DZ170" s="70">
        <v>23580.0</v>
      </c>
      <c r="EA170" s="70">
        <v>8274.0</v>
      </c>
      <c r="EB170" s="70">
        <v>62072.0</v>
      </c>
      <c r="EC170" s="70">
        <v>367103.0</v>
      </c>
      <c r="ED170" s="70">
        <v>26192.0</v>
      </c>
      <c r="EE170" s="70">
        <v>7762.0</v>
      </c>
      <c r="EF170" s="70">
        <v>863.0</v>
      </c>
      <c r="EG170" s="70">
        <v>39075.0</v>
      </c>
      <c r="EH170" s="70">
        <v>128479.0</v>
      </c>
      <c r="EI170" s="70">
        <v>35610.0</v>
      </c>
      <c r="EJ170" s="70">
        <v>108632.0</v>
      </c>
      <c r="EK170" s="70">
        <v>55142.0</v>
      </c>
      <c r="EL170" s="70">
        <v>63829.0</v>
      </c>
      <c r="EM170" s="70">
        <v>31287.0</v>
      </c>
      <c r="EN170" s="70">
        <v>139620.0</v>
      </c>
      <c r="EO170" s="70">
        <v>1178.0</v>
      </c>
      <c r="EP170" s="70">
        <v>10857.0</v>
      </c>
      <c r="EQ170" s="70">
        <v>172424.0</v>
      </c>
      <c r="ER170" s="70">
        <v>74962.0</v>
      </c>
      <c r="ES170" s="70">
        <v>385612.0</v>
      </c>
      <c r="ET170" s="70">
        <v>603907.0</v>
      </c>
      <c r="EU170" s="70">
        <v>1.0756302E7</v>
      </c>
      <c r="EV170" s="70">
        <v>73588.0</v>
      </c>
      <c r="EW170" s="70">
        <v>393565.0</v>
      </c>
      <c r="EX170" s="70">
        <v>485165.0</v>
      </c>
      <c r="EY170" s="70">
        <v>727192.0</v>
      </c>
      <c r="EZ170" s="70">
        <v>766488.0</v>
      </c>
      <c r="FA170" s="70">
        <v>594379.0</v>
      </c>
      <c r="FB170" s="70">
        <v>1.4699658E7</v>
      </c>
      <c r="FC170" s="70">
        <v>29522.0</v>
      </c>
      <c r="FD170" s="70">
        <v>2817148.0</v>
      </c>
      <c r="FE170" s="70">
        <v>326291.0</v>
      </c>
      <c r="FF170" s="70">
        <v>137727.0</v>
      </c>
      <c r="FG170" s="70">
        <v>3395156.0</v>
      </c>
      <c r="FH170" s="70">
        <v>929953.0</v>
      </c>
      <c r="FI170" s="70">
        <v>299352.0</v>
      </c>
      <c r="FJ170" s="70">
        <v>6186.0</v>
      </c>
      <c r="FK170" s="70">
        <v>322079.0</v>
      </c>
      <c r="FL170" s="70">
        <v>1032779.0</v>
      </c>
      <c r="FM170" s="70">
        <v>321583.0</v>
      </c>
      <c r="FN170" s="70">
        <v>914478.0</v>
      </c>
      <c r="FO170" s="70">
        <v>221345.0</v>
      </c>
      <c r="FP170" s="70">
        <v>1491475.0</v>
      </c>
      <c r="FQ170" s="70">
        <v>50044.0</v>
      </c>
      <c r="FR170" s="70">
        <v>41.0</v>
      </c>
      <c r="FS170" s="70">
        <v>290079.0</v>
      </c>
      <c r="FT170" s="70">
        <v>958009.0</v>
      </c>
      <c r="FU170" s="70">
        <v>2770755.0</v>
      </c>
      <c r="FV170" s="70">
        <v>252973.0</v>
      </c>
      <c r="FW170" s="70">
        <v>3.4957616E7</v>
      </c>
      <c r="FX170" s="70">
        <v>4446273.0</v>
      </c>
      <c r="FY170" s="70">
        <v>1.148273E7</v>
      </c>
      <c r="FZ170" s="70">
        <v>335341.0</v>
      </c>
      <c r="GA170" s="70">
        <v>3741570.0</v>
      </c>
      <c r="GB170" s="70">
        <v>2806956.0</v>
      </c>
      <c r="GC170" s="70">
        <v>282988.0</v>
      </c>
      <c r="GD170" s="70">
        <v>29188.0</v>
      </c>
      <c r="GE170" s="70">
        <v>3064440.0</v>
      </c>
      <c r="GF170" s="71">
        <v>1.16183824E8</v>
      </c>
      <c r="GG170" s="72">
        <v>9.67923684E8</v>
      </c>
      <c r="GH170" s="73">
        <v>0.0</v>
      </c>
      <c r="GI170" s="72">
        <v>0.0</v>
      </c>
      <c r="GJ170" s="72">
        <v>0.0</v>
      </c>
      <c r="GK170" s="72">
        <v>0.0</v>
      </c>
      <c r="GL170" s="72">
        <v>0.0</v>
      </c>
      <c r="GM170" s="72">
        <v>1.4918331E7</v>
      </c>
      <c r="GN170" s="71">
        <v>9.82842015E8</v>
      </c>
      <c r="GO170" s="74">
        <v>1.099025839E9</v>
      </c>
      <c r="GP170" s="72">
        <v>0.0</v>
      </c>
      <c r="GQ170" s="72">
        <v>6955690.0</v>
      </c>
      <c r="GR170" s="73">
        <v>0.0</v>
      </c>
      <c r="GS170" s="71">
        <v>6955690.0</v>
      </c>
      <c r="GT170" s="75">
        <v>0.0</v>
      </c>
      <c r="GU170" s="75">
        <v>0.0</v>
      </c>
      <c r="GV170" s="75">
        <v>3.6141121E7</v>
      </c>
      <c r="GW170" s="71">
        <v>3.6141121E7</v>
      </c>
      <c r="GX170" s="71">
        <v>7448932.0</v>
      </c>
      <c r="GY170" s="71">
        <v>1.048480096E9</v>
      </c>
      <c r="GZ170" s="74">
        <v>1.099025839E9</v>
      </c>
    </row>
    <row r="171" ht="15.75" customHeight="1">
      <c r="A171" s="52">
        <v>166.0</v>
      </c>
      <c r="B171" s="53" t="s">
        <v>211</v>
      </c>
      <c r="C171" s="54">
        <v>101.0</v>
      </c>
      <c r="D171" s="54">
        <v>16.0</v>
      </c>
      <c r="E171" s="54">
        <v>8.0</v>
      </c>
      <c r="F171" s="54">
        <v>913.0</v>
      </c>
      <c r="G171" s="54">
        <v>331.0</v>
      </c>
      <c r="H171" s="54">
        <v>809.0</v>
      </c>
      <c r="I171" s="54">
        <v>56.0</v>
      </c>
      <c r="J171" s="54">
        <v>713.0</v>
      </c>
      <c r="K171" s="54">
        <v>13.0</v>
      </c>
      <c r="L171" s="54">
        <v>1341.0</v>
      </c>
      <c r="M171" s="54">
        <v>101.0</v>
      </c>
      <c r="N171" s="54">
        <v>1090.0</v>
      </c>
      <c r="O171" s="54">
        <v>1116.0</v>
      </c>
      <c r="P171" s="54">
        <v>295.0</v>
      </c>
      <c r="Q171" s="54">
        <v>1804.0</v>
      </c>
      <c r="R171" s="54">
        <v>1449.0</v>
      </c>
      <c r="S171" s="54">
        <v>1939.0</v>
      </c>
      <c r="T171" s="54">
        <v>549.0</v>
      </c>
      <c r="U171" s="54">
        <v>630.0</v>
      </c>
      <c r="V171" s="54">
        <v>911.0</v>
      </c>
      <c r="W171" s="54">
        <v>18.0</v>
      </c>
      <c r="X171" s="54">
        <v>4226.0</v>
      </c>
      <c r="Y171" s="54">
        <v>459.0</v>
      </c>
      <c r="Z171" s="54">
        <v>594.0</v>
      </c>
      <c r="AA171" s="54">
        <v>1097.0</v>
      </c>
      <c r="AB171" s="54">
        <v>2974.0</v>
      </c>
      <c r="AC171" s="54">
        <v>2257.0</v>
      </c>
      <c r="AD171" s="54">
        <v>34.0</v>
      </c>
      <c r="AE171" s="54">
        <v>73.0</v>
      </c>
      <c r="AF171" s="54">
        <v>983.0</v>
      </c>
      <c r="AG171" s="54">
        <v>3966.0</v>
      </c>
      <c r="AH171" s="54">
        <v>3871.0</v>
      </c>
      <c r="AI171" s="54">
        <v>791.0</v>
      </c>
      <c r="AJ171" s="54">
        <v>271.0</v>
      </c>
      <c r="AK171" s="54">
        <v>254.0</v>
      </c>
      <c r="AL171" s="54">
        <v>75.0</v>
      </c>
      <c r="AM171" s="54">
        <v>20534.0</v>
      </c>
      <c r="AN171" s="54">
        <v>416.0</v>
      </c>
      <c r="AO171" s="54">
        <v>2181.0</v>
      </c>
      <c r="AP171" s="54">
        <v>633.0</v>
      </c>
      <c r="AQ171" s="54">
        <v>9658.0</v>
      </c>
      <c r="AR171" s="54">
        <v>0.0</v>
      </c>
      <c r="AS171" s="54">
        <v>110.0</v>
      </c>
      <c r="AT171" s="54">
        <v>20.0</v>
      </c>
      <c r="AU171" s="54">
        <v>31.0</v>
      </c>
      <c r="AV171" s="54">
        <v>5051.0</v>
      </c>
      <c r="AW171" s="54">
        <v>16.0</v>
      </c>
      <c r="AX171" s="54">
        <v>217.0</v>
      </c>
      <c r="AY171" s="54">
        <v>70.0</v>
      </c>
      <c r="AZ171" s="54">
        <v>21.0</v>
      </c>
      <c r="BA171" s="54">
        <v>61.0</v>
      </c>
      <c r="BB171" s="54">
        <v>639.0</v>
      </c>
      <c r="BC171" s="54">
        <v>0.0</v>
      </c>
      <c r="BD171" s="54">
        <v>0.0</v>
      </c>
      <c r="BE171" s="54">
        <v>0.0</v>
      </c>
      <c r="BF171" s="54">
        <v>0.0</v>
      </c>
      <c r="BG171" s="54">
        <v>2042.0</v>
      </c>
      <c r="BH171" s="54">
        <v>26379.0</v>
      </c>
      <c r="BI171" s="54">
        <v>43.0</v>
      </c>
      <c r="BJ171" s="54">
        <v>689.0</v>
      </c>
      <c r="BK171" s="54">
        <v>247.0</v>
      </c>
      <c r="BL171" s="54">
        <v>163.0</v>
      </c>
      <c r="BM171" s="54">
        <v>15.0</v>
      </c>
      <c r="BN171" s="54">
        <v>87.0</v>
      </c>
      <c r="BO171" s="54">
        <v>1176.0</v>
      </c>
      <c r="BP171" s="54">
        <v>707.0</v>
      </c>
      <c r="BQ171" s="54">
        <v>88.0</v>
      </c>
      <c r="BR171" s="54">
        <v>0.0</v>
      </c>
      <c r="BS171" s="54">
        <v>0.0</v>
      </c>
      <c r="BT171" s="54">
        <v>283.0</v>
      </c>
      <c r="BU171" s="54">
        <v>51162.0</v>
      </c>
      <c r="BV171" s="54">
        <v>0.0</v>
      </c>
      <c r="BW171" s="54">
        <v>18.0</v>
      </c>
      <c r="BX171" s="54">
        <v>406.0</v>
      </c>
      <c r="BY171" s="54">
        <v>596.0</v>
      </c>
      <c r="BZ171" s="54">
        <v>38.0</v>
      </c>
      <c r="CA171" s="54">
        <v>8552.0</v>
      </c>
      <c r="CB171" s="54">
        <v>422.0</v>
      </c>
      <c r="CC171" s="54">
        <v>357.0</v>
      </c>
      <c r="CD171" s="54">
        <v>0.0</v>
      </c>
      <c r="CE171" s="54">
        <v>3.0</v>
      </c>
      <c r="CF171" s="54">
        <v>42.0</v>
      </c>
      <c r="CG171" s="54">
        <v>169.0</v>
      </c>
      <c r="CH171" s="54">
        <v>21.0</v>
      </c>
      <c r="CI171" s="54">
        <v>92.0</v>
      </c>
      <c r="CJ171" s="54">
        <v>15.0</v>
      </c>
      <c r="CK171" s="54">
        <v>463.0</v>
      </c>
      <c r="CL171" s="54">
        <v>810.0</v>
      </c>
      <c r="CM171" s="54">
        <v>3732.0</v>
      </c>
      <c r="CN171" s="54">
        <v>68.0</v>
      </c>
      <c r="CO171" s="54">
        <v>11023.0</v>
      </c>
      <c r="CP171" s="54">
        <v>22196.0</v>
      </c>
      <c r="CQ171" s="54">
        <v>887677.0</v>
      </c>
      <c r="CR171" s="54">
        <v>33039.0</v>
      </c>
      <c r="CS171" s="54">
        <v>107428.0</v>
      </c>
      <c r="CT171" s="54">
        <v>273296.0</v>
      </c>
      <c r="CU171" s="54">
        <v>77111.0</v>
      </c>
      <c r="CV171" s="54">
        <v>144445.0</v>
      </c>
      <c r="CW171" s="54">
        <v>15720.0</v>
      </c>
      <c r="CX171" s="54">
        <v>37677.0</v>
      </c>
      <c r="CY171" s="54">
        <v>2560.0</v>
      </c>
      <c r="CZ171" s="54">
        <v>44530.0</v>
      </c>
      <c r="DA171" s="54">
        <v>80500.0</v>
      </c>
      <c r="DB171" s="54">
        <v>52134.0</v>
      </c>
      <c r="DC171" s="54">
        <v>451782.0</v>
      </c>
      <c r="DD171" s="54">
        <v>20318.0</v>
      </c>
      <c r="DE171" s="54">
        <v>10422.0</v>
      </c>
      <c r="DF171" s="54">
        <v>12514.0</v>
      </c>
      <c r="DG171" s="54">
        <v>2548.0</v>
      </c>
      <c r="DH171" s="54">
        <v>35537.0</v>
      </c>
      <c r="DI171" s="54">
        <v>102370.0</v>
      </c>
      <c r="DJ171" s="54">
        <v>18241.0</v>
      </c>
      <c r="DK171" s="54">
        <v>22448.0</v>
      </c>
      <c r="DL171" s="54">
        <v>568.0</v>
      </c>
      <c r="DM171" s="54">
        <v>208.0</v>
      </c>
      <c r="DN171" s="54">
        <v>542.0</v>
      </c>
      <c r="DO171" s="54">
        <v>2931.0</v>
      </c>
      <c r="DP171" s="54">
        <v>313.0</v>
      </c>
      <c r="DQ171" s="54">
        <v>2061.0</v>
      </c>
      <c r="DR171" s="54">
        <v>14012.0</v>
      </c>
      <c r="DS171" s="54">
        <v>231194.0</v>
      </c>
      <c r="DT171" s="54">
        <v>11788.0</v>
      </c>
      <c r="DU171" s="54">
        <v>28424.0</v>
      </c>
      <c r="DV171" s="54">
        <v>84130.0</v>
      </c>
      <c r="DW171" s="54">
        <v>54014.0</v>
      </c>
      <c r="DX171" s="54">
        <v>46996.0</v>
      </c>
      <c r="DY171" s="54">
        <v>155905.0</v>
      </c>
      <c r="DZ171" s="54">
        <v>13785.0</v>
      </c>
      <c r="EA171" s="54">
        <v>195.0</v>
      </c>
      <c r="EB171" s="54">
        <v>2322.0</v>
      </c>
      <c r="EC171" s="54">
        <v>583557.0</v>
      </c>
      <c r="ED171" s="54">
        <v>23418.0</v>
      </c>
      <c r="EE171" s="54">
        <v>12903.0</v>
      </c>
      <c r="EF171" s="54">
        <v>153.0</v>
      </c>
      <c r="EG171" s="54">
        <v>2804.0</v>
      </c>
      <c r="EH171" s="54">
        <v>21470.0</v>
      </c>
      <c r="EI171" s="54">
        <v>186505.0</v>
      </c>
      <c r="EJ171" s="54">
        <v>119321.0</v>
      </c>
      <c r="EK171" s="54">
        <v>59561.0</v>
      </c>
      <c r="EL171" s="54">
        <v>23940.0</v>
      </c>
      <c r="EM171" s="54">
        <v>577.0</v>
      </c>
      <c r="EN171" s="54">
        <v>217.0</v>
      </c>
      <c r="EO171" s="54">
        <v>365.0</v>
      </c>
      <c r="EP171" s="54">
        <v>14683.0</v>
      </c>
      <c r="EQ171" s="54">
        <v>91420.0</v>
      </c>
      <c r="ER171" s="54">
        <v>70858.0</v>
      </c>
      <c r="ES171" s="54">
        <v>8495.0</v>
      </c>
      <c r="ET171" s="54">
        <v>1822.0</v>
      </c>
      <c r="EU171" s="54">
        <v>11571.0</v>
      </c>
      <c r="EV171" s="54">
        <v>739.0</v>
      </c>
      <c r="EW171" s="54">
        <v>8031.0</v>
      </c>
      <c r="EX171" s="54">
        <v>560.0</v>
      </c>
      <c r="EY171" s="54">
        <v>6643.0</v>
      </c>
      <c r="EZ171" s="54">
        <v>1041664.0</v>
      </c>
      <c r="FA171" s="54">
        <v>1050970.0</v>
      </c>
      <c r="FB171" s="54">
        <v>6556732.0</v>
      </c>
      <c r="FC171" s="54">
        <v>13474.0</v>
      </c>
      <c r="FD171" s="54">
        <v>3915934.0</v>
      </c>
      <c r="FE171" s="54">
        <v>613561.0</v>
      </c>
      <c r="FF171" s="54">
        <v>273000.0</v>
      </c>
      <c r="FG171" s="54">
        <v>3057995.0</v>
      </c>
      <c r="FH171" s="54">
        <v>1480810.0</v>
      </c>
      <c r="FI171" s="54">
        <v>26262.0</v>
      </c>
      <c r="FJ171" s="54">
        <v>32235.0</v>
      </c>
      <c r="FK171" s="54">
        <v>231930.0</v>
      </c>
      <c r="FL171" s="54">
        <v>1.1318677E7</v>
      </c>
      <c r="FM171" s="54">
        <v>4145479.0</v>
      </c>
      <c r="FN171" s="54">
        <v>1260037.0</v>
      </c>
      <c r="FO171" s="54">
        <v>3782634.0</v>
      </c>
      <c r="FP171" s="54">
        <v>3695407.0</v>
      </c>
      <c r="FQ171" s="54">
        <v>1535833.0</v>
      </c>
      <c r="FR171" s="54">
        <v>361.0</v>
      </c>
      <c r="FS171" s="54">
        <v>296254.0</v>
      </c>
      <c r="FT171" s="54">
        <v>1.2032468E7</v>
      </c>
      <c r="FU171" s="54">
        <v>1.2581421E7</v>
      </c>
      <c r="FV171" s="54">
        <v>7894693.0</v>
      </c>
      <c r="FW171" s="54">
        <v>530437.0</v>
      </c>
      <c r="FX171" s="54">
        <v>412373.0</v>
      </c>
      <c r="FY171" s="54">
        <v>83129.0</v>
      </c>
      <c r="FZ171" s="54">
        <v>28785.0</v>
      </c>
      <c r="GA171" s="54">
        <v>5643714.0</v>
      </c>
      <c r="GB171" s="54">
        <v>1448223.0</v>
      </c>
      <c r="GC171" s="54">
        <v>1989822.0</v>
      </c>
      <c r="GD171" s="54">
        <v>45471.0</v>
      </c>
      <c r="GE171" s="54">
        <v>276852.0</v>
      </c>
      <c r="GF171" s="55">
        <v>9.1835825E7</v>
      </c>
      <c r="GG171" s="56">
        <v>5.3917124E7</v>
      </c>
      <c r="GH171" s="57">
        <v>0.0</v>
      </c>
      <c r="GI171" s="56">
        <v>0.0</v>
      </c>
      <c r="GJ171" s="56">
        <v>2.5809191E7</v>
      </c>
      <c r="GK171" s="56">
        <v>-996951.0</v>
      </c>
      <c r="GL171" s="56">
        <v>12755.0</v>
      </c>
      <c r="GM171" s="56">
        <v>8860734.0</v>
      </c>
      <c r="GN171" s="55">
        <v>8.7602853E7</v>
      </c>
      <c r="GO171" s="58">
        <v>1.79438678E8</v>
      </c>
      <c r="GP171" s="56">
        <v>328199.0</v>
      </c>
      <c r="GQ171" s="56">
        <v>2.2279962E7</v>
      </c>
      <c r="GR171" s="57">
        <v>0.0</v>
      </c>
      <c r="GS171" s="55">
        <v>2.2608161E7</v>
      </c>
      <c r="GT171" s="59">
        <v>5996764.0</v>
      </c>
      <c r="GU171" s="59">
        <v>1.2547458E7</v>
      </c>
      <c r="GV171" s="59">
        <v>4815277.0</v>
      </c>
      <c r="GW171" s="55">
        <v>2.3359499E7</v>
      </c>
      <c r="GX171" s="55">
        <v>3294108.0</v>
      </c>
      <c r="GY171" s="55">
        <v>1.3017691E8</v>
      </c>
      <c r="GZ171" s="58">
        <v>1.79438678E8</v>
      </c>
    </row>
    <row r="172" ht="15.75" customHeight="1">
      <c r="A172" s="60">
        <v>167.0</v>
      </c>
      <c r="B172" s="61" t="s">
        <v>212</v>
      </c>
      <c r="C172" s="62">
        <v>0.0</v>
      </c>
      <c r="D172" s="62">
        <v>0.0</v>
      </c>
      <c r="E172" s="62">
        <v>0.0</v>
      </c>
      <c r="F172" s="62">
        <v>0.0</v>
      </c>
      <c r="G172" s="62">
        <v>0.0</v>
      </c>
      <c r="H172" s="62">
        <v>0.0</v>
      </c>
      <c r="I172" s="62">
        <v>0.0</v>
      </c>
      <c r="J172" s="62">
        <v>0.0</v>
      </c>
      <c r="K172" s="62">
        <v>11.0</v>
      </c>
      <c r="L172" s="62">
        <v>0.0</v>
      </c>
      <c r="M172" s="62">
        <v>0.0</v>
      </c>
      <c r="N172" s="62">
        <v>0.0</v>
      </c>
      <c r="O172" s="62">
        <v>0.0</v>
      </c>
      <c r="P172" s="62">
        <v>0.0</v>
      </c>
      <c r="Q172" s="62">
        <v>0.0</v>
      </c>
      <c r="R172" s="62">
        <v>0.0</v>
      </c>
      <c r="S172" s="62">
        <v>0.0</v>
      </c>
      <c r="T172" s="62">
        <v>0.0</v>
      </c>
      <c r="U172" s="62">
        <v>0.0</v>
      </c>
      <c r="V172" s="62">
        <v>0.0</v>
      </c>
      <c r="W172" s="62">
        <v>0.0</v>
      </c>
      <c r="X172" s="62">
        <v>0.0</v>
      </c>
      <c r="Y172" s="62">
        <v>0.0</v>
      </c>
      <c r="Z172" s="62">
        <v>0.0</v>
      </c>
      <c r="AA172" s="62">
        <v>0.0</v>
      </c>
      <c r="AB172" s="62">
        <v>0.0</v>
      </c>
      <c r="AC172" s="62">
        <v>0.0</v>
      </c>
      <c r="AD172" s="62">
        <v>0.0</v>
      </c>
      <c r="AE172" s="62">
        <v>0.0</v>
      </c>
      <c r="AF172" s="62">
        <v>0.0</v>
      </c>
      <c r="AG172" s="62">
        <v>0.0</v>
      </c>
      <c r="AH172" s="62">
        <v>0.0</v>
      </c>
      <c r="AI172" s="62">
        <v>0.0</v>
      </c>
      <c r="AJ172" s="62">
        <v>0.0</v>
      </c>
      <c r="AK172" s="62">
        <v>0.0</v>
      </c>
      <c r="AL172" s="62">
        <v>0.0</v>
      </c>
      <c r="AM172" s="62">
        <v>0.0</v>
      </c>
      <c r="AN172" s="62">
        <v>0.0</v>
      </c>
      <c r="AO172" s="62">
        <v>0.0</v>
      </c>
      <c r="AP172" s="62">
        <v>0.0</v>
      </c>
      <c r="AQ172" s="62">
        <v>0.0</v>
      </c>
      <c r="AR172" s="62">
        <v>0.0</v>
      </c>
      <c r="AS172" s="62">
        <v>0.0</v>
      </c>
      <c r="AT172" s="62">
        <v>0.0</v>
      </c>
      <c r="AU172" s="62">
        <v>5.0</v>
      </c>
      <c r="AV172" s="62">
        <v>1091.0</v>
      </c>
      <c r="AW172" s="62">
        <v>126.0</v>
      </c>
      <c r="AX172" s="62">
        <v>0.0</v>
      </c>
      <c r="AY172" s="62">
        <v>0.0</v>
      </c>
      <c r="AZ172" s="62">
        <v>0.0</v>
      </c>
      <c r="BA172" s="62">
        <v>0.0</v>
      </c>
      <c r="BB172" s="62">
        <v>0.0</v>
      </c>
      <c r="BC172" s="62">
        <v>43425.0</v>
      </c>
      <c r="BD172" s="62">
        <v>4830.0</v>
      </c>
      <c r="BE172" s="62">
        <v>0.0</v>
      </c>
      <c r="BF172" s="62">
        <v>0.0</v>
      </c>
      <c r="BG172" s="62">
        <v>882.0</v>
      </c>
      <c r="BH172" s="62">
        <v>603816.0</v>
      </c>
      <c r="BI172" s="62">
        <v>0.0</v>
      </c>
      <c r="BJ172" s="62">
        <v>1062029.0</v>
      </c>
      <c r="BK172" s="62">
        <v>31538.0</v>
      </c>
      <c r="BL172" s="62">
        <v>41532.0</v>
      </c>
      <c r="BM172" s="62">
        <v>235.0</v>
      </c>
      <c r="BN172" s="62">
        <v>72514.0</v>
      </c>
      <c r="BO172" s="62">
        <v>424465.0</v>
      </c>
      <c r="BP172" s="62">
        <v>61957.0</v>
      </c>
      <c r="BQ172" s="62">
        <v>604483.0</v>
      </c>
      <c r="BR172" s="62">
        <v>20232.0</v>
      </c>
      <c r="BS172" s="62">
        <v>2180090.0</v>
      </c>
      <c r="BT172" s="62">
        <v>1024.0</v>
      </c>
      <c r="BU172" s="62">
        <v>47017.0</v>
      </c>
      <c r="BV172" s="62">
        <v>0.0</v>
      </c>
      <c r="BW172" s="62">
        <v>0.0</v>
      </c>
      <c r="BX172" s="62">
        <v>580731.0</v>
      </c>
      <c r="BY172" s="62">
        <v>3536148.0</v>
      </c>
      <c r="BZ172" s="62">
        <v>0.0</v>
      </c>
      <c r="CA172" s="62">
        <v>0.0</v>
      </c>
      <c r="CB172" s="62">
        <v>177211.0</v>
      </c>
      <c r="CC172" s="62">
        <v>0.0</v>
      </c>
      <c r="CD172" s="62">
        <v>14813.0</v>
      </c>
      <c r="CE172" s="62">
        <v>0.0</v>
      </c>
      <c r="CF172" s="62">
        <v>62717.0</v>
      </c>
      <c r="CG172" s="62">
        <v>24263.0</v>
      </c>
      <c r="CH172" s="62">
        <v>165770.0</v>
      </c>
      <c r="CI172" s="62">
        <v>383926.0</v>
      </c>
      <c r="CJ172" s="62">
        <v>0.0</v>
      </c>
      <c r="CK172" s="62">
        <v>0.0</v>
      </c>
      <c r="CL172" s="62">
        <v>0.0</v>
      </c>
      <c r="CM172" s="62">
        <v>0.0</v>
      </c>
      <c r="CN172" s="62">
        <v>1454795.0</v>
      </c>
      <c r="CO172" s="62">
        <v>657873.0</v>
      </c>
      <c r="CP172" s="62">
        <v>1855516.0</v>
      </c>
      <c r="CQ172" s="62">
        <v>70143.0</v>
      </c>
      <c r="CR172" s="62">
        <v>237624.0</v>
      </c>
      <c r="CS172" s="62">
        <v>377083.0</v>
      </c>
      <c r="CT172" s="62">
        <v>2613094.0</v>
      </c>
      <c r="CU172" s="62">
        <v>98097.0</v>
      </c>
      <c r="CV172" s="62">
        <v>427528.0</v>
      </c>
      <c r="CW172" s="62">
        <v>98286.0</v>
      </c>
      <c r="CX172" s="62">
        <v>511155.0</v>
      </c>
      <c r="CY172" s="62">
        <v>21397.0</v>
      </c>
      <c r="CZ172" s="62">
        <v>729181.0</v>
      </c>
      <c r="DA172" s="62">
        <v>885184.0</v>
      </c>
      <c r="DB172" s="62">
        <v>47071.0</v>
      </c>
      <c r="DC172" s="62">
        <v>472824.0</v>
      </c>
      <c r="DD172" s="62">
        <v>385667.0</v>
      </c>
      <c r="DE172" s="62">
        <v>619211.0</v>
      </c>
      <c r="DF172" s="62">
        <v>253962.0</v>
      </c>
      <c r="DG172" s="62">
        <v>51774.0</v>
      </c>
      <c r="DH172" s="62">
        <v>699186.0</v>
      </c>
      <c r="DI172" s="62">
        <v>117751.0</v>
      </c>
      <c r="DJ172" s="62">
        <v>131157.0</v>
      </c>
      <c r="DK172" s="62">
        <v>138759.0</v>
      </c>
      <c r="DL172" s="62">
        <v>14961.0</v>
      </c>
      <c r="DM172" s="62">
        <v>0.0</v>
      </c>
      <c r="DN172" s="62">
        <v>1194.0</v>
      </c>
      <c r="DO172" s="62">
        <v>8229.0</v>
      </c>
      <c r="DP172" s="62">
        <v>0.0</v>
      </c>
      <c r="DQ172" s="62">
        <v>10092.0</v>
      </c>
      <c r="DR172" s="62">
        <v>82685.0</v>
      </c>
      <c r="DS172" s="62">
        <v>271300.0</v>
      </c>
      <c r="DT172" s="62">
        <v>1327.0</v>
      </c>
      <c r="DU172" s="62">
        <v>0.0</v>
      </c>
      <c r="DV172" s="62">
        <v>1.0</v>
      </c>
      <c r="DW172" s="62">
        <v>0.0</v>
      </c>
      <c r="DX172" s="62">
        <v>14148.0</v>
      </c>
      <c r="DY172" s="62">
        <v>172.0</v>
      </c>
      <c r="DZ172" s="62">
        <v>1384709.0</v>
      </c>
      <c r="EA172" s="62">
        <v>146853.0</v>
      </c>
      <c r="EB172" s="62">
        <v>1800378.0</v>
      </c>
      <c r="EC172" s="62">
        <v>3333007.0</v>
      </c>
      <c r="ED172" s="62">
        <v>0.0</v>
      </c>
      <c r="EE172" s="62">
        <v>0.0</v>
      </c>
      <c r="EF172" s="62">
        <v>0.0</v>
      </c>
      <c r="EG172" s="62">
        <v>0.0</v>
      </c>
      <c r="EH172" s="62">
        <v>1224592.0</v>
      </c>
      <c r="EI172" s="62">
        <v>1341.0</v>
      </c>
      <c r="EJ172" s="62">
        <v>0.0</v>
      </c>
      <c r="EK172" s="62">
        <v>54.0</v>
      </c>
      <c r="EL172" s="62">
        <v>460.0</v>
      </c>
      <c r="EM172" s="62">
        <v>286.0</v>
      </c>
      <c r="EN172" s="62">
        <v>225.0</v>
      </c>
      <c r="EO172" s="62">
        <v>2431.0</v>
      </c>
      <c r="EP172" s="62">
        <v>202491.0</v>
      </c>
      <c r="EQ172" s="62">
        <v>698721.0</v>
      </c>
      <c r="ER172" s="62">
        <v>46512.0</v>
      </c>
      <c r="ES172" s="62">
        <v>9579.0</v>
      </c>
      <c r="ET172" s="62">
        <v>5836.0</v>
      </c>
      <c r="EU172" s="62">
        <v>2081521.0</v>
      </c>
      <c r="EV172" s="62">
        <v>1626.0</v>
      </c>
      <c r="EW172" s="62">
        <v>5056.0</v>
      </c>
      <c r="EX172" s="62">
        <v>7781.0</v>
      </c>
      <c r="EY172" s="62">
        <v>1168.0</v>
      </c>
      <c r="EZ172" s="62">
        <v>1087185.0</v>
      </c>
      <c r="FA172" s="62">
        <v>451953.0</v>
      </c>
      <c r="FB172" s="62">
        <v>3900470.0</v>
      </c>
      <c r="FC172" s="62">
        <v>81296.0</v>
      </c>
      <c r="FD172" s="62">
        <v>2345820.0</v>
      </c>
      <c r="FE172" s="62">
        <v>220066.0</v>
      </c>
      <c r="FF172" s="62">
        <v>2345.0</v>
      </c>
      <c r="FG172" s="62">
        <v>2197351.0</v>
      </c>
      <c r="FH172" s="62">
        <v>1683144.0</v>
      </c>
      <c r="FI172" s="62">
        <v>64818.0</v>
      </c>
      <c r="FJ172" s="62">
        <v>103084.0</v>
      </c>
      <c r="FK172" s="62">
        <v>74182.0</v>
      </c>
      <c r="FL172" s="62">
        <v>4405560.0</v>
      </c>
      <c r="FM172" s="62">
        <v>2.384362E7</v>
      </c>
      <c r="FN172" s="62">
        <v>1.4051659E7</v>
      </c>
      <c r="FO172" s="62">
        <v>2638376.0</v>
      </c>
      <c r="FP172" s="62">
        <v>6138683.0</v>
      </c>
      <c r="FQ172" s="62">
        <v>1983069.0</v>
      </c>
      <c r="FR172" s="62">
        <v>6158.0</v>
      </c>
      <c r="FS172" s="62">
        <v>466407.0</v>
      </c>
      <c r="FT172" s="62">
        <v>1.3049245E7</v>
      </c>
      <c r="FU172" s="62">
        <v>2.5706436E7</v>
      </c>
      <c r="FV172" s="62">
        <v>1.5831053E7</v>
      </c>
      <c r="FW172" s="62">
        <v>5561429.0</v>
      </c>
      <c r="FX172" s="62">
        <v>105470.0</v>
      </c>
      <c r="FY172" s="62">
        <v>720109.0</v>
      </c>
      <c r="FZ172" s="62">
        <v>99919.0</v>
      </c>
      <c r="GA172" s="62">
        <v>2268539.0</v>
      </c>
      <c r="GB172" s="62">
        <v>377638.0</v>
      </c>
      <c r="GC172" s="62">
        <v>826939.0</v>
      </c>
      <c r="GD172" s="62">
        <v>97.0</v>
      </c>
      <c r="GE172" s="62">
        <v>1116925.0</v>
      </c>
      <c r="GF172" s="63">
        <v>1.6586898E8</v>
      </c>
      <c r="GG172" s="64">
        <v>8955954.0</v>
      </c>
      <c r="GH172" s="65">
        <v>0.0</v>
      </c>
      <c r="GI172" s="64">
        <v>3766311.0</v>
      </c>
      <c r="GJ172" s="64">
        <v>0.0</v>
      </c>
      <c r="GK172" s="64">
        <v>0.0</v>
      </c>
      <c r="GL172" s="64">
        <v>0.0</v>
      </c>
      <c r="GM172" s="64">
        <v>1407922.0</v>
      </c>
      <c r="GN172" s="63">
        <v>1.4130187E7</v>
      </c>
      <c r="GO172" s="66">
        <v>1.79999167E8</v>
      </c>
      <c r="GP172" s="64">
        <v>0.0</v>
      </c>
      <c r="GQ172" s="64">
        <v>0.0</v>
      </c>
      <c r="GR172" s="65">
        <v>0.0</v>
      </c>
      <c r="GS172" s="63">
        <v>0.0</v>
      </c>
      <c r="GT172" s="67">
        <v>0.0</v>
      </c>
      <c r="GU172" s="67">
        <v>0.0</v>
      </c>
      <c r="GV172" s="67">
        <v>0.0</v>
      </c>
      <c r="GW172" s="63">
        <v>0.0</v>
      </c>
      <c r="GX172" s="63">
        <v>178847.0</v>
      </c>
      <c r="GY172" s="63">
        <v>1.7982032E8</v>
      </c>
      <c r="GZ172" s="66">
        <v>1.79999167E8</v>
      </c>
    </row>
    <row r="173" ht="15.75" customHeight="1">
      <c r="A173" s="60">
        <v>168.0</v>
      </c>
      <c r="B173" s="61" t="s">
        <v>213</v>
      </c>
      <c r="C173" s="62">
        <v>127.0</v>
      </c>
      <c r="D173" s="62">
        <v>134.0</v>
      </c>
      <c r="E173" s="62">
        <v>366.0</v>
      </c>
      <c r="F173" s="62">
        <v>11.0</v>
      </c>
      <c r="G173" s="62">
        <v>3.0</v>
      </c>
      <c r="H173" s="62">
        <v>19.0</v>
      </c>
      <c r="I173" s="62">
        <v>43.0</v>
      </c>
      <c r="J173" s="62">
        <v>5.0</v>
      </c>
      <c r="K173" s="62">
        <v>9.0</v>
      </c>
      <c r="L173" s="62">
        <v>19643.0</v>
      </c>
      <c r="M173" s="62">
        <v>2456.0</v>
      </c>
      <c r="N173" s="62">
        <v>3368.0</v>
      </c>
      <c r="O173" s="62">
        <v>11484.0</v>
      </c>
      <c r="P173" s="62">
        <v>357.0</v>
      </c>
      <c r="Q173" s="62">
        <v>2401.0</v>
      </c>
      <c r="R173" s="62">
        <v>64632.0</v>
      </c>
      <c r="S173" s="62">
        <v>254.0</v>
      </c>
      <c r="T173" s="62">
        <v>946.0</v>
      </c>
      <c r="U173" s="62">
        <v>6341.0</v>
      </c>
      <c r="V173" s="62">
        <v>18767.0</v>
      </c>
      <c r="W173" s="62">
        <v>1749.0</v>
      </c>
      <c r="X173" s="62">
        <v>1477.0</v>
      </c>
      <c r="Y173" s="62">
        <v>792.0</v>
      </c>
      <c r="Z173" s="62">
        <v>1507.0</v>
      </c>
      <c r="AA173" s="62">
        <v>1397.0</v>
      </c>
      <c r="AB173" s="62">
        <v>270.0</v>
      </c>
      <c r="AC173" s="62">
        <v>613.0</v>
      </c>
      <c r="AD173" s="62">
        <v>1498.0</v>
      </c>
      <c r="AE173" s="62">
        <v>3079.0</v>
      </c>
      <c r="AF173" s="62">
        <v>52338.0</v>
      </c>
      <c r="AG173" s="62">
        <v>518957.0</v>
      </c>
      <c r="AH173" s="62">
        <v>300725.0</v>
      </c>
      <c r="AI173" s="62">
        <v>139048.0</v>
      </c>
      <c r="AJ173" s="62">
        <v>22379.0</v>
      </c>
      <c r="AK173" s="62">
        <v>6604.0</v>
      </c>
      <c r="AL173" s="62">
        <v>2966.0</v>
      </c>
      <c r="AM173" s="62">
        <v>1392803.0</v>
      </c>
      <c r="AN173" s="62">
        <v>585694.0</v>
      </c>
      <c r="AO173" s="62">
        <v>375381.0</v>
      </c>
      <c r="AP173" s="62">
        <v>4236.0</v>
      </c>
      <c r="AQ173" s="62">
        <v>17159.0</v>
      </c>
      <c r="AR173" s="62">
        <v>8854.0</v>
      </c>
      <c r="AS173" s="62">
        <v>65229.0</v>
      </c>
      <c r="AT173" s="62">
        <v>7757.0</v>
      </c>
      <c r="AU173" s="62">
        <v>5745.0</v>
      </c>
      <c r="AV173" s="62">
        <v>107500.0</v>
      </c>
      <c r="AW173" s="62">
        <v>2230.0</v>
      </c>
      <c r="AX173" s="62">
        <v>430523.0</v>
      </c>
      <c r="AY173" s="62">
        <v>35065.0</v>
      </c>
      <c r="AZ173" s="62">
        <v>5171.0</v>
      </c>
      <c r="BA173" s="62">
        <v>444202.0</v>
      </c>
      <c r="BB173" s="62">
        <v>335964.0</v>
      </c>
      <c r="BC173" s="62">
        <v>59366.0</v>
      </c>
      <c r="BD173" s="62">
        <v>3257.0</v>
      </c>
      <c r="BE173" s="62">
        <v>12202.0</v>
      </c>
      <c r="BF173" s="62">
        <v>43206.0</v>
      </c>
      <c r="BG173" s="62">
        <v>95628.0</v>
      </c>
      <c r="BH173" s="62">
        <v>449751.0</v>
      </c>
      <c r="BI173" s="62">
        <v>12273.0</v>
      </c>
      <c r="BJ173" s="62">
        <v>495231.0</v>
      </c>
      <c r="BK173" s="62">
        <v>19412.0</v>
      </c>
      <c r="BL173" s="62">
        <v>4471.0</v>
      </c>
      <c r="BM173" s="62">
        <v>209.0</v>
      </c>
      <c r="BN173" s="62">
        <v>39371.0</v>
      </c>
      <c r="BO173" s="62">
        <v>188597.0</v>
      </c>
      <c r="BP173" s="62">
        <v>39005.0</v>
      </c>
      <c r="BQ173" s="62">
        <v>144314.0</v>
      </c>
      <c r="BR173" s="62">
        <v>58.0</v>
      </c>
      <c r="BS173" s="62">
        <v>2991.0</v>
      </c>
      <c r="BT173" s="62">
        <v>266746.0</v>
      </c>
      <c r="BU173" s="62">
        <v>375401.0</v>
      </c>
      <c r="BV173" s="62">
        <v>132891.0</v>
      </c>
      <c r="BW173" s="62">
        <v>1390.0</v>
      </c>
      <c r="BX173" s="62">
        <v>151220.0</v>
      </c>
      <c r="BY173" s="62">
        <v>682049.0</v>
      </c>
      <c r="BZ173" s="62">
        <v>45468.0</v>
      </c>
      <c r="CA173" s="62">
        <v>408787.0</v>
      </c>
      <c r="CB173" s="62">
        <v>79907.0</v>
      </c>
      <c r="CC173" s="62">
        <v>62296.0</v>
      </c>
      <c r="CD173" s="62">
        <v>29201.0</v>
      </c>
      <c r="CE173" s="62">
        <v>43038.0</v>
      </c>
      <c r="CF173" s="62">
        <v>123137.0</v>
      </c>
      <c r="CG173" s="62">
        <v>18242.0</v>
      </c>
      <c r="CH173" s="62">
        <v>57532.0</v>
      </c>
      <c r="CI173" s="62">
        <v>362737.0</v>
      </c>
      <c r="CJ173" s="62">
        <v>254874.0</v>
      </c>
      <c r="CK173" s="62">
        <v>542664.0</v>
      </c>
      <c r="CL173" s="62">
        <v>309742.0</v>
      </c>
      <c r="CM173" s="62">
        <v>119238.0</v>
      </c>
      <c r="CN173" s="62">
        <v>513245.0</v>
      </c>
      <c r="CO173" s="62">
        <v>383593.0</v>
      </c>
      <c r="CP173" s="62">
        <v>537131.0</v>
      </c>
      <c r="CQ173" s="62">
        <v>465675.0</v>
      </c>
      <c r="CR173" s="62">
        <v>234673.0</v>
      </c>
      <c r="CS173" s="62">
        <v>251652.0</v>
      </c>
      <c r="CT173" s="62">
        <v>1049869.0</v>
      </c>
      <c r="CU173" s="62">
        <v>247833.0</v>
      </c>
      <c r="CV173" s="62">
        <v>532493.0</v>
      </c>
      <c r="CW173" s="62">
        <v>50444.0</v>
      </c>
      <c r="CX173" s="62">
        <v>222436.0</v>
      </c>
      <c r="CY173" s="62">
        <v>11206.0</v>
      </c>
      <c r="CZ173" s="62">
        <v>356673.0</v>
      </c>
      <c r="DA173" s="62">
        <v>372851.0</v>
      </c>
      <c r="DB173" s="62">
        <v>434743.0</v>
      </c>
      <c r="DC173" s="62">
        <v>166027.0</v>
      </c>
      <c r="DD173" s="62">
        <v>125035.0</v>
      </c>
      <c r="DE173" s="62">
        <v>104921.0</v>
      </c>
      <c r="DF173" s="62">
        <v>125980.0</v>
      </c>
      <c r="DG173" s="62">
        <v>26173.0</v>
      </c>
      <c r="DH173" s="62">
        <v>354730.0</v>
      </c>
      <c r="DI173" s="62">
        <v>330750.0</v>
      </c>
      <c r="DJ173" s="62">
        <v>632784.0</v>
      </c>
      <c r="DK173" s="62">
        <v>154333.0</v>
      </c>
      <c r="DL173" s="62">
        <v>438197.0</v>
      </c>
      <c r="DM173" s="62">
        <v>122216.0</v>
      </c>
      <c r="DN173" s="62">
        <v>19728.0</v>
      </c>
      <c r="DO173" s="62">
        <v>209606.0</v>
      </c>
      <c r="DP173" s="62">
        <v>21150.0</v>
      </c>
      <c r="DQ173" s="62">
        <v>169095.0</v>
      </c>
      <c r="DR173" s="62">
        <v>291674.0</v>
      </c>
      <c r="DS173" s="62">
        <v>1510205.0</v>
      </c>
      <c r="DT173" s="62">
        <v>111283.0</v>
      </c>
      <c r="DU173" s="62">
        <v>168330.0</v>
      </c>
      <c r="DV173" s="62">
        <v>498233.0</v>
      </c>
      <c r="DW173" s="62">
        <v>319880.0</v>
      </c>
      <c r="DX173" s="62">
        <v>281558.0</v>
      </c>
      <c r="DY173" s="62">
        <v>923344.0</v>
      </c>
      <c r="DZ173" s="62">
        <v>1435874.0</v>
      </c>
      <c r="EA173" s="62">
        <v>233670.0</v>
      </c>
      <c r="EB173" s="62">
        <v>1589030.0</v>
      </c>
      <c r="EC173" s="62">
        <v>839189.0</v>
      </c>
      <c r="ED173" s="62">
        <v>64630.0</v>
      </c>
      <c r="EE173" s="62">
        <v>10319.0</v>
      </c>
      <c r="EF173" s="62">
        <v>3126.0</v>
      </c>
      <c r="EG173" s="62">
        <v>67686.0</v>
      </c>
      <c r="EH173" s="62">
        <v>183400.0</v>
      </c>
      <c r="EI173" s="62">
        <v>1034352.0</v>
      </c>
      <c r="EJ173" s="62">
        <v>255015.0</v>
      </c>
      <c r="EK173" s="62">
        <v>33281.0</v>
      </c>
      <c r="EL173" s="62">
        <v>64382.0</v>
      </c>
      <c r="EM173" s="62">
        <v>128837.0</v>
      </c>
      <c r="EN173" s="62">
        <v>373503.0</v>
      </c>
      <c r="EO173" s="62">
        <v>46354.0</v>
      </c>
      <c r="EP173" s="62">
        <v>104013.0</v>
      </c>
      <c r="EQ173" s="62">
        <v>493567.0</v>
      </c>
      <c r="ER173" s="62">
        <v>16667.0</v>
      </c>
      <c r="ES173" s="62">
        <v>173564.0</v>
      </c>
      <c r="ET173" s="62">
        <v>174395.0</v>
      </c>
      <c r="EU173" s="62">
        <v>1.7185962E7</v>
      </c>
      <c r="EV173" s="62">
        <v>1270128.0</v>
      </c>
      <c r="EW173" s="62">
        <v>210624.0</v>
      </c>
      <c r="EX173" s="62">
        <v>911422.0</v>
      </c>
      <c r="EY173" s="62">
        <v>6107319.0</v>
      </c>
      <c r="EZ173" s="62">
        <v>2786823.0</v>
      </c>
      <c r="FA173" s="62">
        <v>2503306.0</v>
      </c>
      <c r="FB173" s="62">
        <v>4.0481662E7</v>
      </c>
      <c r="FC173" s="62">
        <v>348674.0</v>
      </c>
      <c r="FD173" s="62">
        <v>8664473.0</v>
      </c>
      <c r="FE173" s="62">
        <v>5170938.0</v>
      </c>
      <c r="FF173" s="62">
        <v>751497.0</v>
      </c>
      <c r="FG173" s="62">
        <v>8499737.0</v>
      </c>
      <c r="FH173" s="62">
        <v>5888435.0</v>
      </c>
      <c r="FI173" s="62">
        <v>3341040.0</v>
      </c>
      <c r="FJ173" s="62">
        <v>237904.0</v>
      </c>
      <c r="FK173" s="62">
        <v>433820.0</v>
      </c>
      <c r="FL173" s="62">
        <v>1432304.0</v>
      </c>
      <c r="FM173" s="62">
        <v>2150656.0</v>
      </c>
      <c r="FN173" s="62">
        <v>4.7903297E7</v>
      </c>
      <c r="FO173" s="62">
        <v>2.1086119E7</v>
      </c>
      <c r="FP173" s="62">
        <v>6520505.0</v>
      </c>
      <c r="FQ173" s="62">
        <v>1095259.0</v>
      </c>
      <c r="FR173" s="62">
        <v>9693.0</v>
      </c>
      <c r="FS173" s="62">
        <v>1172311.0</v>
      </c>
      <c r="FT173" s="62">
        <v>1.0655805E7</v>
      </c>
      <c r="FU173" s="62">
        <v>1.1714455E7</v>
      </c>
      <c r="FV173" s="62">
        <v>7221795.0</v>
      </c>
      <c r="FW173" s="62">
        <v>2.6338835E7</v>
      </c>
      <c r="FX173" s="62">
        <v>2482452.0</v>
      </c>
      <c r="FY173" s="62">
        <v>8223155.0</v>
      </c>
      <c r="FZ173" s="62">
        <v>313020.0</v>
      </c>
      <c r="GA173" s="62">
        <v>4238226.0</v>
      </c>
      <c r="GB173" s="62">
        <v>1992868.0</v>
      </c>
      <c r="GC173" s="62">
        <v>1170885.0</v>
      </c>
      <c r="GD173" s="62">
        <v>418855.0</v>
      </c>
      <c r="GE173" s="62">
        <v>3673726.0</v>
      </c>
      <c r="GF173" s="63">
        <v>2.95388768E8</v>
      </c>
      <c r="GG173" s="64">
        <v>3.48955944E8</v>
      </c>
      <c r="GH173" s="65">
        <v>0.0</v>
      </c>
      <c r="GI173" s="64">
        <v>0.0</v>
      </c>
      <c r="GJ173" s="64">
        <v>0.0</v>
      </c>
      <c r="GK173" s="64">
        <v>0.0</v>
      </c>
      <c r="GL173" s="64">
        <v>0.0</v>
      </c>
      <c r="GM173" s="64">
        <v>1.5052449E7</v>
      </c>
      <c r="GN173" s="63">
        <v>3.64008393E8</v>
      </c>
      <c r="GO173" s="66">
        <v>6.59397161E8</v>
      </c>
      <c r="GP173" s="64">
        <v>0.0</v>
      </c>
      <c r="GQ173" s="64">
        <v>3.9755824E7</v>
      </c>
      <c r="GR173" s="65">
        <v>0.0</v>
      </c>
      <c r="GS173" s="63">
        <v>3.9755824E7</v>
      </c>
      <c r="GT173" s="67">
        <v>0.0</v>
      </c>
      <c r="GU173" s="67">
        <v>0.0</v>
      </c>
      <c r="GV173" s="67">
        <v>0.0</v>
      </c>
      <c r="GW173" s="63">
        <v>0.0</v>
      </c>
      <c r="GX173" s="63">
        <v>1.4191006E7</v>
      </c>
      <c r="GY173" s="63">
        <v>6.05450331E8</v>
      </c>
      <c r="GZ173" s="66">
        <v>6.59397161E8</v>
      </c>
    </row>
    <row r="174" ht="15.75" customHeight="1">
      <c r="A174" s="60">
        <v>169.0</v>
      </c>
      <c r="B174" s="61" t="s">
        <v>214</v>
      </c>
      <c r="C174" s="62">
        <v>0.0</v>
      </c>
      <c r="D174" s="62">
        <v>0.0</v>
      </c>
      <c r="E174" s="62">
        <v>0.0</v>
      </c>
      <c r="F174" s="62">
        <v>0.0</v>
      </c>
      <c r="G174" s="62">
        <v>0.0</v>
      </c>
      <c r="H174" s="62">
        <v>0.0</v>
      </c>
      <c r="I174" s="62">
        <v>0.0</v>
      </c>
      <c r="J174" s="62">
        <v>0.0</v>
      </c>
      <c r="K174" s="62">
        <v>0.0</v>
      </c>
      <c r="L174" s="62">
        <v>0.0</v>
      </c>
      <c r="M174" s="62">
        <v>0.0</v>
      </c>
      <c r="N174" s="62">
        <v>0.0</v>
      </c>
      <c r="O174" s="62">
        <v>0.0</v>
      </c>
      <c r="P174" s="62">
        <v>0.0</v>
      </c>
      <c r="Q174" s="62">
        <v>0.0</v>
      </c>
      <c r="R174" s="62">
        <v>0.0</v>
      </c>
      <c r="S174" s="62">
        <v>0.0</v>
      </c>
      <c r="T174" s="62">
        <v>0.0</v>
      </c>
      <c r="U174" s="62">
        <v>0.0</v>
      </c>
      <c r="V174" s="62">
        <v>0.0</v>
      </c>
      <c r="W174" s="62">
        <v>0.0</v>
      </c>
      <c r="X174" s="62">
        <v>0.0</v>
      </c>
      <c r="Y174" s="62">
        <v>0.0</v>
      </c>
      <c r="Z174" s="62">
        <v>0.0</v>
      </c>
      <c r="AA174" s="62">
        <v>0.0</v>
      </c>
      <c r="AB174" s="62">
        <v>0.0</v>
      </c>
      <c r="AC174" s="62">
        <v>0.0</v>
      </c>
      <c r="AD174" s="62">
        <v>0.0</v>
      </c>
      <c r="AE174" s="62">
        <v>0.0</v>
      </c>
      <c r="AF174" s="62">
        <v>0.0</v>
      </c>
      <c r="AG174" s="62">
        <v>0.0</v>
      </c>
      <c r="AH174" s="62">
        <v>0.0</v>
      </c>
      <c r="AI174" s="62">
        <v>0.0</v>
      </c>
      <c r="AJ174" s="62">
        <v>0.0</v>
      </c>
      <c r="AK174" s="62">
        <v>0.0</v>
      </c>
      <c r="AL174" s="62">
        <v>0.0</v>
      </c>
      <c r="AM174" s="62">
        <v>2821232.0</v>
      </c>
      <c r="AN174" s="62">
        <v>104429.0</v>
      </c>
      <c r="AO174" s="62">
        <v>83171.0</v>
      </c>
      <c r="AP174" s="62">
        <v>9217.0</v>
      </c>
      <c r="AQ174" s="62">
        <v>38473.0</v>
      </c>
      <c r="AR174" s="62">
        <v>19267.0</v>
      </c>
      <c r="AS174" s="62">
        <v>141944.0</v>
      </c>
      <c r="AT174" s="62">
        <v>16881.0</v>
      </c>
      <c r="AU174" s="62">
        <v>12503.0</v>
      </c>
      <c r="AV174" s="62">
        <v>233930.0</v>
      </c>
      <c r="AW174" s="62">
        <v>4853.0</v>
      </c>
      <c r="AX174" s="62">
        <v>908437.0</v>
      </c>
      <c r="AY174" s="62">
        <v>1167.0</v>
      </c>
      <c r="AZ174" s="62">
        <v>5315.0</v>
      </c>
      <c r="BA174" s="62">
        <v>26712.0</v>
      </c>
      <c r="BB174" s="62">
        <v>209210.0</v>
      </c>
      <c r="BC174" s="62">
        <v>7310.0</v>
      </c>
      <c r="BD174" s="62">
        <v>792.0</v>
      </c>
      <c r="BE174" s="62">
        <v>0.0</v>
      </c>
      <c r="BF174" s="62">
        <v>0.0</v>
      </c>
      <c r="BG174" s="62">
        <v>733.0</v>
      </c>
      <c r="BH174" s="62">
        <v>12257.0</v>
      </c>
      <c r="BI174" s="62">
        <v>1830.0</v>
      </c>
      <c r="BJ174" s="62">
        <v>109640.0</v>
      </c>
      <c r="BK174" s="62">
        <v>3207.0</v>
      </c>
      <c r="BL174" s="62">
        <v>400.0</v>
      </c>
      <c r="BM174" s="62">
        <v>17.0</v>
      </c>
      <c r="BN174" s="62">
        <v>0.0</v>
      </c>
      <c r="BO174" s="62">
        <v>22109.0</v>
      </c>
      <c r="BP174" s="62">
        <v>0.0</v>
      </c>
      <c r="BQ174" s="62">
        <v>0.0</v>
      </c>
      <c r="BR174" s="62">
        <v>3461.0</v>
      </c>
      <c r="BS174" s="62">
        <v>0.0</v>
      </c>
      <c r="BT174" s="62">
        <v>9454.0</v>
      </c>
      <c r="BU174" s="62">
        <v>913.0</v>
      </c>
      <c r="BV174" s="62">
        <v>1330.0</v>
      </c>
      <c r="BW174" s="62">
        <v>2552.0</v>
      </c>
      <c r="BX174" s="62">
        <v>12215.0</v>
      </c>
      <c r="BY174" s="62">
        <v>181373.0</v>
      </c>
      <c r="BZ174" s="62">
        <v>12091.0</v>
      </c>
      <c r="CA174" s="62">
        <v>102917.0</v>
      </c>
      <c r="CB174" s="62">
        <v>71166.0</v>
      </c>
      <c r="CC174" s="62">
        <v>8513.0</v>
      </c>
      <c r="CD174" s="62">
        <v>7440.0</v>
      </c>
      <c r="CE174" s="62">
        <v>10966.0</v>
      </c>
      <c r="CF174" s="62">
        <v>31453.0</v>
      </c>
      <c r="CG174" s="62">
        <v>31464.0</v>
      </c>
      <c r="CH174" s="62">
        <v>5357.0</v>
      </c>
      <c r="CI174" s="62">
        <v>26669.0</v>
      </c>
      <c r="CJ174" s="62">
        <v>70705.0</v>
      </c>
      <c r="CK174" s="62">
        <v>150540.0</v>
      </c>
      <c r="CL174" s="62">
        <v>85925.0</v>
      </c>
      <c r="CM174" s="62">
        <v>30696.0</v>
      </c>
      <c r="CN174" s="62">
        <v>7017.0</v>
      </c>
      <c r="CO174" s="62">
        <v>14257.0</v>
      </c>
      <c r="CP174" s="62">
        <v>25155.0</v>
      </c>
      <c r="CQ174" s="62">
        <v>21475.0</v>
      </c>
      <c r="CR174" s="62">
        <v>44108.0</v>
      </c>
      <c r="CS174" s="62">
        <v>21468.0</v>
      </c>
      <c r="CT174" s="62">
        <v>357051.0</v>
      </c>
      <c r="CU174" s="62">
        <v>49147.0</v>
      </c>
      <c r="CV174" s="62">
        <v>91373.0</v>
      </c>
      <c r="CW174" s="62">
        <v>9947.0</v>
      </c>
      <c r="CX174" s="62">
        <v>23982.0</v>
      </c>
      <c r="CY174" s="62">
        <v>1632.0</v>
      </c>
      <c r="CZ174" s="62">
        <v>30990.0</v>
      </c>
      <c r="DA174" s="62">
        <v>56985.0</v>
      </c>
      <c r="DB174" s="62">
        <v>80537.0</v>
      </c>
      <c r="DC174" s="62">
        <v>821885.0</v>
      </c>
      <c r="DD174" s="62">
        <v>12932.0</v>
      </c>
      <c r="DE174" s="62">
        <v>7724.0</v>
      </c>
      <c r="DF174" s="62">
        <v>9275.0</v>
      </c>
      <c r="DG174" s="62">
        <v>1998.0</v>
      </c>
      <c r="DH174" s="62">
        <v>26166.0</v>
      </c>
      <c r="DI174" s="62">
        <v>127889.0</v>
      </c>
      <c r="DJ174" s="62">
        <v>23016.0</v>
      </c>
      <c r="DK174" s="62">
        <v>28696.0</v>
      </c>
      <c r="DL174" s="62">
        <v>107939.0</v>
      </c>
      <c r="DM174" s="62">
        <v>17100.0</v>
      </c>
      <c r="DN174" s="62">
        <v>3636.0</v>
      </c>
      <c r="DO174" s="62">
        <v>77349.0</v>
      </c>
      <c r="DP174" s="62">
        <v>8009.0</v>
      </c>
      <c r="DQ174" s="62">
        <v>53988.0</v>
      </c>
      <c r="DR174" s="62">
        <v>113268.0</v>
      </c>
      <c r="DS174" s="62">
        <v>46745.0</v>
      </c>
      <c r="DT174" s="62">
        <v>38598.0</v>
      </c>
      <c r="DU174" s="62">
        <v>54.0</v>
      </c>
      <c r="DV174" s="62">
        <v>161.0</v>
      </c>
      <c r="DW174" s="62">
        <v>103.0</v>
      </c>
      <c r="DX174" s="62">
        <v>2042.0</v>
      </c>
      <c r="DY174" s="62">
        <v>307.0</v>
      </c>
      <c r="DZ174" s="62">
        <v>12293.0</v>
      </c>
      <c r="EA174" s="62">
        <v>0.0</v>
      </c>
      <c r="EB174" s="62">
        <v>111.0</v>
      </c>
      <c r="EC174" s="62">
        <v>605847.0</v>
      </c>
      <c r="ED174" s="62">
        <v>62380.0</v>
      </c>
      <c r="EE174" s="62">
        <v>2939.0</v>
      </c>
      <c r="EF174" s="62">
        <v>3109.0</v>
      </c>
      <c r="EG174" s="62">
        <v>1186.0</v>
      </c>
      <c r="EH174" s="62">
        <v>202643.0</v>
      </c>
      <c r="EI174" s="62">
        <v>64695.0</v>
      </c>
      <c r="EJ174" s="62">
        <v>11900.0</v>
      </c>
      <c r="EK174" s="62">
        <v>1575.0</v>
      </c>
      <c r="EL174" s="62">
        <v>6781.0</v>
      </c>
      <c r="EM174" s="62">
        <v>12058.0</v>
      </c>
      <c r="EN174" s="62">
        <v>8141.0</v>
      </c>
      <c r="EO174" s="62">
        <v>8816.0</v>
      </c>
      <c r="EP174" s="62">
        <v>27683.0</v>
      </c>
      <c r="EQ174" s="62">
        <v>173173.0</v>
      </c>
      <c r="ER174" s="62">
        <v>0.0</v>
      </c>
      <c r="ES174" s="62">
        <v>63875.0</v>
      </c>
      <c r="ET174" s="62">
        <v>20407.0</v>
      </c>
      <c r="EU174" s="62">
        <v>1.7962145E7</v>
      </c>
      <c r="EV174" s="62">
        <v>36116.0</v>
      </c>
      <c r="EW174" s="62">
        <v>75407.0</v>
      </c>
      <c r="EX174" s="62">
        <v>194454.0</v>
      </c>
      <c r="EY174" s="62">
        <v>493459.0</v>
      </c>
      <c r="EZ174" s="62">
        <v>940735.0</v>
      </c>
      <c r="FA174" s="62">
        <v>1992509.0</v>
      </c>
      <c r="FB174" s="62">
        <v>9084030.0</v>
      </c>
      <c r="FC174" s="62">
        <v>63942.0</v>
      </c>
      <c r="FD174" s="62">
        <v>2649135.0</v>
      </c>
      <c r="FE174" s="62">
        <v>480222.0</v>
      </c>
      <c r="FF174" s="62">
        <v>186008.0</v>
      </c>
      <c r="FG174" s="62">
        <v>1034712.0</v>
      </c>
      <c r="FH174" s="62">
        <v>921119.0</v>
      </c>
      <c r="FI174" s="62">
        <v>503924.0</v>
      </c>
      <c r="FJ174" s="62">
        <v>39358.0</v>
      </c>
      <c r="FK174" s="62">
        <v>32806.0</v>
      </c>
      <c r="FL174" s="62">
        <v>1268262.0</v>
      </c>
      <c r="FM174" s="62">
        <v>1180405.0</v>
      </c>
      <c r="FN174" s="62">
        <v>1.2741642E7</v>
      </c>
      <c r="FO174" s="62">
        <v>1.9307802E7</v>
      </c>
      <c r="FP174" s="62">
        <v>4924396.0</v>
      </c>
      <c r="FQ174" s="62">
        <v>1559429.0</v>
      </c>
      <c r="FR174" s="62">
        <v>5481.0</v>
      </c>
      <c r="FS174" s="62">
        <v>1362888.0</v>
      </c>
      <c r="FT174" s="62">
        <v>8586139.0</v>
      </c>
      <c r="FU174" s="62">
        <v>2.5508954E7</v>
      </c>
      <c r="FV174" s="62">
        <v>6170067.0</v>
      </c>
      <c r="FW174" s="62">
        <v>7815143.0</v>
      </c>
      <c r="FX174" s="62">
        <v>865880.0</v>
      </c>
      <c r="FY174" s="62">
        <v>1343244.0</v>
      </c>
      <c r="FZ174" s="62">
        <v>53940.0</v>
      </c>
      <c r="GA174" s="62">
        <v>2335038.0</v>
      </c>
      <c r="GB174" s="62">
        <v>892234.0</v>
      </c>
      <c r="GC174" s="62">
        <v>1072578.0</v>
      </c>
      <c r="GD174" s="62">
        <v>147598.0</v>
      </c>
      <c r="GE174" s="62">
        <v>825736.0</v>
      </c>
      <c r="GF174" s="63">
        <v>1.43962789E8</v>
      </c>
      <c r="GG174" s="64">
        <v>7.0326433E7</v>
      </c>
      <c r="GH174" s="65">
        <v>0.0</v>
      </c>
      <c r="GI174" s="64">
        <v>0.0</v>
      </c>
      <c r="GJ174" s="64">
        <v>1773208.0</v>
      </c>
      <c r="GK174" s="64">
        <v>0.0</v>
      </c>
      <c r="GL174" s="64">
        <v>0.0</v>
      </c>
      <c r="GM174" s="64">
        <v>4364471.0</v>
      </c>
      <c r="GN174" s="63">
        <v>7.6464112E7</v>
      </c>
      <c r="GO174" s="66">
        <v>2.20426901E8</v>
      </c>
      <c r="GP174" s="64">
        <v>0.0</v>
      </c>
      <c r="GQ174" s="64">
        <v>1.0369848E7</v>
      </c>
      <c r="GR174" s="65">
        <v>0.0</v>
      </c>
      <c r="GS174" s="63">
        <v>1.0369848E7</v>
      </c>
      <c r="GT174" s="67">
        <v>0.0</v>
      </c>
      <c r="GU174" s="67">
        <v>0.0</v>
      </c>
      <c r="GV174" s="67">
        <v>0.0</v>
      </c>
      <c r="GW174" s="63">
        <v>0.0</v>
      </c>
      <c r="GX174" s="63">
        <v>2932079.0</v>
      </c>
      <c r="GY174" s="63">
        <v>2.07124974E8</v>
      </c>
      <c r="GZ174" s="66">
        <v>2.20426901E8</v>
      </c>
    </row>
    <row r="175" ht="15.75" customHeight="1">
      <c r="A175" s="68">
        <v>170.0</v>
      </c>
      <c r="B175" s="69" t="s">
        <v>215</v>
      </c>
      <c r="C175" s="70">
        <v>2105130.0</v>
      </c>
      <c r="D175" s="70">
        <v>1222723.0</v>
      </c>
      <c r="E175" s="70">
        <v>78483.0</v>
      </c>
      <c r="F175" s="70">
        <v>703231.0</v>
      </c>
      <c r="G175" s="70">
        <v>36411.0</v>
      </c>
      <c r="H175" s="70">
        <v>97425.0</v>
      </c>
      <c r="I175" s="70">
        <v>131288.0</v>
      </c>
      <c r="J175" s="70">
        <v>206667.0</v>
      </c>
      <c r="K175" s="70">
        <v>3958.0</v>
      </c>
      <c r="L175" s="70">
        <v>1739198.0</v>
      </c>
      <c r="M175" s="70">
        <v>80887.0</v>
      </c>
      <c r="N175" s="70">
        <v>268086.0</v>
      </c>
      <c r="O175" s="70">
        <v>246673.0</v>
      </c>
      <c r="P175" s="70">
        <v>3487.0</v>
      </c>
      <c r="Q175" s="70">
        <v>534167.0</v>
      </c>
      <c r="R175" s="70">
        <v>3315895.0</v>
      </c>
      <c r="S175" s="70">
        <v>168827.0</v>
      </c>
      <c r="T175" s="70">
        <v>1559634.0</v>
      </c>
      <c r="U175" s="70">
        <v>780541.0</v>
      </c>
      <c r="V175" s="70">
        <v>5425527.0</v>
      </c>
      <c r="W175" s="70">
        <v>978362.0</v>
      </c>
      <c r="X175" s="70">
        <v>90528.0</v>
      </c>
      <c r="Y175" s="70">
        <v>930360.0</v>
      </c>
      <c r="Z175" s="70">
        <v>589001.0</v>
      </c>
      <c r="AA175" s="70">
        <v>55729.0</v>
      </c>
      <c r="AB175" s="70">
        <v>1119551.0</v>
      </c>
      <c r="AC175" s="70">
        <v>247985.0</v>
      </c>
      <c r="AD175" s="70">
        <v>4075214.0</v>
      </c>
      <c r="AE175" s="70">
        <v>190056.0</v>
      </c>
      <c r="AF175" s="70">
        <v>746581.0</v>
      </c>
      <c r="AG175" s="70">
        <v>2285111.0</v>
      </c>
      <c r="AH175" s="70">
        <v>1235000.0</v>
      </c>
      <c r="AI175" s="70">
        <v>7545083.0</v>
      </c>
      <c r="AJ175" s="70">
        <v>1578045.0</v>
      </c>
      <c r="AK175" s="70">
        <v>254084.0</v>
      </c>
      <c r="AL175" s="70">
        <v>550169.0</v>
      </c>
      <c r="AM175" s="70">
        <v>7958638.0</v>
      </c>
      <c r="AN175" s="70">
        <v>3674646.0</v>
      </c>
      <c r="AO175" s="70">
        <v>6023394.0</v>
      </c>
      <c r="AP175" s="70">
        <v>54845.0</v>
      </c>
      <c r="AQ175" s="70">
        <v>337750.0</v>
      </c>
      <c r="AR175" s="70">
        <v>110924.0</v>
      </c>
      <c r="AS175" s="70">
        <v>1123085.0</v>
      </c>
      <c r="AT175" s="70">
        <v>164272.0</v>
      </c>
      <c r="AU175" s="70">
        <v>140893.0</v>
      </c>
      <c r="AV175" s="70">
        <v>825288.0</v>
      </c>
      <c r="AW175" s="70">
        <v>29753.0</v>
      </c>
      <c r="AX175" s="70">
        <v>5191515.0</v>
      </c>
      <c r="AY175" s="70">
        <v>534292.0</v>
      </c>
      <c r="AZ175" s="70">
        <v>41685.0</v>
      </c>
      <c r="BA175" s="70">
        <v>432624.0</v>
      </c>
      <c r="BB175" s="70">
        <v>866861.0</v>
      </c>
      <c r="BC175" s="70">
        <v>1310765.0</v>
      </c>
      <c r="BD175" s="70">
        <v>1615483.0</v>
      </c>
      <c r="BE175" s="70">
        <v>393737.0</v>
      </c>
      <c r="BF175" s="70">
        <v>776360.0</v>
      </c>
      <c r="BG175" s="70">
        <v>381330.0</v>
      </c>
      <c r="BH175" s="70">
        <v>3449580.0</v>
      </c>
      <c r="BI175" s="70">
        <v>201687.0</v>
      </c>
      <c r="BJ175" s="70">
        <v>1403159.0</v>
      </c>
      <c r="BK175" s="70">
        <v>128519.0</v>
      </c>
      <c r="BL175" s="70">
        <v>120080.0</v>
      </c>
      <c r="BM175" s="70">
        <v>1051830.0</v>
      </c>
      <c r="BN175" s="70">
        <v>790610.0</v>
      </c>
      <c r="BO175" s="70">
        <v>1076529.0</v>
      </c>
      <c r="BP175" s="70">
        <v>237738.0</v>
      </c>
      <c r="BQ175" s="70">
        <v>683627.0</v>
      </c>
      <c r="BR175" s="70">
        <v>121276.0</v>
      </c>
      <c r="BS175" s="70">
        <v>465263.0</v>
      </c>
      <c r="BT175" s="70">
        <v>2595298.0</v>
      </c>
      <c r="BU175" s="70">
        <v>1817551.0</v>
      </c>
      <c r="BV175" s="70">
        <v>860347.0</v>
      </c>
      <c r="BW175" s="70">
        <v>67355.0</v>
      </c>
      <c r="BX175" s="70">
        <v>853089.0</v>
      </c>
      <c r="BY175" s="70">
        <v>6234244.0</v>
      </c>
      <c r="BZ175" s="70">
        <v>221836.0</v>
      </c>
      <c r="CA175" s="70">
        <v>2666651.0</v>
      </c>
      <c r="CB175" s="70">
        <v>2203333.0</v>
      </c>
      <c r="CC175" s="70">
        <v>23946.0</v>
      </c>
      <c r="CD175" s="70">
        <v>153621.0</v>
      </c>
      <c r="CE175" s="70">
        <v>135385.0</v>
      </c>
      <c r="CF175" s="70">
        <v>633946.0</v>
      </c>
      <c r="CG175" s="70">
        <v>360073.0</v>
      </c>
      <c r="CH175" s="70">
        <v>158363.0</v>
      </c>
      <c r="CI175" s="70">
        <v>1620399.0</v>
      </c>
      <c r="CJ175" s="70">
        <v>487153.0</v>
      </c>
      <c r="CK175" s="70">
        <v>1087061.0</v>
      </c>
      <c r="CL175" s="70">
        <v>495171.0</v>
      </c>
      <c r="CM175" s="70">
        <v>237808.0</v>
      </c>
      <c r="CN175" s="70">
        <v>1082568.0</v>
      </c>
      <c r="CO175" s="70">
        <v>1717675.0</v>
      </c>
      <c r="CP175" s="70">
        <v>1210744.0</v>
      </c>
      <c r="CQ175" s="70">
        <v>664352.0</v>
      </c>
      <c r="CR175" s="70">
        <v>1112480.0</v>
      </c>
      <c r="CS175" s="70">
        <v>5330665.0</v>
      </c>
      <c r="CT175" s="70">
        <v>2200210.0</v>
      </c>
      <c r="CU175" s="70">
        <v>756376.0</v>
      </c>
      <c r="CV175" s="70">
        <v>937949.0</v>
      </c>
      <c r="CW175" s="70">
        <v>184008.0</v>
      </c>
      <c r="CX175" s="70">
        <v>576872.0</v>
      </c>
      <c r="CY175" s="70">
        <v>14422.0</v>
      </c>
      <c r="CZ175" s="70">
        <v>799230.0</v>
      </c>
      <c r="DA175" s="70">
        <v>859980.0</v>
      </c>
      <c r="DB175" s="70">
        <v>615387.0</v>
      </c>
      <c r="DC175" s="70">
        <v>621812.0</v>
      </c>
      <c r="DD175" s="70">
        <v>225230.0</v>
      </c>
      <c r="DE175" s="70">
        <v>1003223.0</v>
      </c>
      <c r="DF175" s="70">
        <v>1232294.0</v>
      </c>
      <c r="DG175" s="70">
        <v>96445.0</v>
      </c>
      <c r="DH175" s="70">
        <v>1490208.0</v>
      </c>
      <c r="DI175" s="70">
        <v>475326.0</v>
      </c>
      <c r="DJ175" s="70">
        <v>525543.0</v>
      </c>
      <c r="DK175" s="70">
        <v>1151887.0</v>
      </c>
      <c r="DL175" s="70">
        <v>1472556.0</v>
      </c>
      <c r="DM175" s="70">
        <v>1605795.0</v>
      </c>
      <c r="DN175" s="70">
        <v>96981.0</v>
      </c>
      <c r="DO175" s="70">
        <v>845705.0</v>
      </c>
      <c r="DP175" s="70">
        <v>140874.0</v>
      </c>
      <c r="DQ175" s="70">
        <v>363470.0</v>
      </c>
      <c r="DR175" s="70">
        <v>1219370.0</v>
      </c>
      <c r="DS175" s="70">
        <v>3855506.0</v>
      </c>
      <c r="DT175" s="70">
        <v>570165.0</v>
      </c>
      <c r="DU175" s="70">
        <v>725612.0</v>
      </c>
      <c r="DV175" s="70">
        <v>1086620.0</v>
      </c>
      <c r="DW175" s="70">
        <v>935515.0</v>
      </c>
      <c r="DX175" s="70">
        <v>1007057.0</v>
      </c>
      <c r="DY175" s="70">
        <v>442791.0</v>
      </c>
      <c r="DZ175" s="70">
        <v>1468025.0</v>
      </c>
      <c r="EA175" s="70">
        <v>250495.0</v>
      </c>
      <c r="EB175" s="70">
        <v>1924995.0</v>
      </c>
      <c r="EC175" s="70">
        <v>7196465.0</v>
      </c>
      <c r="ED175" s="70">
        <v>770374.0</v>
      </c>
      <c r="EE175" s="70">
        <v>84295.0</v>
      </c>
      <c r="EF175" s="70">
        <v>49163.0</v>
      </c>
      <c r="EG175" s="70">
        <v>508262.0</v>
      </c>
      <c r="EH175" s="70">
        <v>3759907.0</v>
      </c>
      <c r="EI175" s="70">
        <v>1662961.0</v>
      </c>
      <c r="EJ175" s="70">
        <v>470465.0</v>
      </c>
      <c r="EK175" s="70">
        <v>128764.0</v>
      </c>
      <c r="EL175" s="70">
        <v>210807.0</v>
      </c>
      <c r="EM175" s="70">
        <v>258784.0</v>
      </c>
      <c r="EN175" s="70">
        <v>527604.0</v>
      </c>
      <c r="EO175" s="70">
        <v>550173.0</v>
      </c>
      <c r="EP175" s="70">
        <v>401957.0</v>
      </c>
      <c r="EQ175" s="70">
        <v>1.4254595E7</v>
      </c>
      <c r="ER175" s="70">
        <v>515578.0</v>
      </c>
      <c r="ES175" s="70">
        <v>346667.0</v>
      </c>
      <c r="ET175" s="70">
        <v>329797.0</v>
      </c>
      <c r="EU175" s="70">
        <v>2.0678658E7</v>
      </c>
      <c r="EV175" s="70">
        <v>3147029.0</v>
      </c>
      <c r="EW175" s="70">
        <v>451647.0</v>
      </c>
      <c r="EX175" s="70">
        <v>2151451.0</v>
      </c>
      <c r="EY175" s="70">
        <v>9017419.0</v>
      </c>
      <c r="EZ175" s="70">
        <v>1.4699856E7</v>
      </c>
      <c r="FA175" s="70">
        <v>1.0324117E7</v>
      </c>
      <c r="FB175" s="70">
        <v>1.15337357E8</v>
      </c>
      <c r="FC175" s="70">
        <v>300989.0</v>
      </c>
      <c r="FD175" s="70">
        <v>1.3282585E7</v>
      </c>
      <c r="FE175" s="70">
        <v>1991371.0</v>
      </c>
      <c r="FF175" s="70">
        <v>872334.0</v>
      </c>
      <c r="FG175" s="70">
        <v>8252118.0</v>
      </c>
      <c r="FH175" s="70">
        <v>3569616.0</v>
      </c>
      <c r="FI175" s="70">
        <v>1501591.0</v>
      </c>
      <c r="FJ175" s="70">
        <v>1395726.0</v>
      </c>
      <c r="FK175" s="70">
        <v>9801482.0</v>
      </c>
      <c r="FL175" s="70">
        <v>1707150.0</v>
      </c>
      <c r="FM175" s="70">
        <v>676388.0</v>
      </c>
      <c r="FN175" s="70">
        <v>7586189.0</v>
      </c>
      <c r="FO175" s="70">
        <v>1536042.0</v>
      </c>
      <c r="FP175" s="70">
        <v>1.7692112E7</v>
      </c>
      <c r="FQ175" s="70">
        <v>4874586.0</v>
      </c>
      <c r="FR175" s="70">
        <v>342923.0</v>
      </c>
      <c r="FS175" s="70">
        <v>2062160.0</v>
      </c>
      <c r="FT175" s="70">
        <v>1.5250067E7</v>
      </c>
      <c r="FU175" s="70">
        <v>1.0072952E7</v>
      </c>
      <c r="FV175" s="70">
        <v>2.4065907E7</v>
      </c>
      <c r="FW175" s="70">
        <v>5335008.0</v>
      </c>
      <c r="FX175" s="70">
        <v>2483632.0</v>
      </c>
      <c r="FY175" s="70">
        <v>3847816.0</v>
      </c>
      <c r="FZ175" s="70">
        <v>179878.0</v>
      </c>
      <c r="GA175" s="70">
        <v>2310776.0</v>
      </c>
      <c r="GB175" s="70">
        <v>4179426.0</v>
      </c>
      <c r="GC175" s="70">
        <v>2162835.0</v>
      </c>
      <c r="GD175" s="70">
        <v>2251607.0</v>
      </c>
      <c r="GE175" s="70">
        <v>1.4103766E7</v>
      </c>
      <c r="GF175" s="71">
        <v>5.20229367E8</v>
      </c>
      <c r="GG175" s="72">
        <v>1.62740601E8</v>
      </c>
      <c r="GH175" s="73">
        <v>0.0</v>
      </c>
      <c r="GI175" s="72">
        <v>1.5603595E7</v>
      </c>
      <c r="GJ175" s="72">
        <v>0.0</v>
      </c>
      <c r="GK175" s="72">
        <v>0.0</v>
      </c>
      <c r="GL175" s="72">
        <v>0.0</v>
      </c>
      <c r="GM175" s="72">
        <v>6410081.0</v>
      </c>
      <c r="GN175" s="71">
        <v>1.84754277E8</v>
      </c>
      <c r="GO175" s="74">
        <v>7.04983644E8</v>
      </c>
      <c r="GP175" s="72">
        <v>0.0</v>
      </c>
      <c r="GQ175" s="72">
        <v>1.5682206E7</v>
      </c>
      <c r="GR175" s="73">
        <v>0.0</v>
      </c>
      <c r="GS175" s="71">
        <v>1.5682206E7</v>
      </c>
      <c r="GT175" s="75">
        <v>0.0</v>
      </c>
      <c r="GU175" s="75">
        <v>0.0</v>
      </c>
      <c r="GV175" s="75">
        <v>0.0</v>
      </c>
      <c r="GW175" s="71">
        <v>0.0</v>
      </c>
      <c r="GX175" s="71">
        <v>0.0</v>
      </c>
      <c r="GY175" s="71">
        <v>6.89301438E8</v>
      </c>
      <c r="GZ175" s="74">
        <v>7.04983644E8</v>
      </c>
    </row>
    <row r="176" ht="15.75" customHeight="1">
      <c r="A176" s="52">
        <v>171.0</v>
      </c>
      <c r="B176" s="53" t="s">
        <v>216</v>
      </c>
      <c r="C176" s="54">
        <v>2876.0</v>
      </c>
      <c r="D176" s="54">
        <v>1737.0</v>
      </c>
      <c r="E176" s="54">
        <v>309.0</v>
      </c>
      <c r="F176" s="54">
        <v>1946.0</v>
      </c>
      <c r="G176" s="54">
        <v>80.0</v>
      </c>
      <c r="H176" s="54">
        <v>163.0</v>
      </c>
      <c r="I176" s="54">
        <v>155.0</v>
      </c>
      <c r="J176" s="54">
        <v>344.0</v>
      </c>
      <c r="K176" s="54">
        <v>3.0</v>
      </c>
      <c r="L176" s="54">
        <v>967.0</v>
      </c>
      <c r="M176" s="54">
        <v>37.0</v>
      </c>
      <c r="N176" s="54">
        <v>458.0</v>
      </c>
      <c r="O176" s="54">
        <v>207.0</v>
      </c>
      <c r="P176" s="54">
        <v>215.0</v>
      </c>
      <c r="Q176" s="54">
        <v>2451.0</v>
      </c>
      <c r="R176" s="54">
        <v>1232.0</v>
      </c>
      <c r="S176" s="54">
        <v>537.0</v>
      </c>
      <c r="T176" s="54">
        <v>4272.0</v>
      </c>
      <c r="U176" s="54">
        <v>2209.0</v>
      </c>
      <c r="V176" s="54">
        <v>13832.0</v>
      </c>
      <c r="W176" s="54">
        <v>1800.0</v>
      </c>
      <c r="X176" s="54">
        <v>408.0</v>
      </c>
      <c r="Y176" s="54">
        <v>2699.0</v>
      </c>
      <c r="Z176" s="54">
        <v>1733.0</v>
      </c>
      <c r="AA176" s="54">
        <v>179.0</v>
      </c>
      <c r="AB176" s="54">
        <v>112.0</v>
      </c>
      <c r="AC176" s="54">
        <v>1.0</v>
      </c>
      <c r="AD176" s="54">
        <v>16.0</v>
      </c>
      <c r="AE176" s="54">
        <v>0.0</v>
      </c>
      <c r="AF176" s="54">
        <v>582.0</v>
      </c>
      <c r="AG176" s="54">
        <v>13651.0</v>
      </c>
      <c r="AH176" s="54">
        <v>7244.0</v>
      </c>
      <c r="AI176" s="54">
        <v>32181.0</v>
      </c>
      <c r="AJ176" s="54">
        <v>3353.0</v>
      </c>
      <c r="AK176" s="54">
        <v>551.0</v>
      </c>
      <c r="AL176" s="54">
        <v>1359.0</v>
      </c>
      <c r="AM176" s="54">
        <v>64738.0</v>
      </c>
      <c r="AN176" s="54">
        <v>2321337.0</v>
      </c>
      <c r="AO176" s="54">
        <v>330662.0</v>
      </c>
      <c r="AP176" s="54">
        <v>566.0</v>
      </c>
      <c r="AQ176" s="54">
        <v>2964.0</v>
      </c>
      <c r="AR176" s="54">
        <v>1183.0</v>
      </c>
      <c r="AS176" s="54">
        <v>13908.0</v>
      </c>
      <c r="AT176" s="54">
        <v>2985.0</v>
      </c>
      <c r="AU176" s="54">
        <v>2339.0</v>
      </c>
      <c r="AV176" s="54">
        <v>11633.0</v>
      </c>
      <c r="AW176" s="54">
        <v>528.0</v>
      </c>
      <c r="AX176" s="54">
        <v>26364.0</v>
      </c>
      <c r="AY176" s="54">
        <v>3339.0</v>
      </c>
      <c r="AZ176" s="54">
        <v>243.0</v>
      </c>
      <c r="BA176" s="54">
        <v>12544.0</v>
      </c>
      <c r="BB176" s="54">
        <v>3579.0</v>
      </c>
      <c r="BC176" s="54">
        <v>16.0</v>
      </c>
      <c r="BD176" s="54">
        <v>303.0</v>
      </c>
      <c r="BE176" s="54">
        <v>2.0</v>
      </c>
      <c r="BF176" s="54">
        <v>5.0</v>
      </c>
      <c r="BG176" s="54">
        <v>4.0</v>
      </c>
      <c r="BH176" s="54">
        <v>21.0</v>
      </c>
      <c r="BI176" s="54">
        <v>2.0</v>
      </c>
      <c r="BJ176" s="54">
        <v>123.0</v>
      </c>
      <c r="BK176" s="54">
        <v>204.0</v>
      </c>
      <c r="BL176" s="54">
        <v>100.0</v>
      </c>
      <c r="BM176" s="54">
        <v>101.0</v>
      </c>
      <c r="BN176" s="54">
        <v>114.0</v>
      </c>
      <c r="BO176" s="54">
        <v>212.0</v>
      </c>
      <c r="BP176" s="54">
        <v>2.0</v>
      </c>
      <c r="BQ176" s="54">
        <v>6.0</v>
      </c>
      <c r="BR176" s="54">
        <v>2.0</v>
      </c>
      <c r="BS176" s="54">
        <v>0.0</v>
      </c>
      <c r="BT176" s="54">
        <v>21.0</v>
      </c>
      <c r="BU176" s="54">
        <v>186.0</v>
      </c>
      <c r="BV176" s="54">
        <v>8.0</v>
      </c>
      <c r="BW176" s="54">
        <v>185.0</v>
      </c>
      <c r="BX176" s="54">
        <v>1989.0</v>
      </c>
      <c r="BY176" s="54">
        <v>51858.0</v>
      </c>
      <c r="BZ176" s="54">
        <v>3153.0</v>
      </c>
      <c r="CA176" s="54">
        <v>8678.0</v>
      </c>
      <c r="CB176" s="54">
        <v>7556.0</v>
      </c>
      <c r="CC176" s="54">
        <v>53.0</v>
      </c>
      <c r="CD176" s="54">
        <v>245.0</v>
      </c>
      <c r="CE176" s="54">
        <v>414.0</v>
      </c>
      <c r="CF176" s="54">
        <v>2699.0</v>
      </c>
      <c r="CG176" s="54">
        <v>183.0</v>
      </c>
      <c r="CH176" s="54">
        <v>38.0</v>
      </c>
      <c r="CI176" s="54">
        <v>335.0</v>
      </c>
      <c r="CJ176" s="54">
        <v>228.0</v>
      </c>
      <c r="CK176" s="54">
        <v>506.0</v>
      </c>
      <c r="CL176" s="54">
        <v>178.0</v>
      </c>
      <c r="CM176" s="54">
        <v>402.0</v>
      </c>
      <c r="CN176" s="54">
        <v>550.0</v>
      </c>
      <c r="CO176" s="54">
        <v>1762.0</v>
      </c>
      <c r="CP176" s="54">
        <v>2812.0</v>
      </c>
      <c r="CQ176" s="54">
        <v>1151.0</v>
      </c>
      <c r="CR176" s="54">
        <v>513.0</v>
      </c>
      <c r="CS176" s="54">
        <v>40098.0</v>
      </c>
      <c r="CT176" s="54">
        <v>4229.0</v>
      </c>
      <c r="CU176" s="54">
        <v>1432.0</v>
      </c>
      <c r="CV176" s="54">
        <v>1973.0</v>
      </c>
      <c r="CW176" s="54">
        <v>251.0</v>
      </c>
      <c r="CX176" s="54">
        <v>707.0</v>
      </c>
      <c r="CY176" s="54">
        <v>26.0</v>
      </c>
      <c r="CZ176" s="54">
        <v>946.0</v>
      </c>
      <c r="DA176" s="54">
        <v>6049.0</v>
      </c>
      <c r="DB176" s="54">
        <v>800.0</v>
      </c>
      <c r="DC176" s="54">
        <v>7921.0</v>
      </c>
      <c r="DD176" s="54">
        <v>304.0</v>
      </c>
      <c r="DE176" s="54">
        <v>5189.0</v>
      </c>
      <c r="DF176" s="54">
        <v>0.0</v>
      </c>
      <c r="DG176" s="54">
        <v>223.0</v>
      </c>
      <c r="DH176" s="54">
        <v>500.0</v>
      </c>
      <c r="DI176" s="54">
        <v>34.0</v>
      </c>
      <c r="DJ176" s="54">
        <v>134.0</v>
      </c>
      <c r="DK176" s="54">
        <v>111.0</v>
      </c>
      <c r="DL176" s="54">
        <v>475.0</v>
      </c>
      <c r="DM176" s="54">
        <v>288.0</v>
      </c>
      <c r="DN176" s="54">
        <v>19.0</v>
      </c>
      <c r="DO176" s="54">
        <v>129.0</v>
      </c>
      <c r="DP176" s="54">
        <v>21.0</v>
      </c>
      <c r="DQ176" s="54">
        <v>66.0</v>
      </c>
      <c r="DR176" s="54">
        <v>2124.0</v>
      </c>
      <c r="DS176" s="54">
        <v>197711.0</v>
      </c>
      <c r="DT176" s="54">
        <v>32725.0</v>
      </c>
      <c r="DU176" s="54">
        <v>8417.0</v>
      </c>
      <c r="DV176" s="54">
        <v>96610.0</v>
      </c>
      <c r="DW176" s="54">
        <v>50139.0</v>
      </c>
      <c r="DX176" s="54">
        <v>72388.0</v>
      </c>
      <c r="DY176" s="54">
        <v>250550.0</v>
      </c>
      <c r="DZ176" s="54">
        <v>54845.0</v>
      </c>
      <c r="EA176" s="54">
        <v>13032.0</v>
      </c>
      <c r="EB176" s="54">
        <v>94827.0</v>
      </c>
      <c r="EC176" s="54">
        <v>368712.0</v>
      </c>
      <c r="ED176" s="54">
        <v>9959.0</v>
      </c>
      <c r="EE176" s="54">
        <v>1051.0</v>
      </c>
      <c r="EF176" s="54">
        <v>1162.0</v>
      </c>
      <c r="EG176" s="54">
        <v>6732.0</v>
      </c>
      <c r="EH176" s="54">
        <v>51272.0</v>
      </c>
      <c r="EI176" s="54">
        <v>142552.0</v>
      </c>
      <c r="EJ176" s="54">
        <v>1129.0</v>
      </c>
      <c r="EK176" s="54">
        <v>1734.0</v>
      </c>
      <c r="EL176" s="54">
        <v>1011.0</v>
      </c>
      <c r="EM176" s="54">
        <v>0.0</v>
      </c>
      <c r="EN176" s="54">
        <v>0.0</v>
      </c>
      <c r="EO176" s="54">
        <v>380.0</v>
      </c>
      <c r="EP176" s="54">
        <v>11749.0</v>
      </c>
      <c r="EQ176" s="54">
        <v>54953.0</v>
      </c>
      <c r="ER176" s="54">
        <v>2623.0</v>
      </c>
      <c r="ES176" s="54">
        <v>6263.0</v>
      </c>
      <c r="ET176" s="54">
        <v>3874.0</v>
      </c>
      <c r="EU176" s="54">
        <v>2474697.0</v>
      </c>
      <c r="EV176" s="54">
        <v>181753.0</v>
      </c>
      <c r="EW176" s="54">
        <v>15348.0</v>
      </c>
      <c r="EX176" s="54">
        <v>202208.0</v>
      </c>
      <c r="EY176" s="54">
        <v>653784.0</v>
      </c>
      <c r="EZ176" s="54">
        <v>576124.0</v>
      </c>
      <c r="FA176" s="54">
        <v>795228.0</v>
      </c>
      <c r="FB176" s="54">
        <v>4853734.0</v>
      </c>
      <c r="FC176" s="54">
        <v>2649.0</v>
      </c>
      <c r="FD176" s="54">
        <v>37810.0</v>
      </c>
      <c r="FE176" s="54">
        <v>672717.0</v>
      </c>
      <c r="FF176" s="54">
        <v>465929.0</v>
      </c>
      <c r="FG176" s="54">
        <v>511331.0</v>
      </c>
      <c r="FH176" s="54">
        <v>891689.0</v>
      </c>
      <c r="FI176" s="54">
        <v>386312.0</v>
      </c>
      <c r="FJ176" s="54">
        <v>22095.0</v>
      </c>
      <c r="FK176" s="54">
        <v>95369.0</v>
      </c>
      <c r="FL176" s="54">
        <v>249326.0</v>
      </c>
      <c r="FM176" s="54">
        <v>154837.0</v>
      </c>
      <c r="FN176" s="54">
        <v>2510312.0</v>
      </c>
      <c r="FO176" s="54">
        <v>119135.0</v>
      </c>
      <c r="FP176" s="54">
        <v>2.4453127E7</v>
      </c>
      <c r="FQ176" s="54">
        <v>1621770.0</v>
      </c>
      <c r="FR176" s="54">
        <v>6653.0</v>
      </c>
      <c r="FS176" s="54">
        <v>252027.0</v>
      </c>
      <c r="FT176" s="54">
        <v>4370156.0</v>
      </c>
      <c r="FU176" s="54">
        <v>30402.0</v>
      </c>
      <c r="FV176" s="54">
        <v>602511.0</v>
      </c>
      <c r="FW176" s="54">
        <v>102131.0</v>
      </c>
      <c r="FX176" s="54">
        <v>2490.0</v>
      </c>
      <c r="FY176" s="54">
        <v>716377.0</v>
      </c>
      <c r="FZ176" s="54">
        <v>670.0</v>
      </c>
      <c r="GA176" s="54">
        <v>107427.0</v>
      </c>
      <c r="GB176" s="54">
        <v>287403.0</v>
      </c>
      <c r="GC176" s="54">
        <v>6256.0</v>
      </c>
      <c r="GD176" s="54">
        <v>2299.0</v>
      </c>
      <c r="GE176" s="54">
        <v>273011.0</v>
      </c>
      <c r="GF176" s="55">
        <v>5.3303277E7</v>
      </c>
      <c r="GG176" s="56">
        <v>1.27545366E8</v>
      </c>
      <c r="GH176" s="57">
        <v>0.0</v>
      </c>
      <c r="GI176" s="56">
        <v>0.0</v>
      </c>
      <c r="GJ176" s="56">
        <v>0.0</v>
      </c>
      <c r="GK176" s="56">
        <v>0.0</v>
      </c>
      <c r="GL176" s="56">
        <v>0.0</v>
      </c>
      <c r="GM176" s="56">
        <v>4317037.0</v>
      </c>
      <c r="GN176" s="55">
        <v>1.31862403E8</v>
      </c>
      <c r="GO176" s="58">
        <v>1.8516568E8</v>
      </c>
      <c r="GP176" s="56">
        <v>0.0</v>
      </c>
      <c r="GQ176" s="56">
        <v>1.6625315E7</v>
      </c>
      <c r="GR176" s="57">
        <v>-4157527.0</v>
      </c>
      <c r="GS176" s="55">
        <v>1.2467788E7</v>
      </c>
      <c r="GT176" s="59">
        <v>0.0</v>
      </c>
      <c r="GU176" s="59">
        <v>0.0</v>
      </c>
      <c r="GV176" s="59">
        <v>0.0</v>
      </c>
      <c r="GW176" s="55">
        <v>0.0</v>
      </c>
      <c r="GX176" s="55">
        <v>0.0</v>
      </c>
      <c r="GY176" s="55">
        <v>1.72697892E8</v>
      </c>
      <c r="GZ176" s="58">
        <v>1.8516568E8</v>
      </c>
    </row>
    <row r="177" ht="15.75" customHeight="1">
      <c r="A177" s="60">
        <v>172.0</v>
      </c>
      <c r="B177" s="61" t="s">
        <v>217</v>
      </c>
      <c r="C177" s="62">
        <v>0.0</v>
      </c>
      <c r="D177" s="62">
        <v>0.0</v>
      </c>
      <c r="E177" s="62">
        <v>0.0</v>
      </c>
      <c r="F177" s="62">
        <v>0.0</v>
      </c>
      <c r="G177" s="62">
        <v>0.0</v>
      </c>
      <c r="H177" s="62">
        <v>0.0</v>
      </c>
      <c r="I177" s="62">
        <v>0.0</v>
      </c>
      <c r="J177" s="62">
        <v>0.0</v>
      </c>
      <c r="K177" s="62">
        <v>0.0</v>
      </c>
      <c r="L177" s="62">
        <v>0.0</v>
      </c>
      <c r="M177" s="62">
        <v>0.0</v>
      </c>
      <c r="N177" s="62">
        <v>0.0</v>
      </c>
      <c r="O177" s="62">
        <v>0.0</v>
      </c>
      <c r="P177" s="62">
        <v>0.0</v>
      </c>
      <c r="Q177" s="62">
        <v>0.0</v>
      </c>
      <c r="R177" s="62">
        <v>0.0</v>
      </c>
      <c r="S177" s="62">
        <v>0.0</v>
      </c>
      <c r="T177" s="62">
        <v>0.0</v>
      </c>
      <c r="U177" s="62">
        <v>0.0</v>
      </c>
      <c r="V177" s="62">
        <v>0.0</v>
      </c>
      <c r="W177" s="62">
        <v>0.0</v>
      </c>
      <c r="X177" s="62">
        <v>0.0</v>
      </c>
      <c r="Y177" s="62">
        <v>0.0</v>
      </c>
      <c r="Z177" s="62">
        <v>0.0</v>
      </c>
      <c r="AA177" s="62">
        <v>0.0</v>
      </c>
      <c r="AB177" s="62">
        <v>0.0</v>
      </c>
      <c r="AC177" s="62">
        <v>0.0</v>
      </c>
      <c r="AD177" s="62">
        <v>0.0</v>
      </c>
      <c r="AE177" s="62">
        <v>0.0</v>
      </c>
      <c r="AF177" s="62">
        <v>0.0</v>
      </c>
      <c r="AG177" s="62">
        <v>0.0</v>
      </c>
      <c r="AH177" s="62">
        <v>0.0</v>
      </c>
      <c r="AI177" s="62">
        <v>0.0</v>
      </c>
      <c r="AJ177" s="62">
        <v>0.0</v>
      </c>
      <c r="AK177" s="62">
        <v>0.0</v>
      </c>
      <c r="AL177" s="62">
        <v>0.0</v>
      </c>
      <c r="AM177" s="62">
        <v>0.0</v>
      </c>
      <c r="AN177" s="62">
        <v>0.0</v>
      </c>
      <c r="AO177" s="62">
        <v>0.0</v>
      </c>
      <c r="AP177" s="62">
        <v>0.0</v>
      </c>
      <c r="AQ177" s="62">
        <v>0.0</v>
      </c>
      <c r="AR177" s="62">
        <v>0.0</v>
      </c>
      <c r="AS177" s="62">
        <v>0.0</v>
      </c>
      <c r="AT177" s="62">
        <v>0.0</v>
      </c>
      <c r="AU177" s="62">
        <v>0.0</v>
      </c>
      <c r="AV177" s="62">
        <v>0.0</v>
      </c>
      <c r="AW177" s="62">
        <v>0.0</v>
      </c>
      <c r="AX177" s="62">
        <v>0.0</v>
      </c>
      <c r="AY177" s="62">
        <v>0.0</v>
      </c>
      <c r="AZ177" s="62">
        <v>0.0</v>
      </c>
      <c r="BA177" s="62">
        <v>0.0</v>
      </c>
      <c r="BB177" s="62">
        <v>0.0</v>
      </c>
      <c r="BC177" s="62">
        <v>0.0</v>
      </c>
      <c r="BD177" s="62">
        <v>0.0</v>
      </c>
      <c r="BE177" s="62">
        <v>0.0</v>
      </c>
      <c r="BF177" s="62">
        <v>0.0</v>
      </c>
      <c r="BG177" s="62">
        <v>0.0</v>
      </c>
      <c r="BH177" s="62">
        <v>0.0</v>
      </c>
      <c r="BI177" s="62">
        <v>0.0</v>
      </c>
      <c r="BJ177" s="62">
        <v>0.0</v>
      </c>
      <c r="BK177" s="62">
        <v>0.0</v>
      </c>
      <c r="BL177" s="62">
        <v>0.0</v>
      </c>
      <c r="BM177" s="62">
        <v>0.0</v>
      </c>
      <c r="BN177" s="62">
        <v>0.0</v>
      </c>
      <c r="BO177" s="62">
        <v>0.0</v>
      </c>
      <c r="BP177" s="62">
        <v>0.0</v>
      </c>
      <c r="BQ177" s="62">
        <v>0.0</v>
      </c>
      <c r="BR177" s="62">
        <v>0.0</v>
      </c>
      <c r="BS177" s="62">
        <v>0.0</v>
      </c>
      <c r="BT177" s="62">
        <v>0.0</v>
      </c>
      <c r="BU177" s="62">
        <v>0.0</v>
      </c>
      <c r="BV177" s="62">
        <v>0.0</v>
      </c>
      <c r="BW177" s="62">
        <v>0.0</v>
      </c>
      <c r="BX177" s="62">
        <v>0.0</v>
      </c>
      <c r="BY177" s="62">
        <v>0.0</v>
      </c>
      <c r="BZ177" s="62">
        <v>0.0</v>
      </c>
      <c r="CA177" s="62">
        <v>0.0</v>
      </c>
      <c r="CB177" s="62">
        <v>0.0</v>
      </c>
      <c r="CC177" s="62">
        <v>0.0</v>
      </c>
      <c r="CD177" s="62">
        <v>0.0</v>
      </c>
      <c r="CE177" s="62">
        <v>0.0</v>
      </c>
      <c r="CF177" s="62">
        <v>0.0</v>
      </c>
      <c r="CG177" s="62">
        <v>0.0</v>
      </c>
      <c r="CH177" s="62">
        <v>0.0</v>
      </c>
      <c r="CI177" s="62">
        <v>0.0</v>
      </c>
      <c r="CJ177" s="62">
        <v>0.0</v>
      </c>
      <c r="CK177" s="62">
        <v>0.0</v>
      </c>
      <c r="CL177" s="62">
        <v>0.0</v>
      </c>
      <c r="CM177" s="62">
        <v>0.0</v>
      </c>
      <c r="CN177" s="62">
        <v>0.0</v>
      </c>
      <c r="CO177" s="62">
        <v>0.0</v>
      </c>
      <c r="CP177" s="62">
        <v>0.0</v>
      </c>
      <c r="CQ177" s="62">
        <v>0.0</v>
      </c>
      <c r="CR177" s="62">
        <v>0.0</v>
      </c>
      <c r="CS177" s="62">
        <v>0.0</v>
      </c>
      <c r="CT177" s="62">
        <v>0.0</v>
      </c>
      <c r="CU177" s="62">
        <v>0.0</v>
      </c>
      <c r="CV177" s="62">
        <v>0.0</v>
      </c>
      <c r="CW177" s="62">
        <v>0.0</v>
      </c>
      <c r="CX177" s="62">
        <v>0.0</v>
      </c>
      <c r="CY177" s="62">
        <v>0.0</v>
      </c>
      <c r="CZ177" s="62">
        <v>0.0</v>
      </c>
      <c r="DA177" s="62">
        <v>0.0</v>
      </c>
      <c r="DB177" s="62">
        <v>0.0</v>
      </c>
      <c r="DC177" s="62">
        <v>0.0</v>
      </c>
      <c r="DD177" s="62">
        <v>0.0</v>
      </c>
      <c r="DE177" s="62">
        <v>0.0</v>
      </c>
      <c r="DF177" s="62">
        <v>0.0</v>
      </c>
      <c r="DG177" s="62">
        <v>0.0</v>
      </c>
      <c r="DH177" s="62">
        <v>0.0</v>
      </c>
      <c r="DI177" s="62">
        <v>0.0</v>
      </c>
      <c r="DJ177" s="62">
        <v>0.0</v>
      </c>
      <c r="DK177" s="62">
        <v>0.0</v>
      </c>
      <c r="DL177" s="62">
        <v>0.0</v>
      </c>
      <c r="DM177" s="62">
        <v>0.0</v>
      </c>
      <c r="DN177" s="62">
        <v>0.0</v>
      </c>
      <c r="DO177" s="62">
        <v>0.0</v>
      </c>
      <c r="DP177" s="62">
        <v>0.0</v>
      </c>
      <c r="DQ177" s="62">
        <v>0.0</v>
      </c>
      <c r="DR177" s="62">
        <v>0.0</v>
      </c>
      <c r="DS177" s="62">
        <v>0.0</v>
      </c>
      <c r="DT177" s="62">
        <v>0.0</v>
      </c>
      <c r="DU177" s="62">
        <v>0.0</v>
      </c>
      <c r="DV177" s="62">
        <v>0.0</v>
      </c>
      <c r="DW177" s="62">
        <v>0.0</v>
      </c>
      <c r="DX177" s="62">
        <v>0.0</v>
      </c>
      <c r="DY177" s="62">
        <v>0.0</v>
      </c>
      <c r="DZ177" s="62">
        <v>0.0</v>
      </c>
      <c r="EA177" s="62">
        <v>0.0</v>
      </c>
      <c r="EB177" s="62">
        <v>0.0</v>
      </c>
      <c r="EC177" s="62">
        <v>0.0</v>
      </c>
      <c r="ED177" s="62">
        <v>0.0</v>
      </c>
      <c r="EE177" s="62">
        <v>0.0</v>
      </c>
      <c r="EF177" s="62">
        <v>0.0</v>
      </c>
      <c r="EG177" s="62">
        <v>0.0</v>
      </c>
      <c r="EH177" s="62">
        <v>0.0</v>
      </c>
      <c r="EI177" s="62">
        <v>0.0</v>
      </c>
      <c r="EJ177" s="62">
        <v>0.0</v>
      </c>
      <c r="EK177" s="62">
        <v>0.0</v>
      </c>
      <c r="EL177" s="62">
        <v>0.0</v>
      </c>
      <c r="EM177" s="62">
        <v>0.0</v>
      </c>
      <c r="EN177" s="62">
        <v>0.0</v>
      </c>
      <c r="EO177" s="62">
        <v>0.0</v>
      </c>
      <c r="EP177" s="62">
        <v>0.0</v>
      </c>
      <c r="EQ177" s="62">
        <v>0.0</v>
      </c>
      <c r="ER177" s="62">
        <v>0.0</v>
      </c>
      <c r="ES177" s="62">
        <v>0.0</v>
      </c>
      <c r="ET177" s="62">
        <v>0.0</v>
      </c>
      <c r="EU177" s="62">
        <v>0.0</v>
      </c>
      <c r="EV177" s="62">
        <v>0.0</v>
      </c>
      <c r="EW177" s="62">
        <v>0.0</v>
      </c>
      <c r="EX177" s="62">
        <v>0.0</v>
      </c>
      <c r="EY177" s="62">
        <v>0.0</v>
      </c>
      <c r="EZ177" s="62">
        <v>0.0</v>
      </c>
      <c r="FA177" s="62">
        <v>0.0</v>
      </c>
      <c r="FB177" s="62">
        <v>0.0</v>
      </c>
      <c r="FC177" s="62">
        <v>0.0</v>
      </c>
      <c r="FD177" s="62">
        <v>0.0</v>
      </c>
      <c r="FE177" s="62">
        <v>0.0</v>
      </c>
      <c r="FF177" s="62">
        <v>0.0</v>
      </c>
      <c r="FG177" s="62">
        <v>0.0</v>
      </c>
      <c r="FH177" s="62">
        <v>0.0</v>
      </c>
      <c r="FI177" s="62">
        <v>0.0</v>
      </c>
      <c r="FJ177" s="62">
        <v>0.0</v>
      </c>
      <c r="FK177" s="62">
        <v>0.0</v>
      </c>
      <c r="FL177" s="62">
        <v>0.0</v>
      </c>
      <c r="FM177" s="62">
        <v>0.0</v>
      </c>
      <c r="FN177" s="62">
        <v>0.0</v>
      </c>
      <c r="FO177" s="62">
        <v>0.0</v>
      </c>
      <c r="FP177" s="62">
        <v>0.0</v>
      </c>
      <c r="FQ177" s="62">
        <v>0.0</v>
      </c>
      <c r="FR177" s="62">
        <v>0.0</v>
      </c>
      <c r="FS177" s="62">
        <v>0.0</v>
      </c>
      <c r="FT177" s="62">
        <v>0.0</v>
      </c>
      <c r="FU177" s="62">
        <v>0.0</v>
      </c>
      <c r="FV177" s="62">
        <v>0.0</v>
      </c>
      <c r="FW177" s="62">
        <v>0.0</v>
      </c>
      <c r="FX177" s="62">
        <v>0.0</v>
      </c>
      <c r="FY177" s="62">
        <v>0.0</v>
      </c>
      <c r="FZ177" s="62">
        <v>0.0</v>
      </c>
      <c r="GA177" s="62">
        <v>0.0</v>
      </c>
      <c r="GB177" s="62">
        <v>0.0</v>
      </c>
      <c r="GC177" s="62">
        <v>0.0</v>
      </c>
      <c r="GD177" s="62">
        <v>0.0</v>
      </c>
      <c r="GE177" s="62">
        <v>0.0</v>
      </c>
      <c r="GF177" s="63">
        <v>0.0</v>
      </c>
      <c r="GG177" s="64">
        <v>2446940.0</v>
      </c>
      <c r="GH177" s="65">
        <v>0.0</v>
      </c>
      <c r="GI177" s="64">
        <v>0.0</v>
      </c>
      <c r="GJ177" s="64">
        <v>0.0</v>
      </c>
      <c r="GK177" s="64">
        <v>0.0</v>
      </c>
      <c r="GL177" s="64">
        <v>0.0</v>
      </c>
      <c r="GM177" s="64">
        <v>0.0</v>
      </c>
      <c r="GN177" s="63">
        <v>2446940.0</v>
      </c>
      <c r="GO177" s="66">
        <v>2446940.0</v>
      </c>
      <c r="GP177" s="64">
        <v>0.0</v>
      </c>
      <c r="GQ177" s="64">
        <v>0.0</v>
      </c>
      <c r="GR177" s="65">
        <v>0.0</v>
      </c>
      <c r="GS177" s="63">
        <v>0.0</v>
      </c>
      <c r="GT177" s="67">
        <v>0.0</v>
      </c>
      <c r="GU177" s="67">
        <v>0.0</v>
      </c>
      <c r="GV177" s="67">
        <v>0.0</v>
      </c>
      <c r="GW177" s="63">
        <v>0.0</v>
      </c>
      <c r="GX177" s="63">
        <v>0.0</v>
      </c>
      <c r="GY177" s="63">
        <v>2446940.0</v>
      </c>
      <c r="GZ177" s="66">
        <v>2446940.0</v>
      </c>
    </row>
    <row r="178" ht="15.75" customHeight="1">
      <c r="A178" s="60">
        <v>173.0</v>
      </c>
      <c r="B178" s="61" t="s">
        <v>218</v>
      </c>
      <c r="C178" s="62">
        <v>12028.0</v>
      </c>
      <c r="D178" s="62">
        <v>10880.0</v>
      </c>
      <c r="E178" s="62">
        <v>28.0</v>
      </c>
      <c r="F178" s="62">
        <v>10850.0</v>
      </c>
      <c r="G178" s="62">
        <v>247.0</v>
      </c>
      <c r="H178" s="62">
        <v>2799.0</v>
      </c>
      <c r="I178" s="62">
        <v>675.0</v>
      </c>
      <c r="J178" s="62">
        <v>934.0</v>
      </c>
      <c r="K178" s="62">
        <v>10.0</v>
      </c>
      <c r="L178" s="62">
        <v>2058.0</v>
      </c>
      <c r="M178" s="62">
        <v>1231.0</v>
      </c>
      <c r="N178" s="62">
        <v>493.0</v>
      </c>
      <c r="O178" s="62">
        <v>4733.0</v>
      </c>
      <c r="P178" s="62">
        <v>33.0</v>
      </c>
      <c r="Q178" s="62">
        <v>1077.0</v>
      </c>
      <c r="R178" s="62">
        <v>4017.0</v>
      </c>
      <c r="S178" s="62">
        <v>289.0</v>
      </c>
      <c r="T178" s="62">
        <v>794.0</v>
      </c>
      <c r="U178" s="62">
        <v>143.0</v>
      </c>
      <c r="V178" s="62">
        <v>6284.0</v>
      </c>
      <c r="W178" s="62">
        <v>469.0</v>
      </c>
      <c r="X178" s="62">
        <v>0.0</v>
      </c>
      <c r="Y178" s="62">
        <v>1107.0</v>
      </c>
      <c r="Z178" s="62">
        <v>926.0</v>
      </c>
      <c r="AA178" s="62">
        <v>540.0</v>
      </c>
      <c r="AB178" s="62">
        <v>180.0</v>
      </c>
      <c r="AC178" s="62">
        <v>0.0</v>
      </c>
      <c r="AD178" s="62">
        <v>117.0</v>
      </c>
      <c r="AE178" s="62">
        <v>0.0</v>
      </c>
      <c r="AF178" s="62">
        <v>11057.0</v>
      </c>
      <c r="AG178" s="62">
        <v>16550.0</v>
      </c>
      <c r="AH178" s="62">
        <v>5409.0</v>
      </c>
      <c r="AI178" s="62">
        <v>156818.0</v>
      </c>
      <c r="AJ178" s="62">
        <v>21783.0</v>
      </c>
      <c r="AK178" s="62">
        <v>2547.0</v>
      </c>
      <c r="AL178" s="62">
        <v>10473.0</v>
      </c>
      <c r="AM178" s="62">
        <v>1319385.0</v>
      </c>
      <c r="AN178" s="62">
        <v>417327.0</v>
      </c>
      <c r="AO178" s="62">
        <v>886706.0</v>
      </c>
      <c r="AP178" s="62">
        <v>1299.0</v>
      </c>
      <c r="AQ178" s="62">
        <v>28456.0</v>
      </c>
      <c r="AR178" s="62">
        <v>523.0</v>
      </c>
      <c r="AS178" s="62">
        <v>49336.0</v>
      </c>
      <c r="AT178" s="62">
        <v>12798.0</v>
      </c>
      <c r="AU178" s="62">
        <v>66989.0</v>
      </c>
      <c r="AV178" s="62">
        <v>22288.0</v>
      </c>
      <c r="AW178" s="62">
        <v>6483.0</v>
      </c>
      <c r="AX178" s="62">
        <v>518839.0</v>
      </c>
      <c r="AY178" s="62">
        <v>416.0</v>
      </c>
      <c r="AZ178" s="62">
        <v>1077.0</v>
      </c>
      <c r="BA178" s="62">
        <v>23574.0</v>
      </c>
      <c r="BB178" s="62">
        <v>101320.0</v>
      </c>
      <c r="BC178" s="62">
        <v>3822.0</v>
      </c>
      <c r="BD178" s="62">
        <v>2575.0</v>
      </c>
      <c r="BE178" s="62">
        <v>8620.0</v>
      </c>
      <c r="BF178" s="62">
        <v>21845.0</v>
      </c>
      <c r="BG178" s="62">
        <v>4253.0</v>
      </c>
      <c r="BH178" s="62">
        <v>30567.0</v>
      </c>
      <c r="BI178" s="62">
        <v>19107.0</v>
      </c>
      <c r="BJ178" s="62">
        <v>25134.0</v>
      </c>
      <c r="BK178" s="62">
        <v>4697.0</v>
      </c>
      <c r="BL178" s="62">
        <v>391.0</v>
      </c>
      <c r="BM178" s="62">
        <v>120.0</v>
      </c>
      <c r="BN178" s="62">
        <v>0.0</v>
      </c>
      <c r="BO178" s="62">
        <v>54681.0</v>
      </c>
      <c r="BP178" s="62">
        <v>0.0</v>
      </c>
      <c r="BQ178" s="62">
        <v>0.0</v>
      </c>
      <c r="BR178" s="62">
        <v>16.0</v>
      </c>
      <c r="BS178" s="62">
        <v>0.0</v>
      </c>
      <c r="BT178" s="62">
        <v>45233.0</v>
      </c>
      <c r="BU178" s="62">
        <v>39657.0</v>
      </c>
      <c r="BV178" s="62">
        <v>0.0</v>
      </c>
      <c r="BW178" s="62">
        <v>1166.0</v>
      </c>
      <c r="BX178" s="62">
        <v>19551.0</v>
      </c>
      <c r="BY178" s="62">
        <v>256799.0</v>
      </c>
      <c r="BZ178" s="62">
        <v>20600.0</v>
      </c>
      <c r="CA178" s="62">
        <v>328509.0</v>
      </c>
      <c r="CB178" s="62">
        <v>342117.0</v>
      </c>
      <c r="CC178" s="62">
        <v>631.0</v>
      </c>
      <c r="CD178" s="62">
        <v>4327.0</v>
      </c>
      <c r="CE178" s="62">
        <v>3866.0</v>
      </c>
      <c r="CF178" s="62">
        <v>3624.0</v>
      </c>
      <c r="CG178" s="62">
        <v>16310.0</v>
      </c>
      <c r="CH178" s="62">
        <v>11394.0</v>
      </c>
      <c r="CI178" s="62">
        <v>108216.0</v>
      </c>
      <c r="CJ178" s="62">
        <v>21154.0</v>
      </c>
      <c r="CK178" s="62">
        <v>47769.0</v>
      </c>
      <c r="CL178" s="62">
        <v>17244.0</v>
      </c>
      <c r="CM178" s="62">
        <v>10267.0</v>
      </c>
      <c r="CN178" s="62">
        <v>33890.0</v>
      </c>
      <c r="CO178" s="62">
        <v>52693.0</v>
      </c>
      <c r="CP178" s="62">
        <v>48312.0</v>
      </c>
      <c r="CQ178" s="62">
        <v>32583.0</v>
      </c>
      <c r="CR178" s="62">
        <v>33929.0</v>
      </c>
      <c r="CS178" s="62">
        <v>315398.0</v>
      </c>
      <c r="CT178" s="62">
        <v>38633.0</v>
      </c>
      <c r="CU178" s="62">
        <v>15916.0</v>
      </c>
      <c r="CV178" s="62">
        <v>15486.0</v>
      </c>
      <c r="CW178" s="62">
        <v>2881.0</v>
      </c>
      <c r="CX178" s="62">
        <v>7683.0</v>
      </c>
      <c r="CY178" s="62">
        <v>272.0</v>
      </c>
      <c r="CZ178" s="62">
        <v>10970.0</v>
      </c>
      <c r="DA178" s="62">
        <v>12532.0</v>
      </c>
      <c r="DB178" s="62">
        <v>8393.0</v>
      </c>
      <c r="DC178" s="62">
        <v>6609.0</v>
      </c>
      <c r="DD178" s="62">
        <v>3601.0</v>
      </c>
      <c r="DE178" s="62">
        <v>89457.0</v>
      </c>
      <c r="DF178" s="62">
        <v>45407.0</v>
      </c>
      <c r="DG178" s="62">
        <v>6099.0</v>
      </c>
      <c r="DH178" s="62">
        <v>93491.0</v>
      </c>
      <c r="DI178" s="62">
        <v>14296.0</v>
      </c>
      <c r="DJ178" s="62">
        <v>14073.0</v>
      </c>
      <c r="DK178" s="62">
        <v>36603.0</v>
      </c>
      <c r="DL178" s="62">
        <v>72745.0</v>
      </c>
      <c r="DM178" s="62">
        <v>49327.0</v>
      </c>
      <c r="DN178" s="62">
        <v>4116.0</v>
      </c>
      <c r="DO178" s="62">
        <v>52975.0</v>
      </c>
      <c r="DP178" s="62">
        <v>9869.0</v>
      </c>
      <c r="DQ178" s="62">
        <v>44596.0</v>
      </c>
      <c r="DR178" s="62">
        <v>76464.0</v>
      </c>
      <c r="DS178" s="62">
        <v>117836.0</v>
      </c>
      <c r="DT178" s="62">
        <v>22597.0</v>
      </c>
      <c r="DU178" s="62">
        <v>4325.0</v>
      </c>
      <c r="DV178" s="62">
        <v>27560.0</v>
      </c>
      <c r="DW178" s="62">
        <v>21152.0</v>
      </c>
      <c r="DX178" s="62">
        <v>26644.0</v>
      </c>
      <c r="DY178" s="62">
        <v>41415.0</v>
      </c>
      <c r="DZ178" s="62">
        <v>11030.0</v>
      </c>
      <c r="EA178" s="62">
        <v>2244.0</v>
      </c>
      <c r="EB178" s="62">
        <v>19804.0</v>
      </c>
      <c r="EC178" s="62">
        <v>569685.0</v>
      </c>
      <c r="ED178" s="62">
        <v>30689.0</v>
      </c>
      <c r="EE178" s="62">
        <v>3611.0</v>
      </c>
      <c r="EF178" s="62">
        <v>3260.0</v>
      </c>
      <c r="EG178" s="62">
        <v>1006.0</v>
      </c>
      <c r="EH178" s="62">
        <v>139213.0</v>
      </c>
      <c r="EI178" s="62">
        <v>145159.0</v>
      </c>
      <c r="EJ178" s="62">
        <v>2152.0</v>
      </c>
      <c r="EK178" s="62">
        <v>5540.0</v>
      </c>
      <c r="EL178" s="62">
        <v>26021.0</v>
      </c>
      <c r="EM178" s="62">
        <v>26161.0</v>
      </c>
      <c r="EN178" s="62">
        <v>20743.0</v>
      </c>
      <c r="EO178" s="62">
        <v>25968.0</v>
      </c>
      <c r="EP178" s="62">
        <v>3929.0</v>
      </c>
      <c r="EQ178" s="62">
        <v>55346.0</v>
      </c>
      <c r="ER178" s="62">
        <v>12519.0</v>
      </c>
      <c r="ES178" s="62">
        <v>65.0</v>
      </c>
      <c r="ET178" s="62">
        <v>71.0</v>
      </c>
      <c r="EU178" s="62">
        <v>2124690.0</v>
      </c>
      <c r="EV178" s="62">
        <v>59667.0</v>
      </c>
      <c r="EW178" s="62">
        <v>57825.0</v>
      </c>
      <c r="EX178" s="62">
        <v>637198.0</v>
      </c>
      <c r="EY178" s="62">
        <v>709875.0</v>
      </c>
      <c r="EZ178" s="62">
        <v>682481.0</v>
      </c>
      <c r="FA178" s="62">
        <v>369136.0</v>
      </c>
      <c r="FB178" s="62">
        <v>3780107.0</v>
      </c>
      <c r="FC178" s="62">
        <v>17980.0</v>
      </c>
      <c r="FD178" s="62">
        <v>362663.0</v>
      </c>
      <c r="FE178" s="62">
        <v>100507.0</v>
      </c>
      <c r="FF178" s="62">
        <v>33734.0</v>
      </c>
      <c r="FG178" s="62">
        <v>525751.0</v>
      </c>
      <c r="FH178" s="62">
        <v>142445.0</v>
      </c>
      <c r="FI178" s="62">
        <v>29175.0</v>
      </c>
      <c r="FJ178" s="62">
        <v>73603.0</v>
      </c>
      <c r="FK178" s="62">
        <v>335374.0</v>
      </c>
      <c r="FL178" s="62">
        <v>769417.0</v>
      </c>
      <c r="FM178" s="62">
        <v>389378.0</v>
      </c>
      <c r="FN178" s="62">
        <v>990263.0</v>
      </c>
      <c r="FO178" s="62">
        <v>171276.0</v>
      </c>
      <c r="FP178" s="62">
        <v>9590635.0</v>
      </c>
      <c r="FQ178" s="62">
        <v>6612873.0</v>
      </c>
      <c r="FR178" s="62">
        <v>97871.0</v>
      </c>
      <c r="FS178" s="62">
        <v>7947225.0</v>
      </c>
      <c r="FT178" s="62">
        <v>455907.0</v>
      </c>
      <c r="FU178" s="62">
        <v>2496251.0</v>
      </c>
      <c r="FV178" s="62">
        <v>1131007.0</v>
      </c>
      <c r="FW178" s="62">
        <v>25387.0</v>
      </c>
      <c r="FX178" s="62">
        <v>878.0</v>
      </c>
      <c r="FY178" s="62">
        <v>7201.0</v>
      </c>
      <c r="FZ178" s="62">
        <v>1.0</v>
      </c>
      <c r="GA178" s="62">
        <v>156131.0</v>
      </c>
      <c r="GB178" s="62">
        <v>293489.0</v>
      </c>
      <c r="GC178" s="62">
        <v>48283.0</v>
      </c>
      <c r="GD178" s="62">
        <v>9525.0</v>
      </c>
      <c r="GE178" s="62">
        <v>189276.0</v>
      </c>
      <c r="GF178" s="63">
        <v>4.9258186E7</v>
      </c>
      <c r="GG178" s="64">
        <v>1.5201659E7</v>
      </c>
      <c r="GH178" s="65">
        <v>0.0</v>
      </c>
      <c r="GI178" s="64">
        <v>0.0</v>
      </c>
      <c r="GJ178" s="64">
        <v>0.0</v>
      </c>
      <c r="GK178" s="64">
        <v>0.0</v>
      </c>
      <c r="GL178" s="64">
        <v>0.0</v>
      </c>
      <c r="GM178" s="64">
        <v>1192773.0</v>
      </c>
      <c r="GN178" s="63">
        <v>1.6394432E7</v>
      </c>
      <c r="GO178" s="66">
        <v>6.5652618E7</v>
      </c>
      <c r="GP178" s="64">
        <v>0.0</v>
      </c>
      <c r="GQ178" s="64">
        <v>98718.0</v>
      </c>
      <c r="GR178" s="65">
        <v>0.0</v>
      </c>
      <c r="GS178" s="63">
        <v>98718.0</v>
      </c>
      <c r="GT178" s="67">
        <v>0.0</v>
      </c>
      <c r="GU178" s="67">
        <v>0.0</v>
      </c>
      <c r="GV178" s="67">
        <v>0.0</v>
      </c>
      <c r="GW178" s="63">
        <v>0.0</v>
      </c>
      <c r="GX178" s="63">
        <v>0.0</v>
      </c>
      <c r="GY178" s="63">
        <v>6.55539E7</v>
      </c>
      <c r="GZ178" s="66">
        <v>6.5652618E7</v>
      </c>
    </row>
    <row r="179" ht="15.75" customHeight="1">
      <c r="A179" s="60">
        <v>174.0</v>
      </c>
      <c r="B179" s="61" t="s">
        <v>219</v>
      </c>
      <c r="C179" s="62">
        <v>3583.0</v>
      </c>
      <c r="D179" s="62">
        <v>1327.0</v>
      </c>
      <c r="E179" s="62">
        <v>98.0</v>
      </c>
      <c r="F179" s="62">
        <v>773.0</v>
      </c>
      <c r="G179" s="62">
        <v>48.0</v>
      </c>
      <c r="H179" s="62">
        <v>141.0</v>
      </c>
      <c r="I179" s="62">
        <v>122.0</v>
      </c>
      <c r="J179" s="62">
        <v>252.0</v>
      </c>
      <c r="K179" s="62">
        <v>12.0</v>
      </c>
      <c r="L179" s="62">
        <v>0.0</v>
      </c>
      <c r="M179" s="62">
        <v>0.0</v>
      </c>
      <c r="N179" s="62">
        <v>1551.0</v>
      </c>
      <c r="O179" s="62">
        <v>1407.0</v>
      </c>
      <c r="P179" s="62">
        <v>0.0</v>
      </c>
      <c r="Q179" s="62">
        <v>527.0</v>
      </c>
      <c r="R179" s="62">
        <v>0.0</v>
      </c>
      <c r="S179" s="62">
        <v>0.0</v>
      </c>
      <c r="T179" s="62">
        <v>747.0</v>
      </c>
      <c r="U179" s="62">
        <v>155.0</v>
      </c>
      <c r="V179" s="62">
        <v>4858.0</v>
      </c>
      <c r="W179" s="62">
        <v>185.0</v>
      </c>
      <c r="X179" s="62">
        <v>1631.0</v>
      </c>
      <c r="Y179" s="62">
        <v>784.0</v>
      </c>
      <c r="Z179" s="62">
        <v>188.0</v>
      </c>
      <c r="AA179" s="62">
        <v>608.0</v>
      </c>
      <c r="AB179" s="62">
        <v>3649.0</v>
      </c>
      <c r="AC179" s="62">
        <v>117.0</v>
      </c>
      <c r="AD179" s="62">
        <v>7071.0</v>
      </c>
      <c r="AE179" s="62">
        <v>906.0</v>
      </c>
      <c r="AF179" s="62">
        <v>349.0</v>
      </c>
      <c r="AG179" s="62">
        <v>2002.0</v>
      </c>
      <c r="AH179" s="62">
        <v>941.0</v>
      </c>
      <c r="AI179" s="62">
        <v>2752.0</v>
      </c>
      <c r="AJ179" s="62">
        <v>700.0</v>
      </c>
      <c r="AK179" s="62">
        <v>171.0</v>
      </c>
      <c r="AL179" s="62">
        <v>243.0</v>
      </c>
      <c r="AM179" s="62">
        <v>4929147.0</v>
      </c>
      <c r="AN179" s="62">
        <v>930795.0</v>
      </c>
      <c r="AO179" s="62">
        <v>1654055.0</v>
      </c>
      <c r="AP179" s="62">
        <v>7975.0</v>
      </c>
      <c r="AQ179" s="62">
        <v>66123.0</v>
      </c>
      <c r="AR179" s="62">
        <v>16624.0</v>
      </c>
      <c r="AS179" s="62">
        <v>380665.0</v>
      </c>
      <c r="AT179" s="62">
        <v>75372.0</v>
      </c>
      <c r="AU179" s="62">
        <v>87928.0</v>
      </c>
      <c r="AV179" s="62">
        <v>604470.0</v>
      </c>
      <c r="AW179" s="62">
        <v>2667.0</v>
      </c>
      <c r="AX179" s="62">
        <v>6087037.0</v>
      </c>
      <c r="AY179" s="62">
        <v>123540.0</v>
      </c>
      <c r="AZ179" s="62">
        <v>77817.0</v>
      </c>
      <c r="BA179" s="62">
        <v>464698.0</v>
      </c>
      <c r="BB179" s="62">
        <v>520440.0</v>
      </c>
      <c r="BC179" s="62">
        <v>120656.0</v>
      </c>
      <c r="BD179" s="62">
        <v>19379.0</v>
      </c>
      <c r="BE179" s="62">
        <v>174497.0</v>
      </c>
      <c r="BF179" s="62">
        <v>199806.0</v>
      </c>
      <c r="BG179" s="62">
        <v>165709.0</v>
      </c>
      <c r="BH179" s="62">
        <v>151722.0</v>
      </c>
      <c r="BI179" s="62">
        <v>15543.0</v>
      </c>
      <c r="BJ179" s="62">
        <v>106134.0</v>
      </c>
      <c r="BK179" s="62">
        <v>49042.0</v>
      </c>
      <c r="BL179" s="62">
        <v>2796.0</v>
      </c>
      <c r="BM179" s="62">
        <v>141.0</v>
      </c>
      <c r="BN179" s="62">
        <v>9403.0</v>
      </c>
      <c r="BO179" s="62">
        <v>69316.0</v>
      </c>
      <c r="BP179" s="62">
        <v>4288.0</v>
      </c>
      <c r="BQ179" s="62">
        <v>13275.0</v>
      </c>
      <c r="BR179" s="62">
        <v>33934.0</v>
      </c>
      <c r="BS179" s="62">
        <v>51644.0</v>
      </c>
      <c r="BT179" s="62">
        <v>405960.0</v>
      </c>
      <c r="BU179" s="62">
        <v>539329.0</v>
      </c>
      <c r="BV179" s="62">
        <v>37448.0</v>
      </c>
      <c r="BW179" s="62">
        <v>1306.0</v>
      </c>
      <c r="BX179" s="62">
        <v>65233.0</v>
      </c>
      <c r="BY179" s="62">
        <v>199201.0</v>
      </c>
      <c r="BZ179" s="62">
        <v>13291.0</v>
      </c>
      <c r="CA179" s="62">
        <v>181316.0</v>
      </c>
      <c r="CB179" s="62">
        <v>121850.0</v>
      </c>
      <c r="CC179" s="62">
        <v>4344.0</v>
      </c>
      <c r="CD179" s="62">
        <v>14014.0</v>
      </c>
      <c r="CE179" s="62">
        <v>0.0</v>
      </c>
      <c r="CF179" s="62">
        <v>2740.0</v>
      </c>
      <c r="CG179" s="62">
        <v>91786.0</v>
      </c>
      <c r="CH179" s="62">
        <v>168733.0</v>
      </c>
      <c r="CI179" s="62">
        <v>243716.0</v>
      </c>
      <c r="CJ179" s="62">
        <v>64977.0</v>
      </c>
      <c r="CK179" s="62">
        <v>148027.0</v>
      </c>
      <c r="CL179" s="62">
        <v>77843.0</v>
      </c>
      <c r="CM179" s="62">
        <v>31533.0</v>
      </c>
      <c r="CN179" s="62">
        <v>213507.0</v>
      </c>
      <c r="CO179" s="62">
        <v>252252.0</v>
      </c>
      <c r="CP179" s="62">
        <v>379200.0</v>
      </c>
      <c r="CQ179" s="62">
        <v>245843.0</v>
      </c>
      <c r="CR179" s="62">
        <v>221864.0</v>
      </c>
      <c r="CS179" s="62">
        <v>1036675.0</v>
      </c>
      <c r="CT179" s="62">
        <v>488423.0</v>
      </c>
      <c r="CU179" s="62">
        <v>187352.0</v>
      </c>
      <c r="CV179" s="62">
        <v>550909.0</v>
      </c>
      <c r="CW179" s="62">
        <v>87113.0</v>
      </c>
      <c r="CX179" s="62">
        <v>92339.0</v>
      </c>
      <c r="CY179" s="62">
        <v>6285.0</v>
      </c>
      <c r="CZ179" s="62">
        <v>116182.0</v>
      </c>
      <c r="DA179" s="62">
        <v>250151.0</v>
      </c>
      <c r="DB179" s="62">
        <v>250393.0</v>
      </c>
      <c r="DC179" s="62">
        <v>863376.0</v>
      </c>
      <c r="DD179" s="62">
        <v>165575.0</v>
      </c>
      <c r="DE179" s="62">
        <v>69762.0</v>
      </c>
      <c r="DF179" s="62">
        <v>83764.0</v>
      </c>
      <c r="DG179" s="62">
        <v>17585.0</v>
      </c>
      <c r="DH179" s="62">
        <v>313345.0</v>
      </c>
      <c r="DI179" s="62">
        <v>341879.0</v>
      </c>
      <c r="DJ179" s="62">
        <v>917900.0</v>
      </c>
      <c r="DK179" s="62">
        <v>138509.0</v>
      </c>
      <c r="DL179" s="62">
        <v>376184.0</v>
      </c>
      <c r="DM179" s="62">
        <v>100147.0</v>
      </c>
      <c r="DN179" s="62">
        <v>22801.0</v>
      </c>
      <c r="DO179" s="62">
        <v>295344.0</v>
      </c>
      <c r="DP179" s="62">
        <v>33747.0</v>
      </c>
      <c r="DQ179" s="62">
        <v>254822.0</v>
      </c>
      <c r="DR179" s="62">
        <v>414167.0</v>
      </c>
      <c r="DS179" s="62">
        <v>158629.0</v>
      </c>
      <c r="DT179" s="62">
        <v>20190.0</v>
      </c>
      <c r="DU179" s="62">
        <v>31934.0</v>
      </c>
      <c r="DV179" s="62">
        <v>87476.0</v>
      </c>
      <c r="DW179" s="62">
        <v>56209.0</v>
      </c>
      <c r="DX179" s="62">
        <v>60117.0</v>
      </c>
      <c r="DY179" s="62">
        <v>175239.0</v>
      </c>
      <c r="DZ179" s="62">
        <v>67168.0</v>
      </c>
      <c r="EA179" s="62">
        <v>6471.0</v>
      </c>
      <c r="EB179" s="62">
        <v>59123.0</v>
      </c>
      <c r="EC179" s="62">
        <v>353239.0</v>
      </c>
      <c r="ED179" s="62">
        <v>147607.0</v>
      </c>
      <c r="EE179" s="62">
        <v>3171.0</v>
      </c>
      <c r="EF179" s="62">
        <v>5287.0</v>
      </c>
      <c r="EG179" s="62">
        <v>182470.0</v>
      </c>
      <c r="EH179" s="62">
        <v>307126.0</v>
      </c>
      <c r="EI179" s="62">
        <v>400311.0</v>
      </c>
      <c r="EJ179" s="62">
        <v>102527.0</v>
      </c>
      <c r="EK179" s="62">
        <v>122604.0</v>
      </c>
      <c r="EL179" s="62">
        <v>118352.0</v>
      </c>
      <c r="EM179" s="62">
        <v>95422.0</v>
      </c>
      <c r="EN179" s="62">
        <v>270747.0</v>
      </c>
      <c r="EO179" s="62">
        <v>44926.0</v>
      </c>
      <c r="EP179" s="62">
        <v>477848.0</v>
      </c>
      <c r="EQ179" s="62">
        <v>26853.0</v>
      </c>
      <c r="ER179" s="62">
        <v>56.0</v>
      </c>
      <c r="ES179" s="62">
        <v>286345.0</v>
      </c>
      <c r="ET179" s="62">
        <v>98403.0</v>
      </c>
      <c r="EU179" s="62">
        <v>3.3328278E7</v>
      </c>
      <c r="EV179" s="62">
        <v>693650.0</v>
      </c>
      <c r="EW179" s="62">
        <v>240246.0</v>
      </c>
      <c r="EX179" s="62">
        <v>2079050.0</v>
      </c>
      <c r="EY179" s="62">
        <v>8664583.0</v>
      </c>
      <c r="EZ179" s="62">
        <v>6635011.0</v>
      </c>
      <c r="FA179" s="62">
        <v>5522643.0</v>
      </c>
      <c r="FB179" s="62">
        <v>8.0516521E7</v>
      </c>
      <c r="FC179" s="62">
        <v>6918.0</v>
      </c>
      <c r="FD179" s="62">
        <v>6479394.0</v>
      </c>
      <c r="FE179" s="62">
        <v>623652.0</v>
      </c>
      <c r="FF179" s="62">
        <v>282755.0</v>
      </c>
      <c r="FG179" s="62">
        <v>3008247.0</v>
      </c>
      <c r="FH179" s="62">
        <v>1695528.0</v>
      </c>
      <c r="FI179" s="62">
        <v>630264.0</v>
      </c>
      <c r="FJ179" s="62">
        <v>292850.0</v>
      </c>
      <c r="FK179" s="62">
        <v>1556998.0</v>
      </c>
      <c r="FL179" s="62">
        <v>1654264.0</v>
      </c>
      <c r="FM179" s="62">
        <v>633313.0</v>
      </c>
      <c r="FN179" s="62">
        <v>5850966.0</v>
      </c>
      <c r="FO179" s="62">
        <v>2366720.0</v>
      </c>
      <c r="FP179" s="62">
        <v>6073919.0</v>
      </c>
      <c r="FQ179" s="62">
        <v>968824.0</v>
      </c>
      <c r="FR179" s="62">
        <v>1982.0</v>
      </c>
      <c r="FS179" s="62">
        <v>1279216.0</v>
      </c>
      <c r="FT179" s="62">
        <v>4097369.0</v>
      </c>
      <c r="FU179" s="62">
        <v>9490946.0</v>
      </c>
      <c r="FV179" s="62">
        <v>4068042.0</v>
      </c>
      <c r="FW179" s="62">
        <v>5734144.0</v>
      </c>
      <c r="FX179" s="62">
        <v>3063858.0</v>
      </c>
      <c r="FY179" s="62">
        <v>1249528.0</v>
      </c>
      <c r="FZ179" s="62">
        <v>199603.0</v>
      </c>
      <c r="GA179" s="62">
        <v>1.0157379E7</v>
      </c>
      <c r="GB179" s="62">
        <v>5406024.0</v>
      </c>
      <c r="GC179" s="62">
        <v>1900206.0</v>
      </c>
      <c r="GD179" s="62">
        <v>4411979.0</v>
      </c>
      <c r="GE179" s="62">
        <v>1.7670564E7</v>
      </c>
      <c r="GF179" s="63">
        <v>2.70755862E8</v>
      </c>
      <c r="GG179" s="64">
        <v>7.08263121E8</v>
      </c>
      <c r="GH179" s="65">
        <v>0.0</v>
      </c>
      <c r="GI179" s="64">
        <v>0.0</v>
      </c>
      <c r="GJ179" s="64">
        <v>0.0</v>
      </c>
      <c r="GK179" s="64">
        <v>0.0</v>
      </c>
      <c r="GL179" s="64">
        <v>0.0</v>
      </c>
      <c r="GM179" s="64">
        <v>4699638.0</v>
      </c>
      <c r="GN179" s="63">
        <v>7.12962759E8</v>
      </c>
      <c r="GO179" s="66">
        <v>9.83718621E8</v>
      </c>
      <c r="GP179" s="64">
        <v>0.0</v>
      </c>
      <c r="GQ179" s="64">
        <v>1.1444716E7</v>
      </c>
      <c r="GR179" s="65">
        <v>0.0</v>
      </c>
      <c r="GS179" s="63">
        <v>1.1444716E7</v>
      </c>
      <c r="GT179" s="67">
        <v>0.0</v>
      </c>
      <c r="GU179" s="67">
        <v>0.0</v>
      </c>
      <c r="GV179" s="67">
        <v>0.0</v>
      </c>
      <c r="GW179" s="63">
        <v>0.0</v>
      </c>
      <c r="GX179" s="63">
        <v>8030581.0</v>
      </c>
      <c r="GY179" s="63">
        <v>9.64243324E8</v>
      </c>
      <c r="GZ179" s="66">
        <v>9.83718621E8</v>
      </c>
    </row>
    <row r="180" ht="15.75" customHeight="1">
      <c r="A180" s="68">
        <v>175.0</v>
      </c>
      <c r="B180" s="69" t="s">
        <v>220</v>
      </c>
      <c r="C180" s="70">
        <v>0.0</v>
      </c>
      <c r="D180" s="70">
        <v>0.0</v>
      </c>
      <c r="E180" s="70">
        <v>0.0</v>
      </c>
      <c r="F180" s="70">
        <v>0.0</v>
      </c>
      <c r="G180" s="70">
        <v>0.0</v>
      </c>
      <c r="H180" s="70">
        <v>0.0</v>
      </c>
      <c r="I180" s="70">
        <v>0.0</v>
      </c>
      <c r="J180" s="70">
        <v>0.0</v>
      </c>
      <c r="K180" s="70">
        <v>0.0</v>
      </c>
      <c r="L180" s="70">
        <v>125.0</v>
      </c>
      <c r="M180" s="70">
        <v>88.0</v>
      </c>
      <c r="N180" s="70">
        <v>726.0</v>
      </c>
      <c r="O180" s="70">
        <v>140.0</v>
      </c>
      <c r="P180" s="70">
        <v>115.0</v>
      </c>
      <c r="Q180" s="70">
        <v>442.0</v>
      </c>
      <c r="R180" s="70">
        <v>0.0</v>
      </c>
      <c r="S180" s="70">
        <v>97.0</v>
      </c>
      <c r="T180" s="70">
        <v>295.0</v>
      </c>
      <c r="U180" s="70">
        <v>284.0</v>
      </c>
      <c r="V180" s="70">
        <v>858.0</v>
      </c>
      <c r="W180" s="70">
        <v>228.0</v>
      </c>
      <c r="X180" s="70">
        <v>597.0</v>
      </c>
      <c r="Y180" s="70">
        <v>688.0</v>
      </c>
      <c r="Z180" s="70">
        <v>379.0</v>
      </c>
      <c r="AA180" s="70">
        <v>295.0</v>
      </c>
      <c r="AB180" s="70">
        <v>9015.0</v>
      </c>
      <c r="AC180" s="70">
        <v>4462.0</v>
      </c>
      <c r="AD180" s="70">
        <v>2902.0</v>
      </c>
      <c r="AE180" s="70">
        <v>0.0</v>
      </c>
      <c r="AF180" s="70">
        <v>371.0</v>
      </c>
      <c r="AG180" s="70">
        <v>5.0</v>
      </c>
      <c r="AH180" s="70">
        <v>1.0</v>
      </c>
      <c r="AI180" s="70">
        <v>6309.0</v>
      </c>
      <c r="AJ180" s="70">
        <v>104.0</v>
      </c>
      <c r="AK180" s="70">
        <v>69.0</v>
      </c>
      <c r="AL180" s="70">
        <v>76.0</v>
      </c>
      <c r="AM180" s="70">
        <v>1.6546956E7</v>
      </c>
      <c r="AN180" s="70">
        <v>1340730.0</v>
      </c>
      <c r="AO180" s="70">
        <v>2853541.0</v>
      </c>
      <c r="AP180" s="70">
        <v>1315.0</v>
      </c>
      <c r="AQ180" s="70">
        <v>256172.0</v>
      </c>
      <c r="AR180" s="70">
        <v>16338.0</v>
      </c>
      <c r="AS180" s="70">
        <v>878411.0</v>
      </c>
      <c r="AT180" s="70">
        <v>178778.0</v>
      </c>
      <c r="AU180" s="70">
        <v>76015.0</v>
      </c>
      <c r="AV180" s="70">
        <v>1958564.0</v>
      </c>
      <c r="AW180" s="70">
        <v>48207.0</v>
      </c>
      <c r="AX180" s="70">
        <v>4093630.0</v>
      </c>
      <c r="AY180" s="70">
        <v>21465.0</v>
      </c>
      <c r="AZ180" s="70">
        <v>2800.0</v>
      </c>
      <c r="BA180" s="70">
        <v>541529.0</v>
      </c>
      <c r="BB180" s="70">
        <v>1351780.0</v>
      </c>
      <c r="BC180" s="70">
        <v>13304.0</v>
      </c>
      <c r="BD180" s="70">
        <v>918.0</v>
      </c>
      <c r="BE180" s="70">
        <v>4712.0</v>
      </c>
      <c r="BF180" s="70">
        <v>16824.0</v>
      </c>
      <c r="BG180" s="70">
        <v>4853.0</v>
      </c>
      <c r="BH180" s="70">
        <v>334469.0</v>
      </c>
      <c r="BI180" s="70">
        <v>3236.0</v>
      </c>
      <c r="BJ180" s="70">
        <v>254214.0</v>
      </c>
      <c r="BK180" s="70">
        <v>16798.0</v>
      </c>
      <c r="BL180" s="70">
        <v>1124.0</v>
      </c>
      <c r="BM180" s="70">
        <v>76.0</v>
      </c>
      <c r="BN180" s="70">
        <v>59.0</v>
      </c>
      <c r="BO180" s="70">
        <v>323867.0</v>
      </c>
      <c r="BP180" s="70">
        <v>31676.0</v>
      </c>
      <c r="BQ180" s="70">
        <v>214978.0</v>
      </c>
      <c r="BR180" s="70">
        <v>17163.0</v>
      </c>
      <c r="BS180" s="70">
        <v>13055.0</v>
      </c>
      <c r="BT180" s="70">
        <v>60898.0</v>
      </c>
      <c r="BU180" s="70">
        <v>209202.0</v>
      </c>
      <c r="BV180" s="70">
        <v>23274.0</v>
      </c>
      <c r="BW180" s="70">
        <v>2236.0</v>
      </c>
      <c r="BX180" s="70">
        <v>155806.0</v>
      </c>
      <c r="BY180" s="70">
        <v>2700349.0</v>
      </c>
      <c r="BZ180" s="70">
        <v>160173.0</v>
      </c>
      <c r="CA180" s="70">
        <v>666030.0</v>
      </c>
      <c r="CB180" s="70">
        <v>350780.0</v>
      </c>
      <c r="CC180" s="70">
        <v>32244.0</v>
      </c>
      <c r="CD180" s="70">
        <v>39157.0</v>
      </c>
      <c r="CE180" s="70">
        <v>51712.0</v>
      </c>
      <c r="CF180" s="70">
        <v>502001.0</v>
      </c>
      <c r="CG180" s="70">
        <v>134714.0</v>
      </c>
      <c r="CH180" s="70">
        <v>30784.0</v>
      </c>
      <c r="CI180" s="70">
        <v>163964.0</v>
      </c>
      <c r="CJ180" s="70">
        <v>340519.0</v>
      </c>
      <c r="CK180" s="70">
        <v>725388.0</v>
      </c>
      <c r="CL180" s="70">
        <v>477525.0</v>
      </c>
      <c r="CM180" s="70">
        <v>174692.0</v>
      </c>
      <c r="CN180" s="70">
        <v>280934.0</v>
      </c>
      <c r="CO180" s="70">
        <v>253283.0</v>
      </c>
      <c r="CP180" s="70">
        <v>313038.0</v>
      </c>
      <c r="CQ180" s="70">
        <v>284243.0</v>
      </c>
      <c r="CR180" s="70">
        <v>207813.0</v>
      </c>
      <c r="CS180" s="70">
        <v>3797827.0</v>
      </c>
      <c r="CT180" s="70">
        <v>603406.0</v>
      </c>
      <c r="CU180" s="70">
        <v>198735.0</v>
      </c>
      <c r="CV180" s="70">
        <v>575108.0</v>
      </c>
      <c r="CW180" s="70">
        <v>41303.0</v>
      </c>
      <c r="CX180" s="70">
        <v>96745.0</v>
      </c>
      <c r="CY180" s="70">
        <v>6585.0</v>
      </c>
      <c r="CZ180" s="70">
        <v>85283.0</v>
      </c>
      <c r="DA180" s="70">
        <v>361555.0</v>
      </c>
      <c r="DB180" s="70">
        <v>150370.0</v>
      </c>
      <c r="DC180" s="70">
        <v>905032.0</v>
      </c>
      <c r="DD180" s="70">
        <v>285516.0</v>
      </c>
      <c r="DE180" s="70">
        <v>28425.0</v>
      </c>
      <c r="DF180" s="70">
        <v>30465.0</v>
      </c>
      <c r="DG180" s="70">
        <v>7392.0</v>
      </c>
      <c r="DH180" s="70">
        <v>98386.0</v>
      </c>
      <c r="DI180" s="70">
        <v>129771.0</v>
      </c>
      <c r="DJ180" s="70">
        <v>123416.0</v>
      </c>
      <c r="DK180" s="70">
        <v>185659.0</v>
      </c>
      <c r="DL180" s="70">
        <v>410429.0</v>
      </c>
      <c r="DM180" s="70">
        <v>154080.0</v>
      </c>
      <c r="DN180" s="70">
        <v>14402.0</v>
      </c>
      <c r="DO180" s="70">
        <v>124304.0</v>
      </c>
      <c r="DP180" s="70">
        <v>46805.0</v>
      </c>
      <c r="DQ180" s="70">
        <v>82638.0</v>
      </c>
      <c r="DR180" s="70">
        <v>103676.0</v>
      </c>
      <c r="DS180" s="70">
        <v>964715.0</v>
      </c>
      <c r="DT180" s="70">
        <v>380988.0</v>
      </c>
      <c r="DU180" s="70">
        <v>638508.0</v>
      </c>
      <c r="DV180" s="70">
        <v>1884805.0</v>
      </c>
      <c r="DW180" s="70">
        <v>1214117.0</v>
      </c>
      <c r="DX180" s="70">
        <v>1040922.0</v>
      </c>
      <c r="DY180" s="70">
        <v>3485725.0</v>
      </c>
      <c r="DZ180" s="70">
        <v>1303947.0</v>
      </c>
      <c r="EA180" s="70">
        <v>138901.0</v>
      </c>
      <c r="EB180" s="70">
        <v>1464343.0</v>
      </c>
      <c r="EC180" s="70">
        <v>2695667.0</v>
      </c>
      <c r="ED180" s="70">
        <v>269036.0</v>
      </c>
      <c r="EE180" s="70">
        <v>75832.0</v>
      </c>
      <c r="EF180" s="70">
        <v>373998.0</v>
      </c>
      <c r="EG180" s="70">
        <v>130536.0</v>
      </c>
      <c r="EH180" s="70">
        <v>2346715.0</v>
      </c>
      <c r="EI180" s="70">
        <v>123613.0</v>
      </c>
      <c r="EJ180" s="70">
        <v>78029.0</v>
      </c>
      <c r="EK180" s="70">
        <v>11990.0</v>
      </c>
      <c r="EL180" s="70">
        <v>24871.0</v>
      </c>
      <c r="EM180" s="70">
        <v>36153.0</v>
      </c>
      <c r="EN180" s="70">
        <v>498479.0</v>
      </c>
      <c r="EO180" s="70">
        <v>40366.0</v>
      </c>
      <c r="EP180" s="70">
        <v>164695.0</v>
      </c>
      <c r="EQ180" s="70">
        <v>7985209.0</v>
      </c>
      <c r="ER180" s="70">
        <v>479909.0</v>
      </c>
      <c r="ES180" s="70">
        <v>381164.0</v>
      </c>
      <c r="ET180" s="70">
        <v>183981.0</v>
      </c>
      <c r="EU180" s="70">
        <v>7.3964452E7</v>
      </c>
      <c r="EV180" s="70">
        <v>1433178.0</v>
      </c>
      <c r="EW180" s="70">
        <v>979184.0</v>
      </c>
      <c r="EX180" s="70">
        <v>5778558.0</v>
      </c>
      <c r="EY180" s="70">
        <v>3.5223915E7</v>
      </c>
      <c r="EZ180" s="70">
        <v>4649601.0</v>
      </c>
      <c r="FA180" s="70">
        <v>2582192.0</v>
      </c>
      <c r="FB180" s="70">
        <v>3.006893E7</v>
      </c>
      <c r="FC180" s="70">
        <v>135202.0</v>
      </c>
      <c r="FD180" s="70">
        <v>9797691.0</v>
      </c>
      <c r="FE180" s="70">
        <v>1518117.0</v>
      </c>
      <c r="FF180" s="70">
        <v>780128.0</v>
      </c>
      <c r="FG180" s="70">
        <v>7433979.0</v>
      </c>
      <c r="FH180" s="70">
        <v>4399471.0</v>
      </c>
      <c r="FI180" s="70">
        <v>735489.0</v>
      </c>
      <c r="FJ180" s="70">
        <v>120182.0</v>
      </c>
      <c r="FK180" s="70">
        <v>306200.0</v>
      </c>
      <c r="FL180" s="70">
        <v>6839097.0</v>
      </c>
      <c r="FM180" s="70">
        <v>5504219.0</v>
      </c>
      <c r="FN180" s="70">
        <v>1.9253983E7</v>
      </c>
      <c r="FO180" s="70">
        <v>1.1405001E7</v>
      </c>
      <c r="FP180" s="70">
        <v>1.3655914E7</v>
      </c>
      <c r="FQ180" s="70">
        <v>1926963.0</v>
      </c>
      <c r="FR180" s="70">
        <v>7836.0</v>
      </c>
      <c r="FS180" s="70">
        <v>1690046.0</v>
      </c>
      <c r="FT180" s="70">
        <v>2.9596726E7</v>
      </c>
      <c r="FU180" s="70">
        <v>2.3478473E7</v>
      </c>
      <c r="FV180" s="70">
        <v>8146797.0</v>
      </c>
      <c r="FW180" s="70">
        <v>3.7230439E7</v>
      </c>
      <c r="FX180" s="70">
        <v>7689449.0</v>
      </c>
      <c r="FY180" s="70">
        <v>2.8090233E7</v>
      </c>
      <c r="FZ180" s="70">
        <v>910000.0</v>
      </c>
      <c r="GA180" s="70">
        <v>1.4191829E7</v>
      </c>
      <c r="GB180" s="70">
        <v>1.08101E7</v>
      </c>
      <c r="GC180" s="70">
        <v>1505005.0</v>
      </c>
      <c r="GD180" s="70">
        <v>32230.0</v>
      </c>
      <c r="GE180" s="70">
        <v>1027282.0</v>
      </c>
      <c r="GF180" s="71">
        <v>4.79749605E8</v>
      </c>
      <c r="GG180" s="72">
        <v>1.2731733E7</v>
      </c>
      <c r="GH180" s="73">
        <v>0.0</v>
      </c>
      <c r="GI180" s="72">
        <v>0.0</v>
      </c>
      <c r="GJ180" s="72">
        <v>3.2115346E7</v>
      </c>
      <c r="GK180" s="72">
        <v>0.0</v>
      </c>
      <c r="GL180" s="72">
        <v>0.0</v>
      </c>
      <c r="GM180" s="72">
        <v>4.6866206E7</v>
      </c>
      <c r="GN180" s="71">
        <v>9.1713285E7</v>
      </c>
      <c r="GO180" s="74">
        <v>5.7146289E8</v>
      </c>
      <c r="GP180" s="72">
        <v>0.0</v>
      </c>
      <c r="GQ180" s="72">
        <v>9.4294163E7</v>
      </c>
      <c r="GR180" s="73">
        <v>0.0</v>
      </c>
      <c r="GS180" s="71">
        <v>9.4294163E7</v>
      </c>
      <c r="GT180" s="75">
        <v>0.0</v>
      </c>
      <c r="GU180" s="75">
        <v>0.0</v>
      </c>
      <c r="GV180" s="75">
        <v>0.0</v>
      </c>
      <c r="GW180" s="71">
        <v>0.0</v>
      </c>
      <c r="GX180" s="71">
        <v>3701339.0</v>
      </c>
      <c r="GY180" s="71">
        <v>4.73467388E8</v>
      </c>
      <c r="GZ180" s="74">
        <v>5.7146289E8</v>
      </c>
    </row>
    <row r="181" ht="15.75" customHeight="1">
      <c r="A181" s="52">
        <v>176.0</v>
      </c>
      <c r="B181" s="53" t="s">
        <v>221</v>
      </c>
      <c r="C181" s="54">
        <v>49536.0</v>
      </c>
      <c r="D181" s="54">
        <v>54186.0</v>
      </c>
      <c r="E181" s="54">
        <v>5044.0</v>
      </c>
      <c r="F181" s="54">
        <v>42279.0</v>
      </c>
      <c r="G181" s="54">
        <v>2529.0</v>
      </c>
      <c r="H181" s="54">
        <v>21729.0</v>
      </c>
      <c r="I181" s="54">
        <v>12891.0</v>
      </c>
      <c r="J181" s="54">
        <v>5999.0</v>
      </c>
      <c r="K181" s="54">
        <v>9.0</v>
      </c>
      <c r="L181" s="54">
        <v>144731.0</v>
      </c>
      <c r="M181" s="54">
        <v>14110.0</v>
      </c>
      <c r="N181" s="54">
        <v>54551.0</v>
      </c>
      <c r="O181" s="54">
        <v>117517.0</v>
      </c>
      <c r="P181" s="54">
        <v>1318.0</v>
      </c>
      <c r="Q181" s="54">
        <v>11514.0</v>
      </c>
      <c r="R181" s="54">
        <v>826543.0</v>
      </c>
      <c r="S181" s="54">
        <v>6997.0</v>
      </c>
      <c r="T181" s="54">
        <v>104832.0</v>
      </c>
      <c r="U181" s="54">
        <v>10494.0</v>
      </c>
      <c r="V181" s="54">
        <v>66364.0</v>
      </c>
      <c r="W181" s="54">
        <v>2770.0</v>
      </c>
      <c r="X181" s="54">
        <v>888.0</v>
      </c>
      <c r="Y181" s="54">
        <v>8085.0</v>
      </c>
      <c r="Z181" s="54">
        <v>19306.0</v>
      </c>
      <c r="AA181" s="54">
        <v>3483.0</v>
      </c>
      <c r="AB181" s="54">
        <v>100378.0</v>
      </c>
      <c r="AC181" s="54">
        <v>4980.0</v>
      </c>
      <c r="AD181" s="54">
        <v>699916.0</v>
      </c>
      <c r="AE181" s="54">
        <v>63681.0</v>
      </c>
      <c r="AF181" s="54">
        <v>575837.0</v>
      </c>
      <c r="AG181" s="54">
        <v>1640798.0</v>
      </c>
      <c r="AH181" s="54">
        <v>888622.0</v>
      </c>
      <c r="AI181" s="54">
        <v>627540.0</v>
      </c>
      <c r="AJ181" s="54">
        <v>157486.0</v>
      </c>
      <c r="AK181" s="54">
        <v>23973.0</v>
      </c>
      <c r="AL181" s="54">
        <v>25435.0</v>
      </c>
      <c r="AM181" s="54">
        <v>7998248.0</v>
      </c>
      <c r="AN181" s="54">
        <v>1793029.0</v>
      </c>
      <c r="AO181" s="54">
        <v>2379075.0</v>
      </c>
      <c r="AP181" s="54">
        <v>29376.0</v>
      </c>
      <c r="AQ181" s="54">
        <v>178277.0</v>
      </c>
      <c r="AR181" s="54">
        <v>6368.0</v>
      </c>
      <c r="AS181" s="54">
        <v>664189.0</v>
      </c>
      <c r="AT181" s="54">
        <v>109213.0</v>
      </c>
      <c r="AU181" s="54">
        <v>148466.0</v>
      </c>
      <c r="AV181" s="54">
        <v>1765935.0</v>
      </c>
      <c r="AW181" s="54">
        <v>24634.0</v>
      </c>
      <c r="AX181" s="54">
        <v>1.099848E7</v>
      </c>
      <c r="AY181" s="54">
        <v>251445.0</v>
      </c>
      <c r="AZ181" s="54">
        <v>34798.0</v>
      </c>
      <c r="BA181" s="54">
        <v>910478.0</v>
      </c>
      <c r="BB181" s="54">
        <v>1174405.0</v>
      </c>
      <c r="BC181" s="54">
        <v>121336.0</v>
      </c>
      <c r="BD181" s="54">
        <v>11811.0</v>
      </c>
      <c r="BE181" s="54">
        <v>46393.0</v>
      </c>
      <c r="BF181" s="54">
        <v>146242.0</v>
      </c>
      <c r="BG181" s="54">
        <v>149518.0</v>
      </c>
      <c r="BH181" s="54">
        <v>41619.0</v>
      </c>
      <c r="BI181" s="54">
        <v>4323.0</v>
      </c>
      <c r="BJ181" s="54">
        <v>241592.0</v>
      </c>
      <c r="BK181" s="54">
        <v>49489.0</v>
      </c>
      <c r="BL181" s="54">
        <v>1503.0</v>
      </c>
      <c r="BM181" s="54">
        <v>101.0</v>
      </c>
      <c r="BN181" s="54">
        <v>1915.0</v>
      </c>
      <c r="BO181" s="54">
        <v>238528.0</v>
      </c>
      <c r="BP181" s="54">
        <v>127.0</v>
      </c>
      <c r="BQ181" s="54">
        <v>92852.0</v>
      </c>
      <c r="BR181" s="54">
        <v>20520.0</v>
      </c>
      <c r="BS181" s="54">
        <v>26398.0</v>
      </c>
      <c r="BT181" s="54">
        <v>1203430.0</v>
      </c>
      <c r="BU181" s="54">
        <v>411499.0</v>
      </c>
      <c r="BV181" s="54">
        <v>66876.0</v>
      </c>
      <c r="BW181" s="54">
        <v>2239.0</v>
      </c>
      <c r="BX181" s="54">
        <v>146377.0</v>
      </c>
      <c r="BY181" s="54">
        <v>2228190.0</v>
      </c>
      <c r="BZ181" s="54">
        <v>147897.0</v>
      </c>
      <c r="CA181" s="54">
        <v>627358.0</v>
      </c>
      <c r="CB181" s="54">
        <v>337869.0</v>
      </c>
      <c r="CC181" s="54">
        <v>51405.0</v>
      </c>
      <c r="CD181" s="54">
        <v>35794.0</v>
      </c>
      <c r="CE181" s="54">
        <v>50246.0</v>
      </c>
      <c r="CF181" s="54">
        <v>276254.0</v>
      </c>
      <c r="CG181" s="54">
        <v>136138.0</v>
      </c>
      <c r="CH181" s="54">
        <v>50201.0</v>
      </c>
      <c r="CI181" s="54">
        <v>187812.0</v>
      </c>
      <c r="CJ181" s="54">
        <v>273615.0</v>
      </c>
      <c r="CK181" s="54">
        <v>443275.0</v>
      </c>
      <c r="CL181" s="54">
        <v>166195.0</v>
      </c>
      <c r="CM181" s="54">
        <v>199057.0</v>
      </c>
      <c r="CN181" s="54">
        <v>481698.0</v>
      </c>
      <c r="CO181" s="54">
        <v>572350.0</v>
      </c>
      <c r="CP181" s="54">
        <v>947188.0</v>
      </c>
      <c r="CQ181" s="54">
        <v>478225.0</v>
      </c>
      <c r="CR181" s="54">
        <v>123989.0</v>
      </c>
      <c r="CS181" s="54">
        <v>6855884.0</v>
      </c>
      <c r="CT181" s="54">
        <v>976262.0</v>
      </c>
      <c r="CU181" s="54">
        <v>326066.0</v>
      </c>
      <c r="CV181" s="54">
        <v>610162.0</v>
      </c>
      <c r="CW181" s="54">
        <v>66399.0</v>
      </c>
      <c r="CX181" s="54">
        <v>160090.0</v>
      </c>
      <c r="CY181" s="54">
        <v>10896.0</v>
      </c>
      <c r="CZ181" s="54">
        <v>176544.0</v>
      </c>
      <c r="DA181" s="54">
        <v>401442.0</v>
      </c>
      <c r="DB181" s="54">
        <v>223091.0</v>
      </c>
      <c r="DC181" s="54">
        <v>674497.0</v>
      </c>
      <c r="DD181" s="54">
        <v>238123.0</v>
      </c>
      <c r="DE181" s="54">
        <v>76112.0</v>
      </c>
      <c r="DF181" s="54">
        <v>91388.0</v>
      </c>
      <c r="DG181" s="54">
        <v>21008.0</v>
      </c>
      <c r="DH181" s="54">
        <v>225365.0</v>
      </c>
      <c r="DI181" s="54">
        <v>251540.0</v>
      </c>
      <c r="DJ181" s="54">
        <v>62167.0</v>
      </c>
      <c r="DK181" s="54">
        <v>75673.0</v>
      </c>
      <c r="DL181" s="54">
        <v>819587.0</v>
      </c>
      <c r="DM181" s="54">
        <v>201825.0</v>
      </c>
      <c r="DN181" s="54">
        <v>33200.0</v>
      </c>
      <c r="DO181" s="54">
        <v>506631.0</v>
      </c>
      <c r="DP181" s="54">
        <v>54333.0</v>
      </c>
      <c r="DQ181" s="54">
        <v>495691.0</v>
      </c>
      <c r="DR181" s="54">
        <v>869749.0</v>
      </c>
      <c r="DS181" s="54">
        <v>335852.0</v>
      </c>
      <c r="DT181" s="54">
        <v>22067.0</v>
      </c>
      <c r="DU181" s="54">
        <v>0.0</v>
      </c>
      <c r="DV181" s="54">
        <v>0.0</v>
      </c>
      <c r="DW181" s="54">
        <v>0.0</v>
      </c>
      <c r="DX181" s="54">
        <v>12439.0</v>
      </c>
      <c r="DY181" s="54">
        <v>111.0</v>
      </c>
      <c r="DZ181" s="54">
        <v>1883207.0</v>
      </c>
      <c r="EA181" s="54">
        <v>211445.0</v>
      </c>
      <c r="EB181" s="54">
        <v>1969836.0</v>
      </c>
      <c r="EC181" s="54">
        <v>1108798.0</v>
      </c>
      <c r="ED181" s="54">
        <v>95651.0</v>
      </c>
      <c r="EE181" s="54">
        <v>12903.0</v>
      </c>
      <c r="EF181" s="54">
        <v>4035.0</v>
      </c>
      <c r="EG181" s="54">
        <v>435449.0</v>
      </c>
      <c r="EH181" s="54">
        <v>926112.0</v>
      </c>
      <c r="EI181" s="54">
        <v>228150.0</v>
      </c>
      <c r="EJ181" s="54">
        <v>68373.0</v>
      </c>
      <c r="EK181" s="54">
        <v>49545.0</v>
      </c>
      <c r="EL181" s="54">
        <v>94634.0</v>
      </c>
      <c r="EM181" s="54">
        <v>442540.0</v>
      </c>
      <c r="EN181" s="54">
        <v>274112.0</v>
      </c>
      <c r="EO181" s="54">
        <v>136947.0</v>
      </c>
      <c r="EP181" s="54">
        <v>419461.0</v>
      </c>
      <c r="EQ181" s="54">
        <v>4689901.0</v>
      </c>
      <c r="ER181" s="54">
        <v>213126.0</v>
      </c>
      <c r="ES181" s="54">
        <v>702660.0</v>
      </c>
      <c r="ET181" s="54">
        <v>292463.0</v>
      </c>
      <c r="EU181" s="54">
        <v>1.8261503E7</v>
      </c>
      <c r="EV181" s="54">
        <v>441942.0</v>
      </c>
      <c r="EW181" s="54">
        <v>1103159.0</v>
      </c>
      <c r="EX181" s="54">
        <v>1644854.0</v>
      </c>
      <c r="EY181" s="54">
        <v>7183062.0</v>
      </c>
      <c r="EZ181" s="54">
        <v>4040909.0</v>
      </c>
      <c r="FA181" s="54">
        <v>3299489.0</v>
      </c>
      <c r="FB181" s="54">
        <v>2.8191931E7</v>
      </c>
      <c r="FC181" s="54">
        <v>312323.0</v>
      </c>
      <c r="FD181" s="54">
        <v>1.8046313E7</v>
      </c>
      <c r="FE181" s="54">
        <v>4933277.0</v>
      </c>
      <c r="FF181" s="54">
        <v>1491601.0</v>
      </c>
      <c r="FG181" s="54">
        <v>5222758.0</v>
      </c>
      <c r="FH181" s="54">
        <v>6141109.0</v>
      </c>
      <c r="FI181" s="54">
        <v>599102.0</v>
      </c>
      <c r="FJ181" s="54">
        <v>309872.0</v>
      </c>
      <c r="FK181" s="54">
        <v>359352.0</v>
      </c>
      <c r="FL181" s="54">
        <v>2799311.0</v>
      </c>
      <c r="FM181" s="54">
        <v>2126716.0</v>
      </c>
      <c r="FN181" s="54">
        <v>2.961607E7</v>
      </c>
      <c r="FO181" s="54">
        <v>7507021.0</v>
      </c>
      <c r="FP181" s="54">
        <v>2.3653178E7</v>
      </c>
      <c r="FQ181" s="54">
        <v>1212892.0</v>
      </c>
      <c r="FR181" s="54">
        <v>6399.0</v>
      </c>
      <c r="FS181" s="54">
        <v>444104.0</v>
      </c>
      <c r="FT181" s="54">
        <v>9589768.0</v>
      </c>
      <c r="FU181" s="54">
        <v>1.0936737E7</v>
      </c>
      <c r="FV181" s="54">
        <v>4297887.0</v>
      </c>
      <c r="FW181" s="54">
        <v>1.2413046E7</v>
      </c>
      <c r="FX181" s="54">
        <v>4911249.0</v>
      </c>
      <c r="FY181" s="54">
        <v>5219676.0</v>
      </c>
      <c r="FZ181" s="54">
        <v>378105.0</v>
      </c>
      <c r="GA181" s="54">
        <v>8596935.0</v>
      </c>
      <c r="GB181" s="54">
        <v>6627718.0</v>
      </c>
      <c r="GC181" s="54">
        <v>7344628.0</v>
      </c>
      <c r="GD181" s="54">
        <v>2356477.0</v>
      </c>
      <c r="GE181" s="54">
        <v>4460417.0</v>
      </c>
      <c r="GF181" s="55">
        <v>3.20916643E8</v>
      </c>
      <c r="GG181" s="56">
        <v>2.5696916E7</v>
      </c>
      <c r="GH181" s="57">
        <v>0.0</v>
      </c>
      <c r="GI181" s="56">
        <v>0.0</v>
      </c>
      <c r="GJ181" s="56">
        <v>0.0</v>
      </c>
      <c r="GK181" s="56">
        <v>0.0</v>
      </c>
      <c r="GL181" s="56">
        <v>0.0</v>
      </c>
      <c r="GM181" s="56">
        <v>2.0177559E7</v>
      </c>
      <c r="GN181" s="55">
        <v>4.5874475E7</v>
      </c>
      <c r="GO181" s="58">
        <v>3.66791118E8</v>
      </c>
      <c r="GP181" s="56">
        <v>0.0</v>
      </c>
      <c r="GQ181" s="56">
        <v>1.0066851E7</v>
      </c>
      <c r="GR181" s="57">
        <v>0.0</v>
      </c>
      <c r="GS181" s="55">
        <v>1.0066851E7</v>
      </c>
      <c r="GT181" s="59">
        <v>0.0</v>
      </c>
      <c r="GU181" s="59">
        <v>0.0</v>
      </c>
      <c r="GV181" s="59">
        <v>0.0</v>
      </c>
      <c r="GW181" s="55">
        <v>0.0</v>
      </c>
      <c r="GX181" s="55">
        <v>1045018.0</v>
      </c>
      <c r="GY181" s="55">
        <v>3.55679249E8</v>
      </c>
      <c r="GZ181" s="58">
        <v>3.66791118E8</v>
      </c>
    </row>
    <row r="182" ht="15.75" customHeight="1">
      <c r="A182" s="60">
        <v>177.0</v>
      </c>
      <c r="B182" s="61" t="s">
        <v>222</v>
      </c>
      <c r="C182" s="62">
        <v>0.0</v>
      </c>
      <c r="D182" s="62">
        <v>0.0</v>
      </c>
      <c r="E182" s="62">
        <v>0.0</v>
      </c>
      <c r="F182" s="62">
        <v>0.0</v>
      </c>
      <c r="G182" s="62">
        <v>0.0</v>
      </c>
      <c r="H182" s="62">
        <v>0.0</v>
      </c>
      <c r="I182" s="62">
        <v>0.0</v>
      </c>
      <c r="J182" s="62">
        <v>0.0</v>
      </c>
      <c r="K182" s="62">
        <v>0.0</v>
      </c>
      <c r="L182" s="62">
        <v>0.0</v>
      </c>
      <c r="M182" s="62">
        <v>5632.0</v>
      </c>
      <c r="N182" s="62">
        <v>0.0</v>
      </c>
      <c r="O182" s="62">
        <v>27002.0</v>
      </c>
      <c r="P182" s="62">
        <v>0.0</v>
      </c>
      <c r="Q182" s="62">
        <v>20251.0</v>
      </c>
      <c r="R182" s="62">
        <v>0.0</v>
      </c>
      <c r="S182" s="62">
        <v>23708.0</v>
      </c>
      <c r="T182" s="62">
        <v>162760.0</v>
      </c>
      <c r="U182" s="62">
        <v>19514.0</v>
      </c>
      <c r="V182" s="62">
        <v>127724.0</v>
      </c>
      <c r="W182" s="62">
        <v>5964.0</v>
      </c>
      <c r="X182" s="62">
        <v>9952.0</v>
      </c>
      <c r="Y182" s="62">
        <v>113916.0</v>
      </c>
      <c r="Z182" s="62">
        <v>30913.0</v>
      </c>
      <c r="AA182" s="62">
        <v>376.0</v>
      </c>
      <c r="AB182" s="62">
        <v>0.0</v>
      </c>
      <c r="AC182" s="62">
        <v>0.0</v>
      </c>
      <c r="AD182" s="62">
        <v>0.0</v>
      </c>
      <c r="AE182" s="62">
        <v>0.0</v>
      </c>
      <c r="AF182" s="62">
        <v>0.0</v>
      </c>
      <c r="AG182" s="62">
        <v>0.0</v>
      </c>
      <c r="AH182" s="62">
        <v>0.0</v>
      </c>
      <c r="AI182" s="62">
        <v>21150.0</v>
      </c>
      <c r="AJ182" s="62">
        <v>0.0</v>
      </c>
      <c r="AK182" s="62">
        <v>0.0</v>
      </c>
      <c r="AL182" s="62">
        <v>0.0</v>
      </c>
      <c r="AM182" s="62">
        <v>510786.0</v>
      </c>
      <c r="AN182" s="62">
        <v>1034283.0</v>
      </c>
      <c r="AO182" s="62">
        <v>454535.0</v>
      </c>
      <c r="AP182" s="62">
        <v>1348.0</v>
      </c>
      <c r="AQ182" s="62">
        <v>6379.0</v>
      </c>
      <c r="AR182" s="62">
        <v>2817.0</v>
      </c>
      <c r="AS182" s="62">
        <v>20756.0</v>
      </c>
      <c r="AT182" s="62">
        <v>2468.0</v>
      </c>
      <c r="AU182" s="62">
        <v>1828.0</v>
      </c>
      <c r="AV182" s="62">
        <v>34207.0</v>
      </c>
      <c r="AW182" s="62">
        <v>710.0</v>
      </c>
      <c r="AX182" s="62">
        <v>118362.0</v>
      </c>
      <c r="AY182" s="62">
        <v>41148.0</v>
      </c>
      <c r="AZ182" s="62">
        <v>2789.0</v>
      </c>
      <c r="BA182" s="62">
        <v>46219.0</v>
      </c>
      <c r="BB182" s="62">
        <v>39228.0</v>
      </c>
      <c r="BC182" s="62">
        <v>94168.0</v>
      </c>
      <c r="BD182" s="62">
        <v>10840.0</v>
      </c>
      <c r="BE182" s="62">
        <v>3074.0</v>
      </c>
      <c r="BF182" s="62">
        <v>12707.0</v>
      </c>
      <c r="BG182" s="62">
        <v>11850.0</v>
      </c>
      <c r="BH182" s="62">
        <v>60277.0</v>
      </c>
      <c r="BI182" s="62">
        <v>2089.0</v>
      </c>
      <c r="BJ182" s="62">
        <v>40868.0</v>
      </c>
      <c r="BK182" s="62">
        <v>3771.0</v>
      </c>
      <c r="BL182" s="62">
        <v>733.0</v>
      </c>
      <c r="BM182" s="62">
        <v>84.0</v>
      </c>
      <c r="BN182" s="62">
        <v>1438.0</v>
      </c>
      <c r="BO182" s="62">
        <v>2285.0</v>
      </c>
      <c r="BP182" s="62">
        <v>946.0</v>
      </c>
      <c r="BQ182" s="62">
        <v>1942.0</v>
      </c>
      <c r="BR182" s="62">
        <v>0.0</v>
      </c>
      <c r="BS182" s="62">
        <v>0.0</v>
      </c>
      <c r="BT182" s="62">
        <v>78806.0</v>
      </c>
      <c r="BU182" s="62">
        <v>31713.0</v>
      </c>
      <c r="BV182" s="62">
        <v>0.0</v>
      </c>
      <c r="BW182" s="62">
        <v>0.0</v>
      </c>
      <c r="BX182" s="62">
        <v>12715.0</v>
      </c>
      <c r="BY182" s="62">
        <v>45814.0</v>
      </c>
      <c r="BZ182" s="62">
        <v>3054.0</v>
      </c>
      <c r="CA182" s="62">
        <v>90062.0</v>
      </c>
      <c r="CB182" s="62">
        <v>48403.0</v>
      </c>
      <c r="CC182" s="62">
        <v>7580.0</v>
      </c>
      <c r="CD182" s="62">
        <v>7155.0</v>
      </c>
      <c r="CE182" s="62">
        <v>8455.0</v>
      </c>
      <c r="CF182" s="62">
        <v>157043.0</v>
      </c>
      <c r="CG182" s="62">
        <v>20176.0</v>
      </c>
      <c r="CH182" s="62">
        <v>3399.0</v>
      </c>
      <c r="CI182" s="62">
        <v>16871.0</v>
      </c>
      <c r="CJ182" s="62">
        <v>7189.0</v>
      </c>
      <c r="CK182" s="62">
        <v>15307.0</v>
      </c>
      <c r="CL182" s="62">
        <v>8737.0</v>
      </c>
      <c r="CM182" s="62">
        <v>3819.0</v>
      </c>
      <c r="CN182" s="62">
        <v>155275.0</v>
      </c>
      <c r="CO182" s="62">
        <v>76762.0</v>
      </c>
      <c r="CP182" s="62">
        <v>96006.0</v>
      </c>
      <c r="CQ182" s="62">
        <v>42890.0</v>
      </c>
      <c r="CR182" s="62">
        <v>7598.0</v>
      </c>
      <c r="CS182" s="62">
        <v>39766.0</v>
      </c>
      <c r="CT182" s="62">
        <v>72570.0</v>
      </c>
      <c r="CU182" s="62">
        <v>40316.0</v>
      </c>
      <c r="CV182" s="62">
        <v>72156.0</v>
      </c>
      <c r="CW182" s="62">
        <v>37863.0</v>
      </c>
      <c r="CX182" s="62">
        <v>11986.0</v>
      </c>
      <c r="CY182" s="62">
        <v>816.0</v>
      </c>
      <c r="CZ182" s="62">
        <v>121196.0</v>
      </c>
      <c r="DA182" s="62">
        <v>26300.0</v>
      </c>
      <c r="DB182" s="62">
        <v>19840.0</v>
      </c>
      <c r="DC182" s="62">
        <v>34832.0</v>
      </c>
      <c r="DD182" s="62">
        <v>6464.0</v>
      </c>
      <c r="DE182" s="62">
        <v>14716.0</v>
      </c>
      <c r="DF182" s="62">
        <v>17669.0</v>
      </c>
      <c r="DG182" s="62">
        <v>3719.0</v>
      </c>
      <c r="DH182" s="62">
        <v>48922.0</v>
      </c>
      <c r="DI182" s="62">
        <v>15352.0</v>
      </c>
      <c r="DJ182" s="62">
        <v>4011.0</v>
      </c>
      <c r="DK182" s="62">
        <v>5907.0</v>
      </c>
      <c r="DL182" s="62">
        <v>31007.0</v>
      </c>
      <c r="DM182" s="62">
        <v>11346.0</v>
      </c>
      <c r="DN182" s="62">
        <v>1290.0</v>
      </c>
      <c r="DO182" s="62">
        <v>14143.0</v>
      </c>
      <c r="DP182" s="62">
        <v>1421.0</v>
      </c>
      <c r="DQ182" s="62">
        <v>8106.0</v>
      </c>
      <c r="DR182" s="62">
        <v>24014.0</v>
      </c>
      <c r="DS182" s="62">
        <v>178838.0</v>
      </c>
      <c r="DT182" s="62">
        <v>9499.0</v>
      </c>
      <c r="DU182" s="62">
        <v>22906.0</v>
      </c>
      <c r="DV182" s="62">
        <v>67798.0</v>
      </c>
      <c r="DW182" s="62">
        <v>43528.0</v>
      </c>
      <c r="DX182" s="62">
        <v>37843.0</v>
      </c>
      <c r="DY182" s="62">
        <v>113133.0</v>
      </c>
      <c r="DZ182" s="62">
        <v>14226.0</v>
      </c>
      <c r="EA182" s="62">
        <v>3260.0</v>
      </c>
      <c r="EB182" s="62">
        <v>8390.0</v>
      </c>
      <c r="EC182" s="62">
        <v>251424.0</v>
      </c>
      <c r="ED182" s="62">
        <v>60181.0</v>
      </c>
      <c r="EE182" s="62">
        <v>8873.0</v>
      </c>
      <c r="EF182" s="62">
        <v>7213.0</v>
      </c>
      <c r="EG182" s="62">
        <v>26466.0</v>
      </c>
      <c r="EH182" s="62">
        <v>127450.0</v>
      </c>
      <c r="EI182" s="62">
        <v>36010.0</v>
      </c>
      <c r="EJ182" s="62">
        <v>13859.0</v>
      </c>
      <c r="EK182" s="62">
        <v>3174.0</v>
      </c>
      <c r="EL182" s="62">
        <v>5116.0</v>
      </c>
      <c r="EM182" s="62">
        <v>5060.0</v>
      </c>
      <c r="EN182" s="62">
        <v>14522.0</v>
      </c>
      <c r="EO182" s="62">
        <v>10414.0</v>
      </c>
      <c r="EP182" s="62">
        <v>13067.0</v>
      </c>
      <c r="EQ182" s="62">
        <v>157296.0</v>
      </c>
      <c r="ER182" s="62">
        <v>16478.0</v>
      </c>
      <c r="ES182" s="62">
        <v>175897.0</v>
      </c>
      <c r="ET182" s="62">
        <v>36897.0</v>
      </c>
      <c r="EU182" s="62">
        <v>475708.0</v>
      </c>
      <c r="EV182" s="62">
        <v>82813.0</v>
      </c>
      <c r="EW182" s="62">
        <v>22806.0</v>
      </c>
      <c r="EX182" s="62">
        <v>58449.0</v>
      </c>
      <c r="EY182" s="62">
        <v>394066.0</v>
      </c>
      <c r="EZ182" s="62">
        <v>88503.0</v>
      </c>
      <c r="FA182" s="62">
        <v>73348.0</v>
      </c>
      <c r="FB182" s="62">
        <v>924162.0</v>
      </c>
      <c r="FC182" s="62">
        <v>834571.0</v>
      </c>
      <c r="FD182" s="62">
        <v>1222702.0</v>
      </c>
      <c r="FE182" s="62">
        <v>234904.0</v>
      </c>
      <c r="FF182" s="62">
        <v>40108.0</v>
      </c>
      <c r="FG182" s="62">
        <v>684105.0</v>
      </c>
      <c r="FH182" s="62">
        <v>419220.0</v>
      </c>
      <c r="FI182" s="62">
        <v>138777.0</v>
      </c>
      <c r="FJ182" s="62">
        <v>15409.0</v>
      </c>
      <c r="FK182" s="62">
        <v>80283.0</v>
      </c>
      <c r="FL182" s="62">
        <v>605118.0</v>
      </c>
      <c r="FM182" s="62">
        <v>1714040.0</v>
      </c>
      <c r="FN182" s="62">
        <v>1.9285342E7</v>
      </c>
      <c r="FO182" s="62">
        <v>1156717.0</v>
      </c>
      <c r="FP182" s="62">
        <v>639233.0</v>
      </c>
      <c r="FQ182" s="62">
        <v>246559.0</v>
      </c>
      <c r="FR182" s="62">
        <v>189.0</v>
      </c>
      <c r="FS182" s="62">
        <v>19131.0</v>
      </c>
      <c r="FT182" s="62">
        <v>5627300.0</v>
      </c>
      <c r="FU182" s="62">
        <v>3381535.0</v>
      </c>
      <c r="FV182" s="62">
        <v>324919.0</v>
      </c>
      <c r="FW182" s="62">
        <v>1063718.0</v>
      </c>
      <c r="FX182" s="62">
        <v>107492.0</v>
      </c>
      <c r="FY182" s="62">
        <v>2188051.0</v>
      </c>
      <c r="FZ182" s="62">
        <v>64910.0</v>
      </c>
      <c r="GA182" s="62">
        <v>426817.0</v>
      </c>
      <c r="GB182" s="62">
        <v>180285.0</v>
      </c>
      <c r="GC182" s="62">
        <v>10969.0</v>
      </c>
      <c r="GD182" s="62">
        <v>8918.0</v>
      </c>
      <c r="GE182" s="62">
        <v>14167.0</v>
      </c>
      <c r="GF182" s="63">
        <v>4.9088516E7</v>
      </c>
      <c r="GG182" s="64">
        <v>3110119.0</v>
      </c>
      <c r="GH182" s="65">
        <v>0.0</v>
      </c>
      <c r="GI182" s="64">
        <v>6.87403772E8</v>
      </c>
      <c r="GJ182" s="64">
        <v>6986872.0</v>
      </c>
      <c r="GK182" s="64">
        <v>0.0</v>
      </c>
      <c r="GL182" s="64">
        <v>0.0</v>
      </c>
      <c r="GM182" s="64">
        <v>9043028.0</v>
      </c>
      <c r="GN182" s="63">
        <v>7.06543791E8</v>
      </c>
      <c r="GO182" s="66">
        <v>7.55632307E8</v>
      </c>
      <c r="GP182" s="64">
        <v>0.0</v>
      </c>
      <c r="GQ182" s="64">
        <v>958851.0</v>
      </c>
      <c r="GR182" s="65">
        <v>0.0</v>
      </c>
      <c r="GS182" s="63">
        <v>958851.0</v>
      </c>
      <c r="GT182" s="67">
        <v>0.0</v>
      </c>
      <c r="GU182" s="67">
        <v>0.0</v>
      </c>
      <c r="GV182" s="67">
        <v>0.0</v>
      </c>
      <c r="GW182" s="63">
        <v>0.0</v>
      </c>
      <c r="GX182" s="63">
        <v>0.0</v>
      </c>
      <c r="GY182" s="63">
        <v>7.54673456E8</v>
      </c>
      <c r="GZ182" s="66">
        <v>7.55632307E8</v>
      </c>
    </row>
    <row r="183" ht="15.75" customHeight="1">
      <c r="A183" s="60">
        <v>178.0</v>
      </c>
      <c r="B183" s="61" t="s">
        <v>223</v>
      </c>
      <c r="C183" s="62">
        <v>0.0</v>
      </c>
      <c r="D183" s="62">
        <v>0.0</v>
      </c>
      <c r="E183" s="62">
        <v>0.0</v>
      </c>
      <c r="F183" s="62">
        <v>0.0</v>
      </c>
      <c r="G183" s="62">
        <v>0.0</v>
      </c>
      <c r="H183" s="62">
        <v>0.0</v>
      </c>
      <c r="I183" s="62">
        <v>0.0</v>
      </c>
      <c r="J183" s="62">
        <v>0.0</v>
      </c>
      <c r="K183" s="62">
        <v>0.0</v>
      </c>
      <c r="L183" s="62">
        <v>0.0</v>
      </c>
      <c r="M183" s="62">
        <v>0.0</v>
      </c>
      <c r="N183" s="62">
        <v>0.0</v>
      </c>
      <c r="O183" s="62">
        <v>0.0</v>
      </c>
      <c r="P183" s="62">
        <v>0.0</v>
      </c>
      <c r="Q183" s="62">
        <v>0.0</v>
      </c>
      <c r="R183" s="62">
        <v>0.0</v>
      </c>
      <c r="S183" s="62">
        <v>0.0</v>
      </c>
      <c r="T183" s="62">
        <v>0.0</v>
      </c>
      <c r="U183" s="62">
        <v>0.0</v>
      </c>
      <c r="V183" s="62">
        <v>0.0</v>
      </c>
      <c r="W183" s="62">
        <v>0.0</v>
      </c>
      <c r="X183" s="62">
        <v>0.0</v>
      </c>
      <c r="Y183" s="62">
        <v>0.0</v>
      </c>
      <c r="Z183" s="62">
        <v>0.0</v>
      </c>
      <c r="AA183" s="62">
        <v>0.0</v>
      </c>
      <c r="AB183" s="62">
        <v>0.0</v>
      </c>
      <c r="AC183" s="62">
        <v>0.0</v>
      </c>
      <c r="AD183" s="62">
        <v>0.0</v>
      </c>
      <c r="AE183" s="62">
        <v>0.0</v>
      </c>
      <c r="AF183" s="62">
        <v>0.0</v>
      </c>
      <c r="AG183" s="62">
        <v>0.0</v>
      </c>
      <c r="AH183" s="62">
        <v>0.0</v>
      </c>
      <c r="AI183" s="62">
        <v>0.0</v>
      </c>
      <c r="AJ183" s="62">
        <v>0.0</v>
      </c>
      <c r="AK183" s="62">
        <v>0.0</v>
      </c>
      <c r="AL183" s="62">
        <v>0.0</v>
      </c>
      <c r="AM183" s="62">
        <v>0.0</v>
      </c>
      <c r="AN183" s="62">
        <v>0.0</v>
      </c>
      <c r="AO183" s="62">
        <v>0.0</v>
      </c>
      <c r="AP183" s="62">
        <v>0.0</v>
      </c>
      <c r="AQ183" s="62">
        <v>0.0</v>
      </c>
      <c r="AR183" s="62">
        <v>0.0</v>
      </c>
      <c r="AS183" s="62">
        <v>0.0</v>
      </c>
      <c r="AT183" s="62">
        <v>0.0</v>
      </c>
      <c r="AU183" s="62">
        <v>0.0</v>
      </c>
      <c r="AV183" s="62">
        <v>0.0</v>
      </c>
      <c r="AW183" s="62">
        <v>0.0</v>
      </c>
      <c r="AX183" s="62">
        <v>0.0</v>
      </c>
      <c r="AY183" s="62">
        <v>0.0</v>
      </c>
      <c r="AZ183" s="62">
        <v>0.0</v>
      </c>
      <c r="BA183" s="62">
        <v>0.0</v>
      </c>
      <c r="BB183" s="62">
        <v>0.0</v>
      </c>
      <c r="BC183" s="62">
        <v>0.0</v>
      </c>
      <c r="BD183" s="62">
        <v>0.0</v>
      </c>
      <c r="BE183" s="62">
        <v>0.0</v>
      </c>
      <c r="BF183" s="62">
        <v>0.0</v>
      </c>
      <c r="BG183" s="62">
        <v>0.0</v>
      </c>
      <c r="BH183" s="62">
        <v>0.0</v>
      </c>
      <c r="BI183" s="62">
        <v>0.0</v>
      </c>
      <c r="BJ183" s="62">
        <v>0.0</v>
      </c>
      <c r="BK183" s="62">
        <v>0.0</v>
      </c>
      <c r="BL183" s="62">
        <v>0.0</v>
      </c>
      <c r="BM183" s="62">
        <v>0.0</v>
      </c>
      <c r="BN183" s="62">
        <v>0.0</v>
      </c>
      <c r="BO183" s="62">
        <v>0.0</v>
      </c>
      <c r="BP183" s="62">
        <v>0.0</v>
      </c>
      <c r="BQ183" s="62">
        <v>0.0</v>
      </c>
      <c r="BR183" s="62">
        <v>0.0</v>
      </c>
      <c r="BS183" s="62">
        <v>0.0</v>
      </c>
      <c r="BT183" s="62">
        <v>0.0</v>
      </c>
      <c r="BU183" s="62">
        <v>4099.0</v>
      </c>
      <c r="BV183" s="62">
        <v>0.0</v>
      </c>
      <c r="BW183" s="62">
        <v>0.0</v>
      </c>
      <c r="BX183" s="62">
        <v>20.0</v>
      </c>
      <c r="BY183" s="62">
        <v>16.0</v>
      </c>
      <c r="BZ183" s="62">
        <v>21.0</v>
      </c>
      <c r="CA183" s="62">
        <v>0.0</v>
      </c>
      <c r="CB183" s="62">
        <v>0.0</v>
      </c>
      <c r="CC183" s="62">
        <v>0.0</v>
      </c>
      <c r="CD183" s="62">
        <v>0.0</v>
      </c>
      <c r="CE183" s="62">
        <v>0.0</v>
      </c>
      <c r="CF183" s="62">
        <v>0.0</v>
      </c>
      <c r="CG183" s="62">
        <v>0.0</v>
      </c>
      <c r="CH183" s="62">
        <v>0.0</v>
      </c>
      <c r="CI183" s="62">
        <v>0.0</v>
      </c>
      <c r="CJ183" s="62">
        <v>0.0</v>
      </c>
      <c r="CK183" s="62">
        <v>0.0</v>
      </c>
      <c r="CL183" s="62">
        <v>0.0</v>
      </c>
      <c r="CM183" s="62">
        <v>0.0</v>
      </c>
      <c r="CN183" s="62">
        <v>0.0</v>
      </c>
      <c r="CO183" s="62">
        <v>0.0</v>
      </c>
      <c r="CP183" s="62">
        <v>0.0</v>
      </c>
      <c r="CQ183" s="62">
        <v>0.0</v>
      </c>
      <c r="CR183" s="62">
        <v>0.0</v>
      </c>
      <c r="CS183" s="62">
        <v>0.0</v>
      </c>
      <c r="CT183" s="62">
        <v>86.0</v>
      </c>
      <c r="CU183" s="62">
        <v>29.0</v>
      </c>
      <c r="CV183" s="62">
        <v>49.0</v>
      </c>
      <c r="CW183" s="62">
        <v>6.0</v>
      </c>
      <c r="CX183" s="62">
        <v>0.0</v>
      </c>
      <c r="CY183" s="62">
        <v>0.0</v>
      </c>
      <c r="CZ183" s="62">
        <v>0.0</v>
      </c>
      <c r="DA183" s="62">
        <v>0.0</v>
      </c>
      <c r="DB183" s="62">
        <v>20.0</v>
      </c>
      <c r="DC183" s="62">
        <v>0.0</v>
      </c>
      <c r="DD183" s="62">
        <v>0.0</v>
      </c>
      <c r="DE183" s="62">
        <v>1.0</v>
      </c>
      <c r="DF183" s="62">
        <v>1.0</v>
      </c>
      <c r="DG183" s="62">
        <v>0.0</v>
      </c>
      <c r="DH183" s="62">
        <v>5.0</v>
      </c>
      <c r="DI183" s="62">
        <v>0.0</v>
      </c>
      <c r="DJ183" s="62">
        <v>0.0</v>
      </c>
      <c r="DK183" s="62">
        <v>0.0</v>
      </c>
      <c r="DL183" s="62">
        <v>1334.0</v>
      </c>
      <c r="DM183" s="62">
        <v>0.0</v>
      </c>
      <c r="DN183" s="62">
        <v>0.0</v>
      </c>
      <c r="DO183" s="62">
        <v>0.0</v>
      </c>
      <c r="DP183" s="62">
        <v>0.0</v>
      </c>
      <c r="DQ183" s="62">
        <v>0.0</v>
      </c>
      <c r="DR183" s="62">
        <v>80.0</v>
      </c>
      <c r="DS183" s="62">
        <v>25507.0</v>
      </c>
      <c r="DT183" s="62">
        <v>0.0</v>
      </c>
      <c r="DU183" s="62">
        <v>19.0</v>
      </c>
      <c r="DV183" s="62">
        <v>31.0</v>
      </c>
      <c r="DW183" s="62">
        <v>0.0</v>
      </c>
      <c r="DX183" s="62">
        <v>25.0</v>
      </c>
      <c r="DY183" s="62">
        <v>0.0</v>
      </c>
      <c r="DZ183" s="62">
        <v>20.0</v>
      </c>
      <c r="EA183" s="62">
        <v>0.0</v>
      </c>
      <c r="EB183" s="62">
        <v>0.0</v>
      </c>
      <c r="EC183" s="62">
        <v>0.0</v>
      </c>
      <c r="ED183" s="62">
        <v>0.0</v>
      </c>
      <c r="EE183" s="62">
        <v>0.0</v>
      </c>
      <c r="EF183" s="62">
        <v>0.0</v>
      </c>
      <c r="EG183" s="62">
        <v>0.0</v>
      </c>
      <c r="EH183" s="62">
        <v>62.0</v>
      </c>
      <c r="EI183" s="62">
        <v>22.0</v>
      </c>
      <c r="EJ183" s="62">
        <v>103.0</v>
      </c>
      <c r="EK183" s="62">
        <v>61.0</v>
      </c>
      <c r="EL183" s="62">
        <v>18.0</v>
      </c>
      <c r="EM183" s="62">
        <v>120.0</v>
      </c>
      <c r="EN183" s="62">
        <v>96.0</v>
      </c>
      <c r="EO183" s="62">
        <v>0.0</v>
      </c>
      <c r="EP183" s="62">
        <v>38.0</v>
      </c>
      <c r="EQ183" s="62">
        <v>112.0</v>
      </c>
      <c r="ER183" s="62">
        <v>0.0</v>
      </c>
      <c r="ES183" s="62">
        <v>339.0</v>
      </c>
      <c r="ET183" s="62">
        <v>622.0</v>
      </c>
      <c r="EU183" s="62">
        <v>0.0</v>
      </c>
      <c r="EV183" s="62">
        <v>0.0</v>
      </c>
      <c r="EW183" s="62">
        <v>0.0</v>
      </c>
      <c r="EX183" s="62">
        <v>0.0</v>
      </c>
      <c r="EY183" s="62">
        <v>0.0</v>
      </c>
      <c r="EZ183" s="62">
        <v>31.0</v>
      </c>
      <c r="FA183" s="62">
        <v>11.0</v>
      </c>
      <c r="FB183" s="62">
        <v>235.0</v>
      </c>
      <c r="FC183" s="62">
        <v>0.0</v>
      </c>
      <c r="FD183" s="62">
        <v>0.0</v>
      </c>
      <c r="FE183" s="62">
        <v>3249.0</v>
      </c>
      <c r="FF183" s="62">
        <v>0.0</v>
      </c>
      <c r="FG183" s="62">
        <v>0.0</v>
      </c>
      <c r="FH183" s="62">
        <v>91.0</v>
      </c>
      <c r="FI183" s="62">
        <v>0.0</v>
      </c>
      <c r="FJ183" s="62">
        <v>6.0</v>
      </c>
      <c r="FK183" s="62">
        <v>103.0</v>
      </c>
      <c r="FL183" s="62">
        <v>0.0</v>
      </c>
      <c r="FM183" s="62">
        <v>3824.0</v>
      </c>
      <c r="FN183" s="62">
        <v>0.0</v>
      </c>
      <c r="FO183" s="62">
        <v>0.0</v>
      </c>
      <c r="FP183" s="62">
        <v>10949.0</v>
      </c>
      <c r="FQ183" s="62">
        <v>3821.0</v>
      </c>
      <c r="FR183" s="62">
        <v>9.0</v>
      </c>
      <c r="FS183" s="62">
        <v>13.0</v>
      </c>
      <c r="FT183" s="62">
        <v>0.0</v>
      </c>
      <c r="FU183" s="62">
        <v>3997.0</v>
      </c>
      <c r="FV183" s="62">
        <v>65.0</v>
      </c>
      <c r="FW183" s="62">
        <v>1695057.0</v>
      </c>
      <c r="FX183" s="62">
        <v>3273938.0</v>
      </c>
      <c r="FY183" s="62">
        <v>850274.0</v>
      </c>
      <c r="FZ183" s="62">
        <v>62894.0</v>
      </c>
      <c r="GA183" s="62">
        <v>72884.0</v>
      </c>
      <c r="GB183" s="62">
        <v>119859.0</v>
      </c>
      <c r="GC183" s="62">
        <v>1.0</v>
      </c>
      <c r="GD183" s="62">
        <v>3.0</v>
      </c>
      <c r="GE183" s="62">
        <v>84499.0</v>
      </c>
      <c r="GF183" s="63">
        <v>6218775.0</v>
      </c>
      <c r="GG183" s="64">
        <v>1.0270599E7</v>
      </c>
      <c r="GH183" s="65">
        <v>0.0</v>
      </c>
      <c r="GI183" s="64">
        <v>3.38022934E8</v>
      </c>
      <c r="GJ183" s="64">
        <v>0.0</v>
      </c>
      <c r="GK183" s="64">
        <v>0.0</v>
      </c>
      <c r="GL183" s="64">
        <v>0.0</v>
      </c>
      <c r="GM183" s="64">
        <v>428501.0</v>
      </c>
      <c r="GN183" s="63">
        <v>3.48722034E8</v>
      </c>
      <c r="GO183" s="66">
        <v>3.54940809E8</v>
      </c>
      <c r="GP183" s="64">
        <v>0.0</v>
      </c>
      <c r="GQ183" s="64">
        <v>4129.0</v>
      </c>
      <c r="GR183" s="65">
        <v>0.0</v>
      </c>
      <c r="GS183" s="63">
        <v>4129.0</v>
      </c>
      <c r="GT183" s="67">
        <v>0.0</v>
      </c>
      <c r="GU183" s="67">
        <v>0.0</v>
      </c>
      <c r="GV183" s="67">
        <v>0.0</v>
      </c>
      <c r="GW183" s="63">
        <v>0.0</v>
      </c>
      <c r="GX183" s="63">
        <v>0.0</v>
      </c>
      <c r="GY183" s="63">
        <v>3.5493668E8</v>
      </c>
      <c r="GZ183" s="66">
        <v>3.54940809E8</v>
      </c>
    </row>
    <row r="184" ht="15.75" customHeight="1">
      <c r="A184" s="60">
        <v>179.0</v>
      </c>
      <c r="B184" s="61" t="s">
        <v>224</v>
      </c>
      <c r="C184" s="62">
        <v>2787.0</v>
      </c>
      <c r="D184" s="62">
        <v>1565.0</v>
      </c>
      <c r="E184" s="62">
        <v>15.0</v>
      </c>
      <c r="F184" s="62">
        <v>969.0</v>
      </c>
      <c r="G184" s="62">
        <v>49.0</v>
      </c>
      <c r="H184" s="62">
        <v>305.0</v>
      </c>
      <c r="I184" s="62">
        <v>166.0</v>
      </c>
      <c r="J184" s="62">
        <v>109.0</v>
      </c>
      <c r="K184" s="62">
        <v>6.0</v>
      </c>
      <c r="L184" s="62">
        <v>0.0</v>
      </c>
      <c r="M184" s="62">
        <v>0.0</v>
      </c>
      <c r="N184" s="62">
        <v>183.0</v>
      </c>
      <c r="O184" s="62">
        <v>136.0</v>
      </c>
      <c r="P184" s="62">
        <v>0.0</v>
      </c>
      <c r="Q184" s="62">
        <v>0.0</v>
      </c>
      <c r="R184" s="62">
        <v>0.0</v>
      </c>
      <c r="S184" s="62">
        <v>0.0</v>
      </c>
      <c r="T184" s="62">
        <v>0.0</v>
      </c>
      <c r="U184" s="62">
        <v>0.0</v>
      </c>
      <c r="V184" s="62">
        <v>15.0</v>
      </c>
      <c r="W184" s="62">
        <v>0.0</v>
      </c>
      <c r="X184" s="62">
        <v>0.0</v>
      </c>
      <c r="Y184" s="62">
        <v>0.0</v>
      </c>
      <c r="Z184" s="62">
        <v>0.0</v>
      </c>
      <c r="AA184" s="62">
        <v>0.0</v>
      </c>
      <c r="AB184" s="62">
        <v>390.0</v>
      </c>
      <c r="AC184" s="62">
        <v>16.0</v>
      </c>
      <c r="AD184" s="62">
        <v>288.0</v>
      </c>
      <c r="AE184" s="62">
        <v>143.0</v>
      </c>
      <c r="AF184" s="62">
        <v>0.0</v>
      </c>
      <c r="AG184" s="62">
        <v>0.0</v>
      </c>
      <c r="AH184" s="62">
        <v>0.0</v>
      </c>
      <c r="AI184" s="62">
        <v>1303.0</v>
      </c>
      <c r="AJ184" s="62">
        <v>96.0</v>
      </c>
      <c r="AK184" s="62">
        <v>37.0</v>
      </c>
      <c r="AL184" s="62">
        <v>31.0</v>
      </c>
      <c r="AM184" s="62">
        <v>1670.0</v>
      </c>
      <c r="AN184" s="62">
        <v>7171.0</v>
      </c>
      <c r="AO184" s="62">
        <v>4036.0</v>
      </c>
      <c r="AP184" s="62">
        <v>0.0</v>
      </c>
      <c r="AQ184" s="62">
        <v>0.0</v>
      </c>
      <c r="AR184" s="62">
        <v>0.0</v>
      </c>
      <c r="AS184" s="62">
        <v>0.0</v>
      </c>
      <c r="AT184" s="62">
        <v>0.0</v>
      </c>
      <c r="AU184" s="62">
        <v>0.0</v>
      </c>
      <c r="AV184" s="62">
        <v>0.0</v>
      </c>
      <c r="AW184" s="62">
        <v>0.0</v>
      </c>
      <c r="AX184" s="62">
        <v>0.0</v>
      </c>
      <c r="AY184" s="62">
        <v>741.0</v>
      </c>
      <c r="AZ184" s="62">
        <v>2.0</v>
      </c>
      <c r="BA184" s="62">
        <v>281.0</v>
      </c>
      <c r="BB184" s="62">
        <v>39.0</v>
      </c>
      <c r="BC184" s="62">
        <v>0.0</v>
      </c>
      <c r="BD184" s="62">
        <v>0.0</v>
      </c>
      <c r="BE184" s="62">
        <v>0.0</v>
      </c>
      <c r="BF184" s="62">
        <v>0.0</v>
      </c>
      <c r="BG184" s="62">
        <v>1716.0</v>
      </c>
      <c r="BH184" s="62">
        <v>15253.0</v>
      </c>
      <c r="BI184" s="62">
        <v>1501.0</v>
      </c>
      <c r="BJ184" s="62">
        <v>0.0</v>
      </c>
      <c r="BK184" s="62">
        <v>0.0</v>
      </c>
      <c r="BL184" s="62">
        <v>0.0</v>
      </c>
      <c r="BM184" s="62">
        <v>0.0</v>
      </c>
      <c r="BN184" s="62">
        <v>0.0</v>
      </c>
      <c r="BO184" s="62">
        <v>0.0</v>
      </c>
      <c r="BP184" s="62">
        <v>0.0</v>
      </c>
      <c r="BQ184" s="62">
        <v>0.0</v>
      </c>
      <c r="BR184" s="62">
        <v>0.0</v>
      </c>
      <c r="BS184" s="62">
        <v>0.0</v>
      </c>
      <c r="BT184" s="62">
        <v>6263.0</v>
      </c>
      <c r="BU184" s="62">
        <v>887.0</v>
      </c>
      <c r="BV184" s="62">
        <v>0.0</v>
      </c>
      <c r="BW184" s="62">
        <v>19.0</v>
      </c>
      <c r="BX184" s="62">
        <v>323.0</v>
      </c>
      <c r="BY184" s="62">
        <v>500.0</v>
      </c>
      <c r="BZ184" s="62">
        <v>21.0</v>
      </c>
      <c r="CA184" s="62">
        <v>43.0</v>
      </c>
      <c r="CB184" s="62">
        <v>49.0</v>
      </c>
      <c r="CC184" s="62">
        <v>0.0</v>
      </c>
      <c r="CD184" s="62">
        <v>91.0</v>
      </c>
      <c r="CE184" s="62">
        <v>0.0</v>
      </c>
      <c r="CF184" s="62">
        <v>0.0</v>
      </c>
      <c r="CG184" s="62">
        <v>381.0</v>
      </c>
      <c r="CH184" s="62">
        <v>0.0</v>
      </c>
      <c r="CI184" s="62">
        <v>17054.0</v>
      </c>
      <c r="CJ184" s="62">
        <v>0.0</v>
      </c>
      <c r="CK184" s="62">
        <v>0.0</v>
      </c>
      <c r="CL184" s="62">
        <v>0.0</v>
      </c>
      <c r="CM184" s="62">
        <v>4.0</v>
      </c>
      <c r="CN184" s="62">
        <v>0.0</v>
      </c>
      <c r="CO184" s="62">
        <v>0.0</v>
      </c>
      <c r="CP184" s="62">
        <v>908.0</v>
      </c>
      <c r="CQ184" s="62">
        <v>0.0</v>
      </c>
      <c r="CR184" s="62">
        <v>32.0</v>
      </c>
      <c r="CS184" s="62">
        <v>0.0</v>
      </c>
      <c r="CT184" s="62">
        <v>7894.0</v>
      </c>
      <c r="CU184" s="62">
        <v>2670.0</v>
      </c>
      <c r="CV184" s="62">
        <v>4999.0</v>
      </c>
      <c r="CW184" s="62">
        <v>544.0</v>
      </c>
      <c r="CX184" s="62">
        <v>1311.0</v>
      </c>
      <c r="CY184" s="62">
        <v>89.0</v>
      </c>
      <c r="CZ184" s="62">
        <v>2541.0</v>
      </c>
      <c r="DA184" s="62">
        <v>6577.0</v>
      </c>
      <c r="DB184" s="62">
        <v>2899.0</v>
      </c>
      <c r="DC184" s="62">
        <v>11888.0</v>
      </c>
      <c r="DD184" s="62">
        <v>707.0</v>
      </c>
      <c r="DE184" s="62">
        <v>828.0</v>
      </c>
      <c r="DF184" s="62">
        <v>994.0</v>
      </c>
      <c r="DG184" s="62">
        <v>202.0</v>
      </c>
      <c r="DH184" s="62">
        <v>2735.0</v>
      </c>
      <c r="DI184" s="62">
        <v>214.0</v>
      </c>
      <c r="DJ184" s="62">
        <v>4805.0</v>
      </c>
      <c r="DK184" s="62">
        <v>82717.0</v>
      </c>
      <c r="DL184" s="62">
        <v>11993.0</v>
      </c>
      <c r="DM184" s="62">
        <v>0.0</v>
      </c>
      <c r="DN184" s="62">
        <v>0.0</v>
      </c>
      <c r="DO184" s="62">
        <v>0.0</v>
      </c>
      <c r="DP184" s="62">
        <v>0.0</v>
      </c>
      <c r="DQ184" s="62">
        <v>40.0</v>
      </c>
      <c r="DR184" s="62">
        <v>1994.0</v>
      </c>
      <c r="DS184" s="62">
        <v>157.0</v>
      </c>
      <c r="DT184" s="62">
        <v>0.0</v>
      </c>
      <c r="DU184" s="62">
        <v>0.0</v>
      </c>
      <c r="DV184" s="62">
        <v>0.0</v>
      </c>
      <c r="DW184" s="62">
        <v>0.0</v>
      </c>
      <c r="DX184" s="62">
        <v>7.0</v>
      </c>
      <c r="DY184" s="62">
        <v>0.0</v>
      </c>
      <c r="DZ184" s="62">
        <v>50.0</v>
      </c>
      <c r="EA184" s="62">
        <v>0.0</v>
      </c>
      <c r="EB184" s="62">
        <v>0.0</v>
      </c>
      <c r="EC184" s="62">
        <v>2367.0</v>
      </c>
      <c r="ED184" s="62">
        <v>361.0</v>
      </c>
      <c r="EE184" s="62">
        <v>39.0</v>
      </c>
      <c r="EF184" s="62">
        <v>293.0</v>
      </c>
      <c r="EG184" s="62">
        <v>1549.0</v>
      </c>
      <c r="EH184" s="62">
        <v>201.0</v>
      </c>
      <c r="EI184" s="62">
        <v>0.0</v>
      </c>
      <c r="EJ184" s="62">
        <v>502.0</v>
      </c>
      <c r="EK184" s="62">
        <v>18.0</v>
      </c>
      <c r="EL184" s="62">
        <v>9.0</v>
      </c>
      <c r="EM184" s="62">
        <v>0.0</v>
      </c>
      <c r="EN184" s="62">
        <v>0.0</v>
      </c>
      <c r="EO184" s="62">
        <v>69.0</v>
      </c>
      <c r="EP184" s="62">
        <v>98.0</v>
      </c>
      <c r="EQ184" s="62">
        <v>3.0</v>
      </c>
      <c r="ER184" s="62">
        <v>0.0</v>
      </c>
      <c r="ES184" s="62">
        <v>0.0</v>
      </c>
      <c r="ET184" s="62">
        <v>358.0</v>
      </c>
      <c r="EU184" s="62">
        <v>0.0</v>
      </c>
      <c r="EV184" s="62">
        <v>14196.0</v>
      </c>
      <c r="EW184" s="62">
        <v>0.0</v>
      </c>
      <c r="EX184" s="62">
        <v>0.0</v>
      </c>
      <c r="EY184" s="62">
        <v>0.0</v>
      </c>
      <c r="EZ184" s="62">
        <v>18130.0</v>
      </c>
      <c r="FA184" s="62">
        <v>11656.0</v>
      </c>
      <c r="FB184" s="62">
        <v>27128.0</v>
      </c>
      <c r="FC184" s="62">
        <v>0.0</v>
      </c>
      <c r="FD184" s="62">
        <v>0.0</v>
      </c>
      <c r="FE184" s="62">
        <v>0.0</v>
      </c>
      <c r="FF184" s="62">
        <v>0.0</v>
      </c>
      <c r="FG184" s="62">
        <v>0.0</v>
      </c>
      <c r="FH184" s="62">
        <v>268.0</v>
      </c>
      <c r="FI184" s="62">
        <v>34.0</v>
      </c>
      <c r="FJ184" s="62">
        <v>90.0</v>
      </c>
      <c r="FK184" s="62">
        <v>792.0</v>
      </c>
      <c r="FL184" s="62">
        <v>0.0</v>
      </c>
      <c r="FM184" s="62">
        <v>55.0</v>
      </c>
      <c r="FN184" s="62">
        <v>0.0</v>
      </c>
      <c r="FO184" s="62">
        <v>0.0</v>
      </c>
      <c r="FP184" s="62">
        <v>6427.0</v>
      </c>
      <c r="FQ184" s="62">
        <v>86488.0</v>
      </c>
      <c r="FR184" s="62">
        <v>6.0</v>
      </c>
      <c r="FS184" s="62">
        <v>2907.0</v>
      </c>
      <c r="FT184" s="62">
        <v>115940.0</v>
      </c>
      <c r="FU184" s="62">
        <v>82127.0</v>
      </c>
      <c r="FV184" s="62">
        <v>8377.0</v>
      </c>
      <c r="FW184" s="62">
        <v>85707.0</v>
      </c>
      <c r="FX184" s="62">
        <v>39591.0</v>
      </c>
      <c r="FY184" s="62">
        <v>876893.0</v>
      </c>
      <c r="FZ184" s="62">
        <v>185.0</v>
      </c>
      <c r="GA184" s="62">
        <v>76659.0</v>
      </c>
      <c r="GB184" s="62">
        <v>352502.0</v>
      </c>
      <c r="GC184" s="62">
        <v>358.0</v>
      </c>
      <c r="GD184" s="62">
        <v>0.0</v>
      </c>
      <c r="GE184" s="62">
        <v>654433.0</v>
      </c>
      <c r="GF184" s="63">
        <v>2683265.0</v>
      </c>
      <c r="GG184" s="64">
        <v>1.8672572E7</v>
      </c>
      <c r="GH184" s="65">
        <v>0.0</v>
      </c>
      <c r="GI184" s="64">
        <v>3.37035571E8</v>
      </c>
      <c r="GJ184" s="64">
        <v>0.0</v>
      </c>
      <c r="GK184" s="64">
        <v>0.0</v>
      </c>
      <c r="GL184" s="64">
        <v>0.0</v>
      </c>
      <c r="GM184" s="64">
        <v>452553.0</v>
      </c>
      <c r="GN184" s="63">
        <v>3.56160696E8</v>
      </c>
      <c r="GO184" s="66">
        <v>3.58843961E8</v>
      </c>
      <c r="GP184" s="64">
        <v>0.0</v>
      </c>
      <c r="GQ184" s="64">
        <v>11596.0</v>
      </c>
      <c r="GR184" s="65">
        <v>0.0</v>
      </c>
      <c r="GS184" s="63">
        <v>11596.0</v>
      </c>
      <c r="GT184" s="67">
        <v>0.0</v>
      </c>
      <c r="GU184" s="67">
        <v>0.0</v>
      </c>
      <c r="GV184" s="67">
        <v>0.0</v>
      </c>
      <c r="GW184" s="63">
        <v>0.0</v>
      </c>
      <c r="GX184" s="63">
        <v>0.0</v>
      </c>
      <c r="GY184" s="63">
        <v>3.58832365E8</v>
      </c>
      <c r="GZ184" s="66">
        <v>3.58843961E8</v>
      </c>
    </row>
    <row r="185" ht="15.75" customHeight="1">
      <c r="A185" s="68">
        <v>180.0</v>
      </c>
      <c r="B185" s="69" t="s">
        <v>225</v>
      </c>
      <c r="C185" s="70">
        <v>0.0</v>
      </c>
      <c r="D185" s="70">
        <v>0.0</v>
      </c>
      <c r="E185" s="70">
        <v>0.0</v>
      </c>
      <c r="F185" s="70">
        <v>0.0</v>
      </c>
      <c r="G185" s="70">
        <v>0.0</v>
      </c>
      <c r="H185" s="70">
        <v>0.0</v>
      </c>
      <c r="I185" s="70">
        <v>0.0</v>
      </c>
      <c r="J185" s="70">
        <v>0.0</v>
      </c>
      <c r="K185" s="70">
        <v>0.0</v>
      </c>
      <c r="L185" s="70">
        <v>0.0</v>
      </c>
      <c r="M185" s="70">
        <v>0.0</v>
      </c>
      <c r="N185" s="70">
        <v>0.0</v>
      </c>
      <c r="O185" s="70">
        <v>0.0</v>
      </c>
      <c r="P185" s="70">
        <v>0.0</v>
      </c>
      <c r="Q185" s="70">
        <v>0.0</v>
      </c>
      <c r="R185" s="70">
        <v>0.0</v>
      </c>
      <c r="S185" s="70">
        <v>0.0</v>
      </c>
      <c r="T185" s="70">
        <v>0.0</v>
      </c>
      <c r="U185" s="70">
        <v>0.0</v>
      </c>
      <c r="V185" s="70">
        <v>0.0</v>
      </c>
      <c r="W185" s="70">
        <v>0.0</v>
      </c>
      <c r="X185" s="70">
        <v>0.0</v>
      </c>
      <c r="Y185" s="70">
        <v>0.0</v>
      </c>
      <c r="Z185" s="70">
        <v>0.0</v>
      </c>
      <c r="AA185" s="70">
        <v>0.0</v>
      </c>
      <c r="AB185" s="70">
        <v>0.0</v>
      </c>
      <c r="AC185" s="70">
        <v>0.0</v>
      </c>
      <c r="AD185" s="70">
        <v>0.0</v>
      </c>
      <c r="AE185" s="70">
        <v>0.0</v>
      </c>
      <c r="AF185" s="70">
        <v>0.0</v>
      </c>
      <c r="AG185" s="70">
        <v>0.0</v>
      </c>
      <c r="AH185" s="70">
        <v>0.0</v>
      </c>
      <c r="AI185" s="70">
        <v>0.0</v>
      </c>
      <c r="AJ185" s="70">
        <v>0.0</v>
      </c>
      <c r="AK185" s="70">
        <v>0.0</v>
      </c>
      <c r="AL185" s="70">
        <v>0.0</v>
      </c>
      <c r="AM185" s="70">
        <v>0.0</v>
      </c>
      <c r="AN185" s="70">
        <v>0.0</v>
      </c>
      <c r="AO185" s="70">
        <v>0.0</v>
      </c>
      <c r="AP185" s="70">
        <v>0.0</v>
      </c>
      <c r="AQ185" s="70">
        <v>0.0</v>
      </c>
      <c r="AR185" s="70">
        <v>0.0</v>
      </c>
      <c r="AS185" s="70">
        <v>0.0</v>
      </c>
      <c r="AT185" s="70">
        <v>0.0</v>
      </c>
      <c r="AU185" s="70">
        <v>0.0</v>
      </c>
      <c r="AV185" s="70">
        <v>0.0</v>
      </c>
      <c r="AW185" s="70">
        <v>0.0</v>
      </c>
      <c r="AX185" s="70">
        <v>0.0</v>
      </c>
      <c r="AY185" s="70">
        <v>0.0</v>
      </c>
      <c r="AZ185" s="70">
        <v>0.0</v>
      </c>
      <c r="BA185" s="70">
        <v>0.0</v>
      </c>
      <c r="BB185" s="70">
        <v>0.0</v>
      </c>
      <c r="BC185" s="70">
        <v>0.0</v>
      </c>
      <c r="BD185" s="70">
        <v>0.0</v>
      </c>
      <c r="BE185" s="70">
        <v>0.0</v>
      </c>
      <c r="BF185" s="70">
        <v>0.0</v>
      </c>
      <c r="BG185" s="70">
        <v>0.0</v>
      </c>
      <c r="BH185" s="70">
        <v>0.0</v>
      </c>
      <c r="BI185" s="70">
        <v>0.0</v>
      </c>
      <c r="BJ185" s="70">
        <v>0.0</v>
      </c>
      <c r="BK185" s="70">
        <v>0.0</v>
      </c>
      <c r="BL185" s="70">
        <v>0.0</v>
      </c>
      <c r="BM185" s="70">
        <v>0.0</v>
      </c>
      <c r="BN185" s="70">
        <v>0.0</v>
      </c>
      <c r="BO185" s="70">
        <v>0.0</v>
      </c>
      <c r="BP185" s="70">
        <v>0.0</v>
      </c>
      <c r="BQ185" s="70">
        <v>0.0</v>
      </c>
      <c r="BR185" s="70">
        <v>0.0</v>
      </c>
      <c r="BS185" s="70">
        <v>0.0</v>
      </c>
      <c r="BT185" s="70">
        <v>0.0</v>
      </c>
      <c r="BU185" s="70">
        <v>0.0</v>
      </c>
      <c r="BV185" s="70">
        <v>0.0</v>
      </c>
      <c r="BW185" s="70">
        <v>0.0</v>
      </c>
      <c r="BX185" s="70">
        <v>0.0</v>
      </c>
      <c r="BY185" s="70">
        <v>0.0</v>
      </c>
      <c r="BZ185" s="70">
        <v>0.0</v>
      </c>
      <c r="CA185" s="70">
        <v>0.0</v>
      </c>
      <c r="CB185" s="70">
        <v>0.0</v>
      </c>
      <c r="CC185" s="70">
        <v>0.0</v>
      </c>
      <c r="CD185" s="70">
        <v>0.0</v>
      </c>
      <c r="CE185" s="70">
        <v>0.0</v>
      </c>
      <c r="CF185" s="70">
        <v>0.0</v>
      </c>
      <c r="CG185" s="70">
        <v>233.0</v>
      </c>
      <c r="CH185" s="70">
        <v>0.0</v>
      </c>
      <c r="CI185" s="70">
        <v>1611.0</v>
      </c>
      <c r="CJ185" s="70">
        <v>0.0</v>
      </c>
      <c r="CK185" s="70">
        <v>0.0</v>
      </c>
      <c r="CL185" s="70">
        <v>0.0</v>
      </c>
      <c r="CM185" s="70">
        <v>248.0</v>
      </c>
      <c r="CN185" s="70">
        <v>0.0</v>
      </c>
      <c r="CO185" s="70">
        <v>0.0</v>
      </c>
      <c r="CP185" s="70">
        <v>141.0</v>
      </c>
      <c r="CQ185" s="70">
        <v>0.0</v>
      </c>
      <c r="CR185" s="70">
        <v>0.0</v>
      </c>
      <c r="CS185" s="70">
        <v>0.0</v>
      </c>
      <c r="CT185" s="70">
        <v>0.0</v>
      </c>
      <c r="CU185" s="70">
        <v>0.0</v>
      </c>
      <c r="CV185" s="70">
        <v>0.0</v>
      </c>
      <c r="CW185" s="70">
        <v>0.0</v>
      </c>
      <c r="CX185" s="70">
        <v>0.0</v>
      </c>
      <c r="CY185" s="70">
        <v>0.0</v>
      </c>
      <c r="CZ185" s="70">
        <v>0.0</v>
      </c>
      <c r="DA185" s="70">
        <v>0.0</v>
      </c>
      <c r="DB185" s="70">
        <v>0.0</v>
      </c>
      <c r="DC185" s="70">
        <v>0.0</v>
      </c>
      <c r="DD185" s="70">
        <v>0.0</v>
      </c>
      <c r="DE185" s="70">
        <v>0.0</v>
      </c>
      <c r="DF185" s="70">
        <v>0.0</v>
      </c>
      <c r="DG185" s="70">
        <v>0.0</v>
      </c>
      <c r="DH185" s="70">
        <v>0.0</v>
      </c>
      <c r="DI185" s="70">
        <v>0.0</v>
      </c>
      <c r="DJ185" s="70">
        <v>0.0</v>
      </c>
      <c r="DK185" s="70">
        <v>4366.0</v>
      </c>
      <c r="DL185" s="70">
        <v>0.0</v>
      </c>
      <c r="DM185" s="70">
        <v>0.0</v>
      </c>
      <c r="DN185" s="70">
        <v>0.0</v>
      </c>
      <c r="DO185" s="70">
        <v>0.0</v>
      </c>
      <c r="DP185" s="70">
        <v>0.0</v>
      </c>
      <c r="DQ185" s="70">
        <v>0.0</v>
      </c>
      <c r="DR185" s="70">
        <v>0.0</v>
      </c>
      <c r="DS185" s="70">
        <v>0.0</v>
      </c>
      <c r="DT185" s="70">
        <v>0.0</v>
      </c>
      <c r="DU185" s="70">
        <v>0.0</v>
      </c>
      <c r="DV185" s="70">
        <v>0.0</v>
      </c>
      <c r="DW185" s="70">
        <v>0.0</v>
      </c>
      <c r="DX185" s="70">
        <v>0.0</v>
      </c>
      <c r="DY185" s="70">
        <v>0.0</v>
      </c>
      <c r="DZ185" s="70">
        <v>0.0</v>
      </c>
      <c r="EA185" s="70">
        <v>0.0</v>
      </c>
      <c r="EB185" s="70">
        <v>0.0</v>
      </c>
      <c r="EC185" s="70">
        <v>0.0</v>
      </c>
      <c r="ED185" s="70">
        <v>0.0</v>
      </c>
      <c r="EE185" s="70">
        <v>0.0</v>
      </c>
      <c r="EF185" s="70">
        <v>0.0</v>
      </c>
      <c r="EG185" s="70">
        <v>0.0</v>
      </c>
      <c r="EH185" s="70">
        <v>0.0</v>
      </c>
      <c r="EI185" s="70">
        <v>0.0</v>
      </c>
      <c r="EJ185" s="70">
        <v>0.0</v>
      </c>
      <c r="EK185" s="70">
        <v>0.0</v>
      </c>
      <c r="EL185" s="70">
        <v>0.0</v>
      </c>
      <c r="EM185" s="70">
        <v>0.0</v>
      </c>
      <c r="EN185" s="70">
        <v>0.0</v>
      </c>
      <c r="EO185" s="70">
        <v>0.0</v>
      </c>
      <c r="EP185" s="70">
        <v>788.0</v>
      </c>
      <c r="EQ185" s="70">
        <v>0.0</v>
      </c>
      <c r="ER185" s="70">
        <v>0.0</v>
      </c>
      <c r="ES185" s="70">
        <v>0.0</v>
      </c>
      <c r="ET185" s="70">
        <v>0.0</v>
      </c>
      <c r="EU185" s="70">
        <v>0.0</v>
      </c>
      <c r="EV185" s="70">
        <v>0.0</v>
      </c>
      <c r="EW185" s="70">
        <v>0.0</v>
      </c>
      <c r="EX185" s="70">
        <v>0.0</v>
      </c>
      <c r="EY185" s="70">
        <v>0.0</v>
      </c>
      <c r="EZ185" s="70">
        <v>0.0</v>
      </c>
      <c r="FA185" s="70">
        <v>0.0</v>
      </c>
      <c r="FB185" s="70">
        <v>1060.0</v>
      </c>
      <c r="FC185" s="70">
        <v>0.0</v>
      </c>
      <c r="FD185" s="70">
        <v>0.0</v>
      </c>
      <c r="FE185" s="70">
        <v>0.0</v>
      </c>
      <c r="FF185" s="70">
        <v>0.0</v>
      </c>
      <c r="FG185" s="70">
        <v>0.0</v>
      </c>
      <c r="FH185" s="70">
        <v>0.0</v>
      </c>
      <c r="FI185" s="70">
        <v>0.0</v>
      </c>
      <c r="FJ185" s="70">
        <v>0.0</v>
      </c>
      <c r="FK185" s="70">
        <v>0.0</v>
      </c>
      <c r="FL185" s="70">
        <v>0.0</v>
      </c>
      <c r="FM185" s="70">
        <v>0.0</v>
      </c>
      <c r="FN185" s="70">
        <v>0.0</v>
      </c>
      <c r="FO185" s="70">
        <v>0.0</v>
      </c>
      <c r="FP185" s="70">
        <v>29315.0</v>
      </c>
      <c r="FQ185" s="70">
        <v>3655.0</v>
      </c>
      <c r="FR185" s="70">
        <v>12.0</v>
      </c>
      <c r="FS185" s="70">
        <v>0.0</v>
      </c>
      <c r="FT185" s="70">
        <v>0.0</v>
      </c>
      <c r="FU185" s="70">
        <v>0.0</v>
      </c>
      <c r="FV185" s="70">
        <v>94436.0</v>
      </c>
      <c r="FW185" s="70">
        <v>0.0</v>
      </c>
      <c r="FX185" s="70">
        <v>0.0</v>
      </c>
      <c r="FY185" s="70">
        <v>0.0</v>
      </c>
      <c r="FZ185" s="70">
        <v>0.0</v>
      </c>
      <c r="GA185" s="70">
        <v>51855.0</v>
      </c>
      <c r="GB185" s="70">
        <v>75.0</v>
      </c>
      <c r="GC185" s="70">
        <v>281.0</v>
      </c>
      <c r="GD185" s="70">
        <v>1949.0</v>
      </c>
      <c r="GE185" s="70">
        <v>1383.0</v>
      </c>
      <c r="GF185" s="71">
        <v>191408.0</v>
      </c>
      <c r="GG185" s="72">
        <v>102800.0</v>
      </c>
      <c r="GH185" s="73">
        <v>0.0</v>
      </c>
      <c r="GI185" s="72">
        <v>5833813.0</v>
      </c>
      <c r="GJ185" s="72">
        <v>0.0</v>
      </c>
      <c r="GK185" s="72">
        <v>0.0</v>
      </c>
      <c r="GL185" s="72">
        <v>0.0</v>
      </c>
      <c r="GM185" s="72">
        <v>85079.0</v>
      </c>
      <c r="GN185" s="71">
        <v>6021692.0</v>
      </c>
      <c r="GO185" s="74">
        <v>6213100.0</v>
      </c>
      <c r="GP185" s="72">
        <v>1132.0</v>
      </c>
      <c r="GQ185" s="72">
        <v>37288.0</v>
      </c>
      <c r="GR185" s="73">
        <v>0.0</v>
      </c>
      <c r="GS185" s="71">
        <v>38420.0</v>
      </c>
      <c r="GT185" s="75">
        <v>0.0</v>
      </c>
      <c r="GU185" s="75">
        <v>0.0</v>
      </c>
      <c r="GV185" s="75">
        <v>0.0</v>
      </c>
      <c r="GW185" s="71">
        <v>0.0</v>
      </c>
      <c r="GX185" s="71">
        <v>0.0</v>
      </c>
      <c r="GY185" s="71">
        <v>6174680.0</v>
      </c>
      <c r="GZ185" s="74">
        <v>6213100.0</v>
      </c>
    </row>
    <row r="186" ht="15.75" customHeight="1">
      <c r="A186" s="52">
        <v>181.0</v>
      </c>
      <c r="B186" s="53" t="s">
        <v>226</v>
      </c>
      <c r="C186" s="54">
        <v>0.0</v>
      </c>
      <c r="D186" s="54">
        <v>0.0</v>
      </c>
      <c r="E186" s="54">
        <v>0.0</v>
      </c>
      <c r="F186" s="54">
        <v>0.0</v>
      </c>
      <c r="G186" s="54">
        <v>0.0</v>
      </c>
      <c r="H186" s="54">
        <v>0.0</v>
      </c>
      <c r="I186" s="54">
        <v>0.0</v>
      </c>
      <c r="J186" s="54">
        <v>0.0</v>
      </c>
      <c r="K186" s="54">
        <v>0.0</v>
      </c>
      <c r="L186" s="54">
        <v>0.0</v>
      </c>
      <c r="M186" s="54">
        <v>0.0</v>
      </c>
      <c r="N186" s="54">
        <v>0.0</v>
      </c>
      <c r="O186" s="54">
        <v>0.0</v>
      </c>
      <c r="P186" s="54">
        <v>0.0</v>
      </c>
      <c r="Q186" s="54">
        <v>0.0</v>
      </c>
      <c r="R186" s="54">
        <v>0.0</v>
      </c>
      <c r="S186" s="54">
        <v>0.0</v>
      </c>
      <c r="T186" s="54">
        <v>0.0</v>
      </c>
      <c r="U186" s="54">
        <v>0.0</v>
      </c>
      <c r="V186" s="54">
        <v>0.0</v>
      </c>
      <c r="W186" s="54">
        <v>0.0</v>
      </c>
      <c r="X186" s="54">
        <v>0.0</v>
      </c>
      <c r="Y186" s="54">
        <v>0.0</v>
      </c>
      <c r="Z186" s="54">
        <v>0.0</v>
      </c>
      <c r="AA186" s="54">
        <v>0.0</v>
      </c>
      <c r="AB186" s="54">
        <v>0.0</v>
      </c>
      <c r="AC186" s="54">
        <v>0.0</v>
      </c>
      <c r="AD186" s="54">
        <v>0.0</v>
      </c>
      <c r="AE186" s="54">
        <v>0.0</v>
      </c>
      <c r="AF186" s="54">
        <v>0.0</v>
      </c>
      <c r="AG186" s="54">
        <v>0.0</v>
      </c>
      <c r="AH186" s="54">
        <v>0.0</v>
      </c>
      <c r="AI186" s="54">
        <v>0.0</v>
      </c>
      <c r="AJ186" s="54">
        <v>0.0</v>
      </c>
      <c r="AK186" s="54">
        <v>0.0</v>
      </c>
      <c r="AL186" s="54">
        <v>0.0</v>
      </c>
      <c r="AM186" s="54">
        <v>328400.0</v>
      </c>
      <c r="AN186" s="54">
        <v>74852.0</v>
      </c>
      <c r="AO186" s="54">
        <v>567978.0</v>
      </c>
      <c r="AP186" s="54">
        <v>635.0</v>
      </c>
      <c r="AQ186" s="54">
        <v>2298.0</v>
      </c>
      <c r="AR186" s="54">
        <v>1327.0</v>
      </c>
      <c r="AS186" s="54">
        <v>9778.0</v>
      </c>
      <c r="AT186" s="54">
        <v>1163.0</v>
      </c>
      <c r="AU186" s="54">
        <v>861.0</v>
      </c>
      <c r="AV186" s="54">
        <v>16115.0</v>
      </c>
      <c r="AW186" s="54">
        <v>334.0</v>
      </c>
      <c r="AX186" s="54">
        <v>24469.0</v>
      </c>
      <c r="AY186" s="54">
        <v>357.0</v>
      </c>
      <c r="AZ186" s="54">
        <v>318.0</v>
      </c>
      <c r="BA186" s="54">
        <v>65752.0</v>
      </c>
      <c r="BB186" s="54">
        <v>92492.0</v>
      </c>
      <c r="BC186" s="54">
        <v>577.0</v>
      </c>
      <c r="BD186" s="54">
        <v>42.0</v>
      </c>
      <c r="BE186" s="54">
        <v>595.0</v>
      </c>
      <c r="BF186" s="54">
        <v>1879.0</v>
      </c>
      <c r="BG186" s="54">
        <v>153.0</v>
      </c>
      <c r="BH186" s="54">
        <v>8400.0</v>
      </c>
      <c r="BI186" s="54">
        <v>403.0</v>
      </c>
      <c r="BJ186" s="54">
        <v>3736.0</v>
      </c>
      <c r="BK186" s="54">
        <v>615.0</v>
      </c>
      <c r="BL186" s="54">
        <v>93.0</v>
      </c>
      <c r="BM186" s="54">
        <v>18.0</v>
      </c>
      <c r="BN186" s="54">
        <v>0.0</v>
      </c>
      <c r="BO186" s="54">
        <v>2806.0</v>
      </c>
      <c r="BP186" s="54">
        <v>0.0</v>
      </c>
      <c r="BQ186" s="54">
        <v>0.0</v>
      </c>
      <c r="BR186" s="54">
        <v>63.0</v>
      </c>
      <c r="BS186" s="54">
        <v>15738.0</v>
      </c>
      <c r="BT186" s="54">
        <v>371.0</v>
      </c>
      <c r="BU186" s="54">
        <v>5178.0</v>
      </c>
      <c r="BV186" s="54">
        <v>891.0</v>
      </c>
      <c r="BW186" s="54">
        <v>117.0</v>
      </c>
      <c r="BX186" s="54">
        <v>0.0</v>
      </c>
      <c r="BY186" s="54">
        <v>38093.0</v>
      </c>
      <c r="BZ186" s="54">
        <v>2539.0</v>
      </c>
      <c r="CA186" s="54">
        <v>25124.0</v>
      </c>
      <c r="CB186" s="54">
        <v>13481.0</v>
      </c>
      <c r="CC186" s="54">
        <v>1614.0</v>
      </c>
      <c r="CD186" s="54">
        <v>1225.0</v>
      </c>
      <c r="CE186" s="54">
        <v>1801.0</v>
      </c>
      <c r="CF186" s="54">
        <v>5162.0</v>
      </c>
      <c r="CG186" s="54">
        <v>953.0</v>
      </c>
      <c r="CH186" s="54">
        <v>1371.0</v>
      </c>
      <c r="CI186" s="54">
        <v>8523.0</v>
      </c>
      <c r="CJ186" s="54">
        <v>42838.0</v>
      </c>
      <c r="CK186" s="54">
        <v>91209.0</v>
      </c>
      <c r="CL186" s="54">
        <v>52060.0</v>
      </c>
      <c r="CM186" s="54">
        <v>18763.0</v>
      </c>
      <c r="CN186" s="54">
        <v>27198.0</v>
      </c>
      <c r="CO186" s="54">
        <v>32084.0</v>
      </c>
      <c r="CP186" s="54">
        <v>47544.0</v>
      </c>
      <c r="CQ186" s="54">
        <v>23823.0</v>
      </c>
      <c r="CR186" s="54">
        <v>49942.0</v>
      </c>
      <c r="CS186" s="54">
        <v>10327.0</v>
      </c>
      <c r="CT186" s="54">
        <v>162367.0</v>
      </c>
      <c r="CU186" s="54">
        <v>54922.0</v>
      </c>
      <c r="CV186" s="54">
        <v>102685.0</v>
      </c>
      <c r="CW186" s="54">
        <v>11184.0</v>
      </c>
      <c r="CX186" s="54">
        <v>26966.0</v>
      </c>
      <c r="CY186" s="54">
        <v>1835.0</v>
      </c>
      <c r="CZ186" s="54">
        <v>7575.0</v>
      </c>
      <c r="DA186" s="54">
        <v>53798.0</v>
      </c>
      <c r="DB186" s="54">
        <v>33905.0</v>
      </c>
      <c r="DC186" s="54">
        <v>88120.0</v>
      </c>
      <c r="DD186" s="54">
        <v>14541.0</v>
      </c>
      <c r="DE186" s="54">
        <v>1455.0</v>
      </c>
      <c r="DF186" s="54">
        <v>1747.0</v>
      </c>
      <c r="DG186" s="54">
        <v>356.0</v>
      </c>
      <c r="DH186" s="54">
        <v>4937.0</v>
      </c>
      <c r="DI186" s="54">
        <v>15889.0</v>
      </c>
      <c r="DJ186" s="54">
        <v>17928.0</v>
      </c>
      <c r="DK186" s="54">
        <v>20266.0</v>
      </c>
      <c r="DL186" s="54">
        <v>71484.0</v>
      </c>
      <c r="DM186" s="54">
        <v>30256.0</v>
      </c>
      <c r="DN186" s="54">
        <v>2957.0</v>
      </c>
      <c r="DO186" s="54">
        <v>8252.0</v>
      </c>
      <c r="DP186" s="54">
        <v>655.0</v>
      </c>
      <c r="DQ186" s="54">
        <v>3339.0</v>
      </c>
      <c r="DR186" s="54">
        <v>11727.0</v>
      </c>
      <c r="DS186" s="54">
        <v>564158.0</v>
      </c>
      <c r="DT186" s="54">
        <v>25312.0</v>
      </c>
      <c r="DU186" s="54">
        <v>69360.0</v>
      </c>
      <c r="DV186" s="54">
        <v>205297.0</v>
      </c>
      <c r="DW186" s="54">
        <v>131806.0</v>
      </c>
      <c r="DX186" s="54">
        <v>111250.0</v>
      </c>
      <c r="DY186" s="54">
        <v>380424.0</v>
      </c>
      <c r="DZ186" s="54">
        <v>149580.0</v>
      </c>
      <c r="EA186" s="54">
        <v>16834.0</v>
      </c>
      <c r="EB186" s="54">
        <v>152280.0</v>
      </c>
      <c r="EC186" s="54">
        <v>108394.0</v>
      </c>
      <c r="ED186" s="54">
        <v>9529.0</v>
      </c>
      <c r="EE186" s="54">
        <v>5547.0</v>
      </c>
      <c r="EF186" s="54">
        <v>526.0</v>
      </c>
      <c r="EG186" s="54">
        <v>7755.0</v>
      </c>
      <c r="EH186" s="54">
        <v>4227.0</v>
      </c>
      <c r="EI186" s="54">
        <v>10939.0</v>
      </c>
      <c r="EJ186" s="54">
        <v>5043.0</v>
      </c>
      <c r="EK186" s="54">
        <v>801.0</v>
      </c>
      <c r="EL186" s="54">
        <v>455.0</v>
      </c>
      <c r="EM186" s="54">
        <v>1200.0</v>
      </c>
      <c r="EN186" s="54">
        <v>14344.0</v>
      </c>
      <c r="EO186" s="54">
        <v>1078.0</v>
      </c>
      <c r="EP186" s="54">
        <v>6145.0</v>
      </c>
      <c r="EQ186" s="54">
        <v>25595.0</v>
      </c>
      <c r="ER186" s="54">
        <v>31796.0</v>
      </c>
      <c r="ES186" s="54">
        <v>54701.0</v>
      </c>
      <c r="ET186" s="54">
        <v>12757.0</v>
      </c>
      <c r="EU186" s="54">
        <v>807362.0</v>
      </c>
      <c r="EV186" s="54">
        <v>11626.0</v>
      </c>
      <c r="EW186" s="54">
        <v>11049.0</v>
      </c>
      <c r="EX186" s="54">
        <v>48760.0</v>
      </c>
      <c r="EY186" s="54">
        <v>229766.0</v>
      </c>
      <c r="EZ186" s="54">
        <v>106239.0</v>
      </c>
      <c r="FA186" s="54">
        <v>90499.0</v>
      </c>
      <c r="FB186" s="54">
        <v>1881358.0</v>
      </c>
      <c r="FC186" s="54">
        <v>38190.0</v>
      </c>
      <c r="FD186" s="54">
        <v>4161200.0</v>
      </c>
      <c r="FE186" s="54">
        <v>285110.0</v>
      </c>
      <c r="FF186" s="54">
        <v>176848.0</v>
      </c>
      <c r="FG186" s="54">
        <v>1804674.0</v>
      </c>
      <c r="FH186" s="54">
        <v>510345.0</v>
      </c>
      <c r="FI186" s="54">
        <v>158702.0</v>
      </c>
      <c r="FJ186" s="54">
        <v>19702.0</v>
      </c>
      <c r="FK186" s="54">
        <v>26535.0</v>
      </c>
      <c r="FL186" s="54">
        <v>140735.0</v>
      </c>
      <c r="FM186" s="54">
        <v>15776.0</v>
      </c>
      <c r="FN186" s="54">
        <v>324630.0</v>
      </c>
      <c r="FO186" s="54">
        <v>14809.0</v>
      </c>
      <c r="FP186" s="54">
        <v>4887182.0</v>
      </c>
      <c r="FQ186" s="54">
        <v>763104.0</v>
      </c>
      <c r="FR186" s="54">
        <v>93.0</v>
      </c>
      <c r="FS186" s="54">
        <v>202139.0</v>
      </c>
      <c r="FT186" s="54">
        <v>31070.0</v>
      </c>
      <c r="FU186" s="54">
        <v>3288499.0</v>
      </c>
      <c r="FV186" s="54">
        <v>267847.0</v>
      </c>
      <c r="FW186" s="54">
        <v>2580705.0</v>
      </c>
      <c r="FX186" s="54">
        <v>905140.0</v>
      </c>
      <c r="FY186" s="54">
        <v>740716.0</v>
      </c>
      <c r="FZ186" s="54">
        <v>98890.0</v>
      </c>
      <c r="GA186" s="54">
        <v>5792200.0</v>
      </c>
      <c r="GB186" s="54">
        <v>1216441.0</v>
      </c>
      <c r="GC186" s="54">
        <v>32361.0</v>
      </c>
      <c r="GD186" s="54">
        <v>11733.0</v>
      </c>
      <c r="GE186" s="54">
        <v>1015454.0</v>
      </c>
      <c r="GF186" s="55">
        <v>3.7278246E7</v>
      </c>
      <c r="GG186" s="56">
        <v>3.53404017E8</v>
      </c>
      <c r="GH186" s="57">
        <v>1.8431015E7</v>
      </c>
      <c r="GI186" s="56">
        <v>0.0</v>
      </c>
      <c r="GJ186" s="56">
        <v>0.0</v>
      </c>
      <c r="GK186" s="56">
        <v>0.0</v>
      </c>
      <c r="GL186" s="56">
        <v>0.0</v>
      </c>
      <c r="GM186" s="56">
        <v>448229.0</v>
      </c>
      <c r="GN186" s="55">
        <v>3.72283261E8</v>
      </c>
      <c r="GO186" s="58">
        <v>4.09561507E8</v>
      </c>
      <c r="GP186" s="56">
        <v>0.0</v>
      </c>
      <c r="GQ186" s="56">
        <v>1059141.0</v>
      </c>
      <c r="GR186" s="57">
        <v>0.0</v>
      </c>
      <c r="GS186" s="55">
        <v>1059141.0</v>
      </c>
      <c r="GT186" s="59">
        <v>0.0</v>
      </c>
      <c r="GU186" s="59">
        <v>0.0</v>
      </c>
      <c r="GV186" s="59">
        <v>0.0</v>
      </c>
      <c r="GW186" s="55">
        <v>0.0</v>
      </c>
      <c r="GX186" s="55">
        <v>0.0</v>
      </c>
      <c r="GY186" s="55">
        <v>4.08502366E8</v>
      </c>
      <c r="GZ186" s="58">
        <v>4.09561507E8</v>
      </c>
    </row>
    <row r="187" ht="15.75" customHeight="1">
      <c r="A187" s="60">
        <v>182.0</v>
      </c>
      <c r="B187" s="61" t="s">
        <v>227</v>
      </c>
      <c r="C187" s="62">
        <v>0.0</v>
      </c>
      <c r="D187" s="62">
        <v>0.0</v>
      </c>
      <c r="E187" s="62">
        <v>0.0</v>
      </c>
      <c r="F187" s="62">
        <v>0.0</v>
      </c>
      <c r="G187" s="62">
        <v>0.0</v>
      </c>
      <c r="H187" s="62">
        <v>0.0</v>
      </c>
      <c r="I187" s="62">
        <v>0.0</v>
      </c>
      <c r="J187" s="62">
        <v>0.0</v>
      </c>
      <c r="K187" s="62">
        <v>0.0</v>
      </c>
      <c r="L187" s="62">
        <v>0.0</v>
      </c>
      <c r="M187" s="62">
        <v>0.0</v>
      </c>
      <c r="N187" s="62">
        <v>1228.0</v>
      </c>
      <c r="O187" s="62">
        <v>243.0</v>
      </c>
      <c r="P187" s="62">
        <v>7.0</v>
      </c>
      <c r="Q187" s="62">
        <v>0.0</v>
      </c>
      <c r="R187" s="62">
        <v>0.0</v>
      </c>
      <c r="S187" s="62">
        <v>0.0</v>
      </c>
      <c r="T187" s="62">
        <v>0.0</v>
      </c>
      <c r="U187" s="62">
        <v>0.0</v>
      </c>
      <c r="V187" s="62">
        <v>0.0</v>
      </c>
      <c r="W187" s="62">
        <v>0.0</v>
      </c>
      <c r="X187" s="62">
        <v>0.0</v>
      </c>
      <c r="Y187" s="62">
        <v>0.0</v>
      </c>
      <c r="Z187" s="62">
        <v>0.0</v>
      </c>
      <c r="AA187" s="62">
        <v>0.0</v>
      </c>
      <c r="AB187" s="62">
        <v>7282.0</v>
      </c>
      <c r="AC187" s="62">
        <v>275.0</v>
      </c>
      <c r="AD187" s="62">
        <v>20400.0</v>
      </c>
      <c r="AE187" s="62">
        <v>8546.0</v>
      </c>
      <c r="AF187" s="62">
        <v>1656.0</v>
      </c>
      <c r="AG187" s="62">
        <v>0.0</v>
      </c>
      <c r="AH187" s="62">
        <v>0.0</v>
      </c>
      <c r="AI187" s="62">
        <v>15344.0</v>
      </c>
      <c r="AJ187" s="62">
        <v>2815.0</v>
      </c>
      <c r="AK187" s="62">
        <v>305.0</v>
      </c>
      <c r="AL187" s="62">
        <v>1341.0</v>
      </c>
      <c r="AM187" s="62">
        <v>396552.0</v>
      </c>
      <c r="AN187" s="62">
        <v>339068.0</v>
      </c>
      <c r="AO187" s="62">
        <v>168725.0</v>
      </c>
      <c r="AP187" s="62">
        <v>7098.0</v>
      </c>
      <c r="AQ187" s="62">
        <v>26501.0</v>
      </c>
      <c r="AR187" s="62">
        <v>14836.0</v>
      </c>
      <c r="AS187" s="62">
        <v>109304.0</v>
      </c>
      <c r="AT187" s="62">
        <v>12999.0</v>
      </c>
      <c r="AU187" s="62">
        <v>9628.0</v>
      </c>
      <c r="AV187" s="62">
        <v>180139.0</v>
      </c>
      <c r="AW187" s="62">
        <v>3737.0</v>
      </c>
      <c r="AX187" s="62">
        <v>77044.0</v>
      </c>
      <c r="AY187" s="62">
        <v>7520.0</v>
      </c>
      <c r="AZ187" s="62">
        <v>4327.0</v>
      </c>
      <c r="BA187" s="62">
        <v>51207.0</v>
      </c>
      <c r="BB187" s="62">
        <v>56803.0</v>
      </c>
      <c r="BC187" s="62">
        <v>29688.0</v>
      </c>
      <c r="BD187" s="62">
        <v>2060.0</v>
      </c>
      <c r="BE187" s="62">
        <v>1061.0</v>
      </c>
      <c r="BF187" s="62">
        <v>4019.0</v>
      </c>
      <c r="BG187" s="62">
        <v>5284.0</v>
      </c>
      <c r="BH187" s="62">
        <v>36402.0</v>
      </c>
      <c r="BI187" s="62">
        <v>3352.0</v>
      </c>
      <c r="BJ187" s="62">
        <v>960.0</v>
      </c>
      <c r="BK187" s="62">
        <v>179.0</v>
      </c>
      <c r="BL187" s="62">
        <v>402.0</v>
      </c>
      <c r="BM187" s="62">
        <v>9.0</v>
      </c>
      <c r="BN187" s="62">
        <v>124.0</v>
      </c>
      <c r="BO187" s="62">
        <v>641.0</v>
      </c>
      <c r="BP187" s="62">
        <v>392.0</v>
      </c>
      <c r="BQ187" s="62">
        <v>93.0</v>
      </c>
      <c r="BR187" s="62">
        <v>133.0</v>
      </c>
      <c r="BS187" s="62">
        <v>76.0</v>
      </c>
      <c r="BT187" s="62">
        <v>19266.0</v>
      </c>
      <c r="BU187" s="62">
        <v>2366.0</v>
      </c>
      <c r="BV187" s="62">
        <v>802.0</v>
      </c>
      <c r="BW187" s="62">
        <v>161.0</v>
      </c>
      <c r="BX187" s="62">
        <v>4913.0</v>
      </c>
      <c r="BY187" s="62">
        <v>7620.0</v>
      </c>
      <c r="BZ187" s="62">
        <v>185.0</v>
      </c>
      <c r="CA187" s="62">
        <v>387.0</v>
      </c>
      <c r="CB187" s="62">
        <v>423.0</v>
      </c>
      <c r="CC187" s="62">
        <v>4808.0</v>
      </c>
      <c r="CD187" s="62">
        <v>368.0</v>
      </c>
      <c r="CE187" s="62">
        <v>13.0</v>
      </c>
      <c r="CF187" s="62">
        <v>642.0</v>
      </c>
      <c r="CG187" s="62">
        <v>1511.0</v>
      </c>
      <c r="CH187" s="62">
        <v>566.0</v>
      </c>
      <c r="CI187" s="62">
        <v>68298.0</v>
      </c>
      <c r="CJ187" s="62">
        <v>82.0</v>
      </c>
      <c r="CK187" s="62">
        <v>175.0</v>
      </c>
      <c r="CL187" s="62">
        <v>100.0</v>
      </c>
      <c r="CM187" s="62">
        <v>35.0</v>
      </c>
      <c r="CN187" s="62">
        <v>463768.0</v>
      </c>
      <c r="CO187" s="62">
        <v>144929.0</v>
      </c>
      <c r="CP187" s="62">
        <v>221799.0</v>
      </c>
      <c r="CQ187" s="62">
        <v>4964.0</v>
      </c>
      <c r="CR187" s="62">
        <v>25649.0</v>
      </c>
      <c r="CS187" s="62">
        <v>27116.0</v>
      </c>
      <c r="CT187" s="62">
        <v>418248.0</v>
      </c>
      <c r="CU187" s="62">
        <v>112969.0</v>
      </c>
      <c r="CV187" s="62">
        <v>260172.0</v>
      </c>
      <c r="CW187" s="62">
        <v>28340.0</v>
      </c>
      <c r="CX187" s="62">
        <v>68328.0</v>
      </c>
      <c r="CY187" s="62">
        <v>4651.0</v>
      </c>
      <c r="CZ187" s="62">
        <v>120783.0</v>
      </c>
      <c r="DA187" s="62">
        <v>118003.0</v>
      </c>
      <c r="DB187" s="62">
        <v>17910.0</v>
      </c>
      <c r="DC187" s="62">
        <v>221527.0</v>
      </c>
      <c r="DD187" s="62">
        <v>89546.0</v>
      </c>
      <c r="DE187" s="62">
        <v>1319.0</v>
      </c>
      <c r="DF187" s="62">
        <v>1583.0</v>
      </c>
      <c r="DG187" s="62">
        <v>322.0</v>
      </c>
      <c r="DH187" s="62">
        <v>4376.0</v>
      </c>
      <c r="DI187" s="62">
        <v>12529.0</v>
      </c>
      <c r="DJ187" s="62">
        <v>13990.0</v>
      </c>
      <c r="DK187" s="62">
        <v>16486.0</v>
      </c>
      <c r="DL187" s="62">
        <v>6109.0</v>
      </c>
      <c r="DM187" s="62">
        <v>2235.0</v>
      </c>
      <c r="DN187" s="62">
        <v>364.0</v>
      </c>
      <c r="DO187" s="62">
        <v>7178.0</v>
      </c>
      <c r="DP187" s="62">
        <v>753.0</v>
      </c>
      <c r="DQ187" s="62">
        <v>3821.0</v>
      </c>
      <c r="DR187" s="62">
        <v>10122.0</v>
      </c>
      <c r="DS187" s="62">
        <v>76009.0</v>
      </c>
      <c r="DT187" s="62">
        <v>16771.0</v>
      </c>
      <c r="DU187" s="62">
        <v>2157.0</v>
      </c>
      <c r="DV187" s="62">
        <v>3946.0</v>
      </c>
      <c r="DW187" s="62">
        <v>6374.0</v>
      </c>
      <c r="DX187" s="62">
        <v>80.0</v>
      </c>
      <c r="DY187" s="62">
        <v>0.0</v>
      </c>
      <c r="DZ187" s="62">
        <v>8120.0</v>
      </c>
      <c r="EA187" s="62">
        <v>537.0</v>
      </c>
      <c r="EB187" s="62">
        <v>9.0</v>
      </c>
      <c r="EC187" s="62">
        <v>25793.0</v>
      </c>
      <c r="ED187" s="62">
        <v>3898.0</v>
      </c>
      <c r="EE187" s="62">
        <v>455.0</v>
      </c>
      <c r="EF187" s="62">
        <v>2068.0</v>
      </c>
      <c r="EG187" s="62">
        <v>2220.0</v>
      </c>
      <c r="EH187" s="62">
        <v>4494.0</v>
      </c>
      <c r="EI187" s="62">
        <v>66.0</v>
      </c>
      <c r="EJ187" s="62">
        <v>11115.0</v>
      </c>
      <c r="EK187" s="62">
        <v>538.0</v>
      </c>
      <c r="EL187" s="62">
        <v>1125.0</v>
      </c>
      <c r="EM187" s="62">
        <v>413.0</v>
      </c>
      <c r="EN187" s="62">
        <v>275.0</v>
      </c>
      <c r="EO187" s="62">
        <v>128.0</v>
      </c>
      <c r="EP187" s="62">
        <v>2805.0</v>
      </c>
      <c r="EQ187" s="62">
        <v>3951.0</v>
      </c>
      <c r="ER187" s="62">
        <v>112.0</v>
      </c>
      <c r="ES187" s="62">
        <v>7739.0</v>
      </c>
      <c r="ET187" s="62">
        <v>82.0</v>
      </c>
      <c r="EU187" s="62">
        <v>185558.0</v>
      </c>
      <c r="EV187" s="62">
        <v>42846.0</v>
      </c>
      <c r="EW187" s="62">
        <v>533.0</v>
      </c>
      <c r="EX187" s="62">
        <v>43842.0</v>
      </c>
      <c r="EY187" s="62">
        <v>133216.0</v>
      </c>
      <c r="EZ187" s="62">
        <v>801265.0</v>
      </c>
      <c r="FA187" s="62">
        <v>333471.0</v>
      </c>
      <c r="FB187" s="62">
        <v>2235752.0</v>
      </c>
      <c r="FC187" s="62">
        <v>4261.0</v>
      </c>
      <c r="FD187" s="62">
        <v>2593093.0</v>
      </c>
      <c r="FE187" s="62">
        <v>684056.0</v>
      </c>
      <c r="FF187" s="62">
        <v>144192.0</v>
      </c>
      <c r="FG187" s="62">
        <v>1223418.0</v>
      </c>
      <c r="FH187" s="62">
        <v>1321433.0</v>
      </c>
      <c r="FI187" s="62">
        <v>48130.0</v>
      </c>
      <c r="FJ187" s="62">
        <v>5013.0</v>
      </c>
      <c r="FK187" s="62">
        <v>35419.0</v>
      </c>
      <c r="FL187" s="62">
        <v>10836.0</v>
      </c>
      <c r="FM187" s="62">
        <v>1508.0</v>
      </c>
      <c r="FN187" s="62">
        <v>45825.0</v>
      </c>
      <c r="FO187" s="62">
        <v>3651.0</v>
      </c>
      <c r="FP187" s="62">
        <v>411253.0</v>
      </c>
      <c r="FQ187" s="62">
        <v>942018.0</v>
      </c>
      <c r="FR187" s="62">
        <v>85.0</v>
      </c>
      <c r="FS187" s="62">
        <v>237085.0</v>
      </c>
      <c r="FT187" s="62">
        <v>1066090.0</v>
      </c>
      <c r="FU187" s="62">
        <v>1649514.0</v>
      </c>
      <c r="FV187" s="62">
        <v>312042.0</v>
      </c>
      <c r="FW187" s="62">
        <v>5253292.0</v>
      </c>
      <c r="FX187" s="62">
        <v>240524.0</v>
      </c>
      <c r="FY187" s="62">
        <v>493980.0</v>
      </c>
      <c r="FZ187" s="62">
        <v>0.0</v>
      </c>
      <c r="GA187" s="62">
        <v>214439.0</v>
      </c>
      <c r="GB187" s="62">
        <v>1628466.0</v>
      </c>
      <c r="GC187" s="62">
        <v>181915.0</v>
      </c>
      <c r="GD187" s="62">
        <v>0.0</v>
      </c>
      <c r="GE187" s="62">
        <v>1102423.0</v>
      </c>
      <c r="GF187" s="63">
        <v>2.7964139E7</v>
      </c>
      <c r="GG187" s="64">
        <v>2.78339418E8</v>
      </c>
      <c r="GH187" s="65">
        <v>2.0777245E7</v>
      </c>
      <c r="GI187" s="64">
        <v>0.0</v>
      </c>
      <c r="GJ187" s="64">
        <v>0.0</v>
      </c>
      <c r="GK187" s="64">
        <v>0.0</v>
      </c>
      <c r="GL187" s="64">
        <v>0.0</v>
      </c>
      <c r="GM187" s="64">
        <v>1281491.0</v>
      </c>
      <c r="GN187" s="63">
        <v>3.00398154E8</v>
      </c>
      <c r="GO187" s="66">
        <v>3.28362293E8</v>
      </c>
      <c r="GP187" s="64">
        <v>0.0</v>
      </c>
      <c r="GQ187" s="64">
        <v>1907515.0</v>
      </c>
      <c r="GR187" s="65">
        <v>0.0</v>
      </c>
      <c r="GS187" s="63">
        <v>1907515.0</v>
      </c>
      <c r="GT187" s="67">
        <v>0.0</v>
      </c>
      <c r="GU187" s="67">
        <v>0.0</v>
      </c>
      <c r="GV187" s="67">
        <v>0.0</v>
      </c>
      <c r="GW187" s="63">
        <v>0.0</v>
      </c>
      <c r="GX187" s="63">
        <v>0.0</v>
      </c>
      <c r="GY187" s="63">
        <v>3.26454778E8</v>
      </c>
      <c r="GZ187" s="66">
        <v>3.28362293E8</v>
      </c>
    </row>
    <row r="188" ht="15.75" customHeight="1">
      <c r="A188" s="60">
        <v>183.0</v>
      </c>
      <c r="B188" s="61" t="s">
        <v>228</v>
      </c>
      <c r="C188" s="62">
        <v>0.0</v>
      </c>
      <c r="D188" s="62">
        <v>0.0</v>
      </c>
      <c r="E188" s="62">
        <v>0.0</v>
      </c>
      <c r="F188" s="62">
        <v>0.0</v>
      </c>
      <c r="G188" s="62">
        <v>0.0</v>
      </c>
      <c r="H188" s="62">
        <v>0.0</v>
      </c>
      <c r="I188" s="62">
        <v>0.0</v>
      </c>
      <c r="J188" s="62">
        <v>0.0</v>
      </c>
      <c r="K188" s="62">
        <v>0.0</v>
      </c>
      <c r="L188" s="62">
        <v>0.0</v>
      </c>
      <c r="M188" s="62">
        <v>0.0</v>
      </c>
      <c r="N188" s="62">
        <v>0.0</v>
      </c>
      <c r="O188" s="62">
        <v>0.0</v>
      </c>
      <c r="P188" s="62">
        <v>0.0</v>
      </c>
      <c r="Q188" s="62">
        <v>0.0</v>
      </c>
      <c r="R188" s="62">
        <v>0.0</v>
      </c>
      <c r="S188" s="62">
        <v>0.0</v>
      </c>
      <c r="T188" s="62">
        <v>0.0</v>
      </c>
      <c r="U188" s="62">
        <v>0.0</v>
      </c>
      <c r="V188" s="62">
        <v>0.0</v>
      </c>
      <c r="W188" s="62">
        <v>0.0</v>
      </c>
      <c r="X188" s="62">
        <v>0.0</v>
      </c>
      <c r="Y188" s="62">
        <v>0.0</v>
      </c>
      <c r="Z188" s="62">
        <v>0.0</v>
      </c>
      <c r="AA188" s="62">
        <v>0.0</v>
      </c>
      <c r="AB188" s="62">
        <v>0.0</v>
      </c>
      <c r="AC188" s="62">
        <v>0.0</v>
      </c>
      <c r="AD188" s="62">
        <v>0.0</v>
      </c>
      <c r="AE188" s="62">
        <v>0.0</v>
      </c>
      <c r="AF188" s="62">
        <v>0.0</v>
      </c>
      <c r="AG188" s="62">
        <v>0.0</v>
      </c>
      <c r="AH188" s="62">
        <v>0.0</v>
      </c>
      <c r="AI188" s="62">
        <v>0.0</v>
      </c>
      <c r="AJ188" s="62">
        <v>0.0</v>
      </c>
      <c r="AK188" s="62">
        <v>0.0</v>
      </c>
      <c r="AL188" s="62">
        <v>0.0</v>
      </c>
      <c r="AM188" s="62">
        <v>0.0</v>
      </c>
      <c r="AN188" s="62">
        <v>0.0</v>
      </c>
      <c r="AO188" s="62">
        <v>0.0</v>
      </c>
      <c r="AP188" s="62">
        <v>0.0</v>
      </c>
      <c r="AQ188" s="62">
        <v>0.0</v>
      </c>
      <c r="AR188" s="62">
        <v>0.0</v>
      </c>
      <c r="AS188" s="62">
        <v>0.0</v>
      </c>
      <c r="AT188" s="62">
        <v>0.0</v>
      </c>
      <c r="AU188" s="62">
        <v>0.0</v>
      </c>
      <c r="AV188" s="62">
        <v>0.0</v>
      </c>
      <c r="AW188" s="62">
        <v>0.0</v>
      </c>
      <c r="AX188" s="62">
        <v>0.0</v>
      </c>
      <c r="AY188" s="62">
        <v>0.0</v>
      </c>
      <c r="AZ188" s="62">
        <v>0.0</v>
      </c>
      <c r="BA188" s="62">
        <v>0.0</v>
      </c>
      <c r="BB188" s="62">
        <v>0.0</v>
      </c>
      <c r="BC188" s="62">
        <v>0.0</v>
      </c>
      <c r="BD188" s="62">
        <v>0.0</v>
      </c>
      <c r="BE188" s="62">
        <v>0.0</v>
      </c>
      <c r="BF188" s="62">
        <v>0.0</v>
      </c>
      <c r="BG188" s="62">
        <v>0.0</v>
      </c>
      <c r="BH188" s="62">
        <v>0.0</v>
      </c>
      <c r="BI188" s="62">
        <v>0.0</v>
      </c>
      <c r="BJ188" s="62">
        <v>0.0</v>
      </c>
      <c r="BK188" s="62">
        <v>0.0</v>
      </c>
      <c r="BL188" s="62">
        <v>0.0</v>
      </c>
      <c r="BM188" s="62">
        <v>0.0</v>
      </c>
      <c r="BN188" s="62">
        <v>0.0</v>
      </c>
      <c r="BO188" s="62">
        <v>0.0</v>
      </c>
      <c r="BP188" s="62">
        <v>0.0</v>
      </c>
      <c r="BQ188" s="62">
        <v>0.0</v>
      </c>
      <c r="BR188" s="62">
        <v>0.0</v>
      </c>
      <c r="BS188" s="62">
        <v>0.0</v>
      </c>
      <c r="BT188" s="62">
        <v>0.0</v>
      </c>
      <c r="BU188" s="62">
        <v>0.0</v>
      </c>
      <c r="BV188" s="62">
        <v>0.0</v>
      </c>
      <c r="BW188" s="62">
        <v>0.0</v>
      </c>
      <c r="BX188" s="62">
        <v>0.0</v>
      </c>
      <c r="BY188" s="62">
        <v>0.0</v>
      </c>
      <c r="BZ188" s="62">
        <v>0.0</v>
      </c>
      <c r="CA188" s="62">
        <v>0.0</v>
      </c>
      <c r="CB188" s="62">
        <v>0.0</v>
      </c>
      <c r="CC188" s="62">
        <v>0.0</v>
      </c>
      <c r="CD188" s="62">
        <v>0.0</v>
      </c>
      <c r="CE188" s="62">
        <v>0.0</v>
      </c>
      <c r="CF188" s="62">
        <v>0.0</v>
      </c>
      <c r="CG188" s="62">
        <v>0.0</v>
      </c>
      <c r="CH188" s="62">
        <v>0.0</v>
      </c>
      <c r="CI188" s="62">
        <v>0.0</v>
      </c>
      <c r="CJ188" s="62">
        <v>0.0</v>
      </c>
      <c r="CK188" s="62">
        <v>0.0</v>
      </c>
      <c r="CL188" s="62">
        <v>0.0</v>
      </c>
      <c r="CM188" s="62">
        <v>0.0</v>
      </c>
      <c r="CN188" s="62">
        <v>0.0</v>
      </c>
      <c r="CO188" s="62">
        <v>11471.0</v>
      </c>
      <c r="CP188" s="62">
        <v>23140.0</v>
      </c>
      <c r="CQ188" s="62">
        <v>0.0</v>
      </c>
      <c r="CR188" s="62">
        <v>0.0</v>
      </c>
      <c r="CS188" s="62">
        <v>8940.0</v>
      </c>
      <c r="CT188" s="62">
        <v>16.0</v>
      </c>
      <c r="CU188" s="62">
        <v>6.0</v>
      </c>
      <c r="CV188" s="62">
        <v>10.0</v>
      </c>
      <c r="CW188" s="62">
        <v>1193.0</v>
      </c>
      <c r="CX188" s="62">
        <v>0.0</v>
      </c>
      <c r="CY188" s="62">
        <v>0.0</v>
      </c>
      <c r="CZ188" s="62">
        <v>0.0</v>
      </c>
      <c r="DA188" s="62">
        <v>0.0</v>
      </c>
      <c r="DB188" s="62">
        <v>0.0</v>
      </c>
      <c r="DC188" s="62">
        <v>0.0</v>
      </c>
      <c r="DD188" s="62">
        <v>0.0</v>
      </c>
      <c r="DE188" s="62">
        <v>0.0</v>
      </c>
      <c r="DF188" s="62">
        <v>0.0</v>
      </c>
      <c r="DG188" s="62">
        <v>0.0</v>
      </c>
      <c r="DH188" s="62">
        <v>0.0</v>
      </c>
      <c r="DI188" s="62">
        <v>563.0</v>
      </c>
      <c r="DJ188" s="62">
        <v>626.0</v>
      </c>
      <c r="DK188" s="62">
        <v>773.0</v>
      </c>
      <c r="DL188" s="62">
        <v>0.0</v>
      </c>
      <c r="DM188" s="62">
        <v>0.0</v>
      </c>
      <c r="DN188" s="62">
        <v>0.0</v>
      </c>
      <c r="DO188" s="62">
        <v>0.0</v>
      </c>
      <c r="DP188" s="62">
        <v>0.0</v>
      </c>
      <c r="DQ188" s="62">
        <v>0.0</v>
      </c>
      <c r="DR188" s="62">
        <v>0.0</v>
      </c>
      <c r="DS188" s="62">
        <v>0.0</v>
      </c>
      <c r="DT188" s="62">
        <v>0.0</v>
      </c>
      <c r="DU188" s="62">
        <v>0.0</v>
      </c>
      <c r="DV188" s="62">
        <v>0.0</v>
      </c>
      <c r="DW188" s="62">
        <v>0.0</v>
      </c>
      <c r="DX188" s="62">
        <v>0.0</v>
      </c>
      <c r="DY188" s="62">
        <v>0.0</v>
      </c>
      <c r="DZ188" s="62">
        <v>0.0</v>
      </c>
      <c r="EA188" s="62">
        <v>0.0</v>
      </c>
      <c r="EB188" s="62">
        <v>0.0</v>
      </c>
      <c r="EC188" s="62">
        <v>0.0</v>
      </c>
      <c r="ED188" s="62">
        <v>0.0</v>
      </c>
      <c r="EE188" s="62">
        <v>0.0</v>
      </c>
      <c r="EF188" s="62">
        <v>0.0</v>
      </c>
      <c r="EG188" s="62">
        <v>0.0</v>
      </c>
      <c r="EH188" s="62">
        <v>0.0</v>
      </c>
      <c r="EI188" s="62">
        <v>0.0</v>
      </c>
      <c r="EJ188" s="62">
        <v>0.0</v>
      </c>
      <c r="EK188" s="62">
        <v>0.0</v>
      </c>
      <c r="EL188" s="62">
        <v>0.0</v>
      </c>
      <c r="EM188" s="62">
        <v>0.0</v>
      </c>
      <c r="EN188" s="62">
        <v>0.0</v>
      </c>
      <c r="EO188" s="62">
        <v>0.0</v>
      </c>
      <c r="EP188" s="62">
        <v>21614.0</v>
      </c>
      <c r="EQ188" s="62">
        <v>527.0</v>
      </c>
      <c r="ER188" s="62">
        <v>1115.0</v>
      </c>
      <c r="ES188" s="62">
        <v>827.0</v>
      </c>
      <c r="ET188" s="62">
        <v>58607.0</v>
      </c>
      <c r="EU188" s="62">
        <v>0.0</v>
      </c>
      <c r="EV188" s="62">
        <v>0.0</v>
      </c>
      <c r="EW188" s="62">
        <v>0.0</v>
      </c>
      <c r="EX188" s="62">
        <v>0.0</v>
      </c>
      <c r="EY188" s="62">
        <v>0.0</v>
      </c>
      <c r="EZ188" s="62">
        <v>155703.0</v>
      </c>
      <c r="FA188" s="62">
        <v>99180.0</v>
      </c>
      <c r="FB188" s="62">
        <v>1249415.0</v>
      </c>
      <c r="FC188" s="62">
        <v>0.0</v>
      </c>
      <c r="FD188" s="62">
        <v>0.0</v>
      </c>
      <c r="FE188" s="62">
        <v>0.0</v>
      </c>
      <c r="FF188" s="62">
        <v>0.0</v>
      </c>
      <c r="FG188" s="62">
        <v>0.0</v>
      </c>
      <c r="FH188" s="62">
        <v>133494.0</v>
      </c>
      <c r="FI188" s="62">
        <v>3536.0</v>
      </c>
      <c r="FJ188" s="62">
        <v>13144.0</v>
      </c>
      <c r="FK188" s="62">
        <v>221539.0</v>
      </c>
      <c r="FL188" s="62">
        <v>1.1558077E7</v>
      </c>
      <c r="FM188" s="62">
        <v>3444829.0</v>
      </c>
      <c r="FN188" s="62">
        <v>20237.0</v>
      </c>
      <c r="FO188" s="62">
        <v>33722.0</v>
      </c>
      <c r="FP188" s="62">
        <v>63482.0</v>
      </c>
      <c r="FQ188" s="62">
        <v>455.0</v>
      </c>
      <c r="FR188" s="62">
        <v>3.0</v>
      </c>
      <c r="FS188" s="62">
        <v>42396.0</v>
      </c>
      <c r="FT188" s="62">
        <v>2359437.0</v>
      </c>
      <c r="FU188" s="62">
        <v>1669457.0</v>
      </c>
      <c r="FV188" s="62">
        <v>46204.0</v>
      </c>
      <c r="FW188" s="62">
        <v>240460.0</v>
      </c>
      <c r="FX188" s="62">
        <v>14937.0</v>
      </c>
      <c r="FY188" s="62">
        <v>17791.0</v>
      </c>
      <c r="FZ188" s="62">
        <v>130709.0</v>
      </c>
      <c r="GA188" s="62">
        <v>9637.0</v>
      </c>
      <c r="GB188" s="62">
        <v>17719.0</v>
      </c>
      <c r="GC188" s="62">
        <v>290959.0</v>
      </c>
      <c r="GD188" s="62">
        <v>2658.0</v>
      </c>
      <c r="GE188" s="62">
        <v>8167.0</v>
      </c>
      <c r="GF188" s="63">
        <v>2.1976775E7</v>
      </c>
      <c r="GG188" s="64">
        <v>6.4365194E7</v>
      </c>
      <c r="GH188" s="65">
        <v>4405116.0</v>
      </c>
      <c r="GI188" s="64">
        <v>0.0</v>
      </c>
      <c r="GJ188" s="64">
        <v>0.0</v>
      </c>
      <c r="GK188" s="64">
        <v>0.0</v>
      </c>
      <c r="GL188" s="64">
        <v>0.0</v>
      </c>
      <c r="GM188" s="64">
        <v>2954285.0</v>
      </c>
      <c r="GN188" s="63">
        <v>7.1724595E7</v>
      </c>
      <c r="GO188" s="66">
        <v>9.370137E7</v>
      </c>
      <c r="GP188" s="64">
        <v>0.0</v>
      </c>
      <c r="GQ188" s="64">
        <v>2141875.0</v>
      </c>
      <c r="GR188" s="65">
        <v>0.0</v>
      </c>
      <c r="GS188" s="63">
        <v>2141875.0</v>
      </c>
      <c r="GT188" s="67">
        <v>0.0</v>
      </c>
      <c r="GU188" s="67">
        <v>71502.0</v>
      </c>
      <c r="GV188" s="67">
        <v>1090.0</v>
      </c>
      <c r="GW188" s="63">
        <v>72592.0</v>
      </c>
      <c r="GX188" s="63">
        <v>787708.0</v>
      </c>
      <c r="GY188" s="63">
        <v>9.0699195E7</v>
      </c>
      <c r="GZ188" s="66">
        <v>9.370137E7</v>
      </c>
    </row>
    <row r="189" ht="15.75" customHeight="1">
      <c r="A189" s="60">
        <v>184.0</v>
      </c>
      <c r="B189" s="61" t="s">
        <v>229</v>
      </c>
      <c r="C189" s="62">
        <v>0.0</v>
      </c>
      <c r="D189" s="62">
        <v>0.0</v>
      </c>
      <c r="E189" s="62">
        <v>0.0</v>
      </c>
      <c r="F189" s="62">
        <v>0.0</v>
      </c>
      <c r="G189" s="62">
        <v>0.0</v>
      </c>
      <c r="H189" s="62">
        <v>0.0</v>
      </c>
      <c r="I189" s="62">
        <v>0.0</v>
      </c>
      <c r="J189" s="62">
        <v>0.0</v>
      </c>
      <c r="K189" s="62">
        <v>0.0</v>
      </c>
      <c r="L189" s="62">
        <v>16347.0</v>
      </c>
      <c r="M189" s="62">
        <v>805.0</v>
      </c>
      <c r="N189" s="62">
        <v>324.0</v>
      </c>
      <c r="O189" s="62">
        <v>2694.0</v>
      </c>
      <c r="P189" s="62">
        <v>8.0</v>
      </c>
      <c r="Q189" s="62">
        <v>27.0</v>
      </c>
      <c r="R189" s="62">
        <v>615.0</v>
      </c>
      <c r="S189" s="62">
        <v>0.0</v>
      </c>
      <c r="T189" s="62">
        <v>18.0</v>
      </c>
      <c r="U189" s="62">
        <v>11.0</v>
      </c>
      <c r="V189" s="62">
        <v>4.0</v>
      </c>
      <c r="W189" s="62">
        <v>7.0</v>
      </c>
      <c r="X189" s="62">
        <v>405.0</v>
      </c>
      <c r="Y189" s="62">
        <v>67.0</v>
      </c>
      <c r="Z189" s="62">
        <v>21.0</v>
      </c>
      <c r="AA189" s="62">
        <v>0.0</v>
      </c>
      <c r="AB189" s="62">
        <v>1923.0</v>
      </c>
      <c r="AC189" s="62">
        <v>20.0</v>
      </c>
      <c r="AD189" s="62">
        <v>3706.0</v>
      </c>
      <c r="AE189" s="62">
        <v>424.0</v>
      </c>
      <c r="AF189" s="62">
        <v>288102.0</v>
      </c>
      <c r="AG189" s="62">
        <v>1351.0</v>
      </c>
      <c r="AH189" s="62">
        <v>192.0</v>
      </c>
      <c r="AI189" s="62">
        <v>17871.0</v>
      </c>
      <c r="AJ189" s="62">
        <v>1317.0</v>
      </c>
      <c r="AK189" s="62">
        <v>165.0</v>
      </c>
      <c r="AL189" s="62">
        <v>365.0</v>
      </c>
      <c r="AM189" s="62">
        <v>0.0</v>
      </c>
      <c r="AN189" s="62">
        <v>260.0</v>
      </c>
      <c r="AO189" s="62">
        <v>4104.0</v>
      </c>
      <c r="AP189" s="62">
        <v>14.0</v>
      </c>
      <c r="AQ189" s="62">
        <v>917.0</v>
      </c>
      <c r="AR189" s="62">
        <v>106.0</v>
      </c>
      <c r="AS189" s="62">
        <v>3989.0</v>
      </c>
      <c r="AT189" s="62">
        <v>345.0</v>
      </c>
      <c r="AU189" s="62">
        <v>2725.0</v>
      </c>
      <c r="AV189" s="62">
        <v>1253.0</v>
      </c>
      <c r="AW189" s="62">
        <v>97.0</v>
      </c>
      <c r="AX189" s="62">
        <v>163526.0</v>
      </c>
      <c r="AY189" s="62">
        <v>8210.0</v>
      </c>
      <c r="AZ189" s="62">
        <v>21.0</v>
      </c>
      <c r="BA189" s="62">
        <v>1430.0</v>
      </c>
      <c r="BB189" s="62">
        <v>2159.0</v>
      </c>
      <c r="BC189" s="62">
        <v>41.0</v>
      </c>
      <c r="BD189" s="62">
        <v>34.0</v>
      </c>
      <c r="BE189" s="62">
        <v>57.0</v>
      </c>
      <c r="BF189" s="62">
        <v>103.0</v>
      </c>
      <c r="BG189" s="62">
        <v>26.0</v>
      </c>
      <c r="BH189" s="62">
        <v>1293.0</v>
      </c>
      <c r="BI189" s="62">
        <v>0.0</v>
      </c>
      <c r="BJ189" s="62">
        <v>0.0</v>
      </c>
      <c r="BK189" s="62">
        <v>163.0</v>
      </c>
      <c r="BL189" s="62">
        <v>0.0</v>
      </c>
      <c r="BM189" s="62">
        <v>24.0</v>
      </c>
      <c r="BN189" s="62">
        <v>0.0</v>
      </c>
      <c r="BO189" s="62">
        <v>0.0</v>
      </c>
      <c r="BP189" s="62">
        <v>0.0</v>
      </c>
      <c r="BQ189" s="62">
        <v>0.0</v>
      </c>
      <c r="BR189" s="62">
        <v>0.0</v>
      </c>
      <c r="BS189" s="62">
        <v>0.0</v>
      </c>
      <c r="BT189" s="62">
        <v>0.0</v>
      </c>
      <c r="BU189" s="62">
        <v>0.0</v>
      </c>
      <c r="BV189" s="62">
        <v>0.0</v>
      </c>
      <c r="BW189" s="62">
        <v>0.0</v>
      </c>
      <c r="BX189" s="62">
        <v>84.0</v>
      </c>
      <c r="BY189" s="62">
        <v>2997.0</v>
      </c>
      <c r="BZ189" s="62">
        <v>71.0</v>
      </c>
      <c r="CA189" s="62">
        <v>21925.0</v>
      </c>
      <c r="CB189" s="62">
        <v>5726.0</v>
      </c>
      <c r="CC189" s="62">
        <v>1269.0</v>
      </c>
      <c r="CD189" s="62">
        <v>837.0</v>
      </c>
      <c r="CE189" s="62">
        <v>511.0</v>
      </c>
      <c r="CF189" s="62">
        <v>542.0</v>
      </c>
      <c r="CG189" s="62">
        <v>299.0</v>
      </c>
      <c r="CH189" s="62">
        <v>231.0</v>
      </c>
      <c r="CI189" s="62">
        <v>845.0</v>
      </c>
      <c r="CJ189" s="62">
        <v>0.0</v>
      </c>
      <c r="CK189" s="62">
        <v>0.0</v>
      </c>
      <c r="CL189" s="62">
        <v>0.0</v>
      </c>
      <c r="CM189" s="62">
        <v>11.0</v>
      </c>
      <c r="CN189" s="62">
        <v>0.0</v>
      </c>
      <c r="CO189" s="62">
        <v>1241.0</v>
      </c>
      <c r="CP189" s="62">
        <v>2524.0</v>
      </c>
      <c r="CQ189" s="62">
        <v>942.0</v>
      </c>
      <c r="CR189" s="62">
        <v>5630.0</v>
      </c>
      <c r="CS189" s="62">
        <v>166837.0</v>
      </c>
      <c r="CT189" s="62">
        <v>66711.0</v>
      </c>
      <c r="CU189" s="62">
        <v>22573.0</v>
      </c>
      <c r="CV189" s="62">
        <v>42191.0</v>
      </c>
      <c r="CW189" s="62">
        <v>4593.0</v>
      </c>
      <c r="CX189" s="62">
        <v>11077.0</v>
      </c>
      <c r="CY189" s="62">
        <v>757.0</v>
      </c>
      <c r="CZ189" s="62">
        <v>12985.0</v>
      </c>
      <c r="DA189" s="62">
        <v>18543.0</v>
      </c>
      <c r="DB189" s="62">
        <v>14815.0</v>
      </c>
      <c r="DC189" s="62">
        <v>26823.0</v>
      </c>
      <c r="DD189" s="62">
        <v>5977.0</v>
      </c>
      <c r="DE189" s="62">
        <v>0.0</v>
      </c>
      <c r="DF189" s="62">
        <v>0.0</v>
      </c>
      <c r="DG189" s="62">
        <v>0.0</v>
      </c>
      <c r="DH189" s="62">
        <v>9.0</v>
      </c>
      <c r="DI189" s="62">
        <v>2679.0</v>
      </c>
      <c r="DJ189" s="62">
        <v>3000.0</v>
      </c>
      <c r="DK189" s="62">
        <v>3671.0</v>
      </c>
      <c r="DL189" s="62">
        <v>6457.0</v>
      </c>
      <c r="DM189" s="62">
        <v>2359.0</v>
      </c>
      <c r="DN189" s="62">
        <v>275.0</v>
      </c>
      <c r="DO189" s="62">
        <v>815.0</v>
      </c>
      <c r="DP189" s="62">
        <v>0.0</v>
      </c>
      <c r="DQ189" s="62">
        <v>0.0</v>
      </c>
      <c r="DR189" s="62">
        <v>694.0</v>
      </c>
      <c r="DS189" s="62">
        <v>7810.0</v>
      </c>
      <c r="DT189" s="62">
        <v>5719.0</v>
      </c>
      <c r="DU189" s="62">
        <v>0.0</v>
      </c>
      <c r="DV189" s="62">
        <v>0.0</v>
      </c>
      <c r="DW189" s="62">
        <v>0.0</v>
      </c>
      <c r="DX189" s="62">
        <v>0.0</v>
      </c>
      <c r="DY189" s="62">
        <v>0.0</v>
      </c>
      <c r="DZ189" s="62">
        <v>42.0</v>
      </c>
      <c r="EA189" s="62">
        <v>99.0</v>
      </c>
      <c r="EB189" s="62">
        <v>3064.0</v>
      </c>
      <c r="EC189" s="62">
        <v>0.0</v>
      </c>
      <c r="ED189" s="62">
        <v>0.0</v>
      </c>
      <c r="EE189" s="62">
        <v>0.0</v>
      </c>
      <c r="EF189" s="62">
        <v>0.0</v>
      </c>
      <c r="EG189" s="62">
        <v>0.0</v>
      </c>
      <c r="EH189" s="62">
        <v>0.0</v>
      </c>
      <c r="EI189" s="62">
        <v>2072.0</v>
      </c>
      <c r="EJ189" s="62">
        <v>0.0</v>
      </c>
      <c r="EK189" s="62">
        <v>0.0</v>
      </c>
      <c r="EL189" s="62">
        <v>0.0</v>
      </c>
      <c r="EM189" s="62">
        <v>0.0</v>
      </c>
      <c r="EN189" s="62">
        <v>0.0</v>
      </c>
      <c r="EO189" s="62">
        <v>0.0</v>
      </c>
      <c r="EP189" s="62">
        <v>3075.0</v>
      </c>
      <c r="EQ189" s="62">
        <v>1815.0</v>
      </c>
      <c r="ER189" s="62">
        <v>13.0</v>
      </c>
      <c r="ES189" s="62">
        <v>3969.0</v>
      </c>
      <c r="ET189" s="62">
        <v>5162.0</v>
      </c>
      <c r="EU189" s="62">
        <v>326439.0</v>
      </c>
      <c r="EV189" s="62">
        <v>1155.0</v>
      </c>
      <c r="EW189" s="62">
        <v>960.0</v>
      </c>
      <c r="EX189" s="62">
        <v>3543.0</v>
      </c>
      <c r="EY189" s="62">
        <v>378168.0</v>
      </c>
      <c r="EZ189" s="62">
        <v>21280.0</v>
      </c>
      <c r="FA189" s="62">
        <v>18933.0</v>
      </c>
      <c r="FB189" s="62">
        <v>159700.0</v>
      </c>
      <c r="FC189" s="62">
        <v>1715.0</v>
      </c>
      <c r="FD189" s="62">
        <v>62081.0</v>
      </c>
      <c r="FE189" s="62">
        <v>99968.0</v>
      </c>
      <c r="FF189" s="62">
        <v>5259.0</v>
      </c>
      <c r="FG189" s="62">
        <v>313492.0</v>
      </c>
      <c r="FH189" s="62">
        <v>372517.0</v>
      </c>
      <c r="FI189" s="62">
        <v>157505.0</v>
      </c>
      <c r="FJ189" s="62">
        <v>1499.0</v>
      </c>
      <c r="FK189" s="62">
        <v>4963.0</v>
      </c>
      <c r="FL189" s="62">
        <v>299525.0</v>
      </c>
      <c r="FM189" s="62">
        <v>85463.0</v>
      </c>
      <c r="FN189" s="62">
        <v>510586.0</v>
      </c>
      <c r="FO189" s="62">
        <v>642753.0</v>
      </c>
      <c r="FP189" s="62">
        <v>47094.0</v>
      </c>
      <c r="FQ189" s="62">
        <v>3137.0</v>
      </c>
      <c r="FR189" s="62">
        <v>5.0</v>
      </c>
      <c r="FS189" s="62">
        <v>158787.0</v>
      </c>
      <c r="FT189" s="62">
        <v>15644.0</v>
      </c>
      <c r="FU189" s="62">
        <v>44457.0</v>
      </c>
      <c r="FV189" s="62">
        <v>134979.0</v>
      </c>
      <c r="FW189" s="62">
        <v>1574154.0</v>
      </c>
      <c r="FX189" s="62">
        <v>1434043.0</v>
      </c>
      <c r="FY189" s="62">
        <v>2221896.0</v>
      </c>
      <c r="FZ189" s="62">
        <v>59110.0</v>
      </c>
      <c r="GA189" s="62">
        <v>699738.0</v>
      </c>
      <c r="GB189" s="62">
        <v>585168.0</v>
      </c>
      <c r="GC189" s="62">
        <v>236876.0</v>
      </c>
      <c r="GD189" s="62">
        <v>26018.0</v>
      </c>
      <c r="GE189" s="62">
        <v>3400537.0</v>
      </c>
      <c r="GF189" s="63">
        <v>1.5129199E7</v>
      </c>
      <c r="GG189" s="64">
        <v>2.6070512E7</v>
      </c>
      <c r="GH189" s="65">
        <v>0.0</v>
      </c>
      <c r="GI189" s="64">
        <v>0.0</v>
      </c>
      <c r="GJ189" s="64">
        <v>0.0</v>
      </c>
      <c r="GK189" s="64">
        <v>0.0</v>
      </c>
      <c r="GL189" s="64">
        <v>0.0</v>
      </c>
      <c r="GM189" s="64">
        <v>0.0</v>
      </c>
      <c r="GN189" s="63">
        <v>2.6070512E7</v>
      </c>
      <c r="GO189" s="66">
        <v>4.1199711E7</v>
      </c>
      <c r="GP189" s="64">
        <v>0.0</v>
      </c>
      <c r="GQ189" s="64">
        <v>0.0</v>
      </c>
      <c r="GR189" s="65">
        <v>0.0</v>
      </c>
      <c r="GS189" s="63">
        <v>0.0</v>
      </c>
      <c r="GT189" s="67">
        <v>0.0</v>
      </c>
      <c r="GU189" s="67">
        <v>0.0</v>
      </c>
      <c r="GV189" s="67">
        <v>0.0</v>
      </c>
      <c r="GW189" s="63">
        <v>0.0</v>
      </c>
      <c r="GX189" s="63">
        <v>1060211.0</v>
      </c>
      <c r="GY189" s="63">
        <v>4.01395E7</v>
      </c>
      <c r="GZ189" s="66">
        <v>4.1199711E7</v>
      </c>
    </row>
    <row r="190" ht="15.75" customHeight="1">
      <c r="A190" s="68">
        <v>185.0</v>
      </c>
      <c r="B190" s="69" t="s">
        <v>230</v>
      </c>
      <c r="C190" s="70">
        <v>85842.0</v>
      </c>
      <c r="D190" s="70">
        <v>50909.0</v>
      </c>
      <c r="E190" s="70">
        <v>35.0</v>
      </c>
      <c r="F190" s="70">
        <v>34162.0</v>
      </c>
      <c r="G190" s="70">
        <v>2003.0</v>
      </c>
      <c r="H190" s="70">
        <v>21328.0</v>
      </c>
      <c r="I190" s="70">
        <v>1541.0</v>
      </c>
      <c r="J190" s="70">
        <v>7360.0</v>
      </c>
      <c r="K190" s="70">
        <v>9.0</v>
      </c>
      <c r="L190" s="70">
        <v>93932.0</v>
      </c>
      <c r="M190" s="70">
        <v>1621.0</v>
      </c>
      <c r="N190" s="70">
        <v>0.0</v>
      </c>
      <c r="O190" s="70">
        <v>15779.0</v>
      </c>
      <c r="P190" s="70">
        <v>0.0</v>
      </c>
      <c r="Q190" s="70">
        <v>2565.0</v>
      </c>
      <c r="R190" s="70">
        <v>163620.0</v>
      </c>
      <c r="S190" s="70">
        <v>0.0</v>
      </c>
      <c r="T190" s="70">
        <v>1454.0</v>
      </c>
      <c r="U190" s="70">
        <v>405.0</v>
      </c>
      <c r="V190" s="70">
        <v>9494.0</v>
      </c>
      <c r="W190" s="70">
        <v>30.0</v>
      </c>
      <c r="X190" s="70">
        <v>483.0</v>
      </c>
      <c r="Y190" s="70">
        <v>638.0</v>
      </c>
      <c r="Z190" s="70">
        <v>1588.0</v>
      </c>
      <c r="AA190" s="70">
        <v>1818.0</v>
      </c>
      <c r="AB190" s="70">
        <v>0.0</v>
      </c>
      <c r="AC190" s="70">
        <v>0.0</v>
      </c>
      <c r="AD190" s="70">
        <v>0.0</v>
      </c>
      <c r="AE190" s="70">
        <v>0.0</v>
      </c>
      <c r="AF190" s="70">
        <v>2769.0</v>
      </c>
      <c r="AG190" s="70">
        <v>150307.0</v>
      </c>
      <c r="AH190" s="70">
        <v>14308.0</v>
      </c>
      <c r="AI190" s="70">
        <v>0.0</v>
      </c>
      <c r="AJ190" s="70">
        <v>0.0</v>
      </c>
      <c r="AK190" s="70">
        <v>0.0</v>
      </c>
      <c r="AL190" s="70">
        <v>0.0</v>
      </c>
      <c r="AM190" s="70">
        <v>152081.0</v>
      </c>
      <c r="AN190" s="70">
        <v>13551.0</v>
      </c>
      <c r="AO190" s="70">
        <v>8750.0</v>
      </c>
      <c r="AP190" s="70">
        <v>77.0</v>
      </c>
      <c r="AQ190" s="70">
        <v>656.0</v>
      </c>
      <c r="AR190" s="70">
        <v>5100.0</v>
      </c>
      <c r="AS190" s="70">
        <v>25097.0</v>
      </c>
      <c r="AT190" s="70">
        <v>14020.0</v>
      </c>
      <c r="AU190" s="70">
        <v>108.0</v>
      </c>
      <c r="AV190" s="70">
        <v>141083.0</v>
      </c>
      <c r="AW190" s="70">
        <v>78.0</v>
      </c>
      <c r="AX190" s="70">
        <v>0.0</v>
      </c>
      <c r="AY190" s="70">
        <v>34.0</v>
      </c>
      <c r="AZ190" s="70">
        <v>16857.0</v>
      </c>
      <c r="BA190" s="70">
        <v>594.0</v>
      </c>
      <c r="BB190" s="70">
        <v>538.0</v>
      </c>
      <c r="BC190" s="70">
        <v>1189.0</v>
      </c>
      <c r="BD190" s="70">
        <v>87.0</v>
      </c>
      <c r="BE190" s="70">
        <v>8837.0</v>
      </c>
      <c r="BF190" s="70">
        <v>30301.0</v>
      </c>
      <c r="BG190" s="70">
        <v>2285.0</v>
      </c>
      <c r="BH190" s="70">
        <v>10613.0</v>
      </c>
      <c r="BI190" s="70">
        <v>1681.0</v>
      </c>
      <c r="BJ190" s="70">
        <v>19432.0</v>
      </c>
      <c r="BK190" s="70">
        <v>1625.0</v>
      </c>
      <c r="BL190" s="70">
        <v>680.0</v>
      </c>
      <c r="BM190" s="70">
        <v>0.0</v>
      </c>
      <c r="BN190" s="70">
        <v>0.0</v>
      </c>
      <c r="BO190" s="70">
        <v>255.0</v>
      </c>
      <c r="BP190" s="70">
        <v>0.0</v>
      </c>
      <c r="BQ190" s="70">
        <v>0.0</v>
      </c>
      <c r="BR190" s="70">
        <v>0.0</v>
      </c>
      <c r="BS190" s="70">
        <v>0.0</v>
      </c>
      <c r="BT190" s="70">
        <v>18093.0</v>
      </c>
      <c r="BU190" s="70">
        <v>8020.0</v>
      </c>
      <c r="BV190" s="70">
        <v>0.0</v>
      </c>
      <c r="BW190" s="70">
        <v>823.0</v>
      </c>
      <c r="BX190" s="70">
        <v>43135.0</v>
      </c>
      <c r="BY190" s="70">
        <v>93878.0</v>
      </c>
      <c r="BZ190" s="70">
        <v>7468.0</v>
      </c>
      <c r="CA190" s="70">
        <v>354268.0</v>
      </c>
      <c r="CB190" s="70">
        <v>213949.0</v>
      </c>
      <c r="CC190" s="70">
        <v>25520.0</v>
      </c>
      <c r="CD190" s="70">
        <v>22517.0</v>
      </c>
      <c r="CE190" s="70">
        <v>31981.0</v>
      </c>
      <c r="CF190" s="70">
        <v>237805.0</v>
      </c>
      <c r="CG190" s="70">
        <v>23834.0</v>
      </c>
      <c r="CH190" s="70">
        <v>32473.0</v>
      </c>
      <c r="CI190" s="70">
        <v>123397.0</v>
      </c>
      <c r="CJ190" s="70">
        <v>4519.0</v>
      </c>
      <c r="CK190" s="70">
        <v>0.0</v>
      </c>
      <c r="CL190" s="70">
        <v>0.0</v>
      </c>
      <c r="CM190" s="70">
        <v>1996.0</v>
      </c>
      <c r="CN190" s="70">
        <v>0.0</v>
      </c>
      <c r="CO190" s="70">
        <v>408.0</v>
      </c>
      <c r="CP190" s="70">
        <v>1342.0</v>
      </c>
      <c r="CQ190" s="70">
        <v>0.0</v>
      </c>
      <c r="CR190" s="70">
        <v>25566.0</v>
      </c>
      <c r="CS190" s="70">
        <v>92834.0</v>
      </c>
      <c r="CT190" s="70">
        <v>63483.0</v>
      </c>
      <c r="CU190" s="70">
        <v>20257.0</v>
      </c>
      <c r="CV190" s="70">
        <v>38341.0</v>
      </c>
      <c r="CW190" s="70">
        <v>4124.0</v>
      </c>
      <c r="CX190" s="70">
        <v>9944.0</v>
      </c>
      <c r="CY190" s="70">
        <v>677.0</v>
      </c>
      <c r="CZ190" s="70">
        <v>11887.0</v>
      </c>
      <c r="DA190" s="70">
        <v>15311.0</v>
      </c>
      <c r="DB190" s="70">
        <v>56390.0</v>
      </c>
      <c r="DC190" s="70">
        <v>564137.0</v>
      </c>
      <c r="DD190" s="70">
        <v>8229.0</v>
      </c>
      <c r="DE190" s="70">
        <v>64121.0</v>
      </c>
      <c r="DF190" s="70">
        <v>77832.0</v>
      </c>
      <c r="DG190" s="70">
        <v>8810.0</v>
      </c>
      <c r="DH190" s="70">
        <v>214192.0</v>
      </c>
      <c r="DI190" s="70">
        <v>40235.0</v>
      </c>
      <c r="DJ190" s="70">
        <v>13264.0</v>
      </c>
      <c r="DK190" s="70">
        <v>41215.0</v>
      </c>
      <c r="DL190" s="70">
        <v>29066.0</v>
      </c>
      <c r="DM190" s="70">
        <v>10630.0</v>
      </c>
      <c r="DN190" s="70">
        <v>1303.0</v>
      </c>
      <c r="DO190" s="70">
        <v>17610.0</v>
      </c>
      <c r="DP190" s="70">
        <v>0.0</v>
      </c>
      <c r="DQ190" s="70">
        <v>12004.0</v>
      </c>
      <c r="DR190" s="70">
        <v>23331.0</v>
      </c>
      <c r="DS190" s="70">
        <v>621.0</v>
      </c>
      <c r="DT190" s="70">
        <v>0.0</v>
      </c>
      <c r="DU190" s="70">
        <v>0.0</v>
      </c>
      <c r="DV190" s="70">
        <v>0.0</v>
      </c>
      <c r="DW190" s="70">
        <v>0.0</v>
      </c>
      <c r="DX190" s="70">
        <v>126.0</v>
      </c>
      <c r="DY190" s="70">
        <v>0.0</v>
      </c>
      <c r="DZ190" s="70">
        <v>0.0</v>
      </c>
      <c r="EA190" s="70">
        <v>0.0</v>
      </c>
      <c r="EB190" s="70">
        <v>0.0</v>
      </c>
      <c r="EC190" s="70">
        <v>0.0</v>
      </c>
      <c r="ED190" s="70">
        <v>0.0</v>
      </c>
      <c r="EE190" s="70">
        <v>0.0</v>
      </c>
      <c r="EF190" s="70">
        <v>0.0</v>
      </c>
      <c r="EG190" s="70">
        <v>20748.0</v>
      </c>
      <c r="EH190" s="70">
        <v>16318.0</v>
      </c>
      <c r="EI190" s="70">
        <v>2683.0</v>
      </c>
      <c r="EJ190" s="70">
        <v>0.0</v>
      </c>
      <c r="EK190" s="70">
        <v>17.0</v>
      </c>
      <c r="EL190" s="70">
        <v>349.0</v>
      </c>
      <c r="EM190" s="70">
        <v>223.0</v>
      </c>
      <c r="EN190" s="70">
        <v>252.0</v>
      </c>
      <c r="EO190" s="70">
        <v>372.0</v>
      </c>
      <c r="EP190" s="70">
        <v>7987.0</v>
      </c>
      <c r="EQ190" s="70">
        <v>7363.0</v>
      </c>
      <c r="ER190" s="70">
        <v>650367.0</v>
      </c>
      <c r="ES190" s="70">
        <v>116513.0</v>
      </c>
      <c r="ET190" s="70">
        <v>11475.0</v>
      </c>
      <c r="EU190" s="70">
        <v>1.3547976E7</v>
      </c>
      <c r="EV190" s="70">
        <v>39328.0</v>
      </c>
      <c r="EW190" s="70">
        <v>32570.0</v>
      </c>
      <c r="EX190" s="70">
        <v>188817.0</v>
      </c>
      <c r="EY190" s="70">
        <v>1400175.0</v>
      </c>
      <c r="EZ190" s="70">
        <v>338199.0</v>
      </c>
      <c r="FA190" s="70">
        <v>256389.0</v>
      </c>
      <c r="FB190" s="70">
        <v>2032490.0</v>
      </c>
      <c r="FC190" s="70">
        <v>2909.0</v>
      </c>
      <c r="FD190" s="70">
        <v>3909627.0</v>
      </c>
      <c r="FE190" s="70">
        <v>497123.0</v>
      </c>
      <c r="FF190" s="70">
        <v>286150.0</v>
      </c>
      <c r="FG190" s="70">
        <v>877635.0</v>
      </c>
      <c r="FH190" s="70">
        <v>1900701.0</v>
      </c>
      <c r="FI190" s="70">
        <v>305758.0</v>
      </c>
      <c r="FJ190" s="70">
        <v>6277.0</v>
      </c>
      <c r="FK190" s="70">
        <v>36854.0</v>
      </c>
      <c r="FL190" s="70">
        <v>129066.0</v>
      </c>
      <c r="FM190" s="70">
        <v>795315.0</v>
      </c>
      <c r="FN190" s="70">
        <v>2742906.0</v>
      </c>
      <c r="FO190" s="70">
        <v>1463559.0</v>
      </c>
      <c r="FP190" s="70">
        <v>62702.0</v>
      </c>
      <c r="FQ190" s="70">
        <v>361932.0</v>
      </c>
      <c r="FR190" s="70">
        <v>54.0</v>
      </c>
      <c r="FS190" s="70">
        <v>1927.0</v>
      </c>
      <c r="FT190" s="70">
        <v>120464.0</v>
      </c>
      <c r="FU190" s="70">
        <v>549079.0</v>
      </c>
      <c r="FV190" s="70">
        <v>313522.0</v>
      </c>
      <c r="FW190" s="70">
        <v>1376220.0</v>
      </c>
      <c r="FX190" s="70">
        <v>166317.0</v>
      </c>
      <c r="FY190" s="70">
        <v>1039980.0</v>
      </c>
      <c r="FZ190" s="70">
        <v>45542.0</v>
      </c>
      <c r="GA190" s="70">
        <v>1651260.0</v>
      </c>
      <c r="GB190" s="70">
        <v>597583.0</v>
      </c>
      <c r="GC190" s="70">
        <v>227324.0</v>
      </c>
      <c r="GD190" s="70">
        <v>35057.0</v>
      </c>
      <c r="GE190" s="70">
        <v>4609959.0</v>
      </c>
      <c r="GF190" s="71">
        <v>4.6613988E7</v>
      </c>
      <c r="GG190" s="72">
        <v>1.29653082E8</v>
      </c>
      <c r="GH190" s="73">
        <v>1.58040002E8</v>
      </c>
      <c r="GI190" s="72">
        <v>0.0</v>
      </c>
      <c r="GJ190" s="72">
        <v>0.0</v>
      </c>
      <c r="GK190" s="72">
        <v>0.0</v>
      </c>
      <c r="GL190" s="72">
        <v>0.0</v>
      </c>
      <c r="GM190" s="72">
        <v>1120547.0</v>
      </c>
      <c r="GN190" s="71">
        <v>2.88813631E8</v>
      </c>
      <c r="GO190" s="74">
        <v>3.35427619E8</v>
      </c>
      <c r="GP190" s="72">
        <v>0.0</v>
      </c>
      <c r="GQ190" s="72">
        <v>652481.0</v>
      </c>
      <c r="GR190" s="73">
        <v>0.0</v>
      </c>
      <c r="GS190" s="71">
        <v>652481.0</v>
      </c>
      <c r="GT190" s="75">
        <v>0.0</v>
      </c>
      <c r="GU190" s="75">
        <v>0.0</v>
      </c>
      <c r="GV190" s="75">
        <v>0.0</v>
      </c>
      <c r="GW190" s="71">
        <v>0.0</v>
      </c>
      <c r="GX190" s="71">
        <v>2848763.0</v>
      </c>
      <c r="GY190" s="71">
        <v>3.31926375E8</v>
      </c>
      <c r="GZ190" s="74">
        <v>3.35427619E8</v>
      </c>
    </row>
    <row r="191" ht="15.75" customHeight="1">
      <c r="A191" s="76" t="s">
        <v>252</v>
      </c>
      <c r="B191" s="77" t="s">
        <v>253</v>
      </c>
      <c r="C191" s="78">
        <v>0.0</v>
      </c>
      <c r="D191" s="78">
        <v>0.0</v>
      </c>
      <c r="E191" s="78">
        <v>0.0</v>
      </c>
      <c r="F191" s="78">
        <v>0.0</v>
      </c>
      <c r="G191" s="78">
        <v>0.0</v>
      </c>
      <c r="H191" s="78">
        <v>0.0</v>
      </c>
      <c r="I191" s="78">
        <v>0.0</v>
      </c>
      <c r="J191" s="78">
        <v>0.0</v>
      </c>
      <c r="K191" s="78">
        <v>0.0</v>
      </c>
      <c r="L191" s="78">
        <v>0.0</v>
      </c>
      <c r="M191" s="78">
        <v>0.0</v>
      </c>
      <c r="N191" s="78">
        <v>0.0</v>
      </c>
      <c r="O191" s="78">
        <v>0.0</v>
      </c>
      <c r="P191" s="78">
        <v>0.0</v>
      </c>
      <c r="Q191" s="78">
        <v>0.0</v>
      </c>
      <c r="R191" s="78">
        <v>0.0</v>
      </c>
      <c r="S191" s="78">
        <v>0.0</v>
      </c>
      <c r="T191" s="78">
        <v>0.0</v>
      </c>
      <c r="U191" s="78">
        <v>0.0</v>
      </c>
      <c r="V191" s="78">
        <v>0.0</v>
      </c>
      <c r="W191" s="78">
        <v>0.0</v>
      </c>
      <c r="X191" s="78">
        <v>0.0</v>
      </c>
      <c r="Y191" s="78">
        <v>0.0</v>
      </c>
      <c r="Z191" s="78">
        <v>0.0</v>
      </c>
      <c r="AA191" s="78">
        <v>0.0</v>
      </c>
      <c r="AB191" s="78">
        <v>0.0</v>
      </c>
      <c r="AC191" s="78">
        <v>0.0</v>
      </c>
      <c r="AD191" s="78">
        <v>0.0</v>
      </c>
      <c r="AE191" s="78">
        <v>0.0</v>
      </c>
      <c r="AF191" s="78">
        <v>0.0</v>
      </c>
      <c r="AG191" s="78">
        <v>0.0</v>
      </c>
      <c r="AH191" s="78">
        <v>0.0</v>
      </c>
      <c r="AI191" s="78">
        <v>0.0</v>
      </c>
      <c r="AJ191" s="78">
        <v>0.0</v>
      </c>
      <c r="AK191" s="78">
        <v>0.0</v>
      </c>
      <c r="AL191" s="78">
        <v>0.0</v>
      </c>
      <c r="AM191" s="78">
        <v>0.0</v>
      </c>
      <c r="AN191" s="78">
        <v>0.0</v>
      </c>
      <c r="AO191" s="78">
        <v>0.0</v>
      </c>
      <c r="AP191" s="78">
        <v>0.0</v>
      </c>
      <c r="AQ191" s="78">
        <v>0.0</v>
      </c>
      <c r="AR191" s="78">
        <v>0.0</v>
      </c>
      <c r="AS191" s="78">
        <v>0.0</v>
      </c>
      <c r="AT191" s="78">
        <v>0.0</v>
      </c>
      <c r="AU191" s="78">
        <v>0.0</v>
      </c>
      <c r="AV191" s="78">
        <v>0.0</v>
      </c>
      <c r="AW191" s="78">
        <v>0.0</v>
      </c>
      <c r="AX191" s="78">
        <v>0.0</v>
      </c>
      <c r="AY191" s="78">
        <v>0.0</v>
      </c>
      <c r="AZ191" s="78">
        <v>0.0</v>
      </c>
      <c r="BA191" s="78">
        <v>0.0</v>
      </c>
      <c r="BB191" s="78">
        <v>0.0</v>
      </c>
      <c r="BC191" s="78">
        <v>0.0</v>
      </c>
      <c r="BD191" s="78">
        <v>0.0</v>
      </c>
      <c r="BE191" s="78">
        <v>0.0</v>
      </c>
      <c r="BF191" s="78">
        <v>0.0</v>
      </c>
      <c r="BG191" s="78">
        <v>0.0</v>
      </c>
      <c r="BH191" s="78">
        <v>0.0</v>
      </c>
      <c r="BI191" s="78">
        <v>0.0</v>
      </c>
      <c r="BJ191" s="78">
        <v>0.0</v>
      </c>
      <c r="BK191" s="78">
        <v>0.0</v>
      </c>
      <c r="BL191" s="78">
        <v>0.0</v>
      </c>
      <c r="BM191" s="78">
        <v>0.0</v>
      </c>
      <c r="BN191" s="78">
        <v>0.0</v>
      </c>
      <c r="BO191" s="78">
        <v>0.0</v>
      </c>
      <c r="BP191" s="78">
        <v>0.0</v>
      </c>
      <c r="BQ191" s="78">
        <v>0.0</v>
      </c>
      <c r="BR191" s="78">
        <v>0.0</v>
      </c>
      <c r="BS191" s="78">
        <v>0.0</v>
      </c>
      <c r="BT191" s="78">
        <v>0.0</v>
      </c>
      <c r="BU191" s="78">
        <v>0.0</v>
      </c>
      <c r="BV191" s="78">
        <v>0.0</v>
      </c>
      <c r="BW191" s="78">
        <v>0.0</v>
      </c>
      <c r="BX191" s="78">
        <v>0.0</v>
      </c>
      <c r="BY191" s="78">
        <v>0.0</v>
      </c>
      <c r="BZ191" s="78">
        <v>0.0</v>
      </c>
      <c r="CA191" s="78">
        <v>0.0</v>
      </c>
      <c r="CB191" s="78">
        <v>0.0</v>
      </c>
      <c r="CC191" s="78">
        <v>0.0</v>
      </c>
      <c r="CD191" s="78">
        <v>0.0</v>
      </c>
      <c r="CE191" s="78">
        <v>0.0</v>
      </c>
      <c r="CF191" s="78">
        <v>0.0</v>
      </c>
      <c r="CG191" s="78">
        <v>0.0</v>
      </c>
      <c r="CH191" s="78">
        <v>0.0</v>
      </c>
      <c r="CI191" s="78">
        <v>0.0</v>
      </c>
      <c r="CJ191" s="78">
        <v>0.0</v>
      </c>
      <c r="CK191" s="78">
        <v>0.0</v>
      </c>
      <c r="CL191" s="78">
        <v>0.0</v>
      </c>
      <c r="CM191" s="78">
        <v>0.0</v>
      </c>
      <c r="CN191" s="78">
        <v>0.0</v>
      </c>
      <c r="CO191" s="78">
        <v>0.0</v>
      </c>
      <c r="CP191" s="78">
        <v>0.0</v>
      </c>
      <c r="CQ191" s="78">
        <v>0.0</v>
      </c>
      <c r="CR191" s="78">
        <v>0.0</v>
      </c>
      <c r="CS191" s="78">
        <v>0.0</v>
      </c>
      <c r="CT191" s="78">
        <v>0.0</v>
      </c>
      <c r="CU191" s="78">
        <v>0.0</v>
      </c>
      <c r="CV191" s="78">
        <v>0.0</v>
      </c>
      <c r="CW191" s="78">
        <v>0.0</v>
      </c>
      <c r="CX191" s="78">
        <v>0.0</v>
      </c>
      <c r="CY191" s="78">
        <v>0.0</v>
      </c>
      <c r="CZ191" s="78">
        <v>0.0</v>
      </c>
      <c r="DA191" s="78">
        <v>0.0</v>
      </c>
      <c r="DB191" s="78">
        <v>0.0</v>
      </c>
      <c r="DC191" s="78">
        <v>0.0</v>
      </c>
      <c r="DD191" s="78">
        <v>0.0</v>
      </c>
      <c r="DE191" s="78">
        <v>0.0</v>
      </c>
      <c r="DF191" s="78">
        <v>0.0</v>
      </c>
      <c r="DG191" s="78">
        <v>0.0</v>
      </c>
      <c r="DH191" s="78">
        <v>0.0</v>
      </c>
      <c r="DI191" s="78">
        <v>0.0</v>
      </c>
      <c r="DJ191" s="78">
        <v>0.0</v>
      </c>
      <c r="DK191" s="78">
        <v>0.0</v>
      </c>
      <c r="DL191" s="78">
        <v>0.0</v>
      </c>
      <c r="DM191" s="78">
        <v>0.0</v>
      </c>
      <c r="DN191" s="78">
        <v>0.0</v>
      </c>
      <c r="DO191" s="78">
        <v>0.0</v>
      </c>
      <c r="DP191" s="78">
        <v>0.0</v>
      </c>
      <c r="DQ191" s="78">
        <v>0.0</v>
      </c>
      <c r="DR191" s="78">
        <v>0.0</v>
      </c>
      <c r="DS191" s="78">
        <v>0.0</v>
      </c>
      <c r="DT191" s="78">
        <v>0.0</v>
      </c>
      <c r="DU191" s="78">
        <v>0.0</v>
      </c>
      <c r="DV191" s="78">
        <v>0.0</v>
      </c>
      <c r="DW191" s="78">
        <v>0.0</v>
      </c>
      <c r="DX191" s="78">
        <v>0.0</v>
      </c>
      <c r="DY191" s="78">
        <v>0.0</v>
      </c>
      <c r="DZ191" s="78">
        <v>0.0</v>
      </c>
      <c r="EA191" s="78">
        <v>0.0</v>
      </c>
      <c r="EB191" s="78">
        <v>0.0</v>
      </c>
      <c r="EC191" s="78">
        <v>0.0</v>
      </c>
      <c r="ED191" s="78">
        <v>0.0</v>
      </c>
      <c r="EE191" s="78">
        <v>0.0</v>
      </c>
      <c r="EF191" s="78">
        <v>0.0</v>
      </c>
      <c r="EG191" s="78">
        <v>0.0</v>
      </c>
      <c r="EH191" s="78">
        <v>0.0</v>
      </c>
      <c r="EI191" s="78">
        <v>0.0</v>
      </c>
      <c r="EJ191" s="78">
        <v>0.0</v>
      </c>
      <c r="EK191" s="78">
        <v>0.0</v>
      </c>
      <c r="EL191" s="78">
        <v>0.0</v>
      </c>
      <c r="EM191" s="78">
        <v>0.0</v>
      </c>
      <c r="EN191" s="78">
        <v>0.0</v>
      </c>
      <c r="EO191" s="78">
        <v>0.0</v>
      </c>
      <c r="EP191" s="78">
        <v>0.0</v>
      </c>
      <c r="EQ191" s="78">
        <v>0.0</v>
      </c>
      <c r="ER191" s="78">
        <v>0.0</v>
      </c>
      <c r="ES191" s="78">
        <v>0.0</v>
      </c>
      <c r="ET191" s="78">
        <v>0.0</v>
      </c>
      <c r="EU191" s="78">
        <v>0.0</v>
      </c>
      <c r="EV191" s="78">
        <v>0.0</v>
      </c>
      <c r="EW191" s="78">
        <v>0.0</v>
      </c>
      <c r="EX191" s="78">
        <v>0.0</v>
      </c>
      <c r="EY191" s="78">
        <v>0.0</v>
      </c>
      <c r="EZ191" s="78">
        <v>0.0</v>
      </c>
      <c r="FA191" s="78">
        <v>0.0</v>
      </c>
      <c r="FB191" s="78">
        <v>0.0</v>
      </c>
      <c r="FC191" s="78">
        <v>0.0</v>
      </c>
      <c r="FD191" s="78">
        <v>0.0</v>
      </c>
      <c r="FE191" s="78">
        <v>0.0</v>
      </c>
      <c r="FF191" s="78">
        <v>0.0</v>
      </c>
      <c r="FG191" s="78">
        <v>0.0</v>
      </c>
      <c r="FH191" s="78">
        <v>0.0</v>
      </c>
      <c r="FI191" s="78">
        <v>0.0</v>
      </c>
      <c r="FJ191" s="78">
        <v>0.0</v>
      </c>
      <c r="FK191" s="78">
        <v>0.0</v>
      </c>
      <c r="FL191" s="78">
        <v>0.0</v>
      </c>
      <c r="FM191" s="78">
        <v>0.0</v>
      </c>
      <c r="FN191" s="78">
        <v>0.0</v>
      </c>
      <c r="FO191" s="78">
        <v>0.0</v>
      </c>
      <c r="FP191" s="78">
        <v>0.0</v>
      </c>
      <c r="FQ191" s="78">
        <v>0.0</v>
      </c>
      <c r="FR191" s="78">
        <v>0.0</v>
      </c>
      <c r="FS191" s="78">
        <v>0.0</v>
      </c>
      <c r="FT191" s="78">
        <v>0.0</v>
      </c>
      <c r="FU191" s="78">
        <v>0.0</v>
      </c>
      <c r="FV191" s="78">
        <v>0.0</v>
      </c>
      <c r="FW191" s="78">
        <v>0.0</v>
      </c>
      <c r="FX191" s="78">
        <v>0.0</v>
      </c>
      <c r="FY191" s="78">
        <v>0.0</v>
      </c>
      <c r="FZ191" s="78">
        <v>0.0</v>
      </c>
      <c r="GA191" s="78">
        <v>0.0</v>
      </c>
      <c r="GB191" s="78">
        <v>0.0</v>
      </c>
      <c r="GC191" s="78">
        <v>0.0</v>
      </c>
      <c r="GD191" s="78">
        <v>0.0</v>
      </c>
      <c r="GE191" s="78">
        <v>0.0</v>
      </c>
      <c r="GF191" s="79">
        <v>0.0</v>
      </c>
      <c r="GG191" s="80">
        <v>0.0</v>
      </c>
      <c r="GH191" s="81">
        <v>0.0</v>
      </c>
      <c r="GI191" s="80">
        <v>0.0</v>
      </c>
      <c r="GJ191" s="80">
        <v>0.0</v>
      </c>
      <c r="GK191" s="80">
        <v>0.0</v>
      </c>
      <c r="GL191" s="80">
        <v>0.0</v>
      </c>
      <c r="GM191" s="80">
        <v>0.0</v>
      </c>
      <c r="GN191" s="79">
        <v>0.0</v>
      </c>
      <c r="GO191" s="79">
        <v>0.0</v>
      </c>
      <c r="GP191" s="80">
        <v>-9.8402143E7</v>
      </c>
      <c r="GQ191" s="80">
        <v>0.0</v>
      </c>
      <c r="GR191" s="81">
        <v>9.8402143E7</v>
      </c>
      <c r="GS191" s="79">
        <v>0.0</v>
      </c>
      <c r="GT191" s="78">
        <v>0.0</v>
      </c>
      <c r="GU191" s="78">
        <v>0.0</v>
      </c>
      <c r="GV191" s="78">
        <v>0.0</v>
      </c>
      <c r="GW191" s="82">
        <v>0.0</v>
      </c>
      <c r="GX191" s="79">
        <v>0.0</v>
      </c>
      <c r="GY191" s="79">
        <v>0.0</v>
      </c>
      <c r="GZ191" s="79">
        <v>0.0</v>
      </c>
    </row>
    <row r="192" ht="15.75" customHeight="1">
      <c r="A192" s="83" t="s">
        <v>254</v>
      </c>
      <c r="B192" s="84" t="s">
        <v>255</v>
      </c>
      <c r="C192" s="85">
        <v>5.2052919E7</v>
      </c>
      <c r="D192" s="85">
        <v>1.1883204E7</v>
      </c>
      <c r="E192" s="85">
        <v>1016683.0</v>
      </c>
      <c r="F192" s="85">
        <v>8086093.0</v>
      </c>
      <c r="G192" s="85">
        <v>391886.0</v>
      </c>
      <c r="H192" s="85">
        <v>1193419.0</v>
      </c>
      <c r="I192" s="85">
        <v>885817.0</v>
      </c>
      <c r="J192" s="85">
        <v>2024131.0</v>
      </c>
      <c r="K192" s="85">
        <v>44657.0</v>
      </c>
      <c r="L192" s="85">
        <v>3.6489908E7</v>
      </c>
      <c r="M192" s="85">
        <v>1491873.0</v>
      </c>
      <c r="N192" s="85">
        <v>5502929.0</v>
      </c>
      <c r="O192" s="85">
        <v>6388389.0</v>
      </c>
      <c r="P192" s="85">
        <v>91703.0</v>
      </c>
      <c r="Q192" s="85">
        <v>7637741.0</v>
      </c>
      <c r="R192" s="85">
        <v>3.9579098E7</v>
      </c>
      <c r="S192" s="85">
        <v>1174759.0</v>
      </c>
      <c r="T192" s="85">
        <v>1.5458682E7</v>
      </c>
      <c r="U192" s="85">
        <v>6444151.0</v>
      </c>
      <c r="V192" s="85">
        <v>9.4226233E7</v>
      </c>
      <c r="W192" s="85">
        <v>7623380.0</v>
      </c>
      <c r="X192" s="85">
        <v>1531434.0</v>
      </c>
      <c r="Y192" s="85">
        <v>8679087.0</v>
      </c>
      <c r="Z192" s="85">
        <v>5496662.0</v>
      </c>
      <c r="AA192" s="85">
        <v>446723.0</v>
      </c>
      <c r="AB192" s="85">
        <v>2.9153601E7</v>
      </c>
      <c r="AC192" s="85">
        <v>5653726.0</v>
      </c>
      <c r="AD192" s="85">
        <v>7.4012487E7</v>
      </c>
      <c r="AE192" s="85">
        <v>7936975.0</v>
      </c>
      <c r="AF192" s="85">
        <v>8646423.0</v>
      </c>
      <c r="AG192" s="85">
        <v>1.5692236E7</v>
      </c>
      <c r="AH192" s="85">
        <v>7786724.0</v>
      </c>
      <c r="AI192" s="85">
        <v>4.8727718E7</v>
      </c>
      <c r="AJ192" s="85">
        <v>1.0065185E7</v>
      </c>
      <c r="AK192" s="85">
        <v>2064401.0</v>
      </c>
      <c r="AL192" s="85">
        <v>7326189.0</v>
      </c>
      <c r="AM192" s="85">
        <v>1.81635735E8</v>
      </c>
      <c r="AN192" s="85">
        <v>5.3480163E7</v>
      </c>
      <c r="AO192" s="85">
        <v>1.00606141E8</v>
      </c>
      <c r="AP192" s="85">
        <v>1148283.0</v>
      </c>
      <c r="AQ192" s="85">
        <v>5467477.0</v>
      </c>
      <c r="AR192" s="85">
        <v>2709260.0</v>
      </c>
      <c r="AS192" s="85">
        <v>1.5303766E7</v>
      </c>
      <c r="AT192" s="85">
        <v>2585062.0</v>
      </c>
      <c r="AU192" s="85">
        <v>2135080.0</v>
      </c>
      <c r="AV192" s="85">
        <v>2.9113926E7</v>
      </c>
      <c r="AW192" s="85">
        <v>646285.0</v>
      </c>
      <c r="AX192" s="85">
        <v>1.25620162E8</v>
      </c>
      <c r="AY192" s="85">
        <v>9203430.0</v>
      </c>
      <c r="AZ192" s="85">
        <v>856036.0</v>
      </c>
      <c r="BA192" s="85">
        <v>1.265754E7</v>
      </c>
      <c r="BB192" s="85">
        <v>1.7224815E7</v>
      </c>
      <c r="BC192" s="85">
        <v>1.70528202E8</v>
      </c>
      <c r="BD192" s="85">
        <v>4.0716346E7</v>
      </c>
      <c r="BE192" s="85">
        <v>3.159996E7</v>
      </c>
      <c r="BF192" s="85">
        <v>6.0288875E7</v>
      </c>
      <c r="BG192" s="85">
        <v>1.9443015E7</v>
      </c>
      <c r="BH192" s="85">
        <v>4.29537484E8</v>
      </c>
      <c r="BI192" s="85">
        <v>1.4922827E7</v>
      </c>
      <c r="BJ192" s="85">
        <v>6.9849464E7</v>
      </c>
      <c r="BK192" s="85">
        <v>2.8221955E7</v>
      </c>
      <c r="BL192" s="85">
        <v>2.879238E7</v>
      </c>
      <c r="BM192" s="85">
        <v>2.57690093E8</v>
      </c>
      <c r="BN192" s="85">
        <v>4.243069E7</v>
      </c>
      <c r="BO192" s="85">
        <v>4.3363416E7</v>
      </c>
      <c r="BP192" s="85">
        <v>2.3970296E7</v>
      </c>
      <c r="BQ192" s="85">
        <v>3.4734474E7</v>
      </c>
      <c r="BR192" s="85">
        <v>3.3947738E7</v>
      </c>
      <c r="BS192" s="85">
        <v>1.9318599E7</v>
      </c>
      <c r="BT192" s="85">
        <v>5.8814094E7</v>
      </c>
      <c r="BU192" s="85">
        <v>1.47113256E8</v>
      </c>
      <c r="BV192" s="85">
        <v>6.134656E7</v>
      </c>
      <c r="BW192" s="85">
        <v>4415298.0</v>
      </c>
      <c r="BX192" s="85">
        <v>5.5964645E7</v>
      </c>
      <c r="BY192" s="85">
        <v>1.01689933E8</v>
      </c>
      <c r="BZ192" s="85">
        <v>6574380.0</v>
      </c>
      <c r="CA192" s="85">
        <v>6.8045525E7</v>
      </c>
      <c r="CB192" s="85">
        <v>8.6519259E7</v>
      </c>
      <c r="CC192" s="85">
        <v>1.5224504E7</v>
      </c>
      <c r="CD192" s="85">
        <v>1.8847859E7</v>
      </c>
      <c r="CE192" s="85">
        <v>2.3189121E7</v>
      </c>
      <c r="CF192" s="85">
        <v>1.70676959E8</v>
      </c>
      <c r="CG192" s="85">
        <v>1.1875073E7</v>
      </c>
      <c r="CH192" s="85">
        <v>8549725.0</v>
      </c>
      <c r="CI192" s="85">
        <v>4.985569E7</v>
      </c>
      <c r="CJ192" s="85">
        <v>2.5219715E7</v>
      </c>
      <c r="CK192" s="85">
        <v>4.7331334E7</v>
      </c>
      <c r="CL192" s="85">
        <v>2.8604254E7</v>
      </c>
      <c r="CM192" s="85">
        <v>1.150613E7</v>
      </c>
      <c r="CN192" s="85">
        <v>4.1422577E7</v>
      </c>
      <c r="CO192" s="85">
        <v>5.110857E7</v>
      </c>
      <c r="CP192" s="85">
        <v>7.0897314E7</v>
      </c>
      <c r="CQ192" s="85">
        <v>3.4766724E7</v>
      </c>
      <c r="CR192" s="85">
        <v>4.829978E7</v>
      </c>
      <c r="CS192" s="85">
        <v>3.04161069E8</v>
      </c>
      <c r="CT192" s="85">
        <v>1.57334809E8</v>
      </c>
      <c r="CU192" s="85">
        <v>4.3643507E7</v>
      </c>
      <c r="CV192" s="85">
        <v>6.789672E7</v>
      </c>
      <c r="CW192" s="85">
        <v>9596696.0</v>
      </c>
      <c r="CX192" s="85">
        <v>2.8503163E7</v>
      </c>
      <c r="CY192" s="85">
        <v>2016685.0</v>
      </c>
      <c r="CZ192" s="85">
        <v>5.032102E7</v>
      </c>
      <c r="DA192" s="85">
        <v>4.3332369E7</v>
      </c>
      <c r="DB192" s="85">
        <v>3.1786956E7</v>
      </c>
      <c r="DC192" s="85">
        <v>5.4655705E7</v>
      </c>
      <c r="DD192" s="85">
        <v>1.2063875E7</v>
      </c>
      <c r="DE192" s="85">
        <v>3.2543019E7</v>
      </c>
      <c r="DF192" s="85">
        <v>5.674532E7</v>
      </c>
      <c r="DG192" s="85">
        <v>1.0662528E7</v>
      </c>
      <c r="DH192" s="85">
        <v>1.03661028E8</v>
      </c>
      <c r="DI192" s="85">
        <v>2.67926E7</v>
      </c>
      <c r="DJ192" s="85">
        <v>2.7428893E7</v>
      </c>
      <c r="DK192" s="85">
        <v>3.6991795E7</v>
      </c>
      <c r="DL192" s="85">
        <v>1.08710554E8</v>
      </c>
      <c r="DM192" s="85">
        <v>1.15495485E8</v>
      </c>
      <c r="DN192" s="85">
        <v>6651785.0</v>
      </c>
      <c r="DO192" s="85">
        <v>4.4832116E7</v>
      </c>
      <c r="DP192" s="85">
        <v>3549993.0</v>
      </c>
      <c r="DQ192" s="85">
        <v>2.1560172E7</v>
      </c>
      <c r="DR192" s="85">
        <v>5.1637062E7</v>
      </c>
      <c r="DS192" s="85">
        <v>1.03245929E8</v>
      </c>
      <c r="DT192" s="85">
        <v>1.7536846E7</v>
      </c>
      <c r="DU192" s="85">
        <v>1.4262637E7</v>
      </c>
      <c r="DV192" s="85">
        <v>4.2420371E7</v>
      </c>
      <c r="DW192" s="85">
        <v>2.8233495E7</v>
      </c>
      <c r="DX192" s="85">
        <v>1.8878089E7</v>
      </c>
      <c r="DY192" s="85">
        <v>4.8408486E7</v>
      </c>
      <c r="DZ192" s="85">
        <v>6.9533425E7</v>
      </c>
      <c r="EA192" s="85">
        <v>8095887.0</v>
      </c>
      <c r="EB192" s="85">
        <v>7.5253072E7</v>
      </c>
      <c r="EC192" s="85">
        <v>2.28713613E8</v>
      </c>
      <c r="ED192" s="85">
        <v>2.128301E7</v>
      </c>
      <c r="EE192" s="85">
        <v>2475457.0</v>
      </c>
      <c r="EF192" s="85">
        <v>4362019.0</v>
      </c>
      <c r="EG192" s="85">
        <v>1.4953126E7</v>
      </c>
      <c r="EH192" s="85">
        <v>7.624966E7</v>
      </c>
      <c r="EI192" s="85">
        <v>5.3445956E7</v>
      </c>
      <c r="EJ192" s="85">
        <v>3.1896267E7</v>
      </c>
      <c r="EK192" s="85">
        <v>7971102.0</v>
      </c>
      <c r="EL192" s="85">
        <v>9498522.0</v>
      </c>
      <c r="EM192" s="85">
        <v>9369836.0</v>
      </c>
      <c r="EN192" s="85">
        <v>1.8179677E7</v>
      </c>
      <c r="EO192" s="85">
        <v>2.1253318E7</v>
      </c>
      <c r="EP192" s="85">
        <v>1.8306325E7</v>
      </c>
      <c r="EQ192" s="85">
        <v>5.81481493E8</v>
      </c>
      <c r="ER192" s="85">
        <v>1.6516771E7</v>
      </c>
      <c r="ES192" s="85">
        <v>1.4492052E7</v>
      </c>
      <c r="ET192" s="85">
        <v>1.1900234E7</v>
      </c>
      <c r="EU192" s="85">
        <v>1.286567661E9</v>
      </c>
      <c r="EV192" s="85">
        <v>1.27189667E8</v>
      </c>
      <c r="EW192" s="85">
        <v>2.4114938E7</v>
      </c>
      <c r="EX192" s="85">
        <v>9.5901289E7</v>
      </c>
      <c r="EY192" s="85">
        <v>5.70245089E8</v>
      </c>
      <c r="EZ192" s="85">
        <v>7.8032212E7</v>
      </c>
      <c r="FA192" s="85">
        <v>6.506343E7</v>
      </c>
      <c r="FB192" s="85">
        <v>7.3202242E8</v>
      </c>
      <c r="FC192" s="85">
        <v>6651437.0</v>
      </c>
      <c r="FD192" s="85">
        <v>4.04233046E8</v>
      </c>
      <c r="FE192" s="85">
        <v>9.0637132E7</v>
      </c>
      <c r="FF192" s="85">
        <v>2.2219451E7</v>
      </c>
      <c r="FG192" s="85">
        <v>1.76194045E8</v>
      </c>
      <c r="FH192" s="85">
        <v>8.367901E7</v>
      </c>
      <c r="FI192" s="85">
        <v>3.1147565E7</v>
      </c>
      <c r="FJ192" s="85">
        <v>5.0725382E7</v>
      </c>
      <c r="FK192" s="85">
        <v>6.15582349E8</v>
      </c>
      <c r="FL192" s="85">
        <v>7.339473E7</v>
      </c>
      <c r="FM192" s="85">
        <v>5.7769744E7</v>
      </c>
      <c r="FN192" s="85">
        <v>2.0327207E8</v>
      </c>
      <c r="FO192" s="85">
        <v>9.230816E7</v>
      </c>
      <c r="FP192" s="85">
        <v>1.61802306E8</v>
      </c>
      <c r="FQ192" s="85">
        <v>3.2702876E7</v>
      </c>
      <c r="FR192" s="85">
        <v>500879.0</v>
      </c>
      <c r="FS192" s="85">
        <v>2.1763438E7</v>
      </c>
      <c r="FT192" s="85">
        <v>2.31128159E8</v>
      </c>
      <c r="FU192" s="85">
        <v>2.28178438E8</v>
      </c>
      <c r="FV192" s="85">
        <v>1.46395644E8</v>
      </c>
      <c r="FW192" s="85">
        <v>3.65149272E8</v>
      </c>
      <c r="FX192" s="85">
        <v>8.2777349E7</v>
      </c>
      <c r="FY192" s="85">
        <v>2.70356262E8</v>
      </c>
      <c r="FZ192" s="85">
        <v>4577394.0</v>
      </c>
      <c r="GA192" s="85">
        <v>1.44830012E8</v>
      </c>
      <c r="GB192" s="85">
        <v>1.53197507E8</v>
      </c>
      <c r="GC192" s="85">
        <v>4.4705782E7</v>
      </c>
      <c r="GD192" s="85">
        <v>1.9371512E7</v>
      </c>
      <c r="GE192" s="85">
        <v>1.45334834E8</v>
      </c>
      <c r="GF192" s="71">
        <v>1.365102857E10</v>
      </c>
      <c r="GG192" s="63">
        <v>8.912539142E9</v>
      </c>
      <c r="GH192" s="86">
        <v>2.01653378E8</v>
      </c>
      <c r="GI192" s="63">
        <v>1.394875537E9</v>
      </c>
      <c r="GJ192" s="63">
        <v>4.897050475E9</v>
      </c>
      <c r="GK192" s="71">
        <v>-5.237925E7</v>
      </c>
      <c r="GL192" s="71">
        <v>2.470856505E9</v>
      </c>
      <c r="GM192" s="87">
        <v>2.18065238E8</v>
      </c>
      <c r="GN192" s="87">
        <v>1.8042661025E10</v>
      </c>
      <c r="GO192" s="63">
        <v>3.1693689595E10</v>
      </c>
      <c r="GP192" s="71">
        <v>2.060113093E9</v>
      </c>
      <c r="GQ192" s="71">
        <v>3.62031203E8</v>
      </c>
      <c r="GR192" s="71">
        <v>0.0</v>
      </c>
      <c r="GS192" s="71">
        <v>2.422144296E9</v>
      </c>
      <c r="GT192" s="85">
        <v>0.0</v>
      </c>
      <c r="GU192" s="85">
        <v>0.0</v>
      </c>
      <c r="GV192" s="85">
        <v>0.0</v>
      </c>
      <c r="GW192" s="71">
        <v>0.0</v>
      </c>
      <c r="GX192" s="71">
        <v>5.71294773E8</v>
      </c>
      <c r="GY192" s="71">
        <v>2.8700250526E10</v>
      </c>
      <c r="GZ192" s="71">
        <v>3.1693689595E10</v>
      </c>
    </row>
    <row r="193" ht="15.75" customHeight="1">
      <c r="A193" s="52">
        <v>1950.0</v>
      </c>
      <c r="B193" s="53" t="s">
        <v>256</v>
      </c>
      <c r="C193" s="88">
        <v>0.0</v>
      </c>
      <c r="D193" s="88">
        <v>0.0</v>
      </c>
      <c r="E193" s="88">
        <v>0.0</v>
      </c>
      <c r="F193" s="88">
        <v>0.0</v>
      </c>
      <c r="G193" s="88">
        <v>0.0</v>
      </c>
      <c r="H193" s="88">
        <v>0.0</v>
      </c>
      <c r="I193" s="88">
        <v>0.0</v>
      </c>
      <c r="J193" s="88">
        <v>0.0</v>
      </c>
      <c r="K193" s="88">
        <v>0.0</v>
      </c>
      <c r="L193" s="88">
        <v>0.0</v>
      </c>
      <c r="M193" s="88">
        <v>0.0</v>
      </c>
      <c r="N193" s="88">
        <v>0.0</v>
      </c>
      <c r="O193" s="88">
        <v>0.0</v>
      </c>
      <c r="P193" s="88">
        <v>0.0</v>
      </c>
      <c r="Q193" s="88">
        <v>0.0</v>
      </c>
      <c r="R193" s="88">
        <v>0.0</v>
      </c>
      <c r="S193" s="88">
        <v>0.0</v>
      </c>
      <c r="T193" s="88">
        <v>0.0</v>
      </c>
      <c r="U193" s="88">
        <v>0.0</v>
      </c>
      <c r="V193" s="88">
        <v>0.0</v>
      </c>
      <c r="W193" s="88">
        <v>0.0</v>
      </c>
      <c r="X193" s="88">
        <v>0.0</v>
      </c>
      <c r="Y193" s="88">
        <v>0.0</v>
      </c>
      <c r="Z193" s="88">
        <v>0.0</v>
      </c>
      <c r="AA193" s="88">
        <v>0.0</v>
      </c>
      <c r="AB193" s="88">
        <v>0.0</v>
      </c>
      <c r="AC193" s="88">
        <v>0.0</v>
      </c>
      <c r="AD193" s="88">
        <v>0.0</v>
      </c>
      <c r="AE193" s="88">
        <v>0.0</v>
      </c>
      <c r="AF193" s="88">
        <v>0.0</v>
      </c>
      <c r="AG193" s="88">
        <v>0.0</v>
      </c>
      <c r="AH193" s="88">
        <v>0.0</v>
      </c>
      <c r="AI193" s="88">
        <v>0.0</v>
      </c>
      <c r="AJ193" s="88">
        <v>0.0</v>
      </c>
      <c r="AK193" s="88">
        <v>0.0</v>
      </c>
      <c r="AL193" s="88">
        <v>0.0</v>
      </c>
      <c r="AM193" s="88">
        <v>0.0</v>
      </c>
      <c r="AN193" s="88">
        <v>0.0</v>
      </c>
      <c r="AO193" s="88">
        <v>0.0</v>
      </c>
      <c r="AP193" s="88">
        <v>0.0</v>
      </c>
      <c r="AQ193" s="88">
        <v>0.0</v>
      </c>
      <c r="AR193" s="88">
        <v>0.0</v>
      </c>
      <c r="AS193" s="88">
        <v>0.0</v>
      </c>
      <c r="AT193" s="88">
        <v>0.0</v>
      </c>
      <c r="AU193" s="88">
        <v>0.0</v>
      </c>
      <c r="AV193" s="88">
        <v>0.0</v>
      </c>
      <c r="AW193" s="88">
        <v>0.0</v>
      </c>
      <c r="AX193" s="88">
        <v>0.0</v>
      </c>
      <c r="AY193" s="88">
        <v>0.0</v>
      </c>
      <c r="AZ193" s="88">
        <v>0.0</v>
      </c>
      <c r="BA193" s="88">
        <v>0.0</v>
      </c>
      <c r="BB193" s="88">
        <v>0.0</v>
      </c>
      <c r="BC193" s="88">
        <v>0.0</v>
      </c>
      <c r="BD193" s="88">
        <v>0.0</v>
      </c>
      <c r="BE193" s="88">
        <v>0.0</v>
      </c>
      <c r="BF193" s="88">
        <v>0.0</v>
      </c>
      <c r="BG193" s="88">
        <v>0.0</v>
      </c>
      <c r="BH193" s="88">
        <v>0.0</v>
      </c>
      <c r="BI193" s="88">
        <v>0.0</v>
      </c>
      <c r="BJ193" s="88">
        <v>0.0</v>
      </c>
      <c r="BK193" s="88">
        <v>0.0</v>
      </c>
      <c r="BL193" s="88">
        <v>0.0</v>
      </c>
      <c r="BM193" s="88">
        <v>0.0</v>
      </c>
      <c r="BN193" s="88">
        <v>0.0</v>
      </c>
      <c r="BO193" s="88">
        <v>0.0</v>
      </c>
      <c r="BP193" s="88">
        <v>0.0</v>
      </c>
      <c r="BQ193" s="88">
        <v>0.0</v>
      </c>
      <c r="BR193" s="88">
        <v>0.0</v>
      </c>
      <c r="BS193" s="88">
        <v>0.0</v>
      </c>
      <c r="BT193" s="88">
        <v>0.0</v>
      </c>
      <c r="BU193" s="88">
        <v>0.0</v>
      </c>
      <c r="BV193" s="88">
        <v>0.0</v>
      </c>
      <c r="BW193" s="88">
        <v>0.0</v>
      </c>
      <c r="BX193" s="88">
        <v>0.0</v>
      </c>
      <c r="BY193" s="88">
        <v>0.0</v>
      </c>
      <c r="BZ193" s="88">
        <v>0.0</v>
      </c>
      <c r="CA193" s="88">
        <v>0.0</v>
      </c>
      <c r="CB193" s="88">
        <v>0.0</v>
      </c>
      <c r="CC193" s="88">
        <v>0.0</v>
      </c>
      <c r="CD193" s="88">
        <v>0.0</v>
      </c>
      <c r="CE193" s="88">
        <v>0.0</v>
      </c>
      <c r="CF193" s="88">
        <v>0.0</v>
      </c>
      <c r="CG193" s="88">
        <v>0.0</v>
      </c>
      <c r="CH193" s="88">
        <v>0.0</v>
      </c>
      <c r="CI193" s="88">
        <v>0.0</v>
      </c>
      <c r="CJ193" s="88">
        <v>0.0</v>
      </c>
      <c r="CK193" s="88">
        <v>0.0</v>
      </c>
      <c r="CL193" s="88">
        <v>0.0</v>
      </c>
      <c r="CM193" s="88">
        <v>0.0</v>
      </c>
      <c r="CN193" s="88">
        <v>0.0</v>
      </c>
      <c r="CO193" s="88">
        <v>0.0</v>
      </c>
      <c r="CP193" s="88">
        <v>0.0</v>
      </c>
      <c r="CQ193" s="88">
        <v>0.0</v>
      </c>
      <c r="CR193" s="88">
        <v>0.0</v>
      </c>
      <c r="CS193" s="88">
        <v>0.0</v>
      </c>
      <c r="CT193" s="88">
        <v>0.0</v>
      </c>
      <c r="CU193" s="88">
        <v>0.0</v>
      </c>
      <c r="CV193" s="88">
        <v>0.0</v>
      </c>
      <c r="CW193" s="88">
        <v>0.0</v>
      </c>
      <c r="CX193" s="88">
        <v>0.0</v>
      </c>
      <c r="CY193" s="88">
        <v>0.0</v>
      </c>
      <c r="CZ193" s="88">
        <v>0.0</v>
      </c>
      <c r="DA193" s="88">
        <v>0.0</v>
      </c>
      <c r="DB193" s="88">
        <v>0.0</v>
      </c>
      <c r="DC193" s="88">
        <v>0.0</v>
      </c>
      <c r="DD193" s="88">
        <v>0.0</v>
      </c>
      <c r="DE193" s="88">
        <v>0.0</v>
      </c>
      <c r="DF193" s="88">
        <v>0.0</v>
      </c>
      <c r="DG193" s="88">
        <v>0.0</v>
      </c>
      <c r="DH193" s="88">
        <v>0.0</v>
      </c>
      <c r="DI193" s="88">
        <v>0.0</v>
      </c>
      <c r="DJ193" s="88">
        <v>0.0</v>
      </c>
      <c r="DK193" s="88">
        <v>0.0</v>
      </c>
      <c r="DL193" s="88">
        <v>0.0</v>
      </c>
      <c r="DM193" s="88">
        <v>0.0</v>
      </c>
      <c r="DN193" s="88">
        <v>0.0</v>
      </c>
      <c r="DO193" s="88">
        <v>0.0</v>
      </c>
      <c r="DP193" s="88">
        <v>0.0</v>
      </c>
      <c r="DQ193" s="88">
        <v>0.0</v>
      </c>
      <c r="DR193" s="88">
        <v>0.0</v>
      </c>
      <c r="DS193" s="88">
        <v>0.0</v>
      </c>
      <c r="DT193" s="88">
        <v>0.0</v>
      </c>
      <c r="DU193" s="88">
        <v>0.0</v>
      </c>
      <c r="DV193" s="88">
        <v>0.0</v>
      </c>
      <c r="DW193" s="88">
        <v>0.0</v>
      </c>
      <c r="DX193" s="88">
        <v>0.0</v>
      </c>
      <c r="DY193" s="88">
        <v>0.0</v>
      </c>
      <c r="DZ193" s="88">
        <v>0.0</v>
      </c>
      <c r="EA193" s="88">
        <v>0.0</v>
      </c>
      <c r="EB193" s="88">
        <v>0.0</v>
      </c>
      <c r="EC193" s="88">
        <v>0.0</v>
      </c>
      <c r="ED193" s="88">
        <v>0.0</v>
      </c>
      <c r="EE193" s="88">
        <v>0.0</v>
      </c>
      <c r="EF193" s="88">
        <v>0.0</v>
      </c>
      <c r="EG193" s="88">
        <v>0.0</v>
      </c>
      <c r="EH193" s="88">
        <v>0.0</v>
      </c>
      <c r="EI193" s="88">
        <v>0.0</v>
      </c>
      <c r="EJ193" s="88">
        <v>0.0</v>
      </c>
      <c r="EK193" s="88">
        <v>0.0</v>
      </c>
      <c r="EL193" s="88">
        <v>0.0</v>
      </c>
      <c r="EM193" s="88">
        <v>0.0</v>
      </c>
      <c r="EN193" s="88">
        <v>0.0</v>
      </c>
      <c r="EO193" s="88">
        <v>0.0</v>
      </c>
      <c r="EP193" s="88">
        <v>0.0</v>
      </c>
      <c r="EQ193" s="88">
        <v>0.0</v>
      </c>
      <c r="ER193" s="88">
        <v>0.0</v>
      </c>
      <c r="ES193" s="88">
        <v>0.0</v>
      </c>
      <c r="ET193" s="88">
        <v>0.0</v>
      </c>
      <c r="EU193" s="88">
        <v>0.0</v>
      </c>
      <c r="EV193" s="88">
        <v>0.0</v>
      </c>
      <c r="EW193" s="88">
        <v>0.0</v>
      </c>
      <c r="EX193" s="88">
        <v>0.0</v>
      </c>
      <c r="EY193" s="88">
        <v>0.0</v>
      </c>
      <c r="EZ193" s="88">
        <v>0.0</v>
      </c>
      <c r="FA193" s="88">
        <v>0.0</v>
      </c>
      <c r="FB193" s="88">
        <v>0.0</v>
      </c>
      <c r="FC193" s="88">
        <v>0.0</v>
      </c>
      <c r="FD193" s="88">
        <v>0.0</v>
      </c>
      <c r="FE193" s="88">
        <v>0.0</v>
      </c>
      <c r="FF193" s="88">
        <v>0.0</v>
      </c>
      <c r="FG193" s="88">
        <v>0.0</v>
      </c>
      <c r="FH193" s="88">
        <v>0.0</v>
      </c>
      <c r="FI193" s="88">
        <v>0.0</v>
      </c>
      <c r="FJ193" s="88">
        <v>0.0</v>
      </c>
      <c r="FK193" s="88">
        <v>0.0</v>
      </c>
      <c r="FL193" s="88">
        <v>0.0</v>
      </c>
      <c r="FM193" s="88">
        <v>0.0</v>
      </c>
      <c r="FN193" s="88">
        <v>0.0</v>
      </c>
      <c r="FO193" s="88">
        <v>0.0</v>
      </c>
      <c r="FP193" s="88">
        <v>0.0</v>
      </c>
      <c r="FQ193" s="88">
        <v>0.0</v>
      </c>
      <c r="FR193" s="88">
        <v>0.0</v>
      </c>
      <c r="FS193" s="88">
        <v>0.0</v>
      </c>
      <c r="FT193" s="88">
        <v>0.0</v>
      </c>
      <c r="FU193" s="88">
        <v>0.0</v>
      </c>
      <c r="FV193" s="88">
        <v>0.0</v>
      </c>
      <c r="FW193" s="88">
        <v>0.0</v>
      </c>
      <c r="FX193" s="88">
        <v>0.0</v>
      </c>
      <c r="FY193" s="88">
        <v>0.0</v>
      </c>
      <c r="FZ193" s="88">
        <v>0.0</v>
      </c>
      <c r="GA193" s="88">
        <v>0.0</v>
      </c>
      <c r="GB193" s="88">
        <v>0.0</v>
      </c>
      <c r="GC193" s="88">
        <v>0.0</v>
      </c>
      <c r="GD193" s="88">
        <v>0.0</v>
      </c>
      <c r="GE193" s="88">
        <v>0.0</v>
      </c>
      <c r="GF193" s="55">
        <v>0.0</v>
      </c>
      <c r="GG193" s="55">
        <v>0.0</v>
      </c>
      <c r="GH193" s="55">
        <v>0.0</v>
      </c>
      <c r="GI193" s="55">
        <v>0.0</v>
      </c>
      <c r="GJ193" s="55">
        <v>0.0</v>
      </c>
      <c r="GK193" s="55">
        <v>0.0</v>
      </c>
      <c r="GL193" s="55">
        <v>0.0</v>
      </c>
      <c r="GM193" s="55">
        <v>0.0</v>
      </c>
      <c r="GN193" s="55">
        <v>0.0</v>
      </c>
      <c r="GO193" s="55">
        <v>0.0</v>
      </c>
      <c r="GP193" s="55">
        <v>0.0</v>
      </c>
      <c r="GQ193" s="55">
        <v>0.0</v>
      </c>
      <c r="GR193" s="55">
        <v>0.0</v>
      </c>
      <c r="GS193" s="55">
        <v>0.0</v>
      </c>
      <c r="GT193" s="89">
        <v>0.0</v>
      </c>
      <c r="GU193" s="90">
        <v>0.0</v>
      </c>
      <c r="GV193" s="91">
        <v>0.0</v>
      </c>
      <c r="GW193" s="55">
        <v>0.0</v>
      </c>
      <c r="GX193" s="55">
        <v>0.0</v>
      </c>
      <c r="GY193" s="55">
        <v>0.0</v>
      </c>
      <c r="GZ193" s="55">
        <v>0.0</v>
      </c>
    </row>
    <row r="194" ht="15.75" customHeight="1">
      <c r="A194" s="68">
        <v>2000.0</v>
      </c>
      <c r="B194" s="69" t="s">
        <v>257</v>
      </c>
      <c r="C194" s="92">
        <v>0.0</v>
      </c>
      <c r="D194" s="92">
        <v>0.0</v>
      </c>
      <c r="E194" s="92">
        <v>0.0</v>
      </c>
      <c r="F194" s="92">
        <v>0.0</v>
      </c>
      <c r="G194" s="92">
        <v>0.0</v>
      </c>
      <c r="H194" s="92">
        <v>0.0</v>
      </c>
      <c r="I194" s="92">
        <v>0.0</v>
      </c>
      <c r="J194" s="92">
        <v>0.0</v>
      </c>
      <c r="K194" s="92">
        <v>0.0</v>
      </c>
      <c r="L194" s="92">
        <v>0.0</v>
      </c>
      <c r="M194" s="92">
        <v>0.0</v>
      </c>
      <c r="N194" s="92">
        <v>0.0</v>
      </c>
      <c r="O194" s="92">
        <v>0.0</v>
      </c>
      <c r="P194" s="92">
        <v>0.0</v>
      </c>
      <c r="Q194" s="92">
        <v>0.0</v>
      </c>
      <c r="R194" s="92">
        <v>0.0</v>
      </c>
      <c r="S194" s="92">
        <v>0.0</v>
      </c>
      <c r="T194" s="92">
        <v>0.0</v>
      </c>
      <c r="U194" s="92">
        <v>0.0</v>
      </c>
      <c r="V194" s="92">
        <v>0.0</v>
      </c>
      <c r="W194" s="92">
        <v>0.0</v>
      </c>
      <c r="X194" s="92">
        <v>0.0</v>
      </c>
      <c r="Y194" s="92">
        <v>0.0</v>
      </c>
      <c r="Z194" s="92">
        <v>0.0</v>
      </c>
      <c r="AA194" s="92">
        <v>0.0</v>
      </c>
      <c r="AB194" s="92">
        <v>0.0</v>
      </c>
      <c r="AC194" s="92">
        <v>0.0</v>
      </c>
      <c r="AD194" s="92">
        <v>0.0</v>
      </c>
      <c r="AE194" s="92">
        <v>0.0</v>
      </c>
      <c r="AF194" s="92">
        <v>0.0</v>
      </c>
      <c r="AG194" s="92">
        <v>0.0</v>
      </c>
      <c r="AH194" s="92">
        <v>0.0</v>
      </c>
      <c r="AI194" s="92">
        <v>0.0</v>
      </c>
      <c r="AJ194" s="92">
        <v>0.0</v>
      </c>
      <c r="AK194" s="92">
        <v>0.0</v>
      </c>
      <c r="AL194" s="92">
        <v>0.0</v>
      </c>
      <c r="AM194" s="92">
        <v>0.0</v>
      </c>
      <c r="AN194" s="92">
        <v>0.0</v>
      </c>
      <c r="AO194" s="92">
        <v>0.0</v>
      </c>
      <c r="AP194" s="92">
        <v>0.0</v>
      </c>
      <c r="AQ194" s="92">
        <v>0.0</v>
      </c>
      <c r="AR194" s="92">
        <v>0.0</v>
      </c>
      <c r="AS194" s="92">
        <v>0.0</v>
      </c>
      <c r="AT194" s="92">
        <v>0.0</v>
      </c>
      <c r="AU194" s="92">
        <v>0.0</v>
      </c>
      <c r="AV194" s="92">
        <v>0.0</v>
      </c>
      <c r="AW194" s="92">
        <v>0.0</v>
      </c>
      <c r="AX194" s="92">
        <v>0.0</v>
      </c>
      <c r="AY194" s="92">
        <v>0.0</v>
      </c>
      <c r="AZ194" s="92">
        <v>0.0</v>
      </c>
      <c r="BA194" s="92">
        <v>0.0</v>
      </c>
      <c r="BB194" s="92">
        <v>0.0</v>
      </c>
      <c r="BC194" s="92">
        <v>0.0</v>
      </c>
      <c r="BD194" s="92">
        <v>0.0</v>
      </c>
      <c r="BE194" s="92">
        <v>0.0</v>
      </c>
      <c r="BF194" s="92">
        <v>0.0</v>
      </c>
      <c r="BG194" s="92">
        <v>0.0</v>
      </c>
      <c r="BH194" s="92">
        <v>0.0</v>
      </c>
      <c r="BI194" s="92">
        <v>0.0</v>
      </c>
      <c r="BJ194" s="92">
        <v>0.0</v>
      </c>
      <c r="BK194" s="92">
        <v>0.0</v>
      </c>
      <c r="BL194" s="92">
        <v>0.0</v>
      </c>
      <c r="BM194" s="92">
        <v>0.0</v>
      </c>
      <c r="BN194" s="92">
        <v>0.0</v>
      </c>
      <c r="BO194" s="92">
        <v>0.0</v>
      </c>
      <c r="BP194" s="92">
        <v>0.0</v>
      </c>
      <c r="BQ194" s="92">
        <v>0.0</v>
      </c>
      <c r="BR194" s="92">
        <v>0.0</v>
      </c>
      <c r="BS194" s="92">
        <v>0.0</v>
      </c>
      <c r="BT194" s="92">
        <v>0.0</v>
      </c>
      <c r="BU194" s="92">
        <v>0.0</v>
      </c>
      <c r="BV194" s="92">
        <v>0.0</v>
      </c>
      <c r="BW194" s="92">
        <v>0.0</v>
      </c>
      <c r="BX194" s="92">
        <v>0.0</v>
      </c>
      <c r="BY194" s="92">
        <v>0.0</v>
      </c>
      <c r="BZ194" s="92">
        <v>0.0</v>
      </c>
      <c r="CA194" s="92">
        <v>0.0</v>
      </c>
      <c r="CB194" s="92">
        <v>0.0</v>
      </c>
      <c r="CC194" s="92">
        <v>0.0</v>
      </c>
      <c r="CD194" s="92">
        <v>0.0</v>
      </c>
      <c r="CE194" s="92">
        <v>0.0</v>
      </c>
      <c r="CF194" s="92">
        <v>0.0</v>
      </c>
      <c r="CG194" s="92">
        <v>0.0</v>
      </c>
      <c r="CH194" s="92">
        <v>0.0</v>
      </c>
      <c r="CI194" s="92">
        <v>0.0</v>
      </c>
      <c r="CJ194" s="92">
        <v>0.0</v>
      </c>
      <c r="CK194" s="92">
        <v>0.0</v>
      </c>
      <c r="CL194" s="92">
        <v>0.0</v>
      </c>
      <c r="CM194" s="92">
        <v>0.0</v>
      </c>
      <c r="CN194" s="92">
        <v>0.0</v>
      </c>
      <c r="CO194" s="92">
        <v>0.0</v>
      </c>
      <c r="CP194" s="92">
        <v>0.0</v>
      </c>
      <c r="CQ194" s="92">
        <v>0.0</v>
      </c>
      <c r="CR194" s="92">
        <v>0.0</v>
      </c>
      <c r="CS194" s="92">
        <v>0.0</v>
      </c>
      <c r="CT194" s="92">
        <v>0.0</v>
      </c>
      <c r="CU194" s="92">
        <v>0.0</v>
      </c>
      <c r="CV194" s="92">
        <v>0.0</v>
      </c>
      <c r="CW194" s="92">
        <v>0.0</v>
      </c>
      <c r="CX194" s="92">
        <v>0.0</v>
      </c>
      <c r="CY194" s="92">
        <v>0.0</v>
      </c>
      <c r="CZ194" s="92">
        <v>0.0</v>
      </c>
      <c r="DA194" s="92">
        <v>0.0</v>
      </c>
      <c r="DB194" s="92">
        <v>0.0</v>
      </c>
      <c r="DC194" s="92">
        <v>0.0</v>
      </c>
      <c r="DD194" s="92">
        <v>0.0</v>
      </c>
      <c r="DE194" s="92">
        <v>0.0</v>
      </c>
      <c r="DF194" s="92">
        <v>0.0</v>
      </c>
      <c r="DG194" s="92">
        <v>0.0</v>
      </c>
      <c r="DH194" s="92">
        <v>0.0</v>
      </c>
      <c r="DI194" s="92">
        <v>0.0</v>
      </c>
      <c r="DJ194" s="92">
        <v>0.0</v>
      </c>
      <c r="DK194" s="92">
        <v>0.0</v>
      </c>
      <c r="DL194" s="92">
        <v>0.0</v>
      </c>
      <c r="DM194" s="92">
        <v>0.0</v>
      </c>
      <c r="DN194" s="92">
        <v>0.0</v>
      </c>
      <c r="DO194" s="92">
        <v>0.0</v>
      </c>
      <c r="DP194" s="92">
        <v>0.0</v>
      </c>
      <c r="DQ194" s="92">
        <v>0.0</v>
      </c>
      <c r="DR194" s="92">
        <v>0.0</v>
      </c>
      <c r="DS194" s="92">
        <v>0.0</v>
      </c>
      <c r="DT194" s="92">
        <v>0.0</v>
      </c>
      <c r="DU194" s="92">
        <v>0.0</v>
      </c>
      <c r="DV194" s="92">
        <v>0.0</v>
      </c>
      <c r="DW194" s="92">
        <v>0.0</v>
      </c>
      <c r="DX194" s="92">
        <v>0.0</v>
      </c>
      <c r="DY194" s="92">
        <v>0.0</v>
      </c>
      <c r="DZ194" s="92">
        <v>0.0</v>
      </c>
      <c r="EA194" s="92">
        <v>0.0</v>
      </c>
      <c r="EB194" s="92">
        <v>0.0</v>
      </c>
      <c r="EC194" s="92">
        <v>0.0</v>
      </c>
      <c r="ED194" s="92">
        <v>0.0</v>
      </c>
      <c r="EE194" s="92">
        <v>0.0</v>
      </c>
      <c r="EF194" s="92">
        <v>0.0</v>
      </c>
      <c r="EG194" s="92">
        <v>0.0</v>
      </c>
      <c r="EH194" s="92">
        <v>0.0</v>
      </c>
      <c r="EI194" s="92">
        <v>0.0</v>
      </c>
      <c r="EJ194" s="92">
        <v>0.0</v>
      </c>
      <c r="EK194" s="92">
        <v>0.0</v>
      </c>
      <c r="EL194" s="92">
        <v>0.0</v>
      </c>
      <c r="EM194" s="92">
        <v>0.0</v>
      </c>
      <c r="EN194" s="92">
        <v>0.0</v>
      </c>
      <c r="EO194" s="92">
        <v>0.0</v>
      </c>
      <c r="EP194" s="92">
        <v>0.0</v>
      </c>
      <c r="EQ194" s="92">
        <v>0.0</v>
      </c>
      <c r="ER194" s="92">
        <v>0.0</v>
      </c>
      <c r="ES194" s="92">
        <v>0.0</v>
      </c>
      <c r="ET194" s="92">
        <v>0.0</v>
      </c>
      <c r="EU194" s="92">
        <v>0.0</v>
      </c>
      <c r="EV194" s="92">
        <v>0.0</v>
      </c>
      <c r="EW194" s="92">
        <v>0.0</v>
      </c>
      <c r="EX194" s="92">
        <v>0.0</v>
      </c>
      <c r="EY194" s="92">
        <v>0.0</v>
      </c>
      <c r="EZ194" s="92">
        <v>0.0</v>
      </c>
      <c r="FA194" s="92">
        <v>0.0</v>
      </c>
      <c r="FB194" s="92">
        <v>0.0</v>
      </c>
      <c r="FC194" s="92">
        <v>0.0</v>
      </c>
      <c r="FD194" s="92">
        <v>0.0</v>
      </c>
      <c r="FE194" s="92">
        <v>0.0</v>
      </c>
      <c r="FF194" s="92">
        <v>0.0</v>
      </c>
      <c r="FG194" s="92">
        <v>0.0</v>
      </c>
      <c r="FH194" s="92">
        <v>0.0</v>
      </c>
      <c r="FI194" s="92">
        <v>0.0</v>
      </c>
      <c r="FJ194" s="92">
        <v>0.0</v>
      </c>
      <c r="FK194" s="92">
        <v>0.0</v>
      </c>
      <c r="FL194" s="92">
        <v>0.0</v>
      </c>
      <c r="FM194" s="92">
        <v>0.0</v>
      </c>
      <c r="FN194" s="92">
        <v>0.0</v>
      </c>
      <c r="FO194" s="92">
        <v>0.0</v>
      </c>
      <c r="FP194" s="92">
        <v>0.0</v>
      </c>
      <c r="FQ194" s="92">
        <v>0.0</v>
      </c>
      <c r="FR194" s="92">
        <v>0.0</v>
      </c>
      <c r="FS194" s="92">
        <v>0.0</v>
      </c>
      <c r="FT194" s="92">
        <v>0.0</v>
      </c>
      <c r="FU194" s="92">
        <v>0.0</v>
      </c>
      <c r="FV194" s="92">
        <v>0.0</v>
      </c>
      <c r="FW194" s="92">
        <v>0.0</v>
      </c>
      <c r="FX194" s="92">
        <v>0.0</v>
      </c>
      <c r="FY194" s="92">
        <v>0.0</v>
      </c>
      <c r="FZ194" s="92">
        <v>0.0</v>
      </c>
      <c r="GA194" s="92">
        <v>0.0</v>
      </c>
      <c r="GB194" s="92">
        <v>0.0</v>
      </c>
      <c r="GC194" s="92">
        <v>0.0</v>
      </c>
      <c r="GD194" s="92">
        <v>0.0</v>
      </c>
      <c r="GE194" s="92">
        <v>0.0</v>
      </c>
      <c r="GF194" s="71">
        <v>0.0</v>
      </c>
      <c r="GG194" s="71">
        <v>0.0</v>
      </c>
      <c r="GH194" s="71">
        <v>0.0</v>
      </c>
      <c r="GI194" s="71">
        <v>0.0</v>
      </c>
      <c r="GJ194" s="71">
        <v>0.0</v>
      </c>
      <c r="GK194" s="71">
        <v>0.0</v>
      </c>
      <c r="GL194" s="71">
        <v>0.0</v>
      </c>
      <c r="GM194" s="71">
        <v>0.0</v>
      </c>
      <c r="GN194" s="71">
        <v>0.0</v>
      </c>
      <c r="GO194" s="71">
        <v>0.0</v>
      </c>
      <c r="GP194" s="71">
        <v>0.0</v>
      </c>
      <c r="GQ194" s="71">
        <v>0.0</v>
      </c>
      <c r="GR194" s="71">
        <v>0.0</v>
      </c>
      <c r="GS194" s="71">
        <v>0.0</v>
      </c>
      <c r="GT194" s="93">
        <v>0.0</v>
      </c>
      <c r="GU194" s="85">
        <v>0.0</v>
      </c>
      <c r="GV194" s="94">
        <v>0.0</v>
      </c>
      <c r="GW194" s="71">
        <v>0.0</v>
      </c>
      <c r="GX194" s="71">
        <v>0.0</v>
      </c>
      <c r="GY194" s="71">
        <v>0.0</v>
      </c>
      <c r="GZ194" s="71">
        <v>0.0</v>
      </c>
    </row>
    <row r="195" ht="15.75" customHeight="1">
      <c r="A195" s="52">
        <v>2010.0</v>
      </c>
      <c r="B195" s="53" t="s">
        <v>258</v>
      </c>
      <c r="C195" s="54">
        <v>9.7638664E7</v>
      </c>
      <c r="D195" s="54">
        <v>2.2528109E7</v>
      </c>
      <c r="E195" s="54">
        <v>2028894.0</v>
      </c>
      <c r="F195" s="54">
        <v>2.1507545E7</v>
      </c>
      <c r="G195" s="54">
        <v>627723.0</v>
      </c>
      <c r="H195" s="54">
        <v>1704462.0</v>
      </c>
      <c r="I195" s="54">
        <v>1182994.0</v>
      </c>
      <c r="J195" s="54">
        <v>2553317.0</v>
      </c>
      <c r="K195" s="54">
        <v>83996.0</v>
      </c>
      <c r="L195" s="54">
        <v>5.2568032E7</v>
      </c>
      <c r="M195" s="54">
        <v>1825419.0</v>
      </c>
      <c r="N195" s="54">
        <v>4378250.0</v>
      </c>
      <c r="O195" s="54">
        <v>5658858.0</v>
      </c>
      <c r="P195" s="54">
        <v>130274.0</v>
      </c>
      <c r="Q195" s="54">
        <v>1.6343978E7</v>
      </c>
      <c r="R195" s="54">
        <v>4.292652E7</v>
      </c>
      <c r="S195" s="54">
        <v>2706879.0</v>
      </c>
      <c r="T195" s="54">
        <v>2.869692E7</v>
      </c>
      <c r="U195" s="54">
        <v>1.1517615E7</v>
      </c>
      <c r="V195" s="54">
        <v>8.9753183E7</v>
      </c>
      <c r="W195" s="54">
        <v>1.5931151E7</v>
      </c>
      <c r="X195" s="54">
        <v>2539787.0</v>
      </c>
      <c r="Y195" s="54">
        <v>2.0588436E7</v>
      </c>
      <c r="Z195" s="54">
        <v>9985531.0</v>
      </c>
      <c r="AA195" s="54">
        <v>931185.0</v>
      </c>
      <c r="AB195" s="54">
        <v>3.2740142E7</v>
      </c>
      <c r="AC195" s="54">
        <v>5506064.0</v>
      </c>
      <c r="AD195" s="54">
        <v>6.0752161E7</v>
      </c>
      <c r="AE195" s="54">
        <v>4445618.0</v>
      </c>
      <c r="AF195" s="54">
        <v>9502497.0</v>
      </c>
      <c r="AG195" s="54">
        <v>3.6782E7</v>
      </c>
      <c r="AH195" s="54">
        <v>1.7759907E7</v>
      </c>
      <c r="AI195" s="54">
        <v>8.5616411E7</v>
      </c>
      <c r="AJ195" s="54">
        <v>1.8606176E7</v>
      </c>
      <c r="AK195" s="54">
        <v>2568396.0</v>
      </c>
      <c r="AL195" s="54">
        <v>2.8237943E7</v>
      </c>
      <c r="AM195" s="54">
        <v>4.6899455E7</v>
      </c>
      <c r="AN195" s="54">
        <v>3.1272162E7</v>
      </c>
      <c r="AO195" s="54">
        <v>2.4915689E7</v>
      </c>
      <c r="AP195" s="54">
        <v>603392.0</v>
      </c>
      <c r="AQ195" s="54">
        <v>1940651.0</v>
      </c>
      <c r="AR195" s="54">
        <v>1151942.0</v>
      </c>
      <c r="AS195" s="54">
        <v>5607999.0</v>
      </c>
      <c r="AT195" s="54">
        <v>606633.0</v>
      </c>
      <c r="AU195" s="54">
        <v>787394.0</v>
      </c>
      <c r="AV195" s="54">
        <v>1.6339433E7</v>
      </c>
      <c r="AW195" s="54">
        <v>331546.0</v>
      </c>
      <c r="AX195" s="54">
        <v>6.7626338E7</v>
      </c>
      <c r="AY195" s="54">
        <v>8027677.0</v>
      </c>
      <c r="AZ195" s="54">
        <v>697446.0</v>
      </c>
      <c r="BA195" s="54">
        <v>9697926.0</v>
      </c>
      <c r="BB195" s="54">
        <v>8094910.0</v>
      </c>
      <c r="BC195" s="54">
        <v>2.5811848E7</v>
      </c>
      <c r="BD195" s="54">
        <v>6647761.0</v>
      </c>
      <c r="BE195" s="54">
        <v>3906450.0</v>
      </c>
      <c r="BF195" s="54">
        <v>7070402.0</v>
      </c>
      <c r="BG195" s="54">
        <v>2536297.0</v>
      </c>
      <c r="BH195" s="54">
        <v>3.6362969E7</v>
      </c>
      <c r="BI195" s="54">
        <v>1688220.0</v>
      </c>
      <c r="BJ195" s="54">
        <v>1.6106872E7</v>
      </c>
      <c r="BK195" s="54">
        <v>3650684.0</v>
      </c>
      <c r="BL195" s="54">
        <v>3459371.0</v>
      </c>
      <c r="BM195" s="54">
        <v>1.9529911E7</v>
      </c>
      <c r="BN195" s="54">
        <v>6679875.0</v>
      </c>
      <c r="BO195" s="54">
        <v>7354505.0</v>
      </c>
      <c r="BP195" s="54">
        <v>3029388.0</v>
      </c>
      <c r="BQ195" s="54">
        <v>4076041.0</v>
      </c>
      <c r="BR195" s="54">
        <v>3804857.0</v>
      </c>
      <c r="BS195" s="54">
        <v>5717488.0</v>
      </c>
      <c r="BT195" s="54">
        <v>8574212.0</v>
      </c>
      <c r="BU195" s="54">
        <v>1.9571505E7</v>
      </c>
      <c r="BV195" s="54">
        <v>4230731.0</v>
      </c>
      <c r="BW195" s="54">
        <v>1141998.0</v>
      </c>
      <c r="BX195" s="54">
        <v>9349932.0</v>
      </c>
      <c r="BY195" s="54">
        <v>3.5482301E7</v>
      </c>
      <c r="BZ195" s="54">
        <v>1229853.0</v>
      </c>
      <c r="CA195" s="54">
        <v>1.4531869E7</v>
      </c>
      <c r="CB195" s="54">
        <v>1.5662924E7</v>
      </c>
      <c r="CC195" s="54">
        <v>2933864.0</v>
      </c>
      <c r="CD195" s="54">
        <v>3429676.0</v>
      </c>
      <c r="CE195" s="54">
        <v>3800260.0</v>
      </c>
      <c r="CF195" s="54">
        <v>3.0281807E7</v>
      </c>
      <c r="CG195" s="54">
        <v>4639352.0</v>
      </c>
      <c r="CH195" s="54">
        <v>4728868.0</v>
      </c>
      <c r="CI195" s="54">
        <v>2.7223776E7</v>
      </c>
      <c r="CJ195" s="54">
        <v>6068713.0</v>
      </c>
      <c r="CK195" s="54">
        <v>1.3196418E7</v>
      </c>
      <c r="CL195" s="54">
        <v>6916358.0</v>
      </c>
      <c r="CM195" s="54">
        <v>2868176.0</v>
      </c>
      <c r="CN195" s="54">
        <v>7917060.0</v>
      </c>
      <c r="CO195" s="54">
        <v>1.233138E7</v>
      </c>
      <c r="CP195" s="54">
        <v>1.3640066E7</v>
      </c>
      <c r="CQ195" s="54">
        <v>6248374.0</v>
      </c>
      <c r="CR195" s="54">
        <v>1.7663077E7</v>
      </c>
      <c r="CS195" s="54">
        <v>3.4136492E7</v>
      </c>
      <c r="CT195" s="54">
        <v>2.5982587E7</v>
      </c>
      <c r="CU195" s="54">
        <v>6549569.0</v>
      </c>
      <c r="CV195" s="54">
        <v>8375705.0</v>
      </c>
      <c r="CW195" s="54">
        <v>1394547.0</v>
      </c>
      <c r="CX195" s="54">
        <v>6069064.0</v>
      </c>
      <c r="CY195" s="54">
        <v>402524.0</v>
      </c>
      <c r="CZ195" s="54">
        <v>6585318.0</v>
      </c>
      <c r="DA195" s="54">
        <v>6778651.0</v>
      </c>
      <c r="DB195" s="54">
        <v>5640938.0</v>
      </c>
      <c r="DC195" s="54">
        <v>1.4790535E7</v>
      </c>
      <c r="DD195" s="54">
        <v>2366700.0</v>
      </c>
      <c r="DE195" s="54">
        <v>4716449.0</v>
      </c>
      <c r="DF195" s="54">
        <v>6817854.0</v>
      </c>
      <c r="DG195" s="54">
        <v>1700558.0</v>
      </c>
      <c r="DH195" s="54">
        <v>1.8248684E7</v>
      </c>
      <c r="DI195" s="54">
        <v>8750265.0</v>
      </c>
      <c r="DJ195" s="54">
        <v>9848724.0</v>
      </c>
      <c r="DK195" s="54">
        <v>1.4815735E7</v>
      </c>
      <c r="DL195" s="54">
        <v>1.9476676E7</v>
      </c>
      <c r="DM195" s="54">
        <v>1.13812E7</v>
      </c>
      <c r="DN195" s="54">
        <v>1243051.0</v>
      </c>
      <c r="DO195" s="54">
        <v>1.2275152E7</v>
      </c>
      <c r="DP195" s="54">
        <v>1071296.0</v>
      </c>
      <c r="DQ195" s="54">
        <v>6461925.0</v>
      </c>
      <c r="DR195" s="54">
        <v>1.5351641E7</v>
      </c>
      <c r="DS195" s="54">
        <v>3.0931562E7</v>
      </c>
      <c r="DT195" s="54">
        <v>4283361.0</v>
      </c>
      <c r="DU195" s="54">
        <v>3614215.0</v>
      </c>
      <c r="DV195" s="54">
        <v>1.3679656E7</v>
      </c>
      <c r="DW195" s="54">
        <v>9939089.0</v>
      </c>
      <c r="DX195" s="54">
        <v>4760032.0</v>
      </c>
      <c r="DY195" s="54">
        <v>1.1222594E7</v>
      </c>
      <c r="DZ195" s="54">
        <v>1.5652062E7</v>
      </c>
      <c r="EA195" s="54">
        <v>1093549.0</v>
      </c>
      <c r="EB195" s="54">
        <v>1.3590066E7</v>
      </c>
      <c r="EC195" s="54">
        <v>8.7240369E7</v>
      </c>
      <c r="ED195" s="54">
        <v>9532233.0</v>
      </c>
      <c r="EE195" s="54">
        <v>772728.0</v>
      </c>
      <c r="EF195" s="54">
        <v>1761170.0</v>
      </c>
      <c r="EG195" s="54">
        <v>6952285.0</v>
      </c>
      <c r="EH195" s="54">
        <v>3.3961576E7</v>
      </c>
      <c r="EI195" s="54">
        <v>1.9018341E7</v>
      </c>
      <c r="EJ195" s="54">
        <v>6140408.0</v>
      </c>
      <c r="EK195" s="54">
        <v>1895496.0</v>
      </c>
      <c r="EL195" s="54">
        <v>2697564.0</v>
      </c>
      <c r="EM195" s="54">
        <v>2251478.0</v>
      </c>
      <c r="EN195" s="54">
        <v>4055560.0</v>
      </c>
      <c r="EO195" s="54">
        <v>4038130.0</v>
      </c>
      <c r="EP195" s="54">
        <v>3715944.0</v>
      </c>
      <c r="EQ195" s="54">
        <v>3.0058878E7</v>
      </c>
      <c r="ER195" s="54">
        <v>3516985.0</v>
      </c>
      <c r="ES195" s="54">
        <v>7236460.0</v>
      </c>
      <c r="ET195" s="54">
        <v>2736857.0</v>
      </c>
      <c r="EU195" s="54">
        <v>4.27367547E8</v>
      </c>
      <c r="EV195" s="54">
        <v>1.3701045E7</v>
      </c>
      <c r="EW195" s="54">
        <v>6560731.0</v>
      </c>
      <c r="EX195" s="54">
        <v>3.1169928E7</v>
      </c>
      <c r="EY195" s="54">
        <v>1.57275705E8</v>
      </c>
      <c r="EZ195" s="54">
        <v>8.6534514E7</v>
      </c>
      <c r="FA195" s="54">
        <v>7.8857009E7</v>
      </c>
      <c r="FB195" s="54">
        <v>7.27346858E8</v>
      </c>
      <c r="FC195" s="54">
        <v>5350854.0</v>
      </c>
      <c r="FD195" s="54">
        <v>1.31007599E8</v>
      </c>
      <c r="FE195" s="54">
        <v>1.5042379E7</v>
      </c>
      <c r="FF195" s="54">
        <v>7013244.0</v>
      </c>
      <c r="FG195" s="54">
        <v>4.1691538E7</v>
      </c>
      <c r="FH195" s="54">
        <v>4.2303854E7</v>
      </c>
      <c r="FI195" s="54">
        <v>1.2052781E7</v>
      </c>
      <c r="FJ195" s="54">
        <v>3.3221549E7</v>
      </c>
      <c r="FK195" s="54">
        <v>2.2440208E8</v>
      </c>
      <c r="FL195" s="54">
        <v>1.8680032E7</v>
      </c>
      <c r="FM195" s="54">
        <v>4.2007602E7</v>
      </c>
      <c r="FN195" s="54">
        <v>1.04298275E8</v>
      </c>
      <c r="FO195" s="54">
        <v>3.368893E7</v>
      </c>
      <c r="FP195" s="54">
        <v>1.95528197E8</v>
      </c>
      <c r="FQ195" s="54">
        <v>3.6631253E7</v>
      </c>
      <c r="FR195" s="54">
        <v>923306.0</v>
      </c>
      <c r="FS195" s="54">
        <v>2.3911792E7</v>
      </c>
      <c r="FT195" s="54">
        <v>6.7220608E7</v>
      </c>
      <c r="FU195" s="54">
        <v>6.8982097E7</v>
      </c>
      <c r="FV195" s="54">
        <v>1.16722507E8</v>
      </c>
      <c r="FW195" s="54">
        <v>3.34181165E8</v>
      </c>
      <c r="FX195" s="54">
        <v>2.62518545E8</v>
      </c>
      <c r="FY195" s="54">
        <v>8.0894553E7</v>
      </c>
      <c r="FZ195" s="54">
        <v>1357430.0</v>
      </c>
      <c r="GA195" s="54">
        <v>1.6299987E8</v>
      </c>
      <c r="GB195" s="54">
        <v>7.2408919E7</v>
      </c>
      <c r="GC195" s="54">
        <v>1.4831757E7</v>
      </c>
      <c r="GD195" s="54">
        <v>9252893.0</v>
      </c>
      <c r="GE195" s="54">
        <v>1.20731971E8</v>
      </c>
      <c r="GF195" s="55">
        <v>5.810802524E9</v>
      </c>
      <c r="GG195" s="95"/>
      <c r="GH195" s="96"/>
      <c r="GI195" s="96"/>
      <c r="GJ195" s="96"/>
      <c r="GK195" s="96"/>
      <c r="GL195" s="96"/>
      <c r="GM195" s="96"/>
      <c r="GN195" s="95"/>
      <c r="GO195" s="95"/>
      <c r="GP195" s="96"/>
      <c r="GQ195" s="96"/>
      <c r="GR195" s="96"/>
      <c r="GS195" s="96"/>
      <c r="GT195" s="96"/>
      <c r="GU195" s="96"/>
      <c r="GV195" s="96"/>
      <c r="GW195" s="96"/>
      <c r="GX195" s="96"/>
      <c r="GY195" s="96"/>
      <c r="GZ195" s="96"/>
    </row>
    <row r="196" ht="15.75" customHeight="1">
      <c r="A196" s="60">
        <v>2020.0</v>
      </c>
      <c r="B196" s="61" t="s">
        <v>259</v>
      </c>
      <c r="C196" s="62">
        <v>1.34140442E8</v>
      </c>
      <c r="D196" s="62">
        <v>4.4340117E7</v>
      </c>
      <c r="E196" s="62">
        <v>6081429.0</v>
      </c>
      <c r="F196" s="62">
        <v>2.4131151E7</v>
      </c>
      <c r="G196" s="62">
        <v>2321432.0</v>
      </c>
      <c r="H196" s="62">
        <v>4258682.0</v>
      </c>
      <c r="I196" s="62">
        <v>2197483.0</v>
      </c>
      <c r="J196" s="62">
        <v>7883129.0</v>
      </c>
      <c r="K196" s="62">
        <v>272736.0</v>
      </c>
      <c r="L196" s="62">
        <v>9.601667E7</v>
      </c>
      <c r="M196" s="62">
        <v>2621272.0</v>
      </c>
      <c r="N196" s="62">
        <v>1.0551362E7</v>
      </c>
      <c r="O196" s="62">
        <v>1.0131809E7</v>
      </c>
      <c r="P196" s="62">
        <v>344178.0</v>
      </c>
      <c r="Q196" s="62">
        <v>2.6795398E7</v>
      </c>
      <c r="R196" s="62">
        <v>1.07912049E8</v>
      </c>
      <c r="S196" s="62">
        <v>4972405.0</v>
      </c>
      <c r="T196" s="62">
        <v>3.4432804E7</v>
      </c>
      <c r="U196" s="62">
        <v>2.9669912E7</v>
      </c>
      <c r="V196" s="62">
        <v>1.92663192E8</v>
      </c>
      <c r="W196" s="62">
        <v>2.6477273E7</v>
      </c>
      <c r="X196" s="62">
        <v>2808426.0</v>
      </c>
      <c r="Y196" s="62">
        <v>2.4136841E7</v>
      </c>
      <c r="Z196" s="62">
        <v>1.4269971E7</v>
      </c>
      <c r="AA196" s="62">
        <v>2285703.0</v>
      </c>
      <c r="AB196" s="62">
        <v>3.9512644E7</v>
      </c>
      <c r="AC196" s="62">
        <v>6515719.0</v>
      </c>
      <c r="AD196" s="62">
        <v>7.1350508E7</v>
      </c>
      <c r="AE196" s="62">
        <v>5788548.0</v>
      </c>
      <c r="AF196" s="62">
        <v>2.0689855E7</v>
      </c>
      <c r="AG196" s="62">
        <v>5.6440212E7</v>
      </c>
      <c r="AH196" s="62">
        <v>2.8868631E7</v>
      </c>
      <c r="AI196" s="62">
        <v>1.70292151E8</v>
      </c>
      <c r="AJ196" s="62">
        <v>4.2704552E7</v>
      </c>
      <c r="AK196" s="62">
        <v>8530238.0</v>
      </c>
      <c r="AL196" s="62">
        <v>2.0581574E7</v>
      </c>
      <c r="AM196" s="62">
        <v>2.08431056E8</v>
      </c>
      <c r="AN196" s="62">
        <v>1.35791711E8</v>
      </c>
      <c r="AO196" s="62">
        <v>1.24031054E8</v>
      </c>
      <c r="AP196" s="62">
        <v>1388989.0</v>
      </c>
      <c r="AQ196" s="62">
        <v>8883242.0</v>
      </c>
      <c r="AR196" s="62">
        <v>5567919.0</v>
      </c>
      <c r="AS196" s="62">
        <v>3.8448423E7</v>
      </c>
      <c r="AT196" s="62">
        <v>3237674.0</v>
      </c>
      <c r="AU196" s="62">
        <v>3618769.0</v>
      </c>
      <c r="AV196" s="62">
        <v>4.011339E7</v>
      </c>
      <c r="AW196" s="62">
        <v>843803.0</v>
      </c>
      <c r="AX196" s="62">
        <v>1.15963581E8</v>
      </c>
      <c r="AY196" s="62">
        <v>1.3801041E7</v>
      </c>
      <c r="AZ196" s="62">
        <v>1085430.0</v>
      </c>
      <c r="BA196" s="62">
        <v>1.9982515E7</v>
      </c>
      <c r="BB196" s="62">
        <v>2.8699759E7</v>
      </c>
      <c r="BC196" s="62">
        <v>6.1020244E7</v>
      </c>
      <c r="BD196" s="62">
        <v>1.5477063E7</v>
      </c>
      <c r="BE196" s="62">
        <v>1.512036E7</v>
      </c>
      <c r="BF196" s="62">
        <v>2.7202004E7</v>
      </c>
      <c r="BG196" s="62">
        <v>1.0115315E7</v>
      </c>
      <c r="BH196" s="62">
        <v>1.73815919E8</v>
      </c>
      <c r="BI196" s="62">
        <v>8236484.0</v>
      </c>
      <c r="BJ196" s="62">
        <v>3.3824701E7</v>
      </c>
      <c r="BK196" s="62">
        <v>8086222.0</v>
      </c>
      <c r="BL196" s="62">
        <v>7737026.0</v>
      </c>
      <c r="BM196" s="62">
        <v>1.03809973E8</v>
      </c>
      <c r="BN196" s="62">
        <v>2.8564793E7</v>
      </c>
      <c r="BO196" s="62">
        <v>2.6287814E7</v>
      </c>
      <c r="BP196" s="62">
        <v>9594137.0</v>
      </c>
      <c r="BQ196" s="62">
        <v>1.4996364E7</v>
      </c>
      <c r="BR196" s="62">
        <v>1.3685766E7</v>
      </c>
      <c r="BS196" s="62">
        <v>5047178.0</v>
      </c>
      <c r="BT196" s="62">
        <v>2.9011503E7</v>
      </c>
      <c r="BU196" s="62">
        <v>6.6388787E7</v>
      </c>
      <c r="BV196" s="62">
        <v>2.4044493E7</v>
      </c>
      <c r="BW196" s="62">
        <v>4256161.0</v>
      </c>
      <c r="BX196" s="62">
        <v>3.4358221E7</v>
      </c>
      <c r="BY196" s="62">
        <v>9.2783947E7</v>
      </c>
      <c r="BZ196" s="62">
        <v>3717632.0</v>
      </c>
      <c r="CA196" s="62">
        <v>1.9484958E7</v>
      </c>
      <c r="CB196" s="62">
        <v>2.0395289E7</v>
      </c>
      <c r="CC196" s="62">
        <v>3740003.0</v>
      </c>
      <c r="CD196" s="62">
        <v>6450047.0</v>
      </c>
      <c r="CE196" s="62">
        <v>7526562.0</v>
      </c>
      <c r="CF196" s="62">
        <v>4.7338012E7</v>
      </c>
      <c r="CG196" s="62">
        <v>3219106.0</v>
      </c>
      <c r="CH196" s="62">
        <v>3648148.0</v>
      </c>
      <c r="CI196" s="62">
        <v>1.902168E7</v>
      </c>
      <c r="CJ196" s="62">
        <v>1.0510956E7</v>
      </c>
      <c r="CK196" s="62">
        <v>2.2377489E7</v>
      </c>
      <c r="CL196" s="62">
        <v>1.1597807E7</v>
      </c>
      <c r="CM196" s="62">
        <v>4456006.0</v>
      </c>
      <c r="CN196" s="62">
        <v>9596647.0</v>
      </c>
      <c r="CO196" s="62">
        <v>1.6918704E7</v>
      </c>
      <c r="CP196" s="62">
        <v>1.8740509E7</v>
      </c>
      <c r="CQ196" s="62">
        <v>8100723.0</v>
      </c>
      <c r="CR196" s="62">
        <v>1.7866366E7</v>
      </c>
      <c r="CS196" s="62">
        <v>2.45298889E8</v>
      </c>
      <c r="CT196" s="62">
        <v>8.0694213E7</v>
      </c>
      <c r="CU196" s="62">
        <v>2.1052401E7</v>
      </c>
      <c r="CV196" s="62">
        <v>2.6633303E7</v>
      </c>
      <c r="CW196" s="62">
        <v>4374688.0</v>
      </c>
      <c r="CX196" s="62">
        <v>1.1563911E7</v>
      </c>
      <c r="CY196" s="62">
        <v>766964.0</v>
      </c>
      <c r="CZ196" s="62">
        <v>2.4743181E7</v>
      </c>
      <c r="DA196" s="62">
        <v>1.8490319E7</v>
      </c>
      <c r="DB196" s="62">
        <v>1.4891727E7</v>
      </c>
      <c r="DC196" s="62">
        <v>2.4100087E7</v>
      </c>
      <c r="DD196" s="62">
        <v>4514370.0</v>
      </c>
      <c r="DE196" s="62">
        <v>1.0024136E7</v>
      </c>
      <c r="DF196" s="62">
        <v>1.6373122E7</v>
      </c>
      <c r="DG196" s="62">
        <v>3044118.0</v>
      </c>
      <c r="DH196" s="62">
        <v>3.3896423E7</v>
      </c>
      <c r="DI196" s="62">
        <v>1.108417E7</v>
      </c>
      <c r="DJ196" s="62">
        <v>9779568.0</v>
      </c>
      <c r="DK196" s="62">
        <v>1.4728464E7</v>
      </c>
      <c r="DL196" s="62">
        <v>5.0111672E7</v>
      </c>
      <c r="DM196" s="62">
        <v>4.7408294E7</v>
      </c>
      <c r="DN196" s="62">
        <v>2916059.0</v>
      </c>
      <c r="DO196" s="62">
        <v>1.8342669E7</v>
      </c>
      <c r="DP196" s="62">
        <v>1233413.0</v>
      </c>
      <c r="DQ196" s="62">
        <v>7867887.0</v>
      </c>
      <c r="DR196" s="62">
        <v>1.8461508E7</v>
      </c>
      <c r="DS196" s="62">
        <v>3.3881947E7</v>
      </c>
      <c r="DT196" s="62">
        <v>5391261.0</v>
      </c>
      <c r="DU196" s="62">
        <v>3954659.0</v>
      </c>
      <c r="DV196" s="62">
        <v>1.5128834E7</v>
      </c>
      <c r="DW196" s="62">
        <v>1.3522518E7</v>
      </c>
      <c r="DX196" s="62">
        <v>7959422.0</v>
      </c>
      <c r="DY196" s="62">
        <v>1.6141055E7</v>
      </c>
      <c r="DZ196" s="62">
        <v>2.1723859E7</v>
      </c>
      <c r="EA196" s="62">
        <v>1753066.0</v>
      </c>
      <c r="EB196" s="62">
        <v>2.0658138E7</v>
      </c>
      <c r="EC196" s="62">
        <v>8.9576803E7</v>
      </c>
      <c r="ED196" s="62">
        <v>8515985.0</v>
      </c>
      <c r="EE196" s="62">
        <v>867422.0</v>
      </c>
      <c r="EF196" s="62">
        <v>1835840.0</v>
      </c>
      <c r="EG196" s="62">
        <v>5776046.0</v>
      </c>
      <c r="EH196" s="62">
        <v>3.460689E7</v>
      </c>
      <c r="EI196" s="62">
        <v>2.9436158E7</v>
      </c>
      <c r="EJ196" s="62">
        <v>8003299.0</v>
      </c>
      <c r="EK196" s="62">
        <v>1805672.0</v>
      </c>
      <c r="EL196" s="62">
        <v>3602509.0</v>
      </c>
      <c r="EM196" s="62">
        <v>2659792.0</v>
      </c>
      <c r="EN196" s="62">
        <v>4541116.0</v>
      </c>
      <c r="EO196" s="62">
        <v>5800093.0</v>
      </c>
      <c r="EP196" s="62">
        <v>8906666.0</v>
      </c>
      <c r="EQ196" s="62">
        <v>1.01348881E8</v>
      </c>
      <c r="ER196" s="62">
        <v>2.5095841E7</v>
      </c>
      <c r="ES196" s="62">
        <v>2.8755871E7</v>
      </c>
      <c r="ET196" s="62">
        <v>4854901.0</v>
      </c>
      <c r="EU196" s="62">
        <v>3.84026122E8</v>
      </c>
      <c r="EV196" s="62">
        <v>6.7824278E7</v>
      </c>
      <c r="EW196" s="62">
        <v>8503599.0</v>
      </c>
      <c r="EX196" s="62">
        <v>2.8725701E7</v>
      </c>
      <c r="EY196" s="62">
        <v>2.08615766E8</v>
      </c>
      <c r="EZ196" s="62">
        <v>9.5435441E7</v>
      </c>
      <c r="FA196" s="62">
        <v>9.4534418E7</v>
      </c>
      <c r="FB196" s="62">
        <v>9.6537587E8</v>
      </c>
      <c r="FC196" s="62">
        <v>1446004.0</v>
      </c>
      <c r="FD196" s="62">
        <v>2.61289171E8</v>
      </c>
      <c r="FE196" s="62">
        <v>3.2304079E7</v>
      </c>
      <c r="FF196" s="62">
        <v>7481300.0</v>
      </c>
      <c r="FG196" s="62">
        <v>6.3577898E7</v>
      </c>
      <c r="FH196" s="62">
        <v>6.9261545E7</v>
      </c>
      <c r="FI196" s="62">
        <v>2.2677563E7</v>
      </c>
      <c r="FJ196" s="62">
        <v>5.3344674E7</v>
      </c>
      <c r="FK196" s="62">
        <v>2.06925875E8</v>
      </c>
      <c r="FL196" s="62">
        <v>3.7788533E7</v>
      </c>
      <c r="FM196" s="62">
        <v>7.9276758E7</v>
      </c>
      <c r="FN196" s="62">
        <v>2.95431874E8</v>
      </c>
      <c r="FO196" s="62">
        <v>8.0412447E7</v>
      </c>
      <c r="FP196" s="62">
        <v>3.30755658E8</v>
      </c>
      <c r="FQ196" s="62">
        <v>1.02874036E8</v>
      </c>
      <c r="FR196" s="62">
        <v>1010935.0</v>
      </c>
      <c r="FS196" s="62">
        <v>1.9709193E7</v>
      </c>
      <c r="FT196" s="62">
        <v>6.44498922E8</v>
      </c>
      <c r="FU196" s="62">
        <v>1.7482215E8</v>
      </c>
      <c r="FV196" s="62">
        <v>9.1731302E7</v>
      </c>
      <c r="FW196" s="62">
        <v>5.5343019E7</v>
      </c>
      <c r="FX196" s="62">
        <v>9640786.0</v>
      </c>
      <c r="FY196" s="62">
        <v>7581550.0</v>
      </c>
      <c r="FZ196" s="62">
        <v>239856.0</v>
      </c>
      <c r="GA196" s="62">
        <v>1.0003757E8</v>
      </c>
      <c r="GB196" s="62">
        <v>1.00626119E8</v>
      </c>
      <c r="GC196" s="62">
        <v>3.1042989E7</v>
      </c>
      <c r="GD196" s="62">
        <v>1.1429898E7</v>
      </c>
      <c r="GE196" s="62">
        <v>6.5141752E7</v>
      </c>
      <c r="GF196" s="63">
        <v>9.140294724E9</v>
      </c>
      <c r="GG196" s="95"/>
      <c r="GH196" s="96"/>
      <c r="GI196" s="96"/>
      <c r="GJ196" s="96"/>
      <c r="GK196" s="96"/>
      <c r="GL196" s="96"/>
      <c r="GM196" s="96"/>
      <c r="GN196" s="95"/>
      <c r="GO196" s="95"/>
      <c r="GP196" s="97"/>
      <c r="GQ196" s="97"/>
      <c r="GR196" s="97"/>
      <c r="GS196" s="97"/>
      <c r="GT196" s="96"/>
      <c r="GU196" s="96"/>
      <c r="GV196" s="96"/>
      <c r="GW196" s="96"/>
      <c r="GX196" s="96"/>
      <c r="GY196" s="96"/>
      <c r="GZ196" s="96"/>
    </row>
    <row r="197" ht="15.75" customHeight="1">
      <c r="A197" s="60">
        <v>2030.0</v>
      </c>
      <c r="B197" s="61" t="s">
        <v>260</v>
      </c>
      <c r="C197" s="62">
        <v>1017471.0</v>
      </c>
      <c r="D197" s="62">
        <v>425143.0</v>
      </c>
      <c r="E197" s="62">
        <v>7902.0</v>
      </c>
      <c r="F197" s="62">
        <v>406144.0</v>
      </c>
      <c r="G197" s="62">
        <v>3665.0</v>
      </c>
      <c r="H197" s="62">
        <v>44068.0</v>
      </c>
      <c r="I197" s="62">
        <v>17482.0</v>
      </c>
      <c r="J197" s="62">
        <v>12731.0</v>
      </c>
      <c r="K197" s="62">
        <v>1824.0</v>
      </c>
      <c r="L197" s="62">
        <v>541237.0</v>
      </c>
      <c r="M197" s="62">
        <v>57018.0</v>
      </c>
      <c r="N197" s="62">
        <v>59263.0</v>
      </c>
      <c r="O197" s="62">
        <v>149779.0</v>
      </c>
      <c r="P197" s="62">
        <v>1522.0</v>
      </c>
      <c r="Q197" s="62">
        <v>279664.0</v>
      </c>
      <c r="R197" s="62">
        <v>1158753.0</v>
      </c>
      <c r="S197" s="62">
        <v>30425.0</v>
      </c>
      <c r="T197" s="62">
        <v>260865.0</v>
      </c>
      <c r="U197" s="62">
        <v>49907.0</v>
      </c>
      <c r="V197" s="62">
        <v>627405.0</v>
      </c>
      <c r="W197" s="62">
        <v>532683.0</v>
      </c>
      <c r="X197" s="62">
        <v>23586.0</v>
      </c>
      <c r="Y197" s="62">
        <v>208018.0</v>
      </c>
      <c r="Z197" s="62">
        <v>46106.0</v>
      </c>
      <c r="AA197" s="62">
        <v>11910.0</v>
      </c>
      <c r="AB197" s="62">
        <v>187533.0</v>
      </c>
      <c r="AC197" s="62">
        <v>9502.0</v>
      </c>
      <c r="AD197" s="62">
        <v>145541.0</v>
      </c>
      <c r="AE197" s="62">
        <v>9551.0</v>
      </c>
      <c r="AF197" s="62">
        <v>129659.0</v>
      </c>
      <c r="AG197" s="62">
        <v>450613.0</v>
      </c>
      <c r="AH197" s="62">
        <v>219215.0</v>
      </c>
      <c r="AI197" s="62">
        <v>1172718.0</v>
      </c>
      <c r="AJ197" s="62">
        <v>228627.0</v>
      </c>
      <c r="AK197" s="62">
        <v>18805.0</v>
      </c>
      <c r="AL197" s="62">
        <v>463182.0</v>
      </c>
      <c r="AM197" s="62">
        <v>991913.0</v>
      </c>
      <c r="AN197" s="62">
        <v>956568.0</v>
      </c>
      <c r="AO197" s="62">
        <v>950759.0</v>
      </c>
      <c r="AP197" s="62">
        <v>13521.0</v>
      </c>
      <c r="AQ197" s="62">
        <v>93501.0</v>
      </c>
      <c r="AR197" s="62">
        <v>39226.0</v>
      </c>
      <c r="AS197" s="62">
        <v>289254.0</v>
      </c>
      <c r="AT197" s="62">
        <v>25237.0</v>
      </c>
      <c r="AU197" s="62">
        <v>20489.0</v>
      </c>
      <c r="AV197" s="62">
        <v>453066.0</v>
      </c>
      <c r="AW197" s="62">
        <v>8236.0</v>
      </c>
      <c r="AX197" s="62">
        <v>710373.0</v>
      </c>
      <c r="AY197" s="62">
        <v>87629.0</v>
      </c>
      <c r="AZ197" s="62">
        <v>5058.0</v>
      </c>
      <c r="BA197" s="62">
        <v>220328.0</v>
      </c>
      <c r="BB197" s="62">
        <v>489540.0</v>
      </c>
      <c r="BC197" s="62">
        <v>185739.0</v>
      </c>
      <c r="BD197" s="62">
        <v>42118.0</v>
      </c>
      <c r="BE197" s="62">
        <v>82890.0</v>
      </c>
      <c r="BF197" s="62">
        <v>149919.0</v>
      </c>
      <c r="BG197" s="62">
        <v>69949.0</v>
      </c>
      <c r="BH197" s="62">
        <v>2965848.0</v>
      </c>
      <c r="BI197" s="62">
        <v>52731.0</v>
      </c>
      <c r="BJ197" s="62">
        <v>284200.0</v>
      </c>
      <c r="BK197" s="62">
        <v>74727.0</v>
      </c>
      <c r="BL197" s="62">
        <v>63032.0</v>
      </c>
      <c r="BM197" s="62">
        <v>51896.0</v>
      </c>
      <c r="BN197" s="62">
        <v>158658.0</v>
      </c>
      <c r="BO197" s="62">
        <v>208324.0</v>
      </c>
      <c r="BP197" s="62">
        <v>135462.0</v>
      </c>
      <c r="BQ197" s="62">
        <v>105037.0</v>
      </c>
      <c r="BR197" s="62">
        <v>98048.0</v>
      </c>
      <c r="BS197" s="62">
        <v>77489.0</v>
      </c>
      <c r="BT197" s="62">
        <v>248588.0</v>
      </c>
      <c r="BU197" s="62">
        <v>441325.0</v>
      </c>
      <c r="BV197" s="62">
        <v>108016.0</v>
      </c>
      <c r="BW197" s="62">
        <v>29408.0</v>
      </c>
      <c r="BX197" s="62">
        <v>238580.0</v>
      </c>
      <c r="BY197" s="62">
        <v>2563653.0</v>
      </c>
      <c r="BZ197" s="62">
        <v>105973.0</v>
      </c>
      <c r="CA197" s="62">
        <v>272226.0</v>
      </c>
      <c r="CB197" s="62">
        <v>281096.0</v>
      </c>
      <c r="CC197" s="62">
        <v>35794.0</v>
      </c>
      <c r="CD197" s="62">
        <v>65840.0</v>
      </c>
      <c r="CE197" s="62">
        <v>68031.0</v>
      </c>
      <c r="CF197" s="62">
        <v>520753.0</v>
      </c>
      <c r="CG197" s="62">
        <v>25326.0</v>
      </c>
      <c r="CH197" s="62">
        <v>22360.0</v>
      </c>
      <c r="CI197" s="62">
        <v>134821.0</v>
      </c>
      <c r="CJ197" s="62">
        <v>226470.0</v>
      </c>
      <c r="CK197" s="62">
        <v>439174.0</v>
      </c>
      <c r="CL197" s="62">
        <v>229963.0</v>
      </c>
      <c r="CM197" s="62">
        <v>88020.0</v>
      </c>
      <c r="CN197" s="62">
        <v>502052.0</v>
      </c>
      <c r="CO197" s="62">
        <v>714585.0</v>
      </c>
      <c r="CP197" s="62">
        <v>989573.0</v>
      </c>
      <c r="CQ197" s="62">
        <v>404828.0</v>
      </c>
      <c r="CR197" s="62">
        <v>211477.0</v>
      </c>
      <c r="CS197" s="62">
        <v>2346306.0</v>
      </c>
      <c r="CT197" s="62">
        <v>1826880.0</v>
      </c>
      <c r="CU197" s="62">
        <v>450560.0</v>
      </c>
      <c r="CV197" s="62">
        <v>535515.0</v>
      </c>
      <c r="CW197" s="62">
        <v>82673.0</v>
      </c>
      <c r="CX197" s="62">
        <v>286402.0</v>
      </c>
      <c r="CY197" s="62">
        <v>18995.0</v>
      </c>
      <c r="CZ197" s="62">
        <v>421389.0</v>
      </c>
      <c r="DA197" s="62">
        <v>377281.0</v>
      </c>
      <c r="DB197" s="62">
        <v>348426.0</v>
      </c>
      <c r="DC197" s="62">
        <v>499337.0</v>
      </c>
      <c r="DD197" s="62">
        <v>111653.0</v>
      </c>
      <c r="DE197" s="62">
        <v>204226.0</v>
      </c>
      <c r="DF197" s="62">
        <v>317814.0</v>
      </c>
      <c r="DG197" s="62">
        <v>55515.0</v>
      </c>
      <c r="DH197" s="62">
        <v>757870.0</v>
      </c>
      <c r="DI197" s="62">
        <v>118934.0</v>
      </c>
      <c r="DJ197" s="62">
        <v>117505.0</v>
      </c>
      <c r="DK197" s="62">
        <v>177136.0</v>
      </c>
      <c r="DL197" s="62">
        <v>259724.0</v>
      </c>
      <c r="DM197" s="62">
        <v>230515.0</v>
      </c>
      <c r="DN197" s="62">
        <v>16883.0</v>
      </c>
      <c r="DO197" s="62">
        <v>93749.0</v>
      </c>
      <c r="DP197" s="62">
        <v>7804.0</v>
      </c>
      <c r="DQ197" s="62">
        <v>55618.0</v>
      </c>
      <c r="DR197" s="62">
        <v>123594.0</v>
      </c>
      <c r="DS197" s="62">
        <v>1020677.0</v>
      </c>
      <c r="DT197" s="62">
        <v>163779.0</v>
      </c>
      <c r="DU197" s="62">
        <v>119892.0</v>
      </c>
      <c r="DV197" s="62">
        <v>453784.0</v>
      </c>
      <c r="DW197" s="62">
        <v>362873.0</v>
      </c>
      <c r="DX197" s="62">
        <v>198800.0</v>
      </c>
      <c r="DY197" s="62">
        <v>372289.0</v>
      </c>
      <c r="DZ197" s="62">
        <v>440443.0</v>
      </c>
      <c r="EA197" s="62">
        <v>60966.0</v>
      </c>
      <c r="EB197" s="62">
        <v>665318.0</v>
      </c>
      <c r="EC197" s="62">
        <v>905076.0</v>
      </c>
      <c r="ED197" s="62">
        <v>228271.0</v>
      </c>
      <c r="EE197" s="62">
        <v>22570.0</v>
      </c>
      <c r="EF197" s="62">
        <v>35133.0</v>
      </c>
      <c r="EG197" s="62">
        <v>156312.0</v>
      </c>
      <c r="EH197" s="62">
        <v>368138.0</v>
      </c>
      <c r="EI197" s="62">
        <v>344527.0</v>
      </c>
      <c r="EJ197" s="62">
        <v>98009.0</v>
      </c>
      <c r="EK197" s="62">
        <v>24760.0</v>
      </c>
      <c r="EL197" s="62">
        <v>40457.0</v>
      </c>
      <c r="EM197" s="62">
        <v>49586.0</v>
      </c>
      <c r="EN197" s="62">
        <v>86151.0</v>
      </c>
      <c r="EO197" s="62">
        <v>112861.0</v>
      </c>
      <c r="EP197" s="62">
        <v>103819.0</v>
      </c>
      <c r="EQ197" s="62">
        <v>315486.0</v>
      </c>
      <c r="ER197" s="62">
        <v>38677.0</v>
      </c>
      <c r="ES197" s="62">
        <v>72113.0</v>
      </c>
      <c r="ET197" s="62">
        <v>20573.0</v>
      </c>
      <c r="EU197" s="62">
        <v>3072345.0</v>
      </c>
      <c r="EV197" s="62">
        <v>110848.0</v>
      </c>
      <c r="EW197" s="62">
        <v>254488.0</v>
      </c>
      <c r="EX197" s="62">
        <v>235123.0</v>
      </c>
      <c r="EY197" s="62">
        <v>1390014.0</v>
      </c>
      <c r="EZ197" s="62">
        <v>791112.0</v>
      </c>
      <c r="FA197" s="62">
        <v>596543.0</v>
      </c>
      <c r="FB197" s="62">
        <v>6911254.0</v>
      </c>
      <c r="FC197" s="62">
        <v>66500.0</v>
      </c>
      <c r="FD197" s="62">
        <v>2308963.0</v>
      </c>
      <c r="FE197" s="62">
        <v>267491.0</v>
      </c>
      <c r="FF197" s="62">
        <v>91393.0</v>
      </c>
      <c r="FG197" s="62">
        <v>1288860.0</v>
      </c>
      <c r="FH197" s="62">
        <v>691351.0</v>
      </c>
      <c r="FI197" s="62">
        <v>204873.0</v>
      </c>
      <c r="FJ197" s="62">
        <v>1793256.0</v>
      </c>
      <c r="FK197" s="62">
        <v>1569792.0</v>
      </c>
      <c r="FL197" s="62">
        <v>313615.0</v>
      </c>
      <c r="FM197" s="62">
        <v>766216.0</v>
      </c>
      <c r="FN197" s="62">
        <v>2448112.0</v>
      </c>
      <c r="FO197" s="62">
        <v>715437.0</v>
      </c>
      <c r="FP197" s="62">
        <v>1215277.0</v>
      </c>
      <c r="FQ197" s="62">
        <v>489727.0</v>
      </c>
      <c r="FR197" s="62">
        <v>11820.0</v>
      </c>
      <c r="FS197" s="62">
        <v>169477.0</v>
      </c>
      <c r="FT197" s="62">
        <v>2.1395635E7</v>
      </c>
      <c r="FU197" s="62">
        <v>1484703.0</v>
      </c>
      <c r="FV197" s="62">
        <v>829796.0</v>
      </c>
      <c r="FW197" s="62">
        <v>0.0</v>
      </c>
      <c r="FX197" s="62">
        <v>0.0</v>
      </c>
      <c r="FY197" s="62">
        <v>0.0</v>
      </c>
      <c r="FZ197" s="62">
        <v>0.0</v>
      </c>
      <c r="GA197" s="62">
        <v>634914.0</v>
      </c>
      <c r="GB197" s="62">
        <v>222233.0</v>
      </c>
      <c r="GC197" s="62">
        <v>118667.0</v>
      </c>
      <c r="GD197" s="62">
        <v>85197.0</v>
      </c>
      <c r="GE197" s="62">
        <v>717818.0</v>
      </c>
      <c r="GF197" s="63">
        <v>9.8124708E7</v>
      </c>
      <c r="GG197" s="95"/>
      <c r="GH197" s="96"/>
      <c r="GI197" s="96"/>
      <c r="GJ197" s="96"/>
      <c r="GK197" s="96"/>
      <c r="GL197" s="96"/>
      <c r="GM197" s="96"/>
      <c r="GN197" s="95"/>
      <c r="GO197" s="95"/>
      <c r="GP197" s="97"/>
      <c r="GQ197" s="96"/>
      <c r="GR197" s="96"/>
      <c r="GS197" s="96"/>
      <c r="GT197" s="96"/>
      <c r="GU197" s="96"/>
      <c r="GV197" s="96"/>
      <c r="GW197" s="96"/>
      <c r="GX197" s="96"/>
      <c r="GY197" s="96"/>
      <c r="GZ197" s="96"/>
    </row>
    <row r="198" ht="15.75" customHeight="1">
      <c r="A198" s="98" t="s">
        <v>261</v>
      </c>
      <c r="B198" s="99" t="s">
        <v>262</v>
      </c>
      <c r="C198" s="100">
        <v>2.32796577E8</v>
      </c>
      <c r="D198" s="100">
        <v>6.7293369E7</v>
      </c>
      <c r="E198" s="100">
        <v>8118225.0</v>
      </c>
      <c r="F198" s="100">
        <v>4.604484E7</v>
      </c>
      <c r="G198" s="100">
        <v>2952820.0</v>
      </c>
      <c r="H198" s="100">
        <v>6007212.0</v>
      </c>
      <c r="I198" s="100">
        <v>3397959.0</v>
      </c>
      <c r="J198" s="100">
        <v>1.0449177E7</v>
      </c>
      <c r="K198" s="100">
        <v>358556.0</v>
      </c>
      <c r="L198" s="100">
        <v>1.49125939E8</v>
      </c>
      <c r="M198" s="100">
        <v>4503709.0</v>
      </c>
      <c r="N198" s="100">
        <v>1.4988875E7</v>
      </c>
      <c r="O198" s="100">
        <v>1.5940446E7</v>
      </c>
      <c r="P198" s="100">
        <v>475974.0</v>
      </c>
      <c r="Q198" s="100">
        <v>4.341904E7</v>
      </c>
      <c r="R198" s="100">
        <v>1.51997322E8</v>
      </c>
      <c r="S198" s="100">
        <v>7709709.0</v>
      </c>
      <c r="T198" s="100">
        <v>6.3390589E7</v>
      </c>
      <c r="U198" s="100">
        <v>4.1237434E7</v>
      </c>
      <c r="V198" s="100">
        <v>2.8304378E8</v>
      </c>
      <c r="W198" s="100">
        <v>4.2941107E7</v>
      </c>
      <c r="X198" s="100">
        <v>5371799.0</v>
      </c>
      <c r="Y198" s="100">
        <v>4.4933295E7</v>
      </c>
      <c r="Z198" s="100">
        <v>2.4301608E7</v>
      </c>
      <c r="AA198" s="100">
        <v>3228798.0</v>
      </c>
      <c r="AB198" s="100">
        <v>7.2440319E7</v>
      </c>
      <c r="AC198" s="100">
        <v>1.2031285E7</v>
      </c>
      <c r="AD198" s="100">
        <v>1.3224821E8</v>
      </c>
      <c r="AE198" s="100">
        <v>1.0243717E7</v>
      </c>
      <c r="AF198" s="100">
        <v>3.0322011E7</v>
      </c>
      <c r="AG198" s="100">
        <v>9.3672825E7</v>
      </c>
      <c r="AH198" s="100">
        <v>4.6847753E7</v>
      </c>
      <c r="AI198" s="100">
        <v>2.5708128E8</v>
      </c>
      <c r="AJ198" s="100">
        <v>6.1539355E7</v>
      </c>
      <c r="AK198" s="100">
        <v>1.1117439E7</v>
      </c>
      <c r="AL198" s="100">
        <v>4.9282699E7</v>
      </c>
      <c r="AM198" s="100">
        <v>2.56322424E8</v>
      </c>
      <c r="AN198" s="100">
        <v>1.68020441E8</v>
      </c>
      <c r="AO198" s="100">
        <v>1.49897502E8</v>
      </c>
      <c r="AP198" s="100">
        <v>2005902.0</v>
      </c>
      <c r="AQ198" s="100">
        <v>1.0917394E7</v>
      </c>
      <c r="AR198" s="100">
        <v>6759087.0</v>
      </c>
      <c r="AS198" s="100">
        <v>4.4345676E7</v>
      </c>
      <c r="AT198" s="100">
        <v>3869544.0</v>
      </c>
      <c r="AU198" s="100">
        <v>4426652.0</v>
      </c>
      <c r="AV198" s="100">
        <v>5.6905889E7</v>
      </c>
      <c r="AW198" s="100">
        <v>1183585.0</v>
      </c>
      <c r="AX198" s="100">
        <v>1.84300292E8</v>
      </c>
      <c r="AY198" s="100">
        <v>2.1916347E7</v>
      </c>
      <c r="AZ198" s="100">
        <v>1787934.0</v>
      </c>
      <c r="BA198" s="100">
        <v>2.9900769E7</v>
      </c>
      <c r="BB198" s="100">
        <v>3.7284209E7</v>
      </c>
      <c r="BC198" s="100">
        <v>8.7017831E7</v>
      </c>
      <c r="BD198" s="100">
        <v>2.2166942E7</v>
      </c>
      <c r="BE198" s="100">
        <v>1.91097E7</v>
      </c>
      <c r="BF198" s="100">
        <v>3.4422325E7</v>
      </c>
      <c r="BG198" s="100">
        <v>1.2721561E7</v>
      </c>
      <c r="BH198" s="100">
        <v>2.13144736E8</v>
      </c>
      <c r="BI198" s="100">
        <v>9977435.0</v>
      </c>
      <c r="BJ198" s="100">
        <v>5.0215773E7</v>
      </c>
      <c r="BK198" s="100">
        <v>1.1811633E7</v>
      </c>
      <c r="BL198" s="100">
        <v>1.1259429E7</v>
      </c>
      <c r="BM198" s="100">
        <v>1.2339178E8</v>
      </c>
      <c r="BN198" s="100">
        <v>3.5403326E7</v>
      </c>
      <c r="BO198" s="100">
        <v>3.3850643E7</v>
      </c>
      <c r="BP198" s="100">
        <v>1.2758987E7</v>
      </c>
      <c r="BQ198" s="100">
        <v>1.9177442E7</v>
      </c>
      <c r="BR198" s="100">
        <v>1.7588671E7</v>
      </c>
      <c r="BS198" s="100">
        <v>1.0842155E7</v>
      </c>
      <c r="BT198" s="100">
        <v>3.7834303E7</v>
      </c>
      <c r="BU198" s="100">
        <v>8.6401617E7</v>
      </c>
      <c r="BV198" s="100">
        <v>2.838324E7</v>
      </c>
      <c r="BW198" s="100">
        <v>5427567.0</v>
      </c>
      <c r="BX198" s="100">
        <v>4.3946733E7</v>
      </c>
      <c r="BY198" s="100">
        <v>1.30829901E8</v>
      </c>
      <c r="BZ198" s="100">
        <v>5053458.0</v>
      </c>
      <c r="CA198" s="100">
        <v>3.4289053E7</v>
      </c>
      <c r="CB198" s="100">
        <v>3.6339309E7</v>
      </c>
      <c r="CC198" s="100">
        <v>6709661.0</v>
      </c>
      <c r="CD198" s="100">
        <v>9945563.0</v>
      </c>
      <c r="CE198" s="100">
        <v>1.1394853E7</v>
      </c>
      <c r="CF198" s="100">
        <v>7.8140572E7</v>
      </c>
      <c r="CG198" s="100">
        <v>7883784.0</v>
      </c>
      <c r="CH198" s="100">
        <v>8399376.0</v>
      </c>
      <c r="CI198" s="100">
        <v>4.6380277E7</v>
      </c>
      <c r="CJ198" s="100">
        <v>1.6806139E7</v>
      </c>
      <c r="CK198" s="100">
        <v>3.6013081E7</v>
      </c>
      <c r="CL198" s="100">
        <v>1.8744128E7</v>
      </c>
      <c r="CM198" s="100">
        <v>7412202.0</v>
      </c>
      <c r="CN198" s="100">
        <v>1.8015759E7</v>
      </c>
      <c r="CO198" s="100">
        <v>2.9964669E7</v>
      </c>
      <c r="CP198" s="100">
        <v>3.3370148E7</v>
      </c>
      <c r="CQ198" s="100">
        <v>1.4753925E7</v>
      </c>
      <c r="CR198" s="100">
        <v>3.574092E7</v>
      </c>
      <c r="CS198" s="100">
        <v>2.81781687E8</v>
      </c>
      <c r="CT198" s="100">
        <v>1.0850368E8</v>
      </c>
      <c r="CU198" s="100">
        <v>2.805253E7</v>
      </c>
      <c r="CV198" s="100">
        <v>3.5544523E7</v>
      </c>
      <c r="CW198" s="100">
        <v>5851908.0</v>
      </c>
      <c r="CX198" s="100">
        <v>1.7919377E7</v>
      </c>
      <c r="CY198" s="100">
        <v>1188483.0</v>
      </c>
      <c r="CZ198" s="100">
        <v>3.1749888E7</v>
      </c>
      <c r="DA198" s="100">
        <v>2.5646251E7</v>
      </c>
      <c r="DB198" s="100">
        <v>2.0881091E7</v>
      </c>
      <c r="DC198" s="100">
        <v>3.9389959E7</v>
      </c>
      <c r="DD198" s="100">
        <v>6992723.0</v>
      </c>
      <c r="DE198" s="100">
        <v>1.4944811E7</v>
      </c>
      <c r="DF198" s="100">
        <v>2.350879E7</v>
      </c>
      <c r="DG198" s="100">
        <v>4800191.0</v>
      </c>
      <c r="DH198" s="100">
        <v>5.2902977E7</v>
      </c>
      <c r="DI198" s="100">
        <v>1.9953369E7</v>
      </c>
      <c r="DJ198" s="100">
        <v>1.9745797E7</v>
      </c>
      <c r="DK198" s="100">
        <v>2.9721335E7</v>
      </c>
      <c r="DL198" s="100">
        <v>6.9848072E7</v>
      </c>
      <c r="DM198" s="100">
        <v>5.9020009E7</v>
      </c>
      <c r="DN198" s="100">
        <v>4175993.0</v>
      </c>
      <c r="DO198" s="100">
        <v>3.071157E7</v>
      </c>
      <c r="DP198" s="100">
        <v>2312513.0</v>
      </c>
      <c r="DQ198" s="100">
        <v>1.438543E7</v>
      </c>
      <c r="DR198" s="100">
        <v>3.3936743E7</v>
      </c>
      <c r="DS198" s="100">
        <v>6.5834186E7</v>
      </c>
      <c r="DT198" s="100">
        <v>9838401.0</v>
      </c>
      <c r="DU198" s="100">
        <v>7688766.0</v>
      </c>
      <c r="DV198" s="100">
        <v>2.9262274E7</v>
      </c>
      <c r="DW198" s="100">
        <v>2.382448E7</v>
      </c>
      <c r="DX198" s="100">
        <v>1.2918254E7</v>
      </c>
      <c r="DY198" s="100">
        <v>2.7735938E7</v>
      </c>
      <c r="DZ198" s="100">
        <v>3.7816364E7</v>
      </c>
      <c r="EA198" s="100">
        <v>2907581.0</v>
      </c>
      <c r="EB198" s="100">
        <v>3.4913522E7</v>
      </c>
      <c r="EC198" s="100">
        <v>1.77722248E8</v>
      </c>
      <c r="ED198" s="100">
        <v>1.8276489E7</v>
      </c>
      <c r="EE198" s="100">
        <v>1662720.0</v>
      </c>
      <c r="EF198" s="100">
        <v>3632143.0</v>
      </c>
      <c r="EG198" s="100">
        <v>1.2884643E7</v>
      </c>
      <c r="EH198" s="100">
        <v>6.8936604E7</v>
      </c>
      <c r="EI198" s="100">
        <v>4.8799026E7</v>
      </c>
      <c r="EJ198" s="100">
        <v>1.4241716E7</v>
      </c>
      <c r="EK198" s="100">
        <v>3725928.0</v>
      </c>
      <c r="EL198" s="100">
        <v>6340530.0</v>
      </c>
      <c r="EM198" s="100">
        <v>4960856.0</v>
      </c>
      <c r="EN198" s="100">
        <v>8682827.0</v>
      </c>
      <c r="EO198" s="100">
        <v>9951084.0</v>
      </c>
      <c r="EP198" s="100">
        <v>1.2726429E7</v>
      </c>
      <c r="EQ198" s="100">
        <v>1.31723245E8</v>
      </c>
      <c r="ER198" s="100">
        <v>2.8651503E7</v>
      </c>
      <c r="ES198" s="100">
        <v>3.6064444E7</v>
      </c>
      <c r="ET198" s="100">
        <v>7612331.0</v>
      </c>
      <c r="EU198" s="100">
        <v>8.14466014E8</v>
      </c>
      <c r="EV198" s="100">
        <v>8.1636171E7</v>
      </c>
      <c r="EW198" s="100">
        <v>1.5318818E7</v>
      </c>
      <c r="EX198" s="100">
        <v>6.0130752E7</v>
      </c>
      <c r="EY198" s="100">
        <v>3.67281485E8</v>
      </c>
      <c r="EZ198" s="100">
        <v>1.82761067E8</v>
      </c>
      <c r="FA198" s="100">
        <v>1.7398797E8</v>
      </c>
      <c r="FB198" s="100">
        <v>1.699633982E9</v>
      </c>
      <c r="FC198" s="100">
        <v>6863358.0</v>
      </c>
      <c r="FD198" s="100">
        <v>3.94605733E8</v>
      </c>
      <c r="FE198" s="100">
        <v>4.7613949E7</v>
      </c>
      <c r="FF198" s="100">
        <v>1.4585937E7</v>
      </c>
      <c r="FG198" s="100">
        <v>1.06558296E8</v>
      </c>
      <c r="FH198" s="100">
        <v>1.1225675E8</v>
      </c>
      <c r="FI198" s="100">
        <v>3.4935217E7</v>
      </c>
      <c r="FJ198" s="100">
        <v>8.8359479E7</v>
      </c>
      <c r="FK198" s="100">
        <v>4.32897747E8</v>
      </c>
      <c r="FL198" s="100">
        <v>5.678218E7</v>
      </c>
      <c r="FM198" s="100">
        <v>1.22050576E8</v>
      </c>
      <c r="FN198" s="100">
        <v>4.02178261E8</v>
      </c>
      <c r="FO198" s="100">
        <v>1.14816814E8</v>
      </c>
      <c r="FP198" s="100">
        <v>5.27499132E8</v>
      </c>
      <c r="FQ198" s="100">
        <v>1.39995016E8</v>
      </c>
      <c r="FR198" s="100">
        <v>1946061.0</v>
      </c>
      <c r="FS198" s="100">
        <v>4.3790462E7</v>
      </c>
      <c r="FT198" s="100">
        <v>7.33115165E8</v>
      </c>
      <c r="FU198" s="100">
        <v>2.4528895E8</v>
      </c>
      <c r="FV198" s="100">
        <v>2.09283605E8</v>
      </c>
      <c r="FW198" s="100">
        <v>3.89524184E8</v>
      </c>
      <c r="FX198" s="100">
        <v>2.72159331E8</v>
      </c>
      <c r="FY198" s="100">
        <v>8.8476103E7</v>
      </c>
      <c r="FZ198" s="100">
        <v>1597286.0</v>
      </c>
      <c r="GA198" s="100">
        <v>2.63672354E8</v>
      </c>
      <c r="GB198" s="100">
        <v>1.73257271E8</v>
      </c>
      <c r="GC198" s="100">
        <v>4.5993413E7</v>
      </c>
      <c r="GD198" s="100">
        <v>2.0767988E7</v>
      </c>
      <c r="GE198" s="100">
        <v>1.86591541E8</v>
      </c>
      <c r="GF198" s="101">
        <v>1.5049221956E10</v>
      </c>
      <c r="GG198" s="95"/>
      <c r="GH198" s="96"/>
      <c r="GI198" s="96"/>
      <c r="GJ198" s="96"/>
      <c r="GK198" s="96"/>
      <c r="GL198" s="96"/>
      <c r="GM198" s="96"/>
      <c r="GN198" s="95"/>
      <c r="GO198" s="95"/>
      <c r="GP198" s="97"/>
      <c r="GQ198" s="96"/>
      <c r="GR198" s="96"/>
      <c r="GS198" s="96"/>
      <c r="GT198" s="96"/>
      <c r="GU198" s="96"/>
      <c r="GV198" s="96"/>
      <c r="GW198" s="96"/>
      <c r="GX198" s="96"/>
      <c r="GY198" s="96"/>
      <c r="GZ198" s="96"/>
    </row>
    <row r="199" ht="15.75" customHeight="1">
      <c r="A199" s="98" t="s">
        <v>263</v>
      </c>
      <c r="B199" s="99" t="s">
        <v>264</v>
      </c>
      <c r="C199" s="100">
        <v>2.84849496E8</v>
      </c>
      <c r="D199" s="100">
        <v>7.9176573E7</v>
      </c>
      <c r="E199" s="100">
        <v>9134908.0</v>
      </c>
      <c r="F199" s="100">
        <v>5.4130933E7</v>
      </c>
      <c r="G199" s="100">
        <v>3344706.0</v>
      </c>
      <c r="H199" s="100">
        <v>7200631.0</v>
      </c>
      <c r="I199" s="100">
        <v>4283776.0</v>
      </c>
      <c r="J199" s="100">
        <v>1.2473308E7</v>
      </c>
      <c r="K199" s="100">
        <v>403213.0</v>
      </c>
      <c r="L199" s="100">
        <v>1.85615847E8</v>
      </c>
      <c r="M199" s="100">
        <v>5995582.0</v>
      </c>
      <c r="N199" s="100">
        <v>2.0491804E7</v>
      </c>
      <c r="O199" s="100">
        <v>2.2328835E7</v>
      </c>
      <c r="P199" s="100">
        <v>567677.0</v>
      </c>
      <c r="Q199" s="100">
        <v>5.1056781E7</v>
      </c>
      <c r="R199" s="100">
        <v>1.9157642E8</v>
      </c>
      <c r="S199" s="100">
        <v>8884468.0</v>
      </c>
      <c r="T199" s="100">
        <v>7.8849271E7</v>
      </c>
      <c r="U199" s="100">
        <v>4.7681585E7</v>
      </c>
      <c r="V199" s="100">
        <v>3.77270013E8</v>
      </c>
      <c r="W199" s="100">
        <v>5.0564487E7</v>
      </c>
      <c r="X199" s="100">
        <v>6903233.0</v>
      </c>
      <c r="Y199" s="100">
        <v>5.3612382E7</v>
      </c>
      <c r="Z199" s="100">
        <v>2.979827E7</v>
      </c>
      <c r="AA199" s="100">
        <v>3675521.0</v>
      </c>
      <c r="AB199" s="100">
        <v>1.0159392E8</v>
      </c>
      <c r="AC199" s="100">
        <v>1.7685011E7</v>
      </c>
      <c r="AD199" s="100">
        <v>2.06260697E8</v>
      </c>
      <c r="AE199" s="100">
        <v>1.8180692E7</v>
      </c>
      <c r="AF199" s="100">
        <v>3.8968434E7</v>
      </c>
      <c r="AG199" s="100">
        <v>1.09365061E8</v>
      </c>
      <c r="AH199" s="100">
        <v>5.4634477E7</v>
      </c>
      <c r="AI199" s="100">
        <v>3.05808998E8</v>
      </c>
      <c r="AJ199" s="100">
        <v>7.160454E7</v>
      </c>
      <c r="AK199" s="100">
        <v>1.318184E7</v>
      </c>
      <c r="AL199" s="100">
        <v>5.6608888E7</v>
      </c>
      <c r="AM199" s="100">
        <v>4.37958159E8</v>
      </c>
      <c r="AN199" s="100">
        <v>2.21500604E8</v>
      </c>
      <c r="AO199" s="100">
        <v>2.50503643E8</v>
      </c>
      <c r="AP199" s="100">
        <v>3154185.0</v>
      </c>
      <c r="AQ199" s="100">
        <v>1.6384871E7</v>
      </c>
      <c r="AR199" s="100">
        <v>9468347.0</v>
      </c>
      <c r="AS199" s="100">
        <v>5.9649442E7</v>
      </c>
      <c r="AT199" s="100">
        <v>6454606.0</v>
      </c>
      <c r="AU199" s="100">
        <v>6561732.0</v>
      </c>
      <c r="AV199" s="100">
        <v>8.6019815E7</v>
      </c>
      <c r="AW199" s="100">
        <v>1829870.0</v>
      </c>
      <c r="AX199" s="100">
        <v>3.09920454E8</v>
      </c>
      <c r="AY199" s="100">
        <v>3.1119777E7</v>
      </c>
      <c r="AZ199" s="100">
        <v>2643970.0</v>
      </c>
      <c r="BA199" s="100">
        <v>4.2558309E7</v>
      </c>
      <c r="BB199" s="100">
        <v>5.4509024E7</v>
      </c>
      <c r="BC199" s="100">
        <v>2.57546033E8</v>
      </c>
      <c r="BD199" s="100">
        <v>6.2883288E7</v>
      </c>
      <c r="BE199" s="100">
        <v>5.070966E7</v>
      </c>
      <c r="BF199" s="100">
        <v>9.47112E7</v>
      </c>
      <c r="BG199" s="100">
        <v>3.2164576E7</v>
      </c>
      <c r="BH199" s="100">
        <v>6.4268222E8</v>
      </c>
      <c r="BI199" s="100">
        <v>2.4900262E7</v>
      </c>
      <c r="BJ199" s="100">
        <v>1.20065237E8</v>
      </c>
      <c r="BK199" s="100">
        <v>4.0033588E7</v>
      </c>
      <c r="BL199" s="100">
        <v>4.0051809E7</v>
      </c>
      <c r="BM199" s="100">
        <v>3.81081873E8</v>
      </c>
      <c r="BN199" s="100">
        <v>7.7834016E7</v>
      </c>
      <c r="BO199" s="100">
        <v>7.7214059E7</v>
      </c>
      <c r="BP199" s="100">
        <v>3.6729283E7</v>
      </c>
      <c r="BQ199" s="100">
        <v>5.3911916E7</v>
      </c>
      <c r="BR199" s="100">
        <v>5.1536409E7</v>
      </c>
      <c r="BS199" s="100">
        <v>3.0160754E7</v>
      </c>
      <c r="BT199" s="100">
        <v>9.6648397E7</v>
      </c>
      <c r="BU199" s="100">
        <v>2.33514873E8</v>
      </c>
      <c r="BV199" s="100">
        <v>8.97298E7</v>
      </c>
      <c r="BW199" s="100">
        <v>9842865.0</v>
      </c>
      <c r="BX199" s="100">
        <v>9.9911378E7</v>
      </c>
      <c r="BY199" s="100">
        <v>2.32519834E8</v>
      </c>
      <c r="BZ199" s="100">
        <v>1.1627838E7</v>
      </c>
      <c r="CA199" s="100">
        <v>1.02334578E8</v>
      </c>
      <c r="CB199" s="100">
        <v>1.22858568E8</v>
      </c>
      <c r="CC199" s="100">
        <v>2.1934165E7</v>
      </c>
      <c r="CD199" s="100">
        <v>2.8793422E7</v>
      </c>
      <c r="CE199" s="100">
        <v>3.4583974E7</v>
      </c>
      <c r="CF199" s="100">
        <v>2.48817531E8</v>
      </c>
      <c r="CG199" s="100">
        <v>1.9758857E7</v>
      </c>
      <c r="CH199" s="100">
        <v>1.6949101E7</v>
      </c>
      <c r="CI199" s="100">
        <v>9.6235967E7</v>
      </c>
      <c r="CJ199" s="100">
        <v>4.2025854E7</v>
      </c>
      <c r="CK199" s="100">
        <v>8.3344415E7</v>
      </c>
      <c r="CL199" s="100">
        <v>4.7348382E7</v>
      </c>
      <c r="CM199" s="100">
        <v>1.8918332E7</v>
      </c>
      <c r="CN199" s="100">
        <v>5.9438336E7</v>
      </c>
      <c r="CO199" s="100">
        <v>8.1073239E7</v>
      </c>
      <c r="CP199" s="100">
        <v>1.04267462E8</v>
      </c>
      <c r="CQ199" s="100">
        <v>4.9520649E7</v>
      </c>
      <c r="CR199" s="100">
        <v>8.40407E7</v>
      </c>
      <c r="CS199" s="100">
        <v>5.85942756E8</v>
      </c>
      <c r="CT199" s="100">
        <v>2.65838489E8</v>
      </c>
      <c r="CU199" s="100">
        <v>7.1696037E7</v>
      </c>
      <c r="CV199" s="100">
        <v>1.03441243E8</v>
      </c>
      <c r="CW199" s="100">
        <v>1.5448604E7</v>
      </c>
      <c r="CX199" s="100">
        <v>4.642254E7</v>
      </c>
      <c r="CY199" s="100">
        <v>3205168.0</v>
      </c>
      <c r="CZ199" s="100">
        <v>8.2070908E7</v>
      </c>
      <c r="DA199" s="100">
        <v>6.897862E7</v>
      </c>
      <c r="DB199" s="100">
        <v>5.2668047E7</v>
      </c>
      <c r="DC199" s="100">
        <v>9.4045664E7</v>
      </c>
      <c r="DD199" s="100">
        <v>1.9056598E7</v>
      </c>
      <c r="DE199" s="100">
        <v>4.748783E7</v>
      </c>
      <c r="DF199" s="100">
        <v>8.025411E7</v>
      </c>
      <c r="DG199" s="100">
        <v>1.5462719E7</v>
      </c>
      <c r="DH199" s="100">
        <v>1.56564005E8</v>
      </c>
      <c r="DI199" s="100">
        <v>4.6745969E7</v>
      </c>
      <c r="DJ199" s="100">
        <v>4.717469E7</v>
      </c>
      <c r="DK199" s="100">
        <v>6.671313E7</v>
      </c>
      <c r="DL199" s="100">
        <v>1.78558626E8</v>
      </c>
      <c r="DM199" s="100">
        <v>1.74515494E8</v>
      </c>
      <c r="DN199" s="100">
        <v>1.0827778E7</v>
      </c>
      <c r="DO199" s="100">
        <v>7.5543686E7</v>
      </c>
      <c r="DP199" s="100">
        <v>5862506.0</v>
      </c>
      <c r="DQ199" s="100">
        <v>3.5945602E7</v>
      </c>
      <c r="DR199" s="100">
        <v>8.5573805E7</v>
      </c>
      <c r="DS199" s="100">
        <v>1.69080115E8</v>
      </c>
      <c r="DT199" s="100">
        <v>2.7375247E7</v>
      </c>
      <c r="DU199" s="100">
        <v>2.1951403E7</v>
      </c>
      <c r="DV199" s="100">
        <v>7.1682645E7</v>
      </c>
      <c r="DW199" s="100">
        <v>5.2057975E7</v>
      </c>
      <c r="DX199" s="100">
        <v>3.1796343E7</v>
      </c>
      <c r="DY199" s="100">
        <v>7.6144424E7</v>
      </c>
      <c r="DZ199" s="100">
        <v>1.07349789E8</v>
      </c>
      <c r="EA199" s="100">
        <v>1.1003468E7</v>
      </c>
      <c r="EB199" s="100">
        <v>1.10166594E8</v>
      </c>
      <c r="EC199" s="100">
        <v>4.06435861E8</v>
      </c>
      <c r="ED199" s="100">
        <v>3.9559499E7</v>
      </c>
      <c r="EE199" s="100">
        <v>4138177.0</v>
      </c>
      <c r="EF199" s="100">
        <v>7994162.0</v>
      </c>
      <c r="EG199" s="100">
        <v>2.7837769E7</v>
      </c>
      <c r="EH199" s="100">
        <v>1.45186264E8</v>
      </c>
      <c r="EI199" s="100">
        <v>1.02244982E8</v>
      </c>
      <c r="EJ199" s="100">
        <v>4.6137983E7</v>
      </c>
      <c r="EK199" s="100">
        <v>1.169703E7</v>
      </c>
      <c r="EL199" s="100">
        <v>1.5839052E7</v>
      </c>
      <c r="EM199" s="100">
        <v>1.4330692E7</v>
      </c>
      <c r="EN199" s="100">
        <v>2.6862504E7</v>
      </c>
      <c r="EO199" s="100">
        <v>3.1204402E7</v>
      </c>
      <c r="EP199" s="100">
        <v>3.1032754E7</v>
      </c>
      <c r="EQ199" s="100">
        <v>7.13204738E8</v>
      </c>
      <c r="ER199" s="100">
        <v>4.5168274E7</v>
      </c>
      <c r="ES199" s="100">
        <v>5.0556496E7</v>
      </c>
      <c r="ET199" s="100">
        <v>1.9512565E7</v>
      </c>
      <c r="EU199" s="100">
        <v>2.101033675E9</v>
      </c>
      <c r="EV199" s="100">
        <v>2.08825838E8</v>
      </c>
      <c r="EW199" s="100">
        <v>3.9433756E7</v>
      </c>
      <c r="EX199" s="100">
        <v>1.56032041E8</v>
      </c>
      <c r="EY199" s="100">
        <v>9.37526574E8</v>
      </c>
      <c r="EZ199" s="100">
        <v>2.60793279E8</v>
      </c>
      <c r="FA199" s="100">
        <v>2.390514E8</v>
      </c>
      <c r="FB199" s="100">
        <v>2.431656402E9</v>
      </c>
      <c r="FC199" s="100">
        <v>1.3514795E7</v>
      </c>
      <c r="FD199" s="100">
        <v>7.98838779E8</v>
      </c>
      <c r="FE199" s="100">
        <v>1.38251081E8</v>
      </c>
      <c r="FF199" s="100">
        <v>3.6805388E7</v>
      </c>
      <c r="FG199" s="100">
        <v>2.82752341E8</v>
      </c>
      <c r="FH199" s="100">
        <v>1.9593576E8</v>
      </c>
      <c r="FI199" s="100">
        <v>6.6082782E7</v>
      </c>
      <c r="FJ199" s="100">
        <v>1.39084861E8</v>
      </c>
      <c r="FK199" s="100">
        <v>1.048480096E9</v>
      </c>
      <c r="FL199" s="100">
        <v>1.3017691E8</v>
      </c>
      <c r="FM199" s="100">
        <v>1.7982032E8</v>
      </c>
      <c r="FN199" s="100">
        <v>6.05450331E8</v>
      </c>
      <c r="FO199" s="100">
        <v>2.07124974E8</v>
      </c>
      <c r="FP199" s="100">
        <v>6.89301438E8</v>
      </c>
      <c r="FQ199" s="100">
        <v>1.72697892E8</v>
      </c>
      <c r="FR199" s="100">
        <v>2446940.0</v>
      </c>
      <c r="FS199" s="100">
        <v>6.55539E7</v>
      </c>
      <c r="FT199" s="100">
        <v>9.64243324E8</v>
      </c>
      <c r="FU199" s="100">
        <v>4.73467388E8</v>
      </c>
      <c r="FV199" s="100">
        <v>3.55679249E8</v>
      </c>
      <c r="FW199" s="100">
        <v>7.54673456E8</v>
      </c>
      <c r="FX199" s="100">
        <v>3.5493668E8</v>
      </c>
      <c r="FY199" s="100">
        <v>3.58832365E8</v>
      </c>
      <c r="FZ199" s="100">
        <v>6174680.0</v>
      </c>
      <c r="GA199" s="100">
        <v>4.08502366E8</v>
      </c>
      <c r="GB199" s="100">
        <v>3.26454778E8</v>
      </c>
      <c r="GC199" s="100">
        <v>9.0699195E7</v>
      </c>
      <c r="GD199" s="100">
        <v>4.01395E7</v>
      </c>
      <c r="GE199" s="100">
        <v>3.31926375E8</v>
      </c>
      <c r="GF199" s="101">
        <v>2.8700250526E10</v>
      </c>
      <c r="GG199" s="95"/>
      <c r="GH199" s="96"/>
      <c r="GI199" s="96"/>
      <c r="GJ199" s="96"/>
      <c r="GK199" s="96"/>
      <c r="GL199" s="96"/>
      <c r="GM199" s="96"/>
      <c r="GN199" s="95"/>
      <c r="GO199" s="95"/>
      <c r="GP199" s="96"/>
      <c r="GQ199" s="96"/>
      <c r="GR199" s="96"/>
      <c r="GS199" s="96"/>
      <c r="GT199" s="96"/>
      <c r="GU199" s="96"/>
      <c r="GV199" s="96"/>
      <c r="GW199" s="96"/>
      <c r="GX199" s="96"/>
      <c r="GY199" s="96"/>
      <c r="GZ199" s="96"/>
    </row>
  </sheetData>
  <mergeCells count="2">
    <mergeCell ref="A4:A5"/>
    <mergeCell ref="B4:B5"/>
  </mergeCells>
  <conditionalFormatting sqref="C6:GZ199">
    <cfRule type="cellIs" dxfId="0" priority="1" operator="lessThan">
      <formula>0</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43.0"/>
    <col customWidth="1" hidden="1" min="3" max="207" width="10.86"/>
    <col customWidth="1" min="208" max="208" width="13.43"/>
    <col customWidth="1" min="209" max="211" width="10.71"/>
    <col customWidth="1" min="212" max="212" width="70.86"/>
    <col customWidth="1" min="213" max="213" width="94.43"/>
    <col customWidth="1" min="214" max="214" width="14.71"/>
    <col customWidth="1" min="215" max="216" width="10.71"/>
    <col customWidth="1" min="217" max="217" width="14.71"/>
  </cols>
  <sheetData>
    <row r="1">
      <c r="A1" s="102" t="s">
        <v>265</v>
      </c>
      <c r="B1" s="20"/>
      <c r="C1" s="21"/>
      <c r="D1" s="22"/>
      <c r="E1" s="22"/>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4"/>
      <c r="GG1" s="23"/>
      <c r="GH1" s="23"/>
      <c r="GI1" s="23"/>
      <c r="GJ1" s="23"/>
      <c r="GK1" s="23"/>
      <c r="GL1" s="23"/>
      <c r="GM1" s="23"/>
      <c r="GN1" s="24"/>
      <c r="GO1" s="24"/>
      <c r="GP1" s="23"/>
      <c r="GQ1" s="23"/>
      <c r="GR1" s="23"/>
      <c r="GS1" s="23"/>
      <c r="GT1" s="23"/>
      <c r="GU1" s="23"/>
      <c r="GV1" s="23"/>
      <c r="GW1" s="23"/>
      <c r="GX1" s="23"/>
      <c r="GY1" s="23"/>
      <c r="GZ1" s="23"/>
    </row>
    <row r="2">
      <c r="A2" s="19" t="s">
        <v>266</v>
      </c>
      <c r="B2" s="25"/>
      <c r="C2" s="26"/>
      <c r="D2" s="26"/>
      <c r="E2" s="26"/>
      <c r="F2" s="26"/>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c r="DO2" s="21"/>
      <c r="DP2" s="21"/>
      <c r="DQ2" s="21"/>
      <c r="DR2" s="21"/>
      <c r="DS2" s="21"/>
      <c r="DT2" s="21"/>
      <c r="DU2" s="21"/>
      <c r="DV2" s="21"/>
      <c r="DW2" s="21"/>
      <c r="DX2" s="21"/>
      <c r="DY2" s="21"/>
      <c r="DZ2" s="21"/>
      <c r="EA2" s="21"/>
      <c r="EB2" s="21"/>
      <c r="EC2" s="21"/>
      <c r="ED2" s="21"/>
      <c r="EE2" s="21"/>
      <c r="EF2" s="21"/>
      <c r="EG2" s="21"/>
      <c r="EH2" s="21"/>
      <c r="EI2" s="21"/>
      <c r="EJ2" s="21"/>
      <c r="EK2" s="21"/>
      <c r="EL2" s="21"/>
      <c r="EM2" s="21"/>
      <c r="EN2" s="21"/>
      <c r="EO2" s="21"/>
      <c r="EP2" s="21"/>
      <c r="EQ2" s="21"/>
      <c r="ER2" s="21"/>
      <c r="ES2" s="21"/>
      <c r="ET2" s="21"/>
      <c r="EU2" s="21"/>
      <c r="EV2" s="21"/>
      <c r="EW2" s="21"/>
      <c r="EX2" s="21"/>
      <c r="EY2" s="21"/>
      <c r="EZ2" s="21"/>
      <c r="FA2" s="21"/>
      <c r="FB2" s="21"/>
      <c r="FC2" s="21"/>
      <c r="FD2" s="21"/>
      <c r="FE2" s="21"/>
      <c r="FF2" s="21"/>
      <c r="FG2" s="21"/>
      <c r="FH2" s="21"/>
      <c r="FI2" s="21"/>
      <c r="FJ2" s="21"/>
      <c r="FK2" s="21"/>
      <c r="FL2" s="21"/>
      <c r="FM2" s="21"/>
      <c r="FN2" s="21"/>
      <c r="FO2" s="21"/>
      <c r="FP2" s="21"/>
      <c r="FQ2" s="21"/>
      <c r="FR2" s="21"/>
      <c r="FS2" s="21"/>
      <c r="FT2" s="21"/>
      <c r="FU2" s="21"/>
      <c r="FV2" s="21"/>
      <c r="FW2" s="21"/>
      <c r="FX2" s="21"/>
      <c r="FY2" s="21"/>
      <c r="FZ2" s="21"/>
      <c r="GA2" s="21"/>
      <c r="GB2" s="21"/>
      <c r="GC2" s="21"/>
      <c r="GD2" s="21"/>
      <c r="GE2" s="21"/>
      <c r="GF2" s="27"/>
      <c r="GG2" s="28"/>
      <c r="GH2" s="28"/>
      <c r="GI2" s="28"/>
      <c r="GJ2" s="28"/>
      <c r="GK2" s="28"/>
      <c r="GL2" s="28"/>
      <c r="GM2" s="28"/>
      <c r="GN2" s="27"/>
      <c r="GO2" s="27"/>
      <c r="GP2" s="28"/>
      <c r="GQ2" s="28"/>
      <c r="GR2" s="28"/>
      <c r="GS2" s="29"/>
      <c r="GT2" s="28"/>
      <c r="GU2" s="28"/>
      <c r="GV2" s="28"/>
      <c r="GW2" s="28"/>
      <c r="GX2" s="29"/>
      <c r="GY2" s="28"/>
      <c r="GZ2" s="28"/>
    </row>
    <row r="3">
      <c r="A3" s="30"/>
      <c r="B3" s="31"/>
      <c r="GF3" s="32"/>
      <c r="GG3" s="33"/>
      <c r="GH3" s="33"/>
      <c r="GI3" s="33"/>
      <c r="GJ3" s="33"/>
      <c r="GK3" s="33"/>
      <c r="GL3" s="33"/>
      <c r="GM3" s="33"/>
      <c r="GN3" s="32"/>
      <c r="GO3" s="32"/>
      <c r="GP3" s="33"/>
      <c r="GQ3" s="33"/>
      <c r="GR3" s="33"/>
      <c r="GS3" s="33"/>
      <c r="GT3" s="33"/>
      <c r="GU3" s="33"/>
      <c r="GV3" s="33"/>
      <c r="GW3" s="33"/>
      <c r="GX3" s="33"/>
      <c r="GY3" s="34"/>
      <c r="GZ3" s="33"/>
      <c r="HI3" s="103"/>
    </row>
    <row r="4">
      <c r="A4" s="35" t="s">
        <v>25</v>
      </c>
      <c r="B4" s="36" t="s">
        <v>26</v>
      </c>
      <c r="C4" s="37" t="s">
        <v>27</v>
      </c>
      <c r="D4" s="38">
        <v>2.0</v>
      </c>
      <c r="E4" s="38">
        <v>3.0</v>
      </c>
      <c r="F4" s="38">
        <v>4.0</v>
      </c>
      <c r="G4" s="38">
        <v>5.0</v>
      </c>
      <c r="H4" s="38">
        <v>6.0</v>
      </c>
      <c r="I4" s="38">
        <v>7.0</v>
      </c>
      <c r="J4" s="38">
        <v>8.0</v>
      </c>
      <c r="K4" s="38">
        <v>9.0</v>
      </c>
      <c r="L4" s="38">
        <v>10.0</v>
      </c>
      <c r="M4" s="38">
        <v>11.0</v>
      </c>
      <c r="N4" s="38">
        <v>12.0</v>
      </c>
      <c r="O4" s="38">
        <v>13.0</v>
      </c>
      <c r="P4" s="38">
        <v>14.0</v>
      </c>
      <c r="Q4" s="38">
        <v>15.0</v>
      </c>
      <c r="R4" s="38">
        <v>16.0</v>
      </c>
      <c r="S4" s="38">
        <v>17.0</v>
      </c>
      <c r="T4" s="38">
        <v>18.0</v>
      </c>
      <c r="U4" s="38">
        <v>19.0</v>
      </c>
      <c r="V4" s="38">
        <v>20.0</v>
      </c>
      <c r="W4" s="38">
        <v>21.0</v>
      </c>
      <c r="X4" s="38">
        <v>22.0</v>
      </c>
      <c r="Y4" s="38">
        <v>23.0</v>
      </c>
      <c r="Z4" s="38">
        <v>24.0</v>
      </c>
      <c r="AA4" s="38">
        <v>25.0</v>
      </c>
      <c r="AB4" s="38">
        <v>26.0</v>
      </c>
      <c r="AC4" s="38">
        <v>27.0</v>
      </c>
      <c r="AD4" s="38">
        <v>28.0</v>
      </c>
      <c r="AE4" s="38">
        <v>29.0</v>
      </c>
      <c r="AF4" s="38">
        <v>30.0</v>
      </c>
      <c r="AG4" s="38">
        <v>31.0</v>
      </c>
      <c r="AH4" s="38">
        <v>32.0</v>
      </c>
      <c r="AI4" s="38">
        <v>33.0</v>
      </c>
      <c r="AJ4" s="38">
        <v>34.0</v>
      </c>
      <c r="AK4" s="38">
        <v>35.0</v>
      </c>
      <c r="AL4" s="38">
        <v>36.0</v>
      </c>
      <c r="AM4" s="38">
        <v>37.0</v>
      </c>
      <c r="AN4" s="38">
        <v>38.0</v>
      </c>
      <c r="AO4" s="38">
        <v>39.0</v>
      </c>
      <c r="AP4" s="38">
        <v>40.0</v>
      </c>
      <c r="AQ4" s="38">
        <v>41.0</v>
      </c>
      <c r="AR4" s="38">
        <v>42.0</v>
      </c>
      <c r="AS4" s="38">
        <v>43.0</v>
      </c>
      <c r="AT4" s="38">
        <v>44.0</v>
      </c>
      <c r="AU4" s="38">
        <v>45.0</v>
      </c>
      <c r="AV4" s="38">
        <v>46.0</v>
      </c>
      <c r="AW4" s="38">
        <v>47.0</v>
      </c>
      <c r="AX4" s="38">
        <v>48.0</v>
      </c>
      <c r="AY4" s="38">
        <v>49.0</v>
      </c>
      <c r="AZ4" s="38">
        <v>50.0</v>
      </c>
      <c r="BA4" s="38">
        <v>51.0</v>
      </c>
      <c r="BB4" s="38">
        <v>52.0</v>
      </c>
      <c r="BC4" s="38">
        <v>53.0</v>
      </c>
      <c r="BD4" s="38">
        <v>54.0</v>
      </c>
      <c r="BE4" s="38">
        <v>55.0</v>
      </c>
      <c r="BF4" s="38">
        <v>56.0</v>
      </c>
      <c r="BG4" s="38">
        <v>57.0</v>
      </c>
      <c r="BH4" s="38">
        <v>58.0</v>
      </c>
      <c r="BI4" s="38">
        <v>59.0</v>
      </c>
      <c r="BJ4" s="38">
        <v>60.0</v>
      </c>
      <c r="BK4" s="38">
        <v>61.0</v>
      </c>
      <c r="BL4" s="38">
        <v>62.0</v>
      </c>
      <c r="BM4" s="38">
        <v>63.0</v>
      </c>
      <c r="BN4" s="38">
        <v>64.0</v>
      </c>
      <c r="BO4" s="38">
        <v>65.0</v>
      </c>
      <c r="BP4" s="38">
        <v>66.0</v>
      </c>
      <c r="BQ4" s="38">
        <v>67.0</v>
      </c>
      <c r="BR4" s="38">
        <v>68.0</v>
      </c>
      <c r="BS4" s="38">
        <v>69.0</v>
      </c>
      <c r="BT4" s="38">
        <v>70.0</v>
      </c>
      <c r="BU4" s="38">
        <v>71.0</v>
      </c>
      <c r="BV4" s="38">
        <v>72.0</v>
      </c>
      <c r="BW4" s="38">
        <v>73.0</v>
      </c>
      <c r="BX4" s="38">
        <v>74.0</v>
      </c>
      <c r="BY4" s="38">
        <v>75.0</v>
      </c>
      <c r="BZ4" s="38">
        <v>76.0</v>
      </c>
      <c r="CA4" s="38">
        <v>77.0</v>
      </c>
      <c r="CB4" s="38">
        <v>78.0</v>
      </c>
      <c r="CC4" s="38">
        <v>79.0</v>
      </c>
      <c r="CD4" s="38">
        <v>80.0</v>
      </c>
      <c r="CE4" s="38">
        <v>81.0</v>
      </c>
      <c r="CF4" s="38">
        <v>82.0</v>
      </c>
      <c r="CG4" s="38">
        <v>83.0</v>
      </c>
      <c r="CH4" s="38">
        <v>84.0</v>
      </c>
      <c r="CI4" s="38">
        <v>85.0</v>
      </c>
      <c r="CJ4" s="38">
        <v>86.0</v>
      </c>
      <c r="CK4" s="38">
        <v>87.0</v>
      </c>
      <c r="CL4" s="38">
        <v>88.0</v>
      </c>
      <c r="CM4" s="38">
        <v>89.0</v>
      </c>
      <c r="CN4" s="38">
        <v>90.0</v>
      </c>
      <c r="CO4" s="38">
        <v>91.0</v>
      </c>
      <c r="CP4" s="38">
        <v>92.0</v>
      </c>
      <c r="CQ4" s="38">
        <v>93.0</v>
      </c>
      <c r="CR4" s="38">
        <v>94.0</v>
      </c>
      <c r="CS4" s="38">
        <v>95.0</v>
      </c>
      <c r="CT4" s="38">
        <v>96.0</v>
      </c>
      <c r="CU4" s="38">
        <v>97.0</v>
      </c>
      <c r="CV4" s="38">
        <v>98.0</v>
      </c>
      <c r="CW4" s="38">
        <v>99.0</v>
      </c>
      <c r="CX4" s="38">
        <v>100.0</v>
      </c>
      <c r="CY4" s="38">
        <v>101.0</v>
      </c>
      <c r="CZ4" s="38">
        <v>102.0</v>
      </c>
      <c r="DA4" s="38">
        <v>103.0</v>
      </c>
      <c r="DB4" s="38">
        <v>104.0</v>
      </c>
      <c r="DC4" s="38">
        <v>105.0</v>
      </c>
      <c r="DD4" s="38">
        <v>106.0</v>
      </c>
      <c r="DE4" s="38">
        <v>107.0</v>
      </c>
      <c r="DF4" s="38">
        <v>108.0</v>
      </c>
      <c r="DG4" s="38">
        <v>109.0</v>
      </c>
      <c r="DH4" s="38">
        <v>110.0</v>
      </c>
      <c r="DI4" s="38">
        <v>111.0</v>
      </c>
      <c r="DJ4" s="38">
        <v>112.0</v>
      </c>
      <c r="DK4" s="38">
        <v>113.0</v>
      </c>
      <c r="DL4" s="38">
        <v>114.0</v>
      </c>
      <c r="DM4" s="38">
        <v>115.0</v>
      </c>
      <c r="DN4" s="38">
        <v>116.0</v>
      </c>
      <c r="DO4" s="38">
        <v>117.0</v>
      </c>
      <c r="DP4" s="38">
        <v>118.0</v>
      </c>
      <c r="DQ4" s="38">
        <v>119.0</v>
      </c>
      <c r="DR4" s="38">
        <v>120.0</v>
      </c>
      <c r="DS4" s="38">
        <v>121.0</v>
      </c>
      <c r="DT4" s="38">
        <v>122.0</v>
      </c>
      <c r="DU4" s="38">
        <v>123.0</v>
      </c>
      <c r="DV4" s="38">
        <v>124.0</v>
      </c>
      <c r="DW4" s="38">
        <v>125.0</v>
      </c>
      <c r="DX4" s="38">
        <v>126.0</v>
      </c>
      <c r="DY4" s="38">
        <v>127.0</v>
      </c>
      <c r="DZ4" s="38">
        <v>128.0</v>
      </c>
      <c r="EA4" s="38">
        <v>129.0</v>
      </c>
      <c r="EB4" s="38">
        <v>130.0</v>
      </c>
      <c r="EC4" s="38">
        <v>131.0</v>
      </c>
      <c r="ED4" s="38">
        <v>132.0</v>
      </c>
      <c r="EE4" s="38">
        <v>133.0</v>
      </c>
      <c r="EF4" s="38">
        <v>134.0</v>
      </c>
      <c r="EG4" s="38">
        <v>135.0</v>
      </c>
      <c r="EH4" s="38">
        <v>136.0</v>
      </c>
      <c r="EI4" s="38">
        <v>137.0</v>
      </c>
      <c r="EJ4" s="38">
        <v>138.0</v>
      </c>
      <c r="EK4" s="38">
        <v>139.0</v>
      </c>
      <c r="EL4" s="38">
        <v>140.0</v>
      </c>
      <c r="EM4" s="38">
        <v>141.0</v>
      </c>
      <c r="EN4" s="38">
        <v>142.0</v>
      </c>
      <c r="EO4" s="38">
        <v>143.0</v>
      </c>
      <c r="EP4" s="38">
        <v>144.0</v>
      </c>
      <c r="EQ4" s="38">
        <v>145.0</v>
      </c>
      <c r="ER4" s="38">
        <v>146.0</v>
      </c>
      <c r="ES4" s="38">
        <v>147.0</v>
      </c>
      <c r="ET4" s="38">
        <v>148.0</v>
      </c>
      <c r="EU4" s="38">
        <v>149.0</v>
      </c>
      <c r="EV4" s="38">
        <v>150.0</v>
      </c>
      <c r="EW4" s="38">
        <v>151.0</v>
      </c>
      <c r="EX4" s="38">
        <v>152.0</v>
      </c>
      <c r="EY4" s="38">
        <v>153.0</v>
      </c>
      <c r="EZ4" s="38">
        <v>154.0</v>
      </c>
      <c r="FA4" s="38">
        <v>155.0</v>
      </c>
      <c r="FB4" s="38">
        <v>156.0</v>
      </c>
      <c r="FC4" s="38">
        <v>157.0</v>
      </c>
      <c r="FD4" s="38">
        <v>158.0</v>
      </c>
      <c r="FE4" s="38">
        <v>159.0</v>
      </c>
      <c r="FF4" s="38">
        <v>160.0</v>
      </c>
      <c r="FG4" s="38">
        <v>161.0</v>
      </c>
      <c r="FH4" s="38">
        <v>162.0</v>
      </c>
      <c r="FI4" s="38">
        <v>163.0</v>
      </c>
      <c r="FJ4" s="38">
        <v>164.0</v>
      </c>
      <c r="FK4" s="38">
        <v>165.0</v>
      </c>
      <c r="FL4" s="38">
        <v>166.0</v>
      </c>
      <c r="FM4" s="38">
        <v>167.0</v>
      </c>
      <c r="FN4" s="38">
        <v>168.0</v>
      </c>
      <c r="FO4" s="38">
        <v>169.0</v>
      </c>
      <c r="FP4" s="38">
        <v>170.0</v>
      </c>
      <c r="FQ4" s="38">
        <v>171.0</v>
      </c>
      <c r="FR4" s="38">
        <v>172.0</v>
      </c>
      <c r="FS4" s="38">
        <v>173.0</v>
      </c>
      <c r="FT4" s="38">
        <v>174.0</v>
      </c>
      <c r="FU4" s="38">
        <v>175.0</v>
      </c>
      <c r="FV4" s="38">
        <v>176.0</v>
      </c>
      <c r="FW4" s="38">
        <v>177.0</v>
      </c>
      <c r="FX4" s="38">
        <v>178.0</v>
      </c>
      <c r="FY4" s="38">
        <v>179.0</v>
      </c>
      <c r="FZ4" s="38">
        <v>180.0</v>
      </c>
      <c r="GA4" s="38">
        <v>181.0</v>
      </c>
      <c r="GB4" s="38">
        <v>182.0</v>
      </c>
      <c r="GC4" s="38">
        <v>183.0</v>
      </c>
      <c r="GD4" s="38">
        <v>184.0</v>
      </c>
      <c r="GE4" s="38">
        <v>185.0</v>
      </c>
      <c r="GF4" s="39" t="s">
        <v>28</v>
      </c>
      <c r="GG4" s="40" t="s">
        <v>29</v>
      </c>
      <c r="GH4" s="40" t="s">
        <v>30</v>
      </c>
      <c r="GI4" s="40" t="s">
        <v>31</v>
      </c>
      <c r="GJ4" s="40" t="s">
        <v>32</v>
      </c>
      <c r="GK4" s="40" t="s">
        <v>33</v>
      </c>
      <c r="GL4" s="40" t="s">
        <v>34</v>
      </c>
      <c r="GM4" s="40" t="s">
        <v>35</v>
      </c>
      <c r="GN4" s="39" t="s">
        <v>36</v>
      </c>
      <c r="GO4" s="39" t="s">
        <v>37</v>
      </c>
      <c r="GP4" s="41">
        <v>4011.0</v>
      </c>
      <c r="GQ4" s="41" t="s">
        <v>38</v>
      </c>
      <c r="GR4" s="42" t="s">
        <v>39</v>
      </c>
      <c r="GS4" s="43" t="s">
        <v>40</v>
      </c>
      <c r="GT4" s="42" t="s">
        <v>41</v>
      </c>
      <c r="GU4" s="42" t="s">
        <v>42</v>
      </c>
      <c r="GV4" s="42" t="s">
        <v>43</v>
      </c>
      <c r="GW4" s="43" t="s">
        <v>44</v>
      </c>
      <c r="GX4" s="43">
        <v>6090.0</v>
      </c>
      <c r="GY4" s="43">
        <v>7000.0</v>
      </c>
      <c r="GZ4" s="43" t="s">
        <v>45</v>
      </c>
      <c r="HC4" s="1" t="s">
        <v>267</v>
      </c>
      <c r="HD4" s="104" t="s">
        <v>268</v>
      </c>
      <c r="HE4" s="105" t="s">
        <v>269</v>
      </c>
      <c r="HF4" s="104" t="s">
        <v>270</v>
      </c>
      <c r="HH4" s="106"/>
    </row>
    <row r="5">
      <c r="A5" s="44"/>
      <c r="B5" s="45"/>
      <c r="C5" s="3" t="s">
        <v>271</v>
      </c>
      <c r="D5" s="3" t="s">
        <v>272</v>
      </c>
      <c r="E5" s="3" t="s">
        <v>273</v>
      </c>
      <c r="F5" s="3" t="s">
        <v>274</v>
      </c>
      <c r="G5" s="3" t="s">
        <v>275</v>
      </c>
      <c r="H5" s="3" t="s">
        <v>276</v>
      </c>
      <c r="I5" s="3" t="s">
        <v>277</v>
      </c>
      <c r="J5" s="3" t="s">
        <v>278</v>
      </c>
      <c r="K5" s="3" t="s">
        <v>279</v>
      </c>
      <c r="L5" s="3" t="s">
        <v>280</v>
      </c>
      <c r="M5" s="3" t="s">
        <v>281</v>
      </c>
      <c r="N5" s="3" t="s">
        <v>282</v>
      </c>
      <c r="O5" s="3" t="s">
        <v>283</v>
      </c>
      <c r="P5" s="3" t="s">
        <v>284</v>
      </c>
      <c r="Q5" s="3" t="s">
        <v>285</v>
      </c>
      <c r="R5" s="3" t="s">
        <v>286</v>
      </c>
      <c r="S5" s="3" t="s">
        <v>287</v>
      </c>
      <c r="T5" s="3" t="s">
        <v>288</v>
      </c>
      <c r="U5" s="3" t="s">
        <v>289</v>
      </c>
      <c r="V5" s="3" t="s">
        <v>290</v>
      </c>
      <c r="W5" s="3" t="s">
        <v>291</v>
      </c>
      <c r="X5" s="3" t="s">
        <v>292</v>
      </c>
      <c r="Y5" s="3" t="s">
        <v>293</v>
      </c>
      <c r="Z5" s="3" t="s">
        <v>294</v>
      </c>
      <c r="AA5" s="3" t="s">
        <v>295</v>
      </c>
      <c r="AB5" s="3" t="s">
        <v>296</v>
      </c>
      <c r="AC5" s="3" t="s">
        <v>297</v>
      </c>
      <c r="AD5" s="3" t="s">
        <v>298</v>
      </c>
      <c r="AE5" s="3" t="s">
        <v>299</v>
      </c>
      <c r="AF5" s="3" t="s">
        <v>300</v>
      </c>
      <c r="AG5" s="3" t="s">
        <v>301</v>
      </c>
      <c r="AH5" s="3" t="s">
        <v>302</v>
      </c>
      <c r="AI5" s="3" t="s">
        <v>303</v>
      </c>
      <c r="AJ5" s="3" t="s">
        <v>304</v>
      </c>
      <c r="AK5" s="3" t="s">
        <v>305</v>
      </c>
      <c r="AL5" s="3" t="s">
        <v>306</v>
      </c>
      <c r="AM5" s="3" t="s">
        <v>307</v>
      </c>
      <c r="AN5" s="3" t="s">
        <v>308</v>
      </c>
      <c r="AO5" s="3" t="s">
        <v>309</v>
      </c>
      <c r="AP5" s="3" t="s">
        <v>310</v>
      </c>
      <c r="AQ5" s="3" t="s">
        <v>311</v>
      </c>
      <c r="AR5" s="3" t="s">
        <v>312</v>
      </c>
      <c r="AS5" s="3" t="s">
        <v>313</v>
      </c>
      <c r="AT5" s="3" t="s">
        <v>314</v>
      </c>
      <c r="AU5" s="3" t="s">
        <v>315</v>
      </c>
      <c r="AV5" s="3" t="s">
        <v>316</v>
      </c>
      <c r="AW5" s="3" t="s">
        <v>317</v>
      </c>
      <c r="AX5" s="3" t="s">
        <v>318</v>
      </c>
      <c r="AY5" s="3" t="s">
        <v>319</v>
      </c>
      <c r="AZ5" s="3" t="s">
        <v>320</v>
      </c>
      <c r="BA5" s="3" t="s">
        <v>321</v>
      </c>
      <c r="BB5" s="3" t="s">
        <v>322</v>
      </c>
      <c r="BC5" s="3" t="s">
        <v>323</v>
      </c>
      <c r="BD5" s="3" t="s">
        <v>324</v>
      </c>
      <c r="BE5" s="3" t="s">
        <v>325</v>
      </c>
      <c r="BF5" s="3" t="s">
        <v>326</v>
      </c>
      <c r="BG5" s="3" t="s">
        <v>327</v>
      </c>
      <c r="BH5" s="3" t="s">
        <v>328</v>
      </c>
      <c r="BI5" s="3" t="s">
        <v>329</v>
      </c>
      <c r="BJ5" s="3" t="s">
        <v>330</v>
      </c>
      <c r="BK5" s="3" t="s">
        <v>331</v>
      </c>
      <c r="BL5" s="3" t="s">
        <v>332</v>
      </c>
      <c r="BM5" s="3" t="s">
        <v>333</v>
      </c>
      <c r="BN5" s="3" t="s">
        <v>334</v>
      </c>
      <c r="BO5" s="3" t="s">
        <v>335</v>
      </c>
      <c r="BP5" s="3" t="s">
        <v>336</v>
      </c>
      <c r="BQ5" s="3" t="s">
        <v>337</v>
      </c>
      <c r="BR5" s="3" t="s">
        <v>338</v>
      </c>
      <c r="BS5" s="3" t="s">
        <v>339</v>
      </c>
      <c r="BT5" s="3" t="s">
        <v>340</v>
      </c>
      <c r="BU5" s="3" t="s">
        <v>341</v>
      </c>
      <c r="BV5" s="3" t="s">
        <v>342</v>
      </c>
      <c r="BW5" s="3" t="s">
        <v>343</v>
      </c>
      <c r="BX5" s="3" t="s">
        <v>344</v>
      </c>
      <c r="BY5" s="3" t="s">
        <v>345</v>
      </c>
      <c r="BZ5" s="3" t="s">
        <v>346</v>
      </c>
      <c r="CA5" s="3" t="s">
        <v>347</v>
      </c>
      <c r="CB5" s="3" t="s">
        <v>348</v>
      </c>
      <c r="CC5" s="3" t="s">
        <v>349</v>
      </c>
      <c r="CD5" s="3" t="s">
        <v>350</v>
      </c>
      <c r="CE5" s="3" t="s">
        <v>351</v>
      </c>
      <c r="CF5" s="3" t="s">
        <v>352</v>
      </c>
      <c r="CG5" s="3" t="s">
        <v>353</v>
      </c>
      <c r="CH5" s="3" t="s">
        <v>354</v>
      </c>
      <c r="CI5" s="3" t="s">
        <v>355</v>
      </c>
      <c r="CJ5" s="3" t="s">
        <v>356</v>
      </c>
      <c r="CK5" s="3" t="s">
        <v>357</v>
      </c>
      <c r="CL5" s="3" t="s">
        <v>358</v>
      </c>
      <c r="CM5" s="3" t="s">
        <v>359</v>
      </c>
      <c r="CN5" s="3" t="s">
        <v>360</v>
      </c>
      <c r="CO5" s="3" t="s">
        <v>361</v>
      </c>
      <c r="CP5" s="3" t="s">
        <v>362</v>
      </c>
      <c r="CQ5" s="3" t="s">
        <v>363</v>
      </c>
      <c r="CR5" s="3" t="s">
        <v>364</v>
      </c>
      <c r="CS5" s="3" t="s">
        <v>365</v>
      </c>
      <c r="CT5" s="3" t="s">
        <v>366</v>
      </c>
      <c r="CU5" s="3" t="s">
        <v>367</v>
      </c>
      <c r="CV5" s="3" t="s">
        <v>368</v>
      </c>
      <c r="CW5" s="3" t="s">
        <v>369</v>
      </c>
      <c r="CX5" s="3" t="s">
        <v>370</v>
      </c>
      <c r="CY5" s="3" t="s">
        <v>371</v>
      </c>
      <c r="CZ5" s="3" t="s">
        <v>372</v>
      </c>
      <c r="DA5" s="3" t="s">
        <v>373</v>
      </c>
      <c r="DB5" s="3" t="s">
        <v>374</v>
      </c>
      <c r="DC5" s="3" t="s">
        <v>375</v>
      </c>
      <c r="DD5" s="3" t="s">
        <v>376</v>
      </c>
      <c r="DE5" s="3" t="s">
        <v>377</v>
      </c>
      <c r="DF5" s="3" t="s">
        <v>378</v>
      </c>
      <c r="DG5" s="3" t="s">
        <v>379</v>
      </c>
      <c r="DH5" s="3" t="s">
        <v>380</v>
      </c>
      <c r="DI5" s="3" t="s">
        <v>381</v>
      </c>
      <c r="DJ5" s="3" t="s">
        <v>382</v>
      </c>
      <c r="DK5" s="3" t="s">
        <v>383</v>
      </c>
      <c r="DL5" s="3" t="s">
        <v>384</v>
      </c>
      <c r="DM5" s="3" t="s">
        <v>385</v>
      </c>
      <c r="DN5" s="3" t="s">
        <v>386</v>
      </c>
      <c r="DO5" s="3" t="s">
        <v>387</v>
      </c>
      <c r="DP5" s="3" t="s">
        <v>388</v>
      </c>
      <c r="DQ5" s="3" t="s">
        <v>389</v>
      </c>
      <c r="DR5" s="3" t="s">
        <v>390</v>
      </c>
      <c r="DS5" s="3" t="s">
        <v>391</v>
      </c>
      <c r="DT5" s="3" t="s">
        <v>392</v>
      </c>
      <c r="DU5" s="3" t="s">
        <v>393</v>
      </c>
      <c r="DV5" s="3" t="s">
        <v>394</v>
      </c>
      <c r="DW5" s="3" t="s">
        <v>395</v>
      </c>
      <c r="DX5" s="3" t="s">
        <v>396</v>
      </c>
      <c r="DY5" s="3" t="s">
        <v>397</v>
      </c>
      <c r="DZ5" s="3" t="s">
        <v>398</v>
      </c>
      <c r="EA5" s="3" t="s">
        <v>399</v>
      </c>
      <c r="EB5" s="3" t="s">
        <v>400</v>
      </c>
      <c r="EC5" s="3" t="s">
        <v>401</v>
      </c>
      <c r="ED5" s="3" t="s">
        <v>402</v>
      </c>
      <c r="EE5" s="3" t="s">
        <v>403</v>
      </c>
      <c r="EF5" s="3" t="s">
        <v>404</v>
      </c>
      <c r="EG5" s="3" t="s">
        <v>405</v>
      </c>
      <c r="EH5" s="3" t="s">
        <v>406</v>
      </c>
      <c r="EI5" s="3" t="s">
        <v>407</v>
      </c>
      <c r="EJ5" s="3" t="s">
        <v>408</v>
      </c>
      <c r="EK5" s="3" t="s">
        <v>409</v>
      </c>
      <c r="EL5" s="3" t="s">
        <v>410</v>
      </c>
      <c r="EM5" s="3" t="s">
        <v>411</v>
      </c>
      <c r="EN5" s="3" t="s">
        <v>412</v>
      </c>
      <c r="EO5" s="3" t="s">
        <v>413</v>
      </c>
      <c r="EP5" s="3" t="s">
        <v>414</v>
      </c>
      <c r="EQ5" s="3" t="s">
        <v>415</v>
      </c>
      <c r="ER5" s="3" t="s">
        <v>416</v>
      </c>
      <c r="ES5" s="3" t="s">
        <v>417</v>
      </c>
      <c r="ET5" s="3" t="s">
        <v>418</v>
      </c>
      <c r="EU5" s="3" t="s">
        <v>419</v>
      </c>
      <c r="EV5" s="3" t="s">
        <v>420</v>
      </c>
      <c r="EW5" s="3" t="s">
        <v>421</v>
      </c>
      <c r="EX5" s="3" t="s">
        <v>422</v>
      </c>
      <c r="EY5" s="3" t="s">
        <v>423</v>
      </c>
      <c r="EZ5" s="3" t="s">
        <v>424</v>
      </c>
      <c r="FA5" s="3" t="s">
        <v>425</v>
      </c>
      <c r="FB5" s="3" t="s">
        <v>426</v>
      </c>
      <c r="FC5" s="3" t="s">
        <v>427</v>
      </c>
      <c r="FD5" s="3" t="s">
        <v>428</v>
      </c>
      <c r="FE5" s="3" t="s">
        <v>429</v>
      </c>
      <c r="FF5" s="3" t="s">
        <v>430</v>
      </c>
      <c r="FG5" s="3" t="s">
        <v>431</v>
      </c>
      <c r="FH5" s="3" t="s">
        <v>432</v>
      </c>
      <c r="FI5" s="3" t="s">
        <v>433</v>
      </c>
      <c r="FJ5" s="3" t="s">
        <v>434</v>
      </c>
      <c r="FK5" s="3" t="s">
        <v>435</v>
      </c>
      <c r="FL5" s="3" t="s">
        <v>436</v>
      </c>
      <c r="FM5" s="3" t="s">
        <v>437</v>
      </c>
      <c r="FN5" s="3" t="s">
        <v>438</v>
      </c>
      <c r="FO5" s="3" t="s">
        <v>439</v>
      </c>
      <c r="FP5" s="3" t="s">
        <v>440</v>
      </c>
      <c r="FQ5" s="3" t="s">
        <v>441</v>
      </c>
      <c r="FR5" s="3" t="s">
        <v>442</v>
      </c>
      <c r="FS5" s="3" t="s">
        <v>443</v>
      </c>
      <c r="FT5" s="3" t="s">
        <v>444</v>
      </c>
      <c r="FU5" s="3" t="s">
        <v>445</v>
      </c>
      <c r="FV5" s="3" t="s">
        <v>446</v>
      </c>
      <c r="FW5" s="3" t="s">
        <v>447</v>
      </c>
      <c r="FX5" s="3" t="s">
        <v>448</v>
      </c>
      <c r="FY5" s="3" t="s">
        <v>449</v>
      </c>
      <c r="FZ5" s="3" t="s">
        <v>450</v>
      </c>
      <c r="GA5" s="3" t="s">
        <v>451</v>
      </c>
      <c r="GB5" s="3" t="s">
        <v>452</v>
      </c>
      <c r="GC5" s="3" t="s">
        <v>453</v>
      </c>
      <c r="GD5" s="3" t="s">
        <v>454</v>
      </c>
      <c r="GE5" s="3" t="s">
        <v>455</v>
      </c>
      <c r="GF5" s="3" t="s">
        <v>456</v>
      </c>
      <c r="GG5" s="3" t="s">
        <v>457</v>
      </c>
      <c r="GH5" s="3" t="s">
        <v>458</v>
      </c>
      <c r="GI5" s="3" t="s">
        <v>459</v>
      </c>
      <c r="GJ5" s="3" t="s">
        <v>460</v>
      </c>
      <c r="GK5" s="3" t="s">
        <v>461</v>
      </c>
      <c r="GL5" s="3" t="s">
        <v>462</v>
      </c>
      <c r="GM5" s="3" t="s">
        <v>463</v>
      </c>
      <c r="GN5" s="3" t="s">
        <v>464</v>
      </c>
      <c r="GO5" s="3" t="s">
        <v>465</v>
      </c>
      <c r="GP5" s="3" t="s">
        <v>466</v>
      </c>
      <c r="GQ5" s="3" t="s">
        <v>467</v>
      </c>
      <c r="GR5" s="3" t="s">
        <v>243</v>
      </c>
      <c r="GS5" s="3" t="s">
        <v>468</v>
      </c>
      <c r="GT5" s="3" t="s">
        <v>469</v>
      </c>
      <c r="GU5" s="3" t="s">
        <v>470</v>
      </c>
      <c r="GV5" s="3" t="s">
        <v>471</v>
      </c>
      <c r="GW5" s="3" t="s">
        <v>472</v>
      </c>
      <c r="GX5" s="3" t="s">
        <v>473</v>
      </c>
      <c r="GY5" s="3" t="s">
        <v>474</v>
      </c>
      <c r="GZ5" s="3" t="s">
        <v>475</v>
      </c>
      <c r="HC5" s="107" t="s">
        <v>476</v>
      </c>
      <c r="HD5" s="108" t="s">
        <v>477</v>
      </c>
      <c r="HE5" s="109" t="s">
        <v>478</v>
      </c>
      <c r="HF5" s="110">
        <f>SUM(GZ6:GZ17,GZ19:GZ22,GZ24:GZ41,GZ55)</f>
        <v>3173943217</v>
      </c>
      <c r="HH5" s="106"/>
    </row>
    <row r="6">
      <c r="A6" s="52" t="s">
        <v>27</v>
      </c>
      <c r="B6" s="111" t="s">
        <v>271</v>
      </c>
      <c r="C6" s="54">
        <v>2.1949512E7</v>
      </c>
      <c r="D6" s="54">
        <v>0.0</v>
      </c>
      <c r="E6" s="54">
        <v>0.0</v>
      </c>
      <c r="F6" s="54">
        <v>0.0</v>
      </c>
      <c r="G6" s="54">
        <v>0.0</v>
      </c>
      <c r="H6" s="54">
        <v>0.0</v>
      </c>
      <c r="I6" s="54">
        <v>0.0</v>
      </c>
      <c r="J6" s="54">
        <v>0.0</v>
      </c>
      <c r="K6" s="54">
        <v>0.0</v>
      </c>
      <c r="L6" s="54">
        <v>0.0</v>
      </c>
      <c r="M6" s="54">
        <v>0.0</v>
      </c>
      <c r="N6" s="54">
        <v>0.0</v>
      </c>
      <c r="O6" s="54">
        <v>0.0</v>
      </c>
      <c r="P6" s="54">
        <v>0.0</v>
      </c>
      <c r="Q6" s="54">
        <v>0.0</v>
      </c>
      <c r="R6" s="54">
        <v>0.0</v>
      </c>
      <c r="S6" s="54">
        <v>0.0</v>
      </c>
      <c r="T6" s="54">
        <v>0.0</v>
      </c>
      <c r="U6" s="54">
        <v>0.0</v>
      </c>
      <c r="V6" s="54">
        <v>0.0</v>
      </c>
      <c r="W6" s="54">
        <v>0.0</v>
      </c>
      <c r="X6" s="54">
        <v>0.0</v>
      </c>
      <c r="Y6" s="54">
        <v>0.0</v>
      </c>
      <c r="Z6" s="54">
        <v>0.0</v>
      </c>
      <c r="AA6" s="54">
        <v>0.0</v>
      </c>
      <c r="AB6" s="54">
        <v>1397690.0</v>
      </c>
      <c r="AC6" s="54">
        <v>155061.0</v>
      </c>
      <c r="AD6" s="54">
        <v>431807.0</v>
      </c>
      <c r="AE6" s="54">
        <v>302567.0</v>
      </c>
      <c r="AF6" s="54">
        <v>0.0</v>
      </c>
      <c r="AG6" s="54">
        <v>0.0</v>
      </c>
      <c r="AH6" s="54">
        <v>0.0</v>
      </c>
      <c r="AI6" s="54">
        <v>139072.0</v>
      </c>
      <c r="AJ6" s="54">
        <v>247413.0</v>
      </c>
      <c r="AK6" s="54">
        <v>0.0</v>
      </c>
      <c r="AL6" s="54">
        <v>0.0</v>
      </c>
      <c r="AM6" s="54">
        <v>0.0</v>
      </c>
      <c r="AN6" s="54">
        <v>0.0</v>
      </c>
      <c r="AO6" s="54">
        <v>0.0</v>
      </c>
      <c r="AP6" s="54">
        <v>0.0</v>
      </c>
      <c r="AQ6" s="54">
        <v>0.0</v>
      </c>
      <c r="AR6" s="54">
        <v>0.0</v>
      </c>
      <c r="AS6" s="54">
        <v>0.0</v>
      </c>
      <c r="AT6" s="54">
        <v>0.0</v>
      </c>
      <c r="AU6" s="54">
        <v>0.0</v>
      </c>
      <c r="AV6" s="54">
        <v>0.0</v>
      </c>
      <c r="AW6" s="54">
        <v>0.0</v>
      </c>
      <c r="AX6" s="54">
        <v>0.0</v>
      </c>
      <c r="AY6" s="54">
        <v>0.0</v>
      </c>
      <c r="AZ6" s="54">
        <v>0.0</v>
      </c>
      <c r="BA6" s="54">
        <v>0.0</v>
      </c>
      <c r="BB6" s="54">
        <v>0.0</v>
      </c>
      <c r="BC6" s="54">
        <v>0.0</v>
      </c>
      <c r="BD6" s="54">
        <v>0.0</v>
      </c>
      <c r="BE6" s="54">
        <v>0.0</v>
      </c>
      <c r="BF6" s="54">
        <v>0.0</v>
      </c>
      <c r="BG6" s="54">
        <v>0.0</v>
      </c>
      <c r="BH6" s="54">
        <v>0.0</v>
      </c>
      <c r="BI6" s="54">
        <v>0.0</v>
      </c>
      <c r="BJ6" s="54">
        <v>0.0</v>
      </c>
      <c r="BK6" s="54">
        <v>0.0</v>
      </c>
      <c r="BL6" s="54">
        <v>0.0</v>
      </c>
      <c r="BM6" s="54">
        <v>2.55560411E8</v>
      </c>
      <c r="BN6" s="54">
        <v>0.0</v>
      </c>
      <c r="BO6" s="54">
        <v>0.0</v>
      </c>
      <c r="BP6" s="54">
        <v>0.0</v>
      </c>
      <c r="BQ6" s="54">
        <v>0.0</v>
      </c>
      <c r="BR6" s="54">
        <v>0.0</v>
      </c>
      <c r="BS6" s="54">
        <v>0.0</v>
      </c>
      <c r="BT6" s="54">
        <v>0.0</v>
      </c>
      <c r="BU6" s="54">
        <v>278.0</v>
      </c>
      <c r="BV6" s="54">
        <v>1.262914E7</v>
      </c>
      <c r="BW6" s="54">
        <v>7328.0</v>
      </c>
      <c r="BX6" s="54">
        <v>0.0</v>
      </c>
      <c r="BY6" s="54">
        <v>0.0</v>
      </c>
      <c r="BZ6" s="54">
        <v>0.0</v>
      </c>
      <c r="CA6" s="54">
        <v>0.0</v>
      </c>
      <c r="CB6" s="54">
        <v>0.0</v>
      </c>
      <c r="CC6" s="54">
        <v>0.0</v>
      </c>
      <c r="CD6" s="54">
        <v>0.0</v>
      </c>
      <c r="CE6" s="54">
        <v>0.0</v>
      </c>
      <c r="CF6" s="54">
        <v>0.0</v>
      </c>
      <c r="CG6" s="54">
        <v>0.0</v>
      </c>
      <c r="CH6" s="54">
        <v>0.0</v>
      </c>
      <c r="CI6" s="54">
        <v>0.0</v>
      </c>
      <c r="CJ6" s="54">
        <v>0.0</v>
      </c>
      <c r="CK6" s="54">
        <v>0.0</v>
      </c>
      <c r="CL6" s="54">
        <v>0.0</v>
      </c>
      <c r="CM6" s="54">
        <v>0.0</v>
      </c>
      <c r="CN6" s="54">
        <v>0.0</v>
      </c>
      <c r="CO6" s="54">
        <v>0.0</v>
      </c>
      <c r="CP6" s="54">
        <v>0.0</v>
      </c>
      <c r="CQ6" s="54">
        <v>0.0</v>
      </c>
      <c r="CR6" s="54">
        <v>0.0</v>
      </c>
      <c r="CS6" s="54">
        <v>0.0</v>
      </c>
      <c r="CT6" s="54">
        <v>0.0</v>
      </c>
      <c r="CU6" s="54">
        <v>0.0</v>
      </c>
      <c r="CV6" s="54">
        <v>0.0</v>
      </c>
      <c r="CW6" s="54">
        <v>0.0</v>
      </c>
      <c r="CX6" s="54">
        <v>0.0</v>
      </c>
      <c r="CY6" s="54">
        <v>0.0</v>
      </c>
      <c r="CZ6" s="54">
        <v>0.0</v>
      </c>
      <c r="DA6" s="54">
        <v>0.0</v>
      </c>
      <c r="DB6" s="54">
        <v>0.0</v>
      </c>
      <c r="DC6" s="54">
        <v>0.0</v>
      </c>
      <c r="DD6" s="54">
        <v>0.0</v>
      </c>
      <c r="DE6" s="54">
        <v>0.0</v>
      </c>
      <c r="DF6" s="54">
        <v>0.0</v>
      </c>
      <c r="DG6" s="54">
        <v>0.0</v>
      </c>
      <c r="DH6" s="54">
        <v>0.0</v>
      </c>
      <c r="DI6" s="54">
        <v>0.0</v>
      </c>
      <c r="DJ6" s="54">
        <v>0.0</v>
      </c>
      <c r="DK6" s="54">
        <v>0.0</v>
      </c>
      <c r="DL6" s="54">
        <v>0.0</v>
      </c>
      <c r="DM6" s="54">
        <v>0.0</v>
      </c>
      <c r="DN6" s="54">
        <v>0.0</v>
      </c>
      <c r="DO6" s="54">
        <v>0.0</v>
      </c>
      <c r="DP6" s="54">
        <v>0.0</v>
      </c>
      <c r="DQ6" s="54">
        <v>0.0</v>
      </c>
      <c r="DR6" s="54">
        <v>0.0</v>
      </c>
      <c r="DS6" s="54">
        <v>0.0</v>
      </c>
      <c r="DT6" s="54">
        <v>0.0</v>
      </c>
      <c r="DU6" s="54">
        <v>0.0</v>
      </c>
      <c r="DV6" s="54">
        <v>0.0</v>
      </c>
      <c r="DW6" s="54">
        <v>0.0</v>
      </c>
      <c r="DX6" s="54">
        <v>0.0</v>
      </c>
      <c r="DY6" s="54">
        <v>0.0</v>
      </c>
      <c r="DZ6" s="54">
        <v>0.0</v>
      </c>
      <c r="EA6" s="54">
        <v>0.0</v>
      </c>
      <c r="EB6" s="54">
        <v>0.0</v>
      </c>
      <c r="EC6" s="54">
        <v>0.0</v>
      </c>
      <c r="ED6" s="54">
        <v>0.0</v>
      </c>
      <c r="EE6" s="54">
        <v>0.0</v>
      </c>
      <c r="EF6" s="54">
        <v>0.0</v>
      </c>
      <c r="EG6" s="54">
        <v>0.0</v>
      </c>
      <c r="EH6" s="54">
        <v>0.0</v>
      </c>
      <c r="EI6" s="54">
        <v>0.0</v>
      </c>
      <c r="EJ6" s="54">
        <v>0.0</v>
      </c>
      <c r="EK6" s="54">
        <v>0.0</v>
      </c>
      <c r="EL6" s="54">
        <v>0.0</v>
      </c>
      <c r="EM6" s="54">
        <v>0.0</v>
      </c>
      <c r="EN6" s="54">
        <v>0.0</v>
      </c>
      <c r="EO6" s="54">
        <v>0.0</v>
      </c>
      <c r="EP6" s="54">
        <v>0.0</v>
      </c>
      <c r="EQ6" s="54">
        <v>0.0</v>
      </c>
      <c r="ER6" s="54">
        <v>0.0</v>
      </c>
      <c r="ES6" s="54">
        <v>0.0</v>
      </c>
      <c r="ET6" s="54">
        <v>0.0</v>
      </c>
      <c r="EU6" s="54">
        <v>0.0</v>
      </c>
      <c r="EV6" s="54">
        <v>0.0</v>
      </c>
      <c r="EW6" s="54">
        <v>0.0</v>
      </c>
      <c r="EX6" s="54">
        <v>0.0</v>
      </c>
      <c r="EY6" s="54">
        <v>0.0</v>
      </c>
      <c r="EZ6" s="54">
        <v>0.0</v>
      </c>
      <c r="FA6" s="54">
        <v>0.0</v>
      </c>
      <c r="FB6" s="54">
        <v>2141065.0</v>
      </c>
      <c r="FC6" s="54">
        <v>0.0</v>
      </c>
      <c r="FD6" s="54">
        <v>207217.0</v>
      </c>
      <c r="FE6" s="54">
        <v>0.0</v>
      </c>
      <c r="FF6" s="54">
        <v>0.0</v>
      </c>
      <c r="FG6" s="54">
        <v>0.0</v>
      </c>
      <c r="FH6" s="54">
        <v>0.0</v>
      </c>
      <c r="FI6" s="54">
        <v>0.0</v>
      </c>
      <c r="FJ6" s="54">
        <v>0.0</v>
      </c>
      <c r="FK6" s="54">
        <v>0.0</v>
      </c>
      <c r="FL6" s="54">
        <v>0.0</v>
      </c>
      <c r="FM6" s="54">
        <v>0.0</v>
      </c>
      <c r="FN6" s="54">
        <v>0.0</v>
      </c>
      <c r="FO6" s="54">
        <v>0.0</v>
      </c>
      <c r="FP6" s="54">
        <v>0.0</v>
      </c>
      <c r="FQ6" s="54">
        <v>0.0</v>
      </c>
      <c r="FR6" s="54">
        <v>0.0</v>
      </c>
      <c r="FS6" s="54">
        <v>0.0</v>
      </c>
      <c r="FT6" s="54">
        <v>0.0</v>
      </c>
      <c r="FU6" s="54">
        <v>0.0</v>
      </c>
      <c r="FV6" s="54">
        <v>0.0</v>
      </c>
      <c r="FW6" s="54">
        <v>177822.0</v>
      </c>
      <c r="FX6" s="54">
        <v>0.0</v>
      </c>
      <c r="FY6" s="54">
        <v>0.0</v>
      </c>
      <c r="FZ6" s="54">
        <v>0.0</v>
      </c>
      <c r="GA6" s="54">
        <v>87952.0</v>
      </c>
      <c r="GB6" s="54">
        <v>0.0</v>
      </c>
      <c r="GC6" s="54">
        <v>0.0</v>
      </c>
      <c r="GD6" s="54">
        <v>0.0</v>
      </c>
      <c r="GE6" s="54">
        <v>0.0</v>
      </c>
      <c r="GF6" s="55">
        <v>2.95434335E8</v>
      </c>
      <c r="GG6" s="56">
        <v>0.0</v>
      </c>
      <c r="GH6" s="57">
        <v>0.0</v>
      </c>
      <c r="GI6" s="56">
        <v>0.0</v>
      </c>
      <c r="GJ6" s="56">
        <v>0.0</v>
      </c>
      <c r="GK6" s="56">
        <v>7821.0</v>
      </c>
      <c r="GL6" s="56">
        <v>6283.0</v>
      </c>
      <c r="GM6" s="56">
        <v>0.0</v>
      </c>
      <c r="GN6" s="55">
        <v>14104.0</v>
      </c>
      <c r="GO6" s="58">
        <v>2.95448439E8</v>
      </c>
      <c r="GP6" s="56">
        <v>7749.0</v>
      </c>
      <c r="GQ6" s="56">
        <v>0.0</v>
      </c>
      <c r="GR6" s="57">
        <v>0.0</v>
      </c>
      <c r="GS6" s="55">
        <v>7749.0</v>
      </c>
      <c r="GT6" s="59">
        <v>7265624.0</v>
      </c>
      <c r="GU6" s="59">
        <v>0.0</v>
      </c>
      <c r="GV6" s="59">
        <v>3324485.0</v>
      </c>
      <c r="GW6" s="55">
        <v>1.0590109E7</v>
      </c>
      <c r="GX6" s="55">
        <v>1085.0</v>
      </c>
      <c r="GY6" s="55">
        <v>2.84849496E8</v>
      </c>
      <c r="GZ6" s="58">
        <v>2.95448439E8</v>
      </c>
      <c r="HC6" s="107" t="s">
        <v>12</v>
      </c>
      <c r="HD6" s="112" t="s">
        <v>479</v>
      </c>
      <c r="HE6" s="109" t="s">
        <v>307</v>
      </c>
      <c r="HF6" s="113">
        <f>GZ42</f>
        <v>487069819</v>
      </c>
      <c r="HH6" s="106"/>
    </row>
    <row r="7">
      <c r="A7" s="60">
        <v>2.0</v>
      </c>
      <c r="B7" s="111" t="s">
        <v>272</v>
      </c>
      <c r="C7" s="62">
        <v>0.0</v>
      </c>
      <c r="D7" s="62">
        <v>4099707.0</v>
      </c>
      <c r="E7" s="62">
        <v>0.0</v>
      </c>
      <c r="F7" s="62">
        <v>0.0</v>
      </c>
      <c r="G7" s="62">
        <v>0.0</v>
      </c>
      <c r="H7" s="62">
        <v>0.0</v>
      </c>
      <c r="I7" s="62">
        <v>0.0</v>
      </c>
      <c r="J7" s="62">
        <v>0.0</v>
      </c>
      <c r="K7" s="62">
        <v>0.0</v>
      </c>
      <c r="L7" s="62">
        <v>0.0</v>
      </c>
      <c r="M7" s="62">
        <v>0.0</v>
      </c>
      <c r="N7" s="62">
        <v>0.0</v>
      </c>
      <c r="O7" s="62">
        <v>0.0</v>
      </c>
      <c r="P7" s="62">
        <v>0.0</v>
      </c>
      <c r="Q7" s="62">
        <v>0.0</v>
      </c>
      <c r="R7" s="62">
        <v>0.0</v>
      </c>
      <c r="S7" s="62">
        <v>0.0</v>
      </c>
      <c r="T7" s="62">
        <v>0.0</v>
      </c>
      <c r="U7" s="62">
        <v>0.0</v>
      </c>
      <c r="V7" s="62">
        <v>0.0</v>
      </c>
      <c r="W7" s="62">
        <v>0.0</v>
      </c>
      <c r="X7" s="62">
        <v>0.0</v>
      </c>
      <c r="Y7" s="62">
        <v>0.0</v>
      </c>
      <c r="Z7" s="62">
        <v>0.0</v>
      </c>
      <c r="AA7" s="62">
        <v>0.0</v>
      </c>
      <c r="AB7" s="62">
        <v>580164.0</v>
      </c>
      <c r="AC7" s="62">
        <v>423747.0</v>
      </c>
      <c r="AD7" s="62">
        <v>2364299.0</v>
      </c>
      <c r="AE7" s="62">
        <v>65324.0</v>
      </c>
      <c r="AF7" s="62">
        <v>0.0</v>
      </c>
      <c r="AG7" s="62">
        <v>0.0</v>
      </c>
      <c r="AH7" s="62">
        <v>0.0</v>
      </c>
      <c r="AI7" s="62">
        <v>485694.0</v>
      </c>
      <c r="AJ7" s="62">
        <v>32568.0</v>
      </c>
      <c r="AK7" s="62">
        <v>11029.0</v>
      </c>
      <c r="AL7" s="62">
        <v>0.0</v>
      </c>
      <c r="AM7" s="62">
        <v>0.0</v>
      </c>
      <c r="AN7" s="62">
        <v>0.0</v>
      </c>
      <c r="AO7" s="62">
        <v>0.0</v>
      </c>
      <c r="AP7" s="62">
        <v>0.0</v>
      </c>
      <c r="AQ7" s="62">
        <v>0.0</v>
      </c>
      <c r="AR7" s="62">
        <v>0.0</v>
      </c>
      <c r="AS7" s="62">
        <v>0.0</v>
      </c>
      <c r="AT7" s="62">
        <v>0.0</v>
      </c>
      <c r="AU7" s="62">
        <v>0.0</v>
      </c>
      <c r="AV7" s="62">
        <v>0.0</v>
      </c>
      <c r="AW7" s="62">
        <v>0.0</v>
      </c>
      <c r="AX7" s="62">
        <v>0.0</v>
      </c>
      <c r="AY7" s="62">
        <v>0.0</v>
      </c>
      <c r="AZ7" s="62">
        <v>0.0</v>
      </c>
      <c r="BA7" s="62">
        <v>0.0</v>
      </c>
      <c r="BB7" s="62">
        <v>0.0</v>
      </c>
      <c r="BC7" s="62">
        <v>0.0</v>
      </c>
      <c r="BD7" s="62">
        <v>0.0</v>
      </c>
      <c r="BE7" s="62">
        <v>0.0</v>
      </c>
      <c r="BF7" s="62">
        <v>0.0</v>
      </c>
      <c r="BG7" s="62">
        <v>0.0</v>
      </c>
      <c r="BH7" s="62">
        <v>2014583.0</v>
      </c>
      <c r="BI7" s="62">
        <v>0.0</v>
      </c>
      <c r="BJ7" s="62">
        <v>0.0</v>
      </c>
      <c r="BK7" s="62">
        <v>5025316.0</v>
      </c>
      <c r="BL7" s="62">
        <v>132251.0</v>
      </c>
      <c r="BM7" s="62">
        <v>0.0</v>
      </c>
      <c r="BN7" s="62">
        <v>0.0</v>
      </c>
      <c r="BO7" s="62">
        <v>5136.0</v>
      </c>
      <c r="BP7" s="62">
        <v>0.0</v>
      </c>
      <c r="BQ7" s="62">
        <v>0.0</v>
      </c>
      <c r="BR7" s="62">
        <v>1882260.0</v>
      </c>
      <c r="BS7" s="62">
        <v>0.0</v>
      </c>
      <c r="BT7" s="62">
        <v>998789.0</v>
      </c>
      <c r="BU7" s="62">
        <v>1.0047184E7</v>
      </c>
      <c r="BV7" s="62">
        <v>3.2470234E7</v>
      </c>
      <c r="BW7" s="62">
        <v>99279.0</v>
      </c>
      <c r="BX7" s="62">
        <v>261545.0</v>
      </c>
      <c r="BY7" s="62">
        <v>1342973.0</v>
      </c>
      <c r="BZ7" s="62">
        <v>89176.0</v>
      </c>
      <c r="CA7" s="62">
        <v>0.0</v>
      </c>
      <c r="CB7" s="62">
        <v>0.0</v>
      </c>
      <c r="CC7" s="62">
        <v>0.0</v>
      </c>
      <c r="CD7" s="62">
        <v>0.0</v>
      </c>
      <c r="CE7" s="62">
        <v>0.0</v>
      </c>
      <c r="CF7" s="62">
        <v>0.0</v>
      </c>
      <c r="CG7" s="62">
        <v>0.0</v>
      </c>
      <c r="CH7" s="62">
        <v>0.0</v>
      </c>
      <c r="CI7" s="62">
        <v>0.0</v>
      </c>
      <c r="CJ7" s="62">
        <v>0.0</v>
      </c>
      <c r="CK7" s="62">
        <v>0.0</v>
      </c>
      <c r="CL7" s="62">
        <v>0.0</v>
      </c>
      <c r="CM7" s="62">
        <v>0.0</v>
      </c>
      <c r="CN7" s="62">
        <v>0.0</v>
      </c>
      <c r="CO7" s="62">
        <v>0.0</v>
      </c>
      <c r="CP7" s="62">
        <v>0.0</v>
      </c>
      <c r="CQ7" s="62">
        <v>0.0</v>
      </c>
      <c r="CR7" s="62">
        <v>0.0</v>
      </c>
      <c r="CS7" s="62">
        <v>0.0</v>
      </c>
      <c r="CT7" s="62">
        <v>0.0</v>
      </c>
      <c r="CU7" s="62">
        <v>0.0</v>
      </c>
      <c r="CV7" s="62">
        <v>0.0</v>
      </c>
      <c r="CW7" s="62">
        <v>0.0</v>
      </c>
      <c r="CX7" s="62">
        <v>0.0</v>
      </c>
      <c r="CY7" s="62">
        <v>0.0</v>
      </c>
      <c r="CZ7" s="62">
        <v>0.0</v>
      </c>
      <c r="DA7" s="62">
        <v>0.0</v>
      </c>
      <c r="DB7" s="62">
        <v>0.0</v>
      </c>
      <c r="DC7" s="62">
        <v>0.0</v>
      </c>
      <c r="DD7" s="62">
        <v>587.0</v>
      </c>
      <c r="DE7" s="62">
        <v>0.0</v>
      </c>
      <c r="DF7" s="62">
        <v>0.0</v>
      </c>
      <c r="DG7" s="62">
        <v>0.0</v>
      </c>
      <c r="DH7" s="62">
        <v>0.0</v>
      </c>
      <c r="DI7" s="62">
        <v>0.0</v>
      </c>
      <c r="DJ7" s="62">
        <v>0.0</v>
      </c>
      <c r="DK7" s="62">
        <v>0.0</v>
      </c>
      <c r="DL7" s="62">
        <v>0.0</v>
      </c>
      <c r="DM7" s="62">
        <v>0.0</v>
      </c>
      <c r="DN7" s="62">
        <v>0.0</v>
      </c>
      <c r="DO7" s="62">
        <v>0.0</v>
      </c>
      <c r="DP7" s="62">
        <v>0.0</v>
      </c>
      <c r="DQ7" s="62">
        <v>0.0</v>
      </c>
      <c r="DR7" s="62">
        <v>0.0</v>
      </c>
      <c r="DS7" s="62">
        <v>0.0</v>
      </c>
      <c r="DT7" s="62">
        <v>0.0</v>
      </c>
      <c r="DU7" s="62">
        <v>0.0</v>
      </c>
      <c r="DV7" s="62">
        <v>0.0</v>
      </c>
      <c r="DW7" s="62">
        <v>0.0</v>
      </c>
      <c r="DX7" s="62">
        <v>0.0</v>
      </c>
      <c r="DY7" s="62">
        <v>0.0</v>
      </c>
      <c r="DZ7" s="62">
        <v>0.0</v>
      </c>
      <c r="EA7" s="62">
        <v>0.0</v>
      </c>
      <c r="EB7" s="62">
        <v>0.0</v>
      </c>
      <c r="EC7" s="62">
        <v>0.0</v>
      </c>
      <c r="ED7" s="62">
        <v>0.0</v>
      </c>
      <c r="EE7" s="62">
        <v>0.0</v>
      </c>
      <c r="EF7" s="62">
        <v>0.0</v>
      </c>
      <c r="EG7" s="62">
        <v>0.0</v>
      </c>
      <c r="EH7" s="62">
        <v>0.0</v>
      </c>
      <c r="EI7" s="62">
        <v>0.0</v>
      </c>
      <c r="EJ7" s="62">
        <v>0.0</v>
      </c>
      <c r="EK7" s="62">
        <v>0.0</v>
      </c>
      <c r="EL7" s="62">
        <v>0.0</v>
      </c>
      <c r="EM7" s="62">
        <v>0.0</v>
      </c>
      <c r="EN7" s="62">
        <v>0.0</v>
      </c>
      <c r="EO7" s="62">
        <v>0.0</v>
      </c>
      <c r="EP7" s="62">
        <v>0.0</v>
      </c>
      <c r="EQ7" s="62">
        <v>0.0</v>
      </c>
      <c r="ER7" s="62">
        <v>0.0</v>
      </c>
      <c r="ES7" s="62">
        <v>0.0</v>
      </c>
      <c r="ET7" s="62">
        <v>0.0</v>
      </c>
      <c r="EU7" s="62">
        <v>0.0</v>
      </c>
      <c r="EV7" s="62">
        <v>0.0</v>
      </c>
      <c r="EW7" s="62">
        <v>0.0</v>
      </c>
      <c r="EX7" s="62">
        <v>0.0</v>
      </c>
      <c r="EY7" s="62">
        <v>0.0</v>
      </c>
      <c r="EZ7" s="62">
        <v>0.0</v>
      </c>
      <c r="FA7" s="62">
        <v>0.0</v>
      </c>
      <c r="FB7" s="62">
        <v>0.0</v>
      </c>
      <c r="FC7" s="62">
        <v>0.0</v>
      </c>
      <c r="FD7" s="62">
        <v>0.0</v>
      </c>
      <c r="FE7" s="62">
        <v>0.0</v>
      </c>
      <c r="FF7" s="62">
        <v>0.0</v>
      </c>
      <c r="FG7" s="62">
        <v>0.0</v>
      </c>
      <c r="FH7" s="62">
        <v>0.0</v>
      </c>
      <c r="FI7" s="62">
        <v>0.0</v>
      </c>
      <c r="FJ7" s="62">
        <v>269995.0</v>
      </c>
      <c r="FK7" s="62">
        <v>1.3167725E7</v>
      </c>
      <c r="FL7" s="62">
        <v>0.0</v>
      </c>
      <c r="FM7" s="62">
        <v>0.0</v>
      </c>
      <c r="FN7" s="62">
        <v>0.0</v>
      </c>
      <c r="FO7" s="62">
        <v>0.0</v>
      </c>
      <c r="FP7" s="62">
        <v>0.0</v>
      </c>
      <c r="FQ7" s="62">
        <v>0.0</v>
      </c>
      <c r="FR7" s="62">
        <v>0.0</v>
      </c>
      <c r="FS7" s="62">
        <v>0.0</v>
      </c>
      <c r="FT7" s="62">
        <v>0.0</v>
      </c>
      <c r="FU7" s="62">
        <v>0.0</v>
      </c>
      <c r="FV7" s="62">
        <v>0.0</v>
      </c>
      <c r="FW7" s="62">
        <v>155497.0</v>
      </c>
      <c r="FX7" s="62">
        <v>412.0</v>
      </c>
      <c r="FY7" s="62">
        <v>6069.0</v>
      </c>
      <c r="FZ7" s="62">
        <v>73.0</v>
      </c>
      <c r="GA7" s="62">
        <v>32873.0</v>
      </c>
      <c r="GB7" s="62">
        <v>335574.0</v>
      </c>
      <c r="GC7" s="62">
        <v>75956.0</v>
      </c>
      <c r="GD7" s="62">
        <v>0.0</v>
      </c>
      <c r="GE7" s="62">
        <v>102354.0</v>
      </c>
      <c r="GF7" s="63">
        <v>7.6578373E7</v>
      </c>
      <c r="GG7" s="64">
        <v>1.9971132E7</v>
      </c>
      <c r="GH7" s="65">
        <v>0.0</v>
      </c>
      <c r="GI7" s="64">
        <v>0.0</v>
      </c>
      <c r="GJ7" s="64">
        <v>0.0</v>
      </c>
      <c r="GK7" s="64">
        <v>2451558.0</v>
      </c>
      <c r="GL7" s="64">
        <v>242414.0</v>
      </c>
      <c r="GM7" s="64">
        <v>0.0</v>
      </c>
      <c r="GN7" s="63">
        <v>2.2665104E7</v>
      </c>
      <c r="GO7" s="66">
        <v>9.9243477E7</v>
      </c>
      <c r="GP7" s="64">
        <v>2691076.0</v>
      </c>
      <c r="GQ7" s="64">
        <v>0.0</v>
      </c>
      <c r="GR7" s="65">
        <v>0.0</v>
      </c>
      <c r="GS7" s="63">
        <v>2691076.0</v>
      </c>
      <c r="GT7" s="67">
        <v>8619323.0</v>
      </c>
      <c r="GU7" s="67">
        <v>6261088.0</v>
      </c>
      <c r="GV7" s="67">
        <v>2367648.0</v>
      </c>
      <c r="GW7" s="63">
        <v>1.7248059E7</v>
      </c>
      <c r="GX7" s="63">
        <v>127769.0</v>
      </c>
      <c r="GY7" s="63">
        <v>7.9176573E7</v>
      </c>
      <c r="GZ7" s="66">
        <v>9.9243477E7</v>
      </c>
      <c r="HC7" s="107" t="s">
        <v>13</v>
      </c>
      <c r="HD7" s="112" t="s">
        <v>480</v>
      </c>
      <c r="HE7" s="109" t="s">
        <v>481</v>
      </c>
      <c r="HF7" s="113">
        <f>SUM(GZ43,GZ44,GZ56)</f>
        <v>566460917</v>
      </c>
      <c r="HH7" s="106"/>
    </row>
    <row r="8">
      <c r="A8" s="60">
        <v>3.0</v>
      </c>
      <c r="B8" s="111" t="s">
        <v>273</v>
      </c>
      <c r="C8" s="62">
        <v>0.0</v>
      </c>
      <c r="D8" s="62">
        <v>0.0</v>
      </c>
      <c r="E8" s="62">
        <v>487697.0</v>
      </c>
      <c r="F8" s="62">
        <v>0.0</v>
      </c>
      <c r="G8" s="62">
        <v>0.0</v>
      </c>
      <c r="H8" s="62">
        <v>0.0</v>
      </c>
      <c r="I8" s="62">
        <v>0.0</v>
      </c>
      <c r="J8" s="62">
        <v>0.0</v>
      </c>
      <c r="K8" s="62">
        <v>0.0</v>
      </c>
      <c r="L8" s="62">
        <v>0.0</v>
      </c>
      <c r="M8" s="62">
        <v>0.0</v>
      </c>
      <c r="N8" s="62">
        <v>0.0</v>
      </c>
      <c r="O8" s="62">
        <v>0.0</v>
      </c>
      <c r="P8" s="62">
        <v>0.0</v>
      </c>
      <c r="Q8" s="62">
        <v>0.0</v>
      </c>
      <c r="R8" s="62">
        <v>0.0</v>
      </c>
      <c r="S8" s="62">
        <v>0.0</v>
      </c>
      <c r="T8" s="62">
        <v>0.0</v>
      </c>
      <c r="U8" s="62">
        <v>0.0</v>
      </c>
      <c r="V8" s="62">
        <v>0.0</v>
      </c>
      <c r="W8" s="62">
        <v>0.0</v>
      </c>
      <c r="X8" s="62">
        <v>0.0</v>
      </c>
      <c r="Y8" s="62">
        <v>0.0</v>
      </c>
      <c r="Z8" s="62">
        <v>0.0</v>
      </c>
      <c r="AA8" s="62">
        <v>0.0</v>
      </c>
      <c r="AB8" s="62">
        <v>90848.0</v>
      </c>
      <c r="AC8" s="62">
        <v>49420.0</v>
      </c>
      <c r="AD8" s="62">
        <v>56461.0</v>
      </c>
      <c r="AE8" s="62">
        <v>7334.0</v>
      </c>
      <c r="AF8" s="62">
        <v>0.0</v>
      </c>
      <c r="AG8" s="62">
        <v>0.0</v>
      </c>
      <c r="AH8" s="62">
        <v>0.0</v>
      </c>
      <c r="AI8" s="62">
        <v>0.0</v>
      </c>
      <c r="AJ8" s="62">
        <v>0.0</v>
      </c>
      <c r="AK8" s="62">
        <v>0.0</v>
      </c>
      <c r="AL8" s="62">
        <v>0.0</v>
      </c>
      <c r="AM8" s="62">
        <v>0.0</v>
      </c>
      <c r="AN8" s="62">
        <v>0.0</v>
      </c>
      <c r="AO8" s="62">
        <v>0.0</v>
      </c>
      <c r="AP8" s="62">
        <v>0.0</v>
      </c>
      <c r="AQ8" s="62">
        <v>0.0</v>
      </c>
      <c r="AR8" s="62">
        <v>0.0</v>
      </c>
      <c r="AS8" s="62">
        <v>0.0</v>
      </c>
      <c r="AT8" s="62">
        <v>0.0</v>
      </c>
      <c r="AU8" s="62">
        <v>0.0</v>
      </c>
      <c r="AV8" s="62">
        <v>0.0</v>
      </c>
      <c r="AW8" s="62">
        <v>0.0</v>
      </c>
      <c r="AX8" s="62">
        <v>0.0</v>
      </c>
      <c r="AY8" s="62">
        <v>0.0</v>
      </c>
      <c r="AZ8" s="62">
        <v>0.0</v>
      </c>
      <c r="BA8" s="62">
        <v>0.0</v>
      </c>
      <c r="BB8" s="62">
        <v>0.0</v>
      </c>
      <c r="BC8" s="62">
        <v>0.0</v>
      </c>
      <c r="BD8" s="62">
        <v>0.0</v>
      </c>
      <c r="BE8" s="62">
        <v>0.0</v>
      </c>
      <c r="BF8" s="62">
        <v>0.0</v>
      </c>
      <c r="BG8" s="62">
        <v>7400.0</v>
      </c>
      <c r="BH8" s="62">
        <v>0.0</v>
      </c>
      <c r="BI8" s="62">
        <v>0.0</v>
      </c>
      <c r="BJ8" s="62">
        <v>0.0</v>
      </c>
      <c r="BK8" s="62">
        <v>422045.0</v>
      </c>
      <c r="BL8" s="62">
        <v>0.0</v>
      </c>
      <c r="BM8" s="62">
        <v>0.0</v>
      </c>
      <c r="BN8" s="62">
        <v>0.0</v>
      </c>
      <c r="BO8" s="62">
        <v>564.0</v>
      </c>
      <c r="BP8" s="62">
        <v>0.0</v>
      </c>
      <c r="BQ8" s="62">
        <v>0.0</v>
      </c>
      <c r="BR8" s="62">
        <v>0.0</v>
      </c>
      <c r="BS8" s="62">
        <v>0.0</v>
      </c>
      <c r="BT8" s="62">
        <v>0.0</v>
      </c>
      <c r="BU8" s="62">
        <v>1331003.0</v>
      </c>
      <c r="BV8" s="62">
        <v>40793.0</v>
      </c>
      <c r="BW8" s="62">
        <v>26.0</v>
      </c>
      <c r="BX8" s="62">
        <v>0.0</v>
      </c>
      <c r="BY8" s="62">
        <v>0.0</v>
      </c>
      <c r="BZ8" s="62">
        <v>0.0</v>
      </c>
      <c r="CA8" s="62">
        <v>0.0</v>
      </c>
      <c r="CB8" s="62">
        <v>0.0</v>
      </c>
      <c r="CC8" s="62">
        <v>0.0</v>
      </c>
      <c r="CD8" s="62">
        <v>0.0</v>
      </c>
      <c r="CE8" s="62">
        <v>0.0</v>
      </c>
      <c r="CF8" s="62">
        <v>0.0</v>
      </c>
      <c r="CG8" s="62">
        <v>0.0</v>
      </c>
      <c r="CH8" s="62">
        <v>0.0</v>
      </c>
      <c r="CI8" s="62">
        <v>0.0</v>
      </c>
      <c r="CJ8" s="62">
        <v>0.0</v>
      </c>
      <c r="CK8" s="62">
        <v>0.0</v>
      </c>
      <c r="CL8" s="62">
        <v>0.0</v>
      </c>
      <c r="CM8" s="62">
        <v>0.0</v>
      </c>
      <c r="CN8" s="62">
        <v>0.0</v>
      </c>
      <c r="CO8" s="62">
        <v>0.0</v>
      </c>
      <c r="CP8" s="62">
        <v>0.0</v>
      </c>
      <c r="CQ8" s="62">
        <v>0.0</v>
      </c>
      <c r="CR8" s="62">
        <v>0.0</v>
      </c>
      <c r="CS8" s="62">
        <v>0.0</v>
      </c>
      <c r="CT8" s="62">
        <v>0.0</v>
      </c>
      <c r="CU8" s="62">
        <v>0.0</v>
      </c>
      <c r="CV8" s="62">
        <v>0.0</v>
      </c>
      <c r="CW8" s="62">
        <v>0.0</v>
      </c>
      <c r="CX8" s="62">
        <v>0.0</v>
      </c>
      <c r="CY8" s="62">
        <v>0.0</v>
      </c>
      <c r="CZ8" s="62">
        <v>0.0</v>
      </c>
      <c r="DA8" s="62">
        <v>0.0</v>
      </c>
      <c r="DB8" s="62">
        <v>0.0</v>
      </c>
      <c r="DC8" s="62">
        <v>0.0</v>
      </c>
      <c r="DD8" s="62">
        <v>169.0</v>
      </c>
      <c r="DE8" s="62">
        <v>0.0</v>
      </c>
      <c r="DF8" s="62">
        <v>0.0</v>
      </c>
      <c r="DG8" s="62">
        <v>0.0</v>
      </c>
      <c r="DH8" s="62">
        <v>0.0</v>
      </c>
      <c r="DI8" s="62">
        <v>0.0</v>
      </c>
      <c r="DJ8" s="62">
        <v>0.0</v>
      </c>
      <c r="DK8" s="62">
        <v>0.0</v>
      </c>
      <c r="DL8" s="62">
        <v>0.0</v>
      </c>
      <c r="DM8" s="62">
        <v>0.0</v>
      </c>
      <c r="DN8" s="62">
        <v>0.0</v>
      </c>
      <c r="DO8" s="62">
        <v>0.0</v>
      </c>
      <c r="DP8" s="62">
        <v>0.0</v>
      </c>
      <c r="DQ8" s="62">
        <v>0.0</v>
      </c>
      <c r="DR8" s="62">
        <v>0.0</v>
      </c>
      <c r="DS8" s="62">
        <v>0.0</v>
      </c>
      <c r="DT8" s="62">
        <v>0.0</v>
      </c>
      <c r="DU8" s="62">
        <v>0.0</v>
      </c>
      <c r="DV8" s="62">
        <v>0.0</v>
      </c>
      <c r="DW8" s="62">
        <v>0.0</v>
      </c>
      <c r="DX8" s="62">
        <v>0.0</v>
      </c>
      <c r="DY8" s="62">
        <v>0.0</v>
      </c>
      <c r="DZ8" s="62">
        <v>0.0</v>
      </c>
      <c r="EA8" s="62">
        <v>0.0</v>
      </c>
      <c r="EB8" s="62">
        <v>0.0</v>
      </c>
      <c r="EC8" s="62">
        <v>0.0</v>
      </c>
      <c r="ED8" s="62">
        <v>0.0</v>
      </c>
      <c r="EE8" s="62">
        <v>0.0</v>
      </c>
      <c r="EF8" s="62">
        <v>0.0</v>
      </c>
      <c r="EG8" s="62">
        <v>0.0</v>
      </c>
      <c r="EH8" s="62">
        <v>0.0</v>
      </c>
      <c r="EI8" s="62">
        <v>0.0</v>
      </c>
      <c r="EJ8" s="62">
        <v>0.0</v>
      </c>
      <c r="EK8" s="62">
        <v>0.0</v>
      </c>
      <c r="EL8" s="62">
        <v>0.0</v>
      </c>
      <c r="EM8" s="62">
        <v>0.0</v>
      </c>
      <c r="EN8" s="62">
        <v>0.0</v>
      </c>
      <c r="EO8" s="62">
        <v>0.0</v>
      </c>
      <c r="EP8" s="62">
        <v>0.0</v>
      </c>
      <c r="EQ8" s="62">
        <v>0.0</v>
      </c>
      <c r="ER8" s="62">
        <v>0.0</v>
      </c>
      <c r="ES8" s="62">
        <v>0.0</v>
      </c>
      <c r="ET8" s="62">
        <v>0.0</v>
      </c>
      <c r="EU8" s="62">
        <v>0.0</v>
      </c>
      <c r="EV8" s="62">
        <v>0.0</v>
      </c>
      <c r="EW8" s="62">
        <v>0.0</v>
      </c>
      <c r="EX8" s="62">
        <v>0.0</v>
      </c>
      <c r="EY8" s="62">
        <v>0.0</v>
      </c>
      <c r="EZ8" s="62">
        <v>0.0</v>
      </c>
      <c r="FA8" s="62">
        <v>0.0</v>
      </c>
      <c r="FB8" s="62">
        <v>0.0</v>
      </c>
      <c r="FC8" s="62">
        <v>0.0</v>
      </c>
      <c r="FD8" s="62">
        <v>0.0</v>
      </c>
      <c r="FE8" s="62">
        <v>0.0</v>
      </c>
      <c r="FF8" s="62">
        <v>0.0</v>
      </c>
      <c r="FG8" s="62">
        <v>0.0</v>
      </c>
      <c r="FH8" s="62">
        <v>0.0</v>
      </c>
      <c r="FI8" s="62">
        <v>0.0</v>
      </c>
      <c r="FJ8" s="62">
        <v>50496.0</v>
      </c>
      <c r="FK8" s="62">
        <v>612148.0</v>
      </c>
      <c r="FL8" s="62">
        <v>0.0</v>
      </c>
      <c r="FM8" s="62">
        <v>0.0</v>
      </c>
      <c r="FN8" s="62">
        <v>0.0</v>
      </c>
      <c r="FO8" s="62">
        <v>0.0</v>
      </c>
      <c r="FP8" s="62">
        <v>0.0</v>
      </c>
      <c r="FQ8" s="62">
        <v>0.0</v>
      </c>
      <c r="FR8" s="62">
        <v>0.0</v>
      </c>
      <c r="FS8" s="62">
        <v>0.0</v>
      </c>
      <c r="FT8" s="62">
        <v>0.0</v>
      </c>
      <c r="FU8" s="62">
        <v>0.0</v>
      </c>
      <c r="FV8" s="62">
        <v>0.0</v>
      </c>
      <c r="FW8" s="62">
        <v>3918.0</v>
      </c>
      <c r="FX8" s="62">
        <v>231.0</v>
      </c>
      <c r="FY8" s="62">
        <v>112995.0</v>
      </c>
      <c r="FZ8" s="62">
        <v>30.0</v>
      </c>
      <c r="GA8" s="62">
        <v>3836.0</v>
      </c>
      <c r="GB8" s="62">
        <v>48061.0</v>
      </c>
      <c r="GC8" s="62">
        <v>199281.0</v>
      </c>
      <c r="GD8" s="62">
        <v>0.0</v>
      </c>
      <c r="GE8" s="62">
        <v>1299.0</v>
      </c>
      <c r="GF8" s="63">
        <v>3526055.0</v>
      </c>
      <c r="GG8" s="64">
        <v>7081451.0</v>
      </c>
      <c r="GH8" s="65">
        <v>0.0</v>
      </c>
      <c r="GI8" s="64">
        <v>0.0</v>
      </c>
      <c r="GJ8" s="64">
        <v>0.0</v>
      </c>
      <c r="GK8" s="64">
        <v>-285419.0</v>
      </c>
      <c r="GL8" s="64">
        <v>140964.0</v>
      </c>
      <c r="GM8" s="64">
        <v>0.0</v>
      </c>
      <c r="GN8" s="63">
        <v>6936996.0</v>
      </c>
      <c r="GO8" s="66">
        <v>1.0463051E7</v>
      </c>
      <c r="GP8" s="64">
        <v>1.0</v>
      </c>
      <c r="GQ8" s="64">
        <v>0.0</v>
      </c>
      <c r="GR8" s="65">
        <v>0.0</v>
      </c>
      <c r="GS8" s="63">
        <v>1.0</v>
      </c>
      <c r="GT8" s="67">
        <v>346659.0</v>
      </c>
      <c r="GU8" s="67">
        <v>796326.0</v>
      </c>
      <c r="GV8" s="67">
        <v>185157.0</v>
      </c>
      <c r="GW8" s="63">
        <v>1328142.0</v>
      </c>
      <c r="GX8" s="63">
        <v>0.0</v>
      </c>
      <c r="GY8" s="63">
        <v>9134908.0</v>
      </c>
      <c r="GZ8" s="66">
        <v>1.0463051E7</v>
      </c>
      <c r="HC8" s="107" t="s">
        <v>482</v>
      </c>
      <c r="HD8" s="107" t="s">
        <v>483</v>
      </c>
      <c r="HE8" s="109" t="s">
        <v>322</v>
      </c>
      <c r="HF8" s="113">
        <f> GZ57 + GZ53</f>
        <v>431909507</v>
      </c>
      <c r="HH8" s="106"/>
    </row>
    <row r="9">
      <c r="A9" s="60">
        <v>4.0</v>
      </c>
      <c r="B9" s="111" t="s">
        <v>274</v>
      </c>
      <c r="C9" s="62">
        <v>0.0</v>
      </c>
      <c r="D9" s="62">
        <v>0.0</v>
      </c>
      <c r="E9" s="62">
        <v>0.0</v>
      </c>
      <c r="F9" s="62">
        <v>3571482.0</v>
      </c>
      <c r="G9" s="62">
        <v>0.0</v>
      </c>
      <c r="H9" s="62">
        <v>0.0</v>
      </c>
      <c r="I9" s="62">
        <v>0.0</v>
      </c>
      <c r="J9" s="62">
        <v>0.0</v>
      </c>
      <c r="K9" s="62">
        <v>0.0</v>
      </c>
      <c r="L9" s="62">
        <v>0.0</v>
      </c>
      <c r="M9" s="62">
        <v>0.0</v>
      </c>
      <c r="N9" s="62">
        <v>0.0</v>
      </c>
      <c r="O9" s="62">
        <v>0.0</v>
      </c>
      <c r="P9" s="62">
        <v>0.0</v>
      </c>
      <c r="Q9" s="62">
        <v>0.0</v>
      </c>
      <c r="R9" s="62">
        <v>0.0</v>
      </c>
      <c r="S9" s="62">
        <v>0.0</v>
      </c>
      <c r="T9" s="62">
        <v>0.0</v>
      </c>
      <c r="U9" s="62">
        <v>0.0</v>
      </c>
      <c r="V9" s="62">
        <v>0.0</v>
      </c>
      <c r="W9" s="62">
        <v>0.0</v>
      </c>
      <c r="X9" s="62">
        <v>0.0</v>
      </c>
      <c r="Y9" s="62">
        <v>0.0</v>
      </c>
      <c r="Z9" s="62">
        <v>0.0</v>
      </c>
      <c r="AA9" s="62">
        <v>0.0</v>
      </c>
      <c r="AB9" s="62">
        <v>445948.0</v>
      </c>
      <c r="AC9" s="62">
        <v>62114.0</v>
      </c>
      <c r="AD9" s="62">
        <v>334820.0</v>
      </c>
      <c r="AE9" s="62">
        <v>21728.0</v>
      </c>
      <c r="AF9" s="62">
        <v>277.0</v>
      </c>
      <c r="AG9" s="62">
        <v>0.0</v>
      </c>
      <c r="AH9" s="62">
        <v>0.0</v>
      </c>
      <c r="AI9" s="62">
        <v>74523.0</v>
      </c>
      <c r="AJ9" s="62">
        <v>391.0</v>
      </c>
      <c r="AK9" s="62">
        <v>161.0</v>
      </c>
      <c r="AL9" s="62">
        <v>0.0</v>
      </c>
      <c r="AM9" s="62">
        <v>0.0</v>
      </c>
      <c r="AN9" s="62">
        <v>0.0</v>
      </c>
      <c r="AO9" s="62">
        <v>0.0</v>
      </c>
      <c r="AP9" s="62">
        <v>0.0</v>
      </c>
      <c r="AQ9" s="62">
        <v>0.0</v>
      </c>
      <c r="AR9" s="62">
        <v>0.0</v>
      </c>
      <c r="AS9" s="62">
        <v>0.0</v>
      </c>
      <c r="AT9" s="62">
        <v>0.0</v>
      </c>
      <c r="AU9" s="62">
        <v>0.0</v>
      </c>
      <c r="AV9" s="62">
        <v>0.0</v>
      </c>
      <c r="AW9" s="62">
        <v>0.0</v>
      </c>
      <c r="AX9" s="62">
        <v>0.0</v>
      </c>
      <c r="AY9" s="62">
        <v>0.0</v>
      </c>
      <c r="AZ9" s="62">
        <v>0.0</v>
      </c>
      <c r="BA9" s="62">
        <v>0.0</v>
      </c>
      <c r="BB9" s="62">
        <v>0.0</v>
      </c>
      <c r="BC9" s="62">
        <v>0.0</v>
      </c>
      <c r="BD9" s="62">
        <v>0.0</v>
      </c>
      <c r="BE9" s="62">
        <v>0.0</v>
      </c>
      <c r="BF9" s="62">
        <v>0.0</v>
      </c>
      <c r="BG9" s="62">
        <v>0.0</v>
      </c>
      <c r="BH9" s="62">
        <v>0.0</v>
      </c>
      <c r="BI9" s="62">
        <v>0.0</v>
      </c>
      <c r="BJ9" s="62">
        <v>0.0</v>
      </c>
      <c r="BK9" s="62">
        <v>9984346.0</v>
      </c>
      <c r="BL9" s="62">
        <v>275056.0</v>
      </c>
      <c r="BM9" s="62">
        <v>0.0</v>
      </c>
      <c r="BN9" s="62">
        <v>0.0</v>
      </c>
      <c r="BO9" s="62">
        <v>110105.0</v>
      </c>
      <c r="BP9" s="62">
        <v>0.0</v>
      </c>
      <c r="BQ9" s="62">
        <v>0.0</v>
      </c>
      <c r="BR9" s="62">
        <v>0.0</v>
      </c>
      <c r="BS9" s="62">
        <v>0.0</v>
      </c>
      <c r="BT9" s="62">
        <v>0.0</v>
      </c>
      <c r="BU9" s="62">
        <v>1.8669044E7</v>
      </c>
      <c r="BV9" s="62">
        <v>2184102.0</v>
      </c>
      <c r="BW9" s="62">
        <v>2768.0</v>
      </c>
      <c r="BX9" s="62">
        <v>0.0</v>
      </c>
      <c r="BY9" s="62">
        <v>0.0</v>
      </c>
      <c r="BZ9" s="62">
        <v>0.0</v>
      </c>
      <c r="CA9" s="62">
        <v>0.0</v>
      </c>
      <c r="CB9" s="62">
        <v>0.0</v>
      </c>
      <c r="CC9" s="62">
        <v>0.0</v>
      </c>
      <c r="CD9" s="62">
        <v>0.0</v>
      </c>
      <c r="CE9" s="62">
        <v>0.0</v>
      </c>
      <c r="CF9" s="62">
        <v>0.0</v>
      </c>
      <c r="CG9" s="62">
        <v>0.0</v>
      </c>
      <c r="CH9" s="62">
        <v>0.0</v>
      </c>
      <c r="CI9" s="62">
        <v>0.0</v>
      </c>
      <c r="CJ9" s="62">
        <v>0.0</v>
      </c>
      <c r="CK9" s="62">
        <v>0.0</v>
      </c>
      <c r="CL9" s="62">
        <v>0.0</v>
      </c>
      <c r="CM9" s="62">
        <v>0.0</v>
      </c>
      <c r="CN9" s="62">
        <v>0.0</v>
      </c>
      <c r="CO9" s="62">
        <v>0.0</v>
      </c>
      <c r="CP9" s="62">
        <v>0.0</v>
      </c>
      <c r="CQ9" s="62">
        <v>0.0</v>
      </c>
      <c r="CR9" s="62">
        <v>0.0</v>
      </c>
      <c r="CS9" s="62">
        <v>0.0</v>
      </c>
      <c r="CT9" s="62">
        <v>0.0</v>
      </c>
      <c r="CU9" s="62">
        <v>0.0</v>
      </c>
      <c r="CV9" s="62">
        <v>0.0</v>
      </c>
      <c r="CW9" s="62">
        <v>0.0</v>
      </c>
      <c r="CX9" s="62">
        <v>0.0</v>
      </c>
      <c r="CY9" s="62">
        <v>0.0</v>
      </c>
      <c r="CZ9" s="62">
        <v>0.0</v>
      </c>
      <c r="DA9" s="62">
        <v>0.0</v>
      </c>
      <c r="DB9" s="62">
        <v>0.0</v>
      </c>
      <c r="DC9" s="62">
        <v>0.0</v>
      </c>
      <c r="DD9" s="62">
        <v>388.0</v>
      </c>
      <c r="DE9" s="62">
        <v>0.0</v>
      </c>
      <c r="DF9" s="62">
        <v>0.0</v>
      </c>
      <c r="DG9" s="62">
        <v>0.0</v>
      </c>
      <c r="DH9" s="62">
        <v>0.0</v>
      </c>
      <c r="DI9" s="62">
        <v>0.0</v>
      </c>
      <c r="DJ9" s="62">
        <v>0.0</v>
      </c>
      <c r="DK9" s="62">
        <v>0.0</v>
      </c>
      <c r="DL9" s="62">
        <v>0.0</v>
      </c>
      <c r="DM9" s="62">
        <v>0.0</v>
      </c>
      <c r="DN9" s="62">
        <v>0.0</v>
      </c>
      <c r="DO9" s="62">
        <v>0.0</v>
      </c>
      <c r="DP9" s="62">
        <v>0.0</v>
      </c>
      <c r="DQ9" s="62">
        <v>0.0</v>
      </c>
      <c r="DR9" s="62">
        <v>0.0</v>
      </c>
      <c r="DS9" s="62">
        <v>0.0</v>
      </c>
      <c r="DT9" s="62">
        <v>0.0</v>
      </c>
      <c r="DU9" s="62">
        <v>0.0</v>
      </c>
      <c r="DV9" s="62">
        <v>0.0</v>
      </c>
      <c r="DW9" s="62">
        <v>0.0</v>
      </c>
      <c r="DX9" s="62">
        <v>0.0</v>
      </c>
      <c r="DY9" s="62">
        <v>0.0</v>
      </c>
      <c r="DZ9" s="62">
        <v>0.0</v>
      </c>
      <c r="EA9" s="62">
        <v>0.0</v>
      </c>
      <c r="EB9" s="62">
        <v>0.0</v>
      </c>
      <c r="EC9" s="62">
        <v>0.0</v>
      </c>
      <c r="ED9" s="62">
        <v>0.0</v>
      </c>
      <c r="EE9" s="62">
        <v>0.0</v>
      </c>
      <c r="EF9" s="62">
        <v>0.0</v>
      </c>
      <c r="EG9" s="62">
        <v>0.0</v>
      </c>
      <c r="EH9" s="62">
        <v>0.0</v>
      </c>
      <c r="EI9" s="62">
        <v>0.0</v>
      </c>
      <c r="EJ9" s="62">
        <v>0.0</v>
      </c>
      <c r="EK9" s="62">
        <v>0.0</v>
      </c>
      <c r="EL9" s="62">
        <v>0.0</v>
      </c>
      <c r="EM9" s="62">
        <v>0.0</v>
      </c>
      <c r="EN9" s="62">
        <v>0.0</v>
      </c>
      <c r="EO9" s="62">
        <v>0.0</v>
      </c>
      <c r="EP9" s="62">
        <v>0.0</v>
      </c>
      <c r="EQ9" s="62">
        <v>0.0</v>
      </c>
      <c r="ER9" s="62">
        <v>0.0</v>
      </c>
      <c r="ES9" s="62">
        <v>0.0</v>
      </c>
      <c r="ET9" s="62">
        <v>0.0</v>
      </c>
      <c r="EU9" s="62">
        <v>0.0</v>
      </c>
      <c r="EV9" s="62">
        <v>0.0</v>
      </c>
      <c r="EW9" s="62">
        <v>0.0</v>
      </c>
      <c r="EX9" s="62">
        <v>0.0</v>
      </c>
      <c r="EY9" s="62">
        <v>0.0</v>
      </c>
      <c r="EZ9" s="62">
        <v>0.0</v>
      </c>
      <c r="FA9" s="62">
        <v>0.0</v>
      </c>
      <c r="FB9" s="62">
        <v>0.0</v>
      </c>
      <c r="FC9" s="62">
        <v>0.0</v>
      </c>
      <c r="FD9" s="62">
        <v>0.0</v>
      </c>
      <c r="FE9" s="62">
        <v>0.0</v>
      </c>
      <c r="FF9" s="62">
        <v>0.0</v>
      </c>
      <c r="FG9" s="62">
        <v>0.0</v>
      </c>
      <c r="FH9" s="62">
        <v>0.0</v>
      </c>
      <c r="FI9" s="62">
        <v>0.0</v>
      </c>
      <c r="FJ9" s="62">
        <v>199677.0</v>
      </c>
      <c r="FK9" s="62">
        <v>1.5950881E7</v>
      </c>
      <c r="FL9" s="62">
        <v>0.0</v>
      </c>
      <c r="FM9" s="62">
        <v>0.0</v>
      </c>
      <c r="FN9" s="62">
        <v>0.0</v>
      </c>
      <c r="FO9" s="62">
        <v>0.0</v>
      </c>
      <c r="FP9" s="62">
        <v>0.0</v>
      </c>
      <c r="FQ9" s="62">
        <v>0.0</v>
      </c>
      <c r="FR9" s="62">
        <v>0.0</v>
      </c>
      <c r="FS9" s="62">
        <v>0.0</v>
      </c>
      <c r="FT9" s="62">
        <v>0.0</v>
      </c>
      <c r="FU9" s="62">
        <v>0.0</v>
      </c>
      <c r="FV9" s="62">
        <v>0.0</v>
      </c>
      <c r="FW9" s="62">
        <v>1294.0</v>
      </c>
      <c r="FX9" s="62">
        <v>159.0</v>
      </c>
      <c r="FY9" s="62">
        <v>55834.0</v>
      </c>
      <c r="FZ9" s="62">
        <v>62.0</v>
      </c>
      <c r="GA9" s="62">
        <v>17594.0</v>
      </c>
      <c r="GB9" s="62">
        <v>42334.0</v>
      </c>
      <c r="GC9" s="62">
        <v>120881.0</v>
      </c>
      <c r="GD9" s="62">
        <v>0.0</v>
      </c>
      <c r="GE9" s="62">
        <v>964.0</v>
      </c>
      <c r="GF9" s="63">
        <v>5.2126933E7</v>
      </c>
      <c r="GG9" s="64">
        <v>2.0498649E7</v>
      </c>
      <c r="GH9" s="65">
        <v>0.0</v>
      </c>
      <c r="GI9" s="64">
        <v>0.0</v>
      </c>
      <c r="GJ9" s="64">
        <v>0.0</v>
      </c>
      <c r="GK9" s="64">
        <v>-32598.0</v>
      </c>
      <c r="GL9" s="64">
        <v>142689.0</v>
      </c>
      <c r="GM9" s="64">
        <v>0.0</v>
      </c>
      <c r="GN9" s="63">
        <v>2.060874E7</v>
      </c>
      <c r="GO9" s="66">
        <v>7.2735673E7</v>
      </c>
      <c r="GP9" s="64">
        <v>8617.0</v>
      </c>
      <c r="GQ9" s="64">
        <v>0.0</v>
      </c>
      <c r="GR9" s="65">
        <v>0.0</v>
      </c>
      <c r="GS9" s="63">
        <v>8617.0</v>
      </c>
      <c r="GT9" s="67">
        <v>7176918.0</v>
      </c>
      <c r="GU9" s="67">
        <v>8731938.0</v>
      </c>
      <c r="GV9" s="67">
        <v>2686537.0</v>
      </c>
      <c r="GW9" s="63">
        <v>1.8595393E7</v>
      </c>
      <c r="GX9" s="63">
        <v>730.0</v>
      </c>
      <c r="GY9" s="63">
        <v>5.4130933E7</v>
      </c>
      <c r="GZ9" s="66">
        <v>7.2735673E7</v>
      </c>
      <c r="HC9" s="107" t="s">
        <v>484</v>
      </c>
      <c r="HD9" s="3" t="s">
        <v>485</v>
      </c>
      <c r="HE9" s="109" t="s">
        <v>432</v>
      </c>
      <c r="HF9" s="113">
        <f>GZ167</f>
        <v>173556761</v>
      </c>
      <c r="HH9" s="106"/>
    </row>
    <row r="10">
      <c r="A10" s="68">
        <v>5.0</v>
      </c>
      <c r="B10" s="111" t="s">
        <v>275</v>
      </c>
      <c r="C10" s="70">
        <v>0.0</v>
      </c>
      <c r="D10" s="70">
        <v>0.0</v>
      </c>
      <c r="E10" s="70">
        <v>0.0</v>
      </c>
      <c r="F10" s="70">
        <v>0.0</v>
      </c>
      <c r="G10" s="70">
        <v>134478.0</v>
      </c>
      <c r="H10" s="70">
        <v>0.0</v>
      </c>
      <c r="I10" s="70">
        <v>0.0</v>
      </c>
      <c r="J10" s="70">
        <v>0.0</v>
      </c>
      <c r="K10" s="70">
        <v>0.0</v>
      </c>
      <c r="L10" s="70">
        <v>0.0</v>
      </c>
      <c r="M10" s="70">
        <v>0.0</v>
      </c>
      <c r="N10" s="70">
        <v>0.0</v>
      </c>
      <c r="O10" s="70">
        <v>0.0</v>
      </c>
      <c r="P10" s="70">
        <v>0.0</v>
      </c>
      <c r="Q10" s="70">
        <v>0.0</v>
      </c>
      <c r="R10" s="70">
        <v>0.0</v>
      </c>
      <c r="S10" s="70">
        <v>0.0</v>
      </c>
      <c r="T10" s="70">
        <v>0.0</v>
      </c>
      <c r="U10" s="70">
        <v>0.0</v>
      </c>
      <c r="V10" s="70">
        <v>0.0</v>
      </c>
      <c r="W10" s="70">
        <v>0.0</v>
      </c>
      <c r="X10" s="70">
        <v>0.0</v>
      </c>
      <c r="Y10" s="70">
        <v>0.0</v>
      </c>
      <c r="Z10" s="70">
        <v>0.0</v>
      </c>
      <c r="AA10" s="70">
        <v>0.0</v>
      </c>
      <c r="AB10" s="70">
        <v>157005.0</v>
      </c>
      <c r="AC10" s="70">
        <v>22771.0</v>
      </c>
      <c r="AD10" s="70">
        <v>81.0</v>
      </c>
      <c r="AE10" s="70">
        <v>226.0</v>
      </c>
      <c r="AF10" s="70">
        <v>0.0</v>
      </c>
      <c r="AG10" s="70">
        <v>0.0</v>
      </c>
      <c r="AH10" s="70">
        <v>0.0</v>
      </c>
      <c r="AI10" s="70">
        <v>0.0</v>
      </c>
      <c r="AJ10" s="70">
        <v>0.0</v>
      </c>
      <c r="AK10" s="70">
        <v>0.0</v>
      </c>
      <c r="AL10" s="70">
        <v>0.0</v>
      </c>
      <c r="AM10" s="70">
        <v>0.0</v>
      </c>
      <c r="AN10" s="70">
        <v>0.0</v>
      </c>
      <c r="AO10" s="70">
        <v>0.0</v>
      </c>
      <c r="AP10" s="70">
        <v>0.0</v>
      </c>
      <c r="AQ10" s="70">
        <v>0.0</v>
      </c>
      <c r="AR10" s="70">
        <v>0.0</v>
      </c>
      <c r="AS10" s="70">
        <v>0.0</v>
      </c>
      <c r="AT10" s="70">
        <v>0.0</v>
      </c>
      <c r="AU10" s="70">
        <v>0.0</v>
      </c>
      <c r="AV10" s="70">
        <v>0.0</v>
      </c>
      <c r="AW10" s="70">
        <v>0.0</v>
      </c>
      <c r="AX10" s="70">
        <v>0.0</v>
      </c>
      <c r="AY10" s="70">
        <v>0.0</v>
      </c>
      <c r="AZ10" s="70">
        <v>0.0</v>
      </c>
      <c r="BA10" s="70">
        <v>0.0</v>
      </c>
      <c r="BB10" s="70">
        <v>0.0</v>
      </c>
      <c r="BC10" s="70">
        <v>0.0</v>
      </c>
      <c r="BD10" s="70">
        <v>0.0</v>
      </c>
      <c r="BE10" s="70">
        <v>0.0</v>
      </c>
      <c r="BF10" s="70">
        <v>0.0</v>
      </c>
      <c r="BG10" s="70">
        <v>0.0</v>
      </c>
      <c r="BH10" s="70">
        <v>0.0</v>
      </c>
      <c r="BI10" s="70">
        <v>0.0</v>
      </c>
      <c r="BJ10" s="70">
        <v>0.0</v>
      </c>
      <c r="BK10" s="70">
        <v>31134.0</v>
      </c>
      <c r="BL10" s="70">
        <v>0.0</v>
      </c>
      <c r="BM10" s="70">
        <v>0.0</v>
      </c>
      <c r="BN10" s="70">
        <v>0.0</v>
      </c>
      <c r="BO10" s="70">
        <v>0.0</v>
      </c>
      <c r="BP10" s="70">
        <v>0.0</v>
      </c>
      <c r="BQ10" s="70">
        <v>130.0</v>
      </c>
      <c r="BR10" s="70">
        <v>0.0</v>
      </c>
      <c r="BS10" s="70">
        <v>0.0</v>
      </c>
      <c r="BT10" s="70">
        <v>0.0</v>
      </c>
      <c r="BU10" s="70">
        <v>906582.0</v>
      </c>
      <c r="BV10" s="70">
        <v>72222.0</v>
      </c>
      <c r="BW10" s="70">
        <v>34.0</v>
      </c>
      <c r="BX10" s="70">
        <v>409.0</v>
      </c>
      <c r="BY10" s="70">
        <v>0.0</v>
      </c>
      <c r="BZ10" s="70">
        <v>0.0</v>
      </c>
      <c r="CA10" s="70">
        <v>0.0</v>
      </c>
      <c r="CB10" s="70">
        <v>0.0</v>
      </c>
      <c r="CC10" s="70">
        <v>0.0</v>
      </c>
      <c r="CD10" s="70">
        <v>0.0</v>
      </c>
      <c r="CE10" s="70">
        <v>0.0</v>
      </c>
      <c r="CF10" s="70">
        <v>0.0</v>
      </c>
      <c r="CG10" s="70">
        <v>0.0</v>
      </c>
      <c r="CH10" s="70">
        <v>0.0</v>
      </c>
      <c r="CI10" s="70">
        <v>0.0</v>
      </c>
      <c r="CJ10" s="70">
        <v>0.0</v>
      </c>
      <c r="CK10" s="70">
        <v>0.0</v>
      </c>
      <c r="CL10" s="70">
        <v>0.0</v>
      </c>
      <c r="CM10" s="70">
        <v>0.0</v>
      </c>
      <c r="CN10" s="70">
        <v>0.0</v>
      </c>
      <c r="CO10" s="70">
        <v>0.0</v>
      </c>
      <c r="CP10" s="70">
        <v>0.0</v>
      </c>
      <c r="CQ10" s="70">
        <v>0.0</v>
      </c>
      <c r="CR10" s="70">
        <v>0.0</v>
      </c>
      <c r="CS10" s="70">
        <v>0.0</v>
      </c>
      <c r="CT10" s="70">
        <v>0.0</v>
      </c>
      <c r="CU10" s="70">
        <v>0.0</v>
      </c>
      <c r="CV10" s="70">
        <v>0.0</v>
      </c>
      <c r="CW10" s="70">
        <v>0.0</v>
      </c>
      <c r="CX10" s="70">
        <v>0.0</v>
      </c>
      <c r="CY10" s="70">
        <v>0.0</v>
      </c>
      <c r="CZ10" s="70">
        <v>0.0</v>
      </c>
      <c r="DA10" s="70">
        <v>0.0</v>
      </c>
      <c r="DB10" s="70">
        <v>0.0</v>
      </c>
      <c r="DC10" s="70">
        <v>0.0</v>
      </c>
      <c r="DD10" s="70">
        <v>88.0</v>
      </c>
      <c r="DE10" s="70">
        <v>0.0</v>
      </c>
      <c r="DF10" s="70">
        <v>0.0</v>
      </c>
      <c r="DG10" s="70">
        <v>0.0</v>
      </c>
      <c r="DH10" s="70">
        <v>0.0</v>
      </c>
      <c r="DI10" s="70">
        <v>0.0</v>
      </c>
      <c r="DJ10" s="70">
        <v>0.0</v>
      </c>
      <c r="DK10" s="70">
        <v>0.0</v>
      </c>
      <c r="DL10" s="70">
        <v>0.0</v>
      </c>
      <c r="DM10" s="70">
        <v>0.0</v>
      </c>
      <c r="DN10" s="70">
        <v>0.0</v>
      </c>
      <c r="DO10" s="70">
        <v>0.0</v>
      </c>
      <c r="DP10" s="70">
        <v>0.0</v>
      </c>
      <c r="DQ10" s="70">
        <v>0.0</v>
      </c>
      <c r="DR10" s="70">
        <v>0.0</v>
      </c>
      <c r="DS10" s="70">
        <v>0.0</v>
      </c>
      <c r="DT10" s="70">
        <v>0.0</v>
      </c>
      <c r="DU10" s="70">
        <v>0.0</v>
      </c>
      <c r="DV10" s="70">
        <v>0.0</v>
      </c>
      <c r="DW10" s="70">
        <v>0.0</v>
      </c>
      <c r="DX10" s="70">
        <v>0.0</v>
      </c>
      <c r="DY10" s="70">
        <v>0.0</v>
      </c>
      <c r="DZ10" s="70">
        <v>0.0</v>
      </c>
      <c r="EA10" s="70">
        <v>0.0</v>
      </c>
      <c r="EB10" s="70">
        <v>0.0</v>
      </c>
      <c r="EC10" s="70">
        <v>0.0</v>
      </c>
      <c r="ED10" s="70">
        <v>0.0</v>
      </c>
      <c r="EE10" s="70">
        <v>0.0</v>
      </c>
      <c r="EF10" s="70">
        <v>0.0</v>
      </c>
      <c r="EG10" s="70">
        <v>0.0</v>
      </c>
      <c r="EH10" s="70">
        <v>0.0</v>
      </c>
      <c r="EI10" s="70">
        <v>0.0</v>
      </c>
      <c r="EJ10" s="70">
        <v>0.0</v>
      </c>
      <c r="EK10" s="70">
        <v>0.0</v>
      </c>
      <c r="EL10" s="70">
        <v>0.0</v>
      </c>
      <c r="EM10" s="70">
        <v>0.0</v>
      </c>
      <c r="EN10" s="70">
        <v>0.0</v>
      </c>
      <c r="EO10" s="70">
        <v>0.0</v>
      </c>
      <c r="EP10" s="70">
        <v>0.0</v>
      </c>
      <c r="EQ10" s="70">
        <v>0.0</v>
      </c>
      <c r="ER10" s="70">
        <v>0.0</v>
      </c>
      <c r="ES10" s="70">
        <v>0.0</v>
      </c>
      <c r="ET10" s="70">
        <v>0.0</v>
      </c>
      <c r="EU10" s="70">
        <v>0.0</v>
      </c>
      <c r="EV10" s="70">
        <v>0.0</v>
      </c>
      <c r="EW10" s="70">
        <v>0.0</v>
      </c>
      <c r="EX10" s="70">
        <v>0.0</v>
      </c>
      <c r="EY10" s="70">
        <v>0.0</v>
      </c>
      <c r="EZ10" s="70">
        <v>0.0</v>
      </c>
      <c r="FA10" s="70">
        <v>0.0</v>
      </c>
      <c r="FB10" s="70">
        <v>0.0</v>
      </c>
      <c r="FC10" s="70">
        <v>0.0</v>
      </c>
      <c r="FD10" s="70">
        <v>0.0</v>
      </c>
      <c r="FE10" s="70">
        <v>0.0</v>
      </c>
      <c r="FF10" s="70">
        <v>0.0</v>
      </c>
      <c r="FG10" s="70">
        <v>0.0</v>
      </c>
      <c r="FH10" s="70">
        <v>0.0</v>
      </c>
      <c r="FI10" s="70">
        <v>0.0</v>
      </c>
      <c r="FJ10" s="70">
        <v>71840.0</v>
      </c>
      <c r="FK10" s="70">
        <v>220877.0</v>
      </c>
      <c r="FL10" s="70">
        <v>0.0</v>
      </c>
      <c r="FM10" s="70">
        <v>0.0</v>
      </c>
      <c r="FN10" s="70">
        <v>0.0</v>
      </c>
      <c r="FO10" s="70">
        <v>0.0</v>
      </c>
      <c r="FP10" s="70">
        <v>0.0</v>
      </c>
      <c r="FQ10" s="70">
        <v>0.0</v>
      </c>
      <c r="FR10" s="70">
        <v>0.0</v>
      </c>
      <c r="FS10" s="70">
        <v>0.0</v>
      </c>
      <c r="FT10" s="70">
        <v>0.0</v>
      </c>
      <c r="FU10" s="70">
        <v>0.0</v>
      </c>
      <c r="FV10" s="70">
        <v>0.0</v>
      </c>
      <c r="FW10" s="70">
        <v>78385.0</v>
      </c>
      <c r="FX10" s="70">
        <v>4208.0</v>
      </c>
      <c r="FY10" s="70">
        <v>258575.0</v>
      </c>
      <c r="FZ10" s="70">
        <v>5921.0</v>
      </c>
      <c r="GA10" s="70">
        <v>3234.0</v>
      </c>
      <c r="GB10" s="70">
        <v>18207.0</v>
      </c>
      <c r="GC10" s="70">
        <v>51481.0</v>
      </c>
      <c r="GD10" s="70">
        <v>0.0</v>
      </c>
      <c r="GE10" s="70">
        <v>11343.0</v>
      </c>
      <c r="GF10" s="71">
        <v>2049231.0</v>
      </c>
      <c r="GG10" s="72">
        <v>1444796.0</v>
      </c>
      <c r="GH10" s="73">
        <v>0.0</v>
      </c>
      <c r="GI10" s="72">
        <v>0.0</v>
      </c>
      <c r="GJ10" s="72">
        <v>0.0</v>
      </c>
      <c r="GK10" s="72">
        <v>18.0</v>
      </c>
      <c r="GL10" s="72">
        <v>342547.0</v>
      </c>
      <c r="GM10" s="72">
        <v>0.0</v>
      </c>
      <c r="GN10" s="71">
        <v>1787361.0</v>
      </c>
      <c r="GO10" s="74">
        <v>3836592.0</v>
      </c>
      <c r="GP10" s="72">
        <v>20483.0</v>
      </c>
      <c r="GQ10" s="72">
        <v>0.0</v>
      </c>
      <c r="GR10" s="73">
        <v>0.0</v>
      </c>
      <c r="GS10" s="71">
        <v>20483.0</v>
      </c>
      <c r="GT10" s="75">
        <v>191856.0</v>
      </c>
      <c r="GU10" s="75">
        <v>243368.0</v>
      </c>
      <c r="GV10" s="75">
        <v>34794.0</v>
      </c>
      <c r="GW10" s="71">
        <v>470018.0</v>
      </c>
      <c r="GX10" s="71">
        <v>1385.0</v>
      </c>
      <c r="GY10" s="71">
        <v>3344706.0</v>
      </c>
      <c r="GZ10" s="74">
        <v>3836592.0</v>
      </c>
      <c r="HC10" s="107" t="s">
        <v>486</v>
      </c>
      <c r="HD10" s="114" t="s">
        <v>487</v>
      </c>
      <c r="HE10" s="109" t="s">
        <v>488</v>
      </c>
      <c r="HF10" s="113">
        <f> SUM(GZ18,GZ65,GZ78,GZ79,GZ80,GZ81)</f>
        <v>874933831</v>
      </c>
      <c r="HH10" s="106"/>
    </row>
    <row r="11">
      <c r="A11" s="52">
        <v>6.0</v>
      </c>
      <c r="B11" s="111" t="s">
        <v>276</v>
      </c>
      <c r="C11" s="54">
        <v>0.0</v>
      </c>
      <c r="D11" s="54">
        <v>0.0</v>
      </c>
      <c r="E11" s="54">
        <v>0.0</v>
      </c>
      <c r="F11" s="54">
        <v>0.0</v>
      </c>
      <c r="G11" s="54">
        <v>0.0</v>
      </c>
      <c r="H11" s="54">
        <v>293018.0</v>
      </c>
      <c r="I11" s="54">
        <v>0.0</v>
      </c>
      <c r="J11" s="54">
        <v>0.0</v>
      </c>
      <c r="K11" s="54">
        <v>0.0</v>
      </c>
      <c r="L11" s="54">
        <v>0.0</v>
      </c>
      <c r="M11" s="54">
        <v>0.0</v>
      </c>
      <c r="N11" s="54">
        <v>0.0</v>
      </c>
      <c r="O11" s="54">
        <v>0.0</v>
      </c>
      <c r="P11" s="54">
        <v>0.0</v>
      </c>
      <c r="Q11" s="54">
        <v>0.0</v>
      </c>
      <c r="R11" s="54">
        <v>0.0</v>
      </c>
      <c r="S11" s="54">
        <v>0.0</v>
      </c>
      <c r="T11" s="54">
        <v>0.0</v>
      </c>
      <c r="U11" s="54">
        <v>0.0</v>
      </c>
      <c r="V11" s="54">
        <v>0.0</v>
      </c>
      <c r="W11" s="54">
        <v>0.0</v>
      </c>
      <c r="X11" s="54">
        <v>0.0</v>
      </c>
      <c r="Y11" s="54">
        <v>0.0</v>
      </c>
      <c r="Z11" s="54">
        <v>0.0</v>
      </c>
      <c r="AA11" s="54">
        <v>0.0</v>
      </c>
      <c r="AB11" s="54">
        <v>35015.0</v>
      </c>
      <c r="AC11" s="54">
        <v>1004.0</v>
      </c>
      <c r="AD11" s="54">
        <v>15766.0</v>
      </c>
      <c r="AE11" s="54">
        <v>2494.0</v>
      </c>
      <c r="AF11" s="54">
        <v>0.0</v>
      </c>
      <c r="AG11" s="54">
        <v>0.0</v>
      </c>
      <c r="AH11" s="54">
        <v>0.0</v>
      </c>
      <c r="AI11" s="54">
        <v>0.0</v>
      </c>
      <c r="AJ11" s="54">
        <v>0.0</v>
      </c>
      <c r="AK11" s="54">
        <v>0.0</v>
      </c>
      <c r="AL11" s="54">
        <v>0.0</v>
      </c>
      <c r="AM11" s="54">
        <v>0.0</v>
      </c>
      <c r="AN11" s="54">
        <v>0.0</v>
      </c>
      <c r="AO11" s="54">
        <v>0.0</v>
      </c>
      <c r="AP11" s="54">
        <v>0.0</v>
      </c>
      <c r="AQ11" s="54">
        <v>0.0</v>
      </c>
      <c r="AR11" s="54">
        <v>0.0</v>
      </c>
      <c r="AS11" s="54">
        <v>0.0</v>
      </c>
      <c r="AT11" s="54">
        <v>0.0</v>
      </c>
      <c r="AU11" s="54">
        <v>0.0</v>
      </c>
      <c r="AV11" s="54">
        <v>0.0</v>
      </c>
      <c r="AW11" s="54">
        <v>0.0</v>
      </c>
      <c r="AX11" s="54">
        <v>0.0</v>
      </c>
      <c r="AY11" s="54">
        <v>0.0</v>
      </c>
      <c r="AZ11" s="54">
        <v>0.0</v>
      </c>
      <c r="BA11" s="54">
        <v>0.0</v>
      </c>
      <c r="BB11" s="54">
        <v>0.0</v>
      </c>
      <c r="BC11" s="54">
        <v>0.0</v>
      </c>
      <c r="BD11" s="54">
        <v>0.0</v>
      </c>
      <c r="BE11" s="54">
        <v>0.0</v>
      </c>
      <c r="BF11" s="54">
        <v>0.0</v>
      </c>
      <c r="BG11" s="54">
        <v>482006.0</v>
      </c>
      <c r="BH11" s="54">
        <v>18096.0</v>
      </c>
      <c r="BI11" s="54">
        <v>0.0</v>
      </c>
      <c r="BJ11" s="54">
        <v>0.0</v>
      </c>
      <c r="BK11" s="54">
        <v>527896.0</v>
      </c>
      <c r="BL11" s="54">
        <v>0.0</v>
      </c>
      <c r="BM11" s="54">
        <v>0.0</v>
      </c>
      <c r="BN11" s="54">
        <v>0.0</v>
      </c>
      <c r="BO11" s="54">
        <v>0.0</v>
      </c>
      <c r="BP11" s="54">
        <v>0.0</v>
      </c>
      <c r="BQ11" s="54">
        <v>0.0</v>
      </c>
      <c r="BR11" s="54">
        <v>372.0</v>
      </c>
      <c r="BS11" s="54">
        <v>0.0</v>
      </c>
      <c r="BT11" s="54">
        <v>0.0</v>
      </c>
      <c r="BU11" s="54">
        <v>2648002.0</v>
      </c>
      <c r="BV11" s="54">
        <v>437354.0</v>
      </c>
      <c r="BW11" s="54">
        <v>0.0</v>
      </c>
      <c r="BX11" s="54">
        <v>28481.0</v>
      </c>
      <c r="BY11" s="54">
        <v>0.0</v>
      </c>
      <c r="BZ11" s="54">
        <v>0.0</v>
      </c>
      <c r="CA11" s="54">
        <v>0.0</v>
      </c>
      <c r="CB11" s="54">
        <v>0.0</v>
      </c>
      <c r="CC11" s="54">
        <v>0.0</v>
      </c>
      <c r="CD11" s="54">
        <v>0.0</v>
      </c>
      <c r="CE11" s="54">
        <v>0.0</v>
      </c>
      <c r="CF11" s="54">
        <v>0.0</v>
      </c>
      <c r="CG11" s="54">
        <v>0.0</v>
      </c>
      <c r="CH11" s="54">
        <v>0.0</v>
      </c>
      <c r="CI11" s="54">
        <v>0.0</v>
      </c>
      <c r="CJ11" s="54">
        <v>0.0</v>
      </c>
      <c r="CK11" s="54">
        <v>0.0</v>
      </c>
      <c r="CL11" s="54">
        <v>0.0</v>
      </c>
      <c r="CM11" s="54">
        <v>0.0</v>
      </c>
      <c r="CN11" s="54">
        <v>0.0</v>
      </c>
      <c r="CO11" s="54">
        <v>0.0</v>
      </c>
      <c r="CP11" s="54">
        <v>0.0</v>
      </c>
      <c r="CQ11" s="54">
        <v>0.0</v>
      </c>
      <c r="CR11" s="54">
        <v>0.0</v>
      </c>
      <c r="CS11" s="54">
        <v>0.0</v>
      </c>
      <c r="CT11" s="54">
        <v>0.0</v>
      </c>
      <c r="CU11" s="54">
        <v>0.0</v>
      </c>
      <c r="CV11" s="54">
        <v>0.0</v>
      </c>
      <c r="CW11" s="54">
        <v>0.0</v>
      </c>
      <c r="CX11" s="54">
        <v>0.0</v>
      </c>
      <c r="CY11" s="54">
        <v>0.0</v>
      </c>
      <c r="CZ11" s="54">
        <v>0.0</v>
      </c>
      <c r="DA11" s="54">
        <v>0.0</v>
      </c>
      <c r="DB11" s="54">
        <v>0.0</v>
      </c>
      <c r="DC11" s="54">
        <v>844.0</v>
      </c>
      <c r="DD11" s="54">
        <v>52.0</v>
      </c>
      <c r="DE11" s="54">
        <v>0.0</v>
      </c>
      <c r="DF11" s="54">
        <v>0.0</v>
      </c>
      <c r="DG11" s="54">
        <v>0.0</v>
      </c>
      <c r="DH11" s="54">
        <v>0.0</v>
      </c>
      <c r="DI11" s="54">
        <v>0.0</v>
      </c>
      <c r="DJ11" s="54">
        <v>0.0</v>
      </c>
      <c r="DK11" s="54">
        <v>0.0</v>
      </c>
      <c r="DL11" s="54">
        <v>0.0</v>
      </c>
      <c r="DM11" s="54">
        <v>0.0</v>
      </c>
      <c r="DN11" s="54">
        <v>0.0</v>
      </c>
      <c r="DO11" s="54">
        <v>0.0</v>
      </c>
      <c r="DP11" s="54">
        <v>0.0</v>
      </c>
      <c r="DQ11" s="54">
        <v>0.0</v>
      </c>
      <c r="DR11" s="54">
        <v>0.0</v>
      </c>
      <c r="DS11" s="54">
        <v>0.0</v>
      </c>
      <c r="DT11" s="54">
        <v>0.0</v>
      </c>
      <c r="DU11" s="54">
        <v>0.0</v>
      </c>
      <c r="DV11" s="54">
        <v>0.0</v>
      </c>
      <c r="DW11" s="54">
        <v>0.0</v>
      </c>
      <c r="DX11" s="54">
        <v>0.0</v>
      </c>
      <c r="DY11" s="54">
        <v>0.0</v>
      </c>
      <c r="DZ11" s="54">
        <v>0.0</v>
      </c>
      <c r="EA11" s="54">
        <v>0.0</v>
      </c>
      <c r="EB11" s="54">
        <v>0.0</v>
      </c>
      <c r="EC11" s="54">
        <v>0.0</v>
      </c>
      <c r="ED11" s="54">
        <v>0.0</v>
      </c>
      <c r="EE11" s="54">
        <v>0.0</v>
      </c>
      <c r="EF11" s="54">
        <v>0.0</v>
      </c>
      <c r="EG11" s="54">
        <v>0.0</v>
      </c>
      <c r="EH11" s="54">
        <v>0.0</v>
      </c>
      <c r="EI11" s="54">
        <v>0.0</v>
      </c>
      <c r="EJ11" s="54">
        <v>0.0</v>
      </c>
      <c r="EK11" s="54">
        <v>0.0</v>
      </c>
      <c r="EL11" s="54">
        <v>0.0</v>
      </c>
      <c r="EM11" s="54">
        <v>0.0</v>
      </c>
      <c r="EN11" s="54">
        <v>0.0</v>
      </c>
      <c r="EO11" s="54">
        <v>0.0</v>
      </c>
      <c r="EP11" s="54">
        <v>0.0</v>
      </c>
      <c r="EQ11" s="54">
        <v>0.0</v>
      </c>
      <c r="ER11" s="54">
        <v>0.0</v>
      </c>
      <c r="ES11" s="54">
        <v>0.0</v>
      </c>
      <c r="ET11" s="54">
        <v>0.0</v>
      </c>
      <c r="EU11" s="54">
        <v>0.0</v>
      </c>
      <c r="EV11" s="54">
        <v>0.0</v>
      </c>
      <c r="EW11" s="54">
        <v>0.0</v>
      </c>
      <c r="EX11" s="54">
        <v>0.0</v>
      </c>
      <c r="EY11" s="54">
        <v>0.0</v>
      </c>
      <c r="EZ11" s="54">
        <v>0.0</v>
      </c>
      <c r="FA11" s="54">
        <v>0.0</v>
      </c>
      <c r="FB11" s="54">
        <v>0.0</v>
      </c>
      <c r="FC11" s="54">
        <v>0.0</v>
      </c>
      <c r="FD11" s="54">
        <v>0.0</v>
      </c>
      <c r="FE11" s="54">
        <v>0.0</v>
      </c>
      <c r="FF11" s="54">
        <v>0.0</v>
      </c>
      <c r="FG11" s="54">
        <v>0.0</v>
      </c>
      <c r="FH11" s="54">
        <v>0.0</v>
      </c>
      <c r="FI11" s="54">
        <v>0.0</v>
      </c>
      <c r="FJ11" s="54">
        <v>18700.0</v>
      </c>
      <c r="FK11" s="54">
        <v>440372.0</v>
      </c>
      <c r="FL11" s="54">
        <v>0.0</v>
      </c>
      <c r="FM11" s="54">
        <v>0.0</v>
      </c>
      <c r="FN11" s="54">
        <v>0.0</v>
      </c>
      <c r="FO11" s="54">
        <v>0.0</v>
      </c>
      <c r="FP11" s="54">
        <v>0.0</v>
      </c>
      <c r="FQ11" s="54">
        <v>0.0</v>
      </c>
      <c r="FR11" s="54">
        <v>0.0</v>
      </c>
      <c r="FS11" s="54">
        <v>0.0</v>
      </c>
      <c r="FT11" s="54">
        <v>0.0</v>
      </c>
      <c r="FU11" s="54">
        <v>0.0</v>
      </c>
      <c r="FV11" s="54">
        <v>0.0</v>
      </c>
      <c r="FW11" s="54">
        <v>40033.0</v>
      </c>
      <c r="FX11" s="54">
        <v>2344.0</v>
      </c>
      <c r="FY11" s="54">
        <v>4829.0</v>
      </c>
      <c r="FZ11" s="54">
        <v>3667.0</v>
      </c>
      <c r="GA11" s="54">
        <v>8987.0</v>
      </c>
      <c r="GB11" s="54">
        <v>19394.0</v>
      </c>
      <c r="GC11" s="54">
        <v>24671.0</v>
      </c>
      <c r="GD11" s="54">
        <v>0.0</v>
      </c>
      <c r="GE11" s="54">
        <v>31685.0</v>
      </c>
      <c r="GF11" s="55">
        <v>5085082.0</v>
      </c>
      <c r="GG11" s="56">
        <v>3306154.0</v>
      </c>
      <c r="GH11" s="57">
        <v>0.0</v>
      </c>
      <c r="GI11" s="56">
        <v>0.0</v>
      </c>
      <c r="GJ11" s="56">
        <v>0.0</v>
      </c>
      <c r="GK11" s="56">
        <v>66135.0</v>
      </c>
      <c r="GL11" s="56">
        <v>69872.0</v>
      </c>
      <c r="GM11" s="56">
        <v>0.0</v>
      </c>
      <c r="GN11" s="55">
        <v>3442161.0</v>
      </c>
      <c r="GO11" s="58">
        <v>8527243.0</v>
      </c>
      <c r="GP11" s="56">
        <v>114879.0</v>
      </c>
      <c r="GQ11" s="56">
        <v>0.0</v>
      </c>
      <c r="GR11" s="57">
        <v>0.0</v>
      </c>
      <c r="GS11" s="55">
        <v>114879.0</v>
      </c>
      <c r="GT11" s="59">
        <v>470697.0</v>
      </c>
      <c r="GU11" s="59">
        <v>397644.0</v>
      </c>
      <c r="GV11" s="59">
        <v>196153.0</v>
      </c>
      <c r="GW11" s="55">
        <v>1064494.0</v>
      </c>
      <c r="GX11" s="55">
        <v>147239.0</v>
      </c>
      <c r="GY11" s="55">
        <v>7200631.0</v>
      </c>
      <c r="GZ11" s="58">
        <v>8527243.0</v>
      </c>
      <c r="HC11" s="107" t="s">
        <v>489</v>
      </c>
      <c r="HD11" s="114" t="s">
        <v>490</v>
      </c>
      <c r="HE11" s="109" t="s">
        <v>491</v>
      </c>
      <c r="HF11" s="113">
        <f>SUM(GZ83:GZ90)</f>
        <v>900614635</v>
      </c>
      <c r="HH11" s="106"/>
    </row>
    <row r="12">
      <c r="A12" s="60">
        <v>7.0</v>
      </c>
      <c r="B12" s="111" t="s">
        <v>277</v>
      </c>
      <c r="C12" s="62">
        <v>0.0</v>
      </c>
      <c r="D12" s="62">
        <v>0.0</v>
      </c>
      <c r="E12" s="62">
        <v>0.0</v>
      </c>
      <c r="F12" s="62">
        <v>0.0</v>
      </c>
      <c r="G12" s="62">
        <v>0.0</v>
      </c>
      <c r="H12" s="62">
        <v>0.0</v>
      </c>
      <c r="I12" s="62">
        <v>208118.0</v>
      </c>
      <c r="J12" s="62">
        <v>0.0</v>
      </c>
      <c r="K12" s="62">
        <v>0.0</v>
      </c>
      <c r="L12" s="62">
        <v>0.0</v>
      </c>
      <c r="M12" s="62">
        <v>0.0</v>
      </c>
      <c r="N12" s="62">
        <v>0.0</v>
      </c>
      <c r="O12" s="62">
        <v>0.0</v>
      </c>
      <c r="P12" s="62">
        <v>0.0</v>
      </c>
      <c r="Q12" s="62">
        <v>0.0</v>
      </c>
      <c r="R12" s="62">
        <v>0.0</v>
      </c>
      <c r="S12" s="62">
        <v>0.0</v>
      </c>
      <c r="T12" s="62">
        <v>0.0</v>
      </c>
      <c r="U12" s="62">
        <v>0.0</v>
      </c>
      <c r="V12" s="62">
        <v>0.0</v>
      </c>
      <c r="W12" s="62">
        <v>0.0</v>
      </c>
      <c r="X12" s="62">
        <v>0.0</v>
      </c>
      <c r="Y12" s="62">
        <v>0.0</v>
      </c>
      <c r="Z12" s="62">
        <v>0.0</v>
      </c>
      <c r="AA12" s="62">
        <v>0.0</v>
      </c>
      <c r="AB12" s="62">
        <v>17117.0</v>
      </c>
      <c r="AC12" s="62">
        <v>111.0</v>
      </c>
      <c r="AD12" s="62">
        <v>1169.0</v>
      </c>
      <c r="AE12" s="62">
        <v>1111.0</v>
      </c>
      <c r="AF12" s="62">
        <v>0.0</v>
      </c>
      <c r="AG12" s="62">
        <v>0.0</v>
      </c>
      <c r="AH12" s="62">
        <v>0.0</v>
      </c>
      <c r="AI12" s="62">
        <v>0.0</v>
      </c>
      <c r="AJ12" s="62">
        <v>0.0</v>
      </c>
      <c r="AK12" s="62">
        <v>0.0</v>
      </c>
      <c r="AL12" s="62">
        <v>0.0</v>
      </c>
      <c r="AM12" s="62">
        <v>0.0</v>
      </c>
      <c r="AN12" s="62">
        <v>0.0</v>
      </c>
      <c r="AO12" s="62">
        <v>0.0</v>
      </c>
      <c r="AP12" s="62">
        <v>0.0</v>
      </c>
      <c r="AQ12" s="62">
        <v>0.0</v>
      </c>
      <c r="AR12" s="62">
        <v>0.0</v>
      </c>
      <c r="AS12" s="62">
        <v>0.0</v>
      </c>
      <c r="AT12" s="62">
        <v>0.0</v>
      </c>
      <c r="AU12" s="62">
        <v>0.0</v>
      </c>
      <c r="AV12" s="62">
        <v>0.0</v>
      </c>
      <c r="AW12" s="62">
        <v>0.0</v>
      </c>
      <c r="AX12" s="62">
        <v>0.0</v>
      </c>
      <c r="AY12" s="62">
        <v>0.0</v>
      </c>
      <c r="AZ12" s="62">
        <v>0.0</v>
      </c>
      <c r="BA12" s="62">
        <v>0.0</v>
      </c>
      <c r="BB12" s="62">
        <v>0.0</v>
      </c>
      <c r="BC12" s="62">
        <v>0.0</v>
      </c>
      <c r="BD12" s="62">
        <v>0.0</v>
      </c>
      <c r="BE12" s="62">
        <v>0.0</v>
      </c>
      <c r="BF12" s="62">
        <v>0.0</v>
      </c>
      <c r="BG12" s="62">
        <v>1619995.0</v>
      </c>
      <c r="BH12" s="62">
        <v>6157.0</v>
      </c>
      <c r="BI12" s="62">
        <v>0.0</v>
      </c>
      <c r="BJ12" s="62">
        <v>0.0</v>
      </c>
      <c r="BK12" s="62">
        <v>365124.0</v>
      </c>
      <c r="BL12" s="62">
        <v>0.0</v>
      </c>
      <c r="BM12" s="62">
        <v>0.0</v>
      </c>
      <c r="BN12" s="62">
        <v>0.0</v>
      </c>
      <c r="BO12" s="62">
        <v>0.0</v>
      </c>
      <c r="BP12" s="62">
        <v>0.0</v>
      </c>
      <c r="BQ12" s="62">
        <v>0.0</v>
      </c>
      <c r="BR12" s="62">
        <v>56.0</v>
      </c>
      <c r="BS12" s="62">
        <v>0.0</v>
      </c>
      <c r="BT12" s="62">
        <v>1.7956863E7</v>
      </c>
      <c r="BU12" s="62">
        <v>16439.0</v>
      </c>
      <c r="BV12" s="62">
        <v>4125.0</v>
      </c>
      <c r="BW12" s="62">
        <v>1661.0</v>
      </c>
      <c r="BX12" s="62">
        <v>58982.0</v>
      </c>
      <c r="BY12" s="62">
        <v>0.0</v>
      </c>
      <c r="BZ12" s="62">
        <v>0.0</v>
      </c>
      <c r="CA12" s="62">
        <v>0.0</v>
      </c>
      <c r="CB12" s="62">
        <v>0.0</v>
      </c>
      <c r="CC12" s="62">
        <v>0.0</v>
      </c>
      <c r="CD12" s="62">
        <v>0.0</v>
      </c>
      <c r="CE12" s="62">
        <v>0.0</v>
      </c>
      <c r="CF12" s="62">
        <v>0.0</v>
      </c>
      <c r="CG12" s="62">
        <v>0.0</v>
      </c>
      <c r="CH12" s="62">
        <v>0.0</v>
      </c>
      <c r="CI12" s="62">
        <v>0.0</v>
      </c>
      <c r="CJ12" s="62">
        <v>0.0</v>
      </c>
      <c r="CK12" s="62">
        <v>0.0</v>
      </c>
      <c r="CL12" s="62">
        <v>0.0</v>
      </c>
      <c r="CM12" s="62">
        <v>0.0</v>
      </c>
      <c r="CN12" s="62">
        <v>0.0</v>
      </c>
      <c r="CO12" s="62">
        <v>0.0</v>
      </c>
      <c r="CP12" s="62">
        <v>0.0</v>
      </c>
      <c r="CQ12" s="62">
        <v>0.0</v>
      </c>
      <c r="CR12" s="62">
        <v>0.0</v>
      </c>
      <c r="CS12" s="62">
        <v>0.0</v>
      </c>
      <c r="CT12" s="62">
        <v>0.0</v>
      </c>
      <c r="CU12" s="62">
        <v>0.0</v>
      </c>
      <c r="CV12" s="62">
        <v>0.0</v>
      </c>
      <c r="CW12" s="62">
        <v>0.0</v>
      </c>
      <c r="CX12" s="62">
        <v>0.0</v>
      </c>
      <c r="CY12" s="62">
        <v>0.0</v>
      </c>
      <c r="CZ12" s="62">
        <v>0.0</v>
      </c>
      <c r="DA12" s="62">
        <v>0.0</v>
      </c>
      <c r="DB12" s="62">
        <v>0.0</v>
      </c>
      <c r="DC12" s="62">
        <v>111.0</v>
      </c>
      <c r="DD12" s="62">
        <v>27.0</v>
      </c>
      <c r="DE12" s="62">
        <v>0.0</v>
      </c>
      <c r="DF12" s="62">
        <v>0.0</v>
      </c>
      <c r="DG12" s="62">
        <v>0.0</v>
      </c>
      <c r="DH12" s="62">
        <v>0.0</v>
      </c>
      <c r="DI12" s="62">
        <v>0.0</v>
      </c>
      <c r="DJ12" s="62">
        <v>0.0</v>
      </c>
      <c r="DK12" s="62">
        <v>0.0</v>
      </c>
      <c r="DL12" s="62">
        <v>0.0</v>
      </c>
      <c r="DM12" s="62">
        <v>0.0</v>
      </c>
      <c r="DN12" s="62">
        <v>0.0</v>
      </c>
      <c r="DO12" s="62">
        <v>0.0</v>
      </c>
      <c r="DP12" s="62">
        <v>0.0</v>
      </c>
      <c r="DQ12" s="62">
        <v>0.0</v>
      </c>
      <c r="DR12" s="62">
        <v>0.0</v>
      </c>
      <c r="DS12" s="62">
        <v>0.0</v>
      </c>
      <c r="DT12" s="62">
        <v>0.0</v>
      </c>
      <c r="DU12" s="62">
        <v>0.0</v>
      </c>
      <c r="DV12" s="62">
        <v>0.0</v>
      </c>
      <c r="DW12" s="62">
        <v>0.0</v>
      </c>
      <c r="DX12" s="62">
        <v>0.0</v>
      </c>
      <c r="DY12" s="62">
        <v>0.0</v>
      </c>
      <c r="DZ12" s="62">
        <v>0.0</v>
      </c>
      <c r="EA12" s="62">
        <v>0.0</v>
      </c>
      <c r="EB12" s="62">
        <v>0.0</v>
      </c>
      <c r="EC12" s="62">
        <v>0.0</v>
      </c>
      <c r="ED12" s="62">
        <v>0.0</v>
      </c>
      <c r="EE12" s="62">
        <v>0.0</v>
      </c>
      <c r="EF12" s="62">
        <v>0.0</v>
      </c>
      <c r="EG12" s="62">
        <v>0.0</v>
      </c>
      <c r="EH12" s="62">
        <v>0.0</v>
      </c>
      <c r="EI12" s="62">
        <v>0.0</v>
      </c>
      <c r="EJ12" s="62">
        <v>0.0</v>
      </c>
      <c r="EK12" s="62">
        <v>0.0</v>
      </c>
      <c r="EL12" s="62">
        <v>0.0</v>
      </c>
      <c r="EM12" s="62">
        <v>0.0</v>
      </c>
      <c r="EN12" s="62">
        <v>0.0</v>
      </c>
      <c r="EO12" s="62">
        <v>0.0</v>
      </c>
      <c r="EP12" s="62">
        <v>0.0</v>
      </c>
      <c r="EQ12" s="62">
        <v>0.0</v>
      </c>
      <c r="ER12" s="62">
        <v>0.0</v>
      </c>
      <c r="ES12" s="62">
        <v>0.0</v>
      </c>
      <c r="ET12" s="62">
        <v>0.0</v>
      </c>
      <c r="EU12" s="62">
        <v>0.0</v>
      </c>
      <c r="EV12" s="62">
        <v>0.0</v>
      </c>
      <c r="EW12" s="62">
        <v>0.0</v>
      </c>
      <c r="EX12" s="62">
        <v>0.0</v>
      </c>
      <c r="EY12" s="62">
        <v>0.0</v>
      </c>
      <c r="EZ12" s="62">
        <v>0.0</v>
      </c>
      <c r="FA12" s="62">
        <v>0.0</v>
      </c>
      <c r="FB12" s="62">
        <v>0.0</v>
      </c>
      <c r="FC12" s="62">
        <v>0.0</v>
      </c>
      <c r="FD12" s="62">
        <v>0.0</v>
      </c>
      <c r="FE12" s="62">
        <v>0.0</v>
      </c>
      <c r="FF12" s="62">
        <v>0.0</v>
      </c>
      <c r="FG12" s="62">
        <v>0.0</v>
      </c>
      <c r="FH12" s="62">
        <v>0.0</v>
      </c>
      <c r="FI12" s="62">
        <v>0.0</v>
      </c>
      <c r="FJ12" s="62">
        <v>53.0</v>
      </c>
      <c r="FK12" s="62">
        <v>7963.0</v>
      </c>
      <c r="FL12" s="62">
        <v>0.0</v>
      </c>
      <c r="FM12" s="62">
        <v>0.0</v>
      </c>
      <c r="FN12" s="62">
        <v>0.0</v>
      </c>
      <c r="FO12" s="62">
        <v>0.0</v>
      </c>
      <c r="FP12" s="62">
        <v>0.0</v>
      </c>
      <c r="FQ12" s="62">
        <v>0.0</v>
      </c>
      <c r="FR12" s="62">
        <v>0.0</v>
      </c>
      <c r="FS12" s="62">
        <v>0.0</v>
      </c>
      <c r="FT12" s="62">
        <v>0.0</v>
      </c>
      <c r="FU12" s="62">
        <v>0.0</v>
      </c>
      <c r="FV12" s="62">
        <v>0.0</v>
      </c>
      <c r="FW12" s="62">
        <v>38040.0</v>
      </c>
      <c r="FX12" s="62">
        <v>109.0</v>
      </c>
      <c r="FY12" s="62">
        <v>2149.0</v>
      </c>
      <c r="FZ12" s="62">
        <v>97.0</v>
      </c>
      <c r="GA12" s="62">
        <v>4094.0</v>
      </c>
      <c r="GB12" s="62">
        <v>4551.0</v>
      </c>
      <c r="GC12" s="62">
        <v>4139.0</v>
      </c>
      <c r="GD12" s="62">
        <v>0.0</v>
      </c>
      <c r="GE12" s="62">
        <v>19271.0</v>
      </c>
      <c r="GF12" s="63">
        <v>2.0337632E7</v>
      </c>
      <c r="GG12" s="64">
        <v>972737.0</v>
      </c>
      <c r="GH12" s="65">
        <v>0.0</v>
      </c>
      <c r="GI12" s="64">
        <v>0.0</v>
      </c>
      <c r="GJ12" s="64">
        <v>0.0</v>
      </c>
      <c r="GK12" s="64">
        <v>408051.0</v>
      </c>
      <c r="GL12" s="64">
        <v>7815.0</v>
      </c>
      <c r="GM12" s="64">
        <v>0.0</v>
      </c>
      <c r="GN12" s="63">
        <v>1388603.0</v>
      </c>
      <c r="GO12" s="66">
        <v>2.1726235E7</v>
      </c>
      <c r="GP12" s="64">
        <v>1.5291539E7</v>
      </c>
      <c r="GQ12" s="64">
        <v>0.0</v>
      </c>
      <c r="GR12" s="65">
        <v>0.0</v>
      </c>
      <c r="GS12" s="63">
        <v>1.5291539E7</v>
      </c>
      <c r="GT12" s="67">
        <v>1121550.0</v>
      </c>
      <c r="GU12" s="67">
        <v>732892.0</v>
      </c>
      <c r="GV12" s="67">
        <v>204199.0</v>
      </c>
      <c r="GW12" s="63">
        <v>2058641.0</v>
      </c>
      <c r="GX12" s="63">
        <v>92279.0</v>
      </c>
      <c r="GY12" s="63">
        <v>4283776.0</v>
      </c>
      <c r="GZ12" s="66">
        <v>2.1726235E7</v>
      </c>
      <c r="HC12" s="107" t="s">
        <v>492</v>
      </c>
      <c r="HD12" s="114" t="s">
        <v>493</v>
      </c>
      <c r="HE12" s="109" t="s">
        <v>494</v>
      </c>
      <c r="HF12" s="113">
        <f>SUM(GZ91:GZ94)</f>
        <v>278516978</v>
      </c>
      <c r="HH12" s="106"/>
    </row>
    <row r="13">
      <c r="A13" s="60">
        <v>8.0</v>
      </c>
      <c r="B13" s="111" t="s">
        <v>278</v>
      </c>
      <c r="C13" s="62">
        <v>0.0</v>
      </c>
      <c r="D13" s="62">
        <v>0.0</v>
      </c>
      <c r="E13" s="62">
        <v>0.0</v>
      </c>
      <c r="F13" s="62">
        <v>0.0</v>
      </c>
      <c r="G13" s="62">
        <v>0.0</v>
      </c>
      <c r="H13" s="62">
        <v>0.0</v>
      </c>
      <c r="I13" s="62">
        <v>0.0</v>
      </c>
      <c r="J13" s="62">
        <v>569770.0</v>
      </c>
      <c r="K13" s="62">
        <v>0.0</v>
      </c>
      <c r="L13" s="62">
        <v>0.0</v>
      </c>
      <c r="M13" s="62">
        <v>0.0</v>
      </c>
      <c r="N13" s="62">
        <v>0.0</v>
      </c>
      <c r="O13" s="62">
        <v>0.0</v>
      </c>
      <c r="P13" s="62">
        <v>0.0</v>
      </c>
      <c r="Q13" s="62">
        <v>0.0</v>
      </c>
      <c r="R13" s="62">
        <v>0.0</v>
      </c>
      <c r="S13" s="62">
        <v>0.0</v>
      </c>
      <c r="T13" s="62">
        <v>0.0</v>
      </c>
      <c r="U13" s="62">
        <v>0.0</v>
      </c>
      <c r="V13" s="62">
        <v>0.0</v>
      </c>
      <c r="W13" s="62">
        <v>0.0</v>
      </c>
      <c r="X13" s="62">
        <v>0.0</v>
      </c>
      <c r="Y13" s="62">
        <v>0.0</v>
      </c>
      <c r="Z13" s="62">
        <v>0.0</v>
      </c>
      <c r="AA13" s="62">
        <v>0.0</v>
      </c>
      <c r="AB13" s="62">
        <v>10452.0</v>
      </c>
      <c r="AC13" s="62">
        <v>314.0</v>
      </c>
      <c r="AD13" s="62">
        <v>6276.0</v>
      </c>
      <c r="AE13" s="62">
        <v>1630.0</v>
      </c>
      <c r="AF13" s="62">
        <v>0.0</v>
      </c>
      <c r="AG13" s="62">
        <v>0.0</v>
      </c>
      <c r="AH13" s="62">
        <v>0.0</v>
      </c>
      <c r="AI13" s="62">
        <v>0.0</v>
      </c>
      <c r="AJ13" s="62">
        <v>0.0</v>
      </c>
      <c r="AK13" s="62">
        <v>0.0</v>
      </c>
      <c r="AL13" s="62">
        <v>0.0</v>
      </c>
      <c r="AM13" s="62">
        <v>0.0</v>
      </c>
      <c r="AN13" s="62">
        <v>0.0</v>
      </c>
      <c r="AO13" s="62">
        <v>0.0</v>
      </c>
      <c r="AP13" s="62">
        <v>0.0</v>
      </c>
      <c r="AQ13" s="62">
        <v>0.0</v>
      </c>
      <c r="AR13" s="62">
        <v>0.0</v>
      </c>
      <c r="AS13" s="62">
        <v>0.0</v>
      </c>
      <c r="AT13" s="62">
        <v>0.0</v>
      </c>
      <c r="AU13" s="62">
        <v>0.0</v>
      </c>
      <c r="AV13" s="62">
        <v>0.0</v>
      </c>
      <c r="AW13" s="62">
        <v>0.0</v>
      </c>
      <c r="AX13" s="62">
        <v>0.0</v>
      </c>
      <c r="AY13" s="62">
        <v>0.0</v>
      </c>
      <c r="AZ13" s="62">
        <v>0.0</v>
      </c>
      <c r="BA13" s="62">
        <v>0.0</v>
      </c>
      <c r="BB13" s="62">
        <v>0.0</v>
      </c>
      <c r="BC13" s="62">
        <v>0.0</v>
      </c>
      <c r="BD13" s="62">
        <v>0.0</v>
      </c>
      <c r="BE13" s="62">
        <v>0.0</v>
      </c>
      <c r="BF13" s="62">
        <v>0.0</v>
      </c>
      <c r="BG13" s="62">
        <v>0.0</v>
      </c>
      <c r="BH13" s="62">
        <v>62.0</v>
      </c>
      <c r="BI13" s="62">
        <v>0.0</v>
      </c>
      <c r="BJ13" s="62">
        <v>0.0</v>
      </c>
      <c r="BK13" s="62">
        <v>10181.0</v>
      </c>
      <c r="BL13" s="62">
        <v>0.0</v>
      </c>
      <c r="BM13" s="62">
        <v>0.0</v>
      </c>
      <c r="BN13" s="62">
        <v>52777.0</v>
      </c>
      <c r="BO13" s="62">
        <v>0.0</v>
      </c>
      <c r="BP13" s="62">
        <v>0.0</v>
      </c>
      <c r="BQ13" s="62">
        <v>0.0</v>
      </c>
      <c r="BR13" s="62">
        <v>83.0</v>
      </c>
      <c r="BS13" s="62">
        <v>0.0</v>
      </c>
      <c r="BT13" s="62">
        <v>63150.0</v>
      </c>
      <c r="BU13" s="62">
        <v>225831.0</v>
      </c>
      <c r="BV13" s="62">
        <v>42513.0</v>
      </c>
      <c r="BW13" s="62">
        <v>26.0</v>
      </c>
      <c r="BX13" s="62">
        <v>203263.0</v>
      </c>
      <c r="BY13" s="62">
        <v>0.0</v>
      </c>
      <c r="BZ13" s="62">
        <v>0.0</v>
      </c>
      <c r="CA13" s="62">
        <v>0.0</v>
      </c>
      <c r="CB13" s="62">
        <v>0.0</v>
      </c>
      <c r="CC13" s="62">
        <v>0.0</v>
      </c>
      <c r="CD13" s="62">
        <v>0.0</v>
      </c>
      <c r="CE13" s="62">
        <v>0.0</v>
      </c>
      <c r="CF13" s="62">
        <v>0.0</v>
      </c>
      <c r="CG13" s="62">
        <v>0.0</v>
      </c>
      <c r="CH13" s="62">
        <v>0.0</v>
      </c>
      <c r="CI13" s="62">
        <v>0.0</v>
      </c>
      <c r="CJ13" s="62">
        <v>0.0</v>
      </c>
      <c r="CK13" s="62">
        <v>0.0</v>
      </c>
      <c r="CL13" s="62">
        <v>0.0</v>
      </c>
      <c r="CM13" s="62">
        <v>0.0</v>
      </c>
      <c r="CN13" s="62">
        <v>0.0</v>
      </c>
      <c r="CO13" s="62">
        <v>0.0</v>
      </c>
      <c r="CP13" s="62">
        <v>0.0</v>
      </c>
      <c r="CQ13" s="62">
        <v>0.0</v>
      </c>
      <c r="CR13" s="62">
        <v>0.0</v>
      </c>
      <c r="CS13" s="62">
        <v>0.0</v>
      </c>
      <c r="CT13" s="62">
        <v>0.0</v>
      </c>
      <c r="CU13" s="62">
        <v>0.0</v>
      </c>
      <c r="CV13" s="62">
        <v>0.0</v>
      </c>
      <c r="CW13" s="62">
        <v>0.0</v>
      </c>
      <c r="CX13" s="62">
        <v>0.0</v>
      </c>
      <c r="CY13" s="62">
        <v>0.0</v>
      </c>
      <c r="CZ13" s="62">
        <v>0.0</v>
      </c>
      <c r="DA13" s="62">
        <v>0.0</v>
      </c>
      <c r="DB13" s="62">
        <v>0.0</v>
      </c>
      <c r="DC13" s="62">
        <v>629.0</v>
      </c>
      <c r="DD13" s="62">
        <v>9.0</v>
      </c>
      <c r="DE13" s="62">
        <v>0.0</v>
      </c>
      <c r="DF13" s="62">
        <v>0.0</v>
      </c>
      <c r="DG13" s="62">
        <v>0.0</v>
      </c>
      <c r="DH13" s="62">
        <v>0.0</v>
      </c>
      <c r="DI13" s="62">
        <v>0.0</v>
      </c>
      <c r="DJ13" s="62">
        <v>0.0</v>
      </c>
      <c r="DK13" s="62">
        <v>0.0</v>
      </c>
      <c r="DL13" s="62">
        <v>0.0</v>
      </c>
      <c r="DM13" s="62">
        <v>0.0</v>
      </c>
      <c r="DN13" s="62">
        <v>0.0</v>
      </c>
      <c r="DO13" s="62">
        <v>0.0</v>
      </c>
      <c r="DP13" s="62">
        <v>0.0</v>
      </c>
      <c r="DQ13" s="62">
        <v>0.0</v>
      </c>
      <c r="DR13" s="62">
        <v>0.0</v>
      </c>
      <c r="DS13" s="62">
        <v>0.0</v>
      </c>
      <c r="DT13" s="62">
        <v>0.0</v>
      </c>
      <c r="DU13" s="62">
        <v>0.0</v>
      </c>
      <c r="DV13" s="62">
        <v>0.0</v>
      </c>
      <c r="DW13" s="62">
        <v>0.0</v>
      </c>
      <c r="DX13" s="62">
        <v>0.0</v>
      </c>
      <c r="DY13" s="62">
        <v>0.0</v>
      </c>
      <c r="DZ13" s="62">
        <v>0.0</v>
      </c>
      <c r="EA13" s="62">
        <v>0.0</v>
      </c>
      <c r="EB13" s="62">
        <v>0.0</v>
      </c>
      <c r="EC13" s="62">
        <v>0.0</v>
      </c>
      <c r="ED13" s="62">
        <v>0.0</v>
      </c>
      <c r="EE13" s="62">
        <v>0.0</v>
      </c>
      <c r="EF13" s="62">
        <v>0.0</v>
      </c>
      <c r="EG13" s="62">
        <v>0.0</v>
      </c>
      <c r="EH13" s="62">
        <v>0.0</v>
      </c>
      <c r="EI13" s="62">
        <v>0.0</v>
      </c>
      <c r="EJ13" s="62">
        <v>0.0</v>
      </c>
      <c r="EK13" s="62">
        <v>0.0</v>
      </c>
      <c r="EL13" s="62">
        <v>0.0</v>
      </c>
      <c r="EM13" s="62">
        <v>0.0</v>
      </c>
      <c r="EN13" s="62">
        <v>0.0</v>
      </c>
      <c r="EO13" s="62">
        <v>0.0</v>
      </c>
      <c r="EP13" s="62">
        <v>0.0</v>
      </c>
      <c r="EQ13" s="62">
        <v>0.0</v>
      </c>
      <c r="ER13" s="62">
        <v>0.0</v>
      </c>
      <c r="ES13" s="62">
        <v>0.0</v>
      </c>
      <c r="ET13" s="62">
        <v>0.0</v>
      </c>
      <c r="EU13" s="62">
        <v>0.0</v>
      </c>
      <c r="EV13" s="62">
        <v>0.0</v>
      </c>
      <c r="EW13" s="62">
        <v>0.0</v>
      </c>
      <c r="EX13" s="62">
        <v>0.0</v>
      </c>
      <c r="EY13" s="62">
        <v>0.0</v>
      </c>
      <c r="EZ13" s="62">
        <v>0.0</v>
      </c>
      <c r="FA13" s="62">
        <v>0.0</v>
      </c>
      <c r="FB13" s="62">
        <v>0.0</v>
      </c>
      <c r="FC13" s="62">
        <v>0.0</v>
      </c>
      <c r="FD13" s="62">
        <v>0.0</v>
      </c>
      <c r="FE13" s="62">
        <v>0.0</v>
      </c>
      <c r="FF13" s="62">
        <v>0.0</v>
      </c>
      <c r="FG13" s="62">
        <v>0.0</v>
      </c>
      <c r="FH13" s="62">
        <v>0.0</v>
      </c>
      <c r="FI13" s="62">
        <v>0.0</v>
      </c>
      <c r="FJ13" s="62">
        <v>3531.0</v>
      </c>
      <c r="FK13" s="62">
        <v>77431.0</v>
      </c>
      <c r="FL13" s="62">
        <v>0.0</v>
      </c>
      <c r="FM13" s="62">
        <v>0.0</v>
      </c>
      <c r="FN13" s="62">
        <v>0.0</v>
      </c>
      <c r="FO13" s="62">
        <v>0.0</v>
      </c>
      <c r="FP13" s="62">
        <v>0.0</v>
      </c>
      <c r="FQ13" s="62">
        <v>0.0</v>
      </c>
      <c r="FR13" s="62">
        <v>0.0</v>
      </c>
      <c r="FS13" s="62">
        <v>0.0</v>
      </c>
      <c r="FT13" s="62">
        <v>0.0</v>
      </c>
      <c r="FU13" s="62">
        <v>0.0</v>
      </c>
      <c r="FV13" s="62">
        <v>0.0</v>
      </c>
      <c r="FW13" s="62">
        <v>0.0</v>
      </c>
      <c r="FX13" s="62">
        <v>1309.0</v>
      </c>
      <c r="FY13" s="62">
        <v>1518.0</v>
      </c>
      <c r="FZ13" s="62">
        <v>405.0</v>
      </c>
      <c r="GA13" s="62">
        <v>15441.0</v>
      </c>
      <c r="GB13" s="62">
        <v>29831.0</v>
      </c>
      <c r="GC13" s="62">
        <v>14486.0</v>
      </c>
      <c r="GD13" s="62">
        <v>0.0</v>
      </c>
      <c r="GE13" s="62">
        <v>68339.0</v>
      </c>
      <c r="GF13" s="63">
        <v>1399257.0</v>
      </c>
      <c r="GG13" s="64">
        <v>1.3484401E7</v>
      </c>
      <c r="GH13" s="65">
        <v>0.0</v>
      </c>
      <c r="GI13" s="64">
        <v>0.0</v>
      </c>
      <c r="GJ13" s="64">
        <v>0.0</v>
      </c>
      <c r="GK13" s="64">
        <v>10.0</v>
      </c>
      <c r="GL13" s="64">
        <v>33956.0</v>
      </c>
      <c r="GM13" s="64">
        <v>0.0</v>
      </c>
      <c r="GN13" s="63">
        <v>1.3518367E7</v>
      </c>
      <c r="GO13" s="66">
        <v>1.4917624E7</v>
      </c>
      <c r="GP13" s="64">
        <v>0.0</v>
      </c>
      <c r="GQ13" s="64">
        <v>0.0</v>
      </c>
      <c r="GR13" s="65">
        <v>0.0</v>
      </c>
      <c r="GS13" s="63">
        <v>0.0</v>
      </c>
      <c r="GT13" s="67">
        <v>539810.0</v>
      </c>
      <c r="GU13" s="67">
        <v>1301151.0</v>
      </c>
      <c r="GV13" s="67">
        <v>54984.0</v>
      </c>
      <c r="GW13" s="63">
        <v>1895945.0</v>
      </c>
      <c r="GX13" s="63">
        <v>548371.0</v>
      </c>
      <c r="GY13" s="63">
        <v>1.2473308E7</v>
      </c>
      <c r="GZ13" s="66">
        <v>1.4917624E7</v>
      </c>
      <c r="HC13" s="107" t="s">
        <v>495</v>
      </c>
      <c r="HD13" s="114" t="s">
        <v>496</v>
      </c>
      <c r="HE13" s="109" t="s">
        <v>497</v>
      </c>
      <c r="HF13" s="113">
        <f>SUM(GZ95:GZ98)</f>
        <v>411318053</v>
      </c>
      <c r="HH13" s="106"/>
    </row>
    <row r="14">
      <c r="A14" s="60">
        <v>9.0</v>
      </c>
      <c r="B14" s="111" t="s">
        <v>498</v>
      </c>
      <c r="C14" s="62">
        <v>0.0</v>
      </c>
      <c r="D14" s="62">
        <v>0.0</v>
      </c>
      <c r="E14" s="62">
        <v>0.0</v>
      </c>
      <c r="F14" s="62">
        <v>0.0</v>
      </c>
      <c r="G14" s="62">
        <v>0.0</v>
      </c>
      <c r="H14" s="62">
        <v>0.0</v>
      </c>
      <c r="I14" s="62">
        <v>0.0</v>
      </c>
      <c r="J14" s="62">
        <v>0.0</v>
      </c>
      <c r="K14" s="62">
        <v>32977.0</v>
      </c>
      <c r="L14" s="62">
        <v>0.0</v>
      </c>
      <c r="M14" s="62">
        <v>0.0</v>
      </c>
      <c r="N14" s="62">
        <v>0.0</v>
      </c>
      <c r="O14" s="62">
        <v>0.0</v>
      </c>
      <c r="P14" s="62">
        <v>0.0</v>
      </c>
      <c r="Q14" s="62">
        <v>0.0</v>
      </c>
      <c r="R14" s="62">
        <v>0.0</v>
      </c>
      <c r="S14" s="62">
        <v>0.0</v>
      </c>
      <c r="T14" s="62">
        <v>0.0</v>
      </c>
      <c r="U14" s="62">
        <v>0.0</v>
      </c>
      <c r="V14" s="62">
        <v>0.0</v>
      </c>
      <c r="W14" s="62">
        <v>0.0</v>
      </c>
      <c r="X14" s="62">
        <v>0.0</v>
      </c>
      <c r="Y14" s="62">
        <v>0.0</v>
      </c>
      <c r="Z14" s="62">
        <v>0.0</v>
      </c>
      <c r="AA14" s="62">
        <v>0.0</v>
      </c>
      <c r="AB14" s="62">
        <v>0.0</v>
      </c>
      <c r="AC14" s="62">
        <v>0.0</v>
      </c>
      <c r="AD14" s="62">
        <v>5198.0</v>
      </c>
      <c r="AE14" s="62">
        <v>170190.0</v>
      </c>
      <c r="AF14" s="62">
        <v>0.0</v>
      </c>
      <c r="AG14" s="62">
        <v>0.0</v>
      </c>
      <c r="AH14" s="62">
        <v>0.0</v>
      </c>
      <c r="AI14" s="62">
        <v>0.0</v>
      </c>
      <c r="AJ14" s="62">
        <v>0.0</v>
      </c>
      <c r="AK14" s="62">
        <v>0.0</v>
      </c>
      <c r="AL14" s="62">
        <v>0.0</v>
      </c>
      <c r="AM14" s="62">
        <v>0.0</v>
      </c>
      <c r="AN14" s="62">
        <v>0.0</v>
      </c>
      <c r="AO14" s="62">
        <v>0.0</v>
      </c>
      <c r="AP14" s="62">
        <v>0.0</v>
      </c>
      <c r="AQ14" s="62">
        <v>0.0</v>
      </c>
      <c r="AR14" s="62">
        <v>0.0</v>
      </c>
      <c r="AS14" s="62">
        <v>0.0</v>
      </c>
      <c r="AT14" s="62">
        <v>0.0</v>
      </c>
      <c r="AU14" s="62">
        <v>0.0</v>
      </c>
      <c r="AV14" s="62">
        <v>0.0</v>
      </c>
      <c r="AW14" s="62">
        <v>0.0</v>
      </c>
      <c r="AX14" s="62">
        <v>0.0</v>
      </c>
      <c r="AY14" s="62">
        <v>0.0</v>
      </c>
      <c r="AZ14" s="62">
        <v>0.0</v>
      </c>
      <c r="BA14" s="62">
        <v>0.0</v>
      </c>
      <c r="BB14" s="62">
        <v>0.0</v>
      </c>
      <c r="BC14" s="62">
        <v>0.0</v>
      </c>
      <c r="BD14" s="62">
        <v>0.0</v>
      </c>
      <c r="BE14" s="62">
        <v>0.0</v>
      </c>
      <c r="BF14" s="62">
        <v>0.0</v>
      </c>
      <c r="BG14" s="62">
        <v>0.0</v>
      </c>
      <c r="BH14" s="62">
        <v>8009260.0</v>
      </c>
      <c r="BI14" s="62">
        <v>0.0</v>
      </c>
      <c r="BJ14" s="62">
        <v>0.0</v>
      </c>
      <c r="BK14" s="62">
        <v>3475861.0</v>
      </c>
      <c r="BL14" s="62">
        <v>2.7854304E7</v>
      </c>
      <c r="BM14" s="62">
        <v>0.0</v>
      </c>
      <c r="BN14" s="62">
        <v>0.0</v>
      </c>
      <c r="BO14" s="62">
        <v>91731.0</v>
      </c>
      <c r="BP14" s="62">
        <v>21180.0</v>
      </c>
      <c r="BQ14" s="62">
        <v>0.0</v>
      </c>
      <c r="BR14" s="62">
        <v>0.0</v>
      </c>
      <c r="BS14" s="62">
        <v>0.0</v>
      </c>
      <c r="BT14" s="62">
        <v>0.0</v>
      </c>
      <c r="BU14" s="62">
        <v>170490.0</v>
      </c>
      <c r="BV14" s="62">
        <v>16358.0</v>
      </c>
      <c r="BW14" s="62">
        <v>3023885.0</v>
      </c>
      <c r="BX14" s="62">
        <v>3408.0</v>
      </c>
      <c r="BY14" s="62">
        <v>0.0</v>
      </c>
      <c r="BZ14" s="62">
        <v>0.0</v>
      </c>
      <c r="CA14" s="62">
        <v>0.0</v>
      </c>
      <c r="CB14" s="62">
        <v>0.0</v>
      </c>
      <c r="CC14" s="62">
        <v>0.0</v>
      </c>
      <c r="CD14" s="62">
        <v>0.0</v>
      </c>
      <c r="CE14" s="62">
        <v>0.0</v>
      </c>
      <c r="CF14" s="62">
        <v>0.0</v>
      </c>
      <c r="CG14" s="62">
        <v>0.0</v>
      </c>
      <c r="CH14" s="62">
        <v>0.0</v>
      </c>
      <c r="CI14" s="62">
        <v>0.0</v>
      </c>
      <c r="CJ14" s="62">
        <v>0.0</v>
      </c>
      <c r="CK14" s="62">
        <v>0.0</v>
      </c>
      <c r="CL14" s="62">
        <v>0.0</v>
      </c>
      <c r="CM14" s="62">
        <v>0.0</v>
      </c>
      <c r="CN14" s="62">
        <v>0.0</v>
      </c>
      <c r="CO14" s="62">
        <v>0.0</v>
      </c>
      <c r="CP14" s="62">
        <v>0.0</v>
      </c>
      <c r="CQ14" s="62">
        <v>0.0</v>
      </c>
      <c r="CR14" s="62">
        <v>0.0</v>
      </c>
      <c r="CS14" s="62">
        <v>0.0</v>
      </c>
      <c r="CT14" s="62">
        <v>0.0</v>
      </c>
      <c r="CU14" s="62">
        <v>0.0</v>
      </c>
      <c r="CV14" s="62">
        <v>0.0</v>
      </c>
      <c r="CW14" s="62">
        <v>0.0</v>
      </c>
      <c r="CX14" s="62">
        <v>0.0</v>
      </c>
      <c r="CY14" s="62">
        <v>0.0</v>
      </c>
      <c r="CZ14" s="62">
        <v>0.0</v>
      </c>
      <c r="DA14" s="62">
        <v>0.0</v>
      </c>
      <c r="DB14" s="62">
        <v>16999.0</v>
      </c>
      <c r="DC14" s="62">
        <v>27052.0</v>
      </c>
      <c r="DD14" s="62">
        <v>0.0</v>
      </c>
      <c r="DE14" s="62">
        <v>0.0</v>
      </c>
      <c r="DF14" s="62">
        <v>0.0</v>
      </c>
      <c r="DG14" s="62">
        <v>0.0</v>
      </c>
      <c r="DH14" s="62">
        <v>0.0</v>
      </c>
      <c r="DI14" s="62">
        <v>0.0</v>
      </c>
      <c r="DJ14" s="62">
        <v>0.0</v>
      </c>
      <c r="DK14" s="62">
        <v>0.0</v>
      </c>
      <c r="DL14" s="62">
        <v>0.0</v>
      </c>
      <c r="DM14" s="62">
        <v>0.0</v>
      </c>
      <c r="DN14" s="62">
        <v>0.0</v>
      </c>
      <c r="DO14" s="62">
        <v>0.0</v>
      </c>
      <c r="DP14" s="62">
        <v>0.0</v>
      </c>
      <c r="DQ14" s="62">
        <v>0.0</v>
      </c>
      <c r="DR14" s="62">
        <v>0.0</v>
      </c>
      <c r="DS14" s="62">
        <v>0.0</v>
      </c>
      <c r="DT14" s="62">
        <v>0.0</v>
      </c>
      <c r="DU14" s="62">
        <v>0.0</v>
      </c>
      <c r="DV14" s="62">
        <v>0.0</v>
      </c>
      <c r="DW14" s="62">
        <v>0.0</v>
      </c>
      <c r="DX14" s="62">
        <v>0.0</v>
      </c>
      <c r="DY14" s="62">
        <v>0.0</v>
      </c>
      <c r="DZ14" s="62">
        <v>0.0</v>
      </c>
      <c r="EA14" s="62">
        <v>0.0</v>
      </c>
      <c r="EB14" s="62">
        <v>0.0</v>
      </c>
      <c r="EC14" s="62">
        <v>0.0</v>
      </c>
      <c r="ED14" s="62">
        <v>0.0</v>
      </c>
      <c r="EE14" s="62">
        <v>0.0</v>
      </c>
      <c r="EF14" s="62">
        <v>0.0</v>
      </c>
      <c r="EG14" s="62">
        <v>0.0</v>
      </c>
      <c r="EH14" s="62">
        <v>0.0</v>
      </c>
      <c r="EI14" s="62">
        <v>0.0</v>
      </c>
      <c r="EJ14" s="62">
        <v>0.0</v>
      </c>
      <c r="EK14" s="62">
        <v>0.0</v>
      </c>
      <c r="EL14" s="62">
        <v>0.0</v>
      </c>
      <c r="EM14" s="62">
        <v>0.0</v>
      </c>
      <c r="EN14" s="62">
        <v>0.0</v>
      </c>
      <c r="EO14" s="62">
        <v>0.0</v>
      </c>
      <c r="EP14" s="62">
        <v>0.0</v>
      </c>
      <c r="EQ14" s="62">
        <v>0.0</v>
      </c>
      <c r="ER14" s="62">
        <v>0.0</v>
      </c>
      <c r="ES14" s="62">
        <v>0.0</v>
      </c>
      <c r="ET14" s="62">
        <v>0.0</v>
      </c>
      <c r="EU14" s="62">
        <v>0.0</v>
      </c>
      <c r="EV14" s="62">
        <v>0.0</v>
      </c>
      <c r="EW14" s="62">
        <v>0.0</v>
      </c>
      <c r="EX14" s="62">
        <v>0.0</v>
      </c>
      <c r="EY14" s="62">
        <v>0.0</v>
      </c>
      <c r="EZ14" s="62">
        <v>0.0</v>
      </c>
      <c r="FA14" s="62">
        <v>0.0</v>
      </c>
      <c r="FB14" s="62">
        <v>0.0</v>
      </c>
      <c r="FC14" s="62">
        <v>0.0</v>
      </c>
      <c r="FD14" s="62">
        <v>0.0</v>
      </c>
      <c r="FE14" s="62">
        <v>0.0</v>
      </c>
      <c r="FF14" s="62">
        <v>0.0</v>
      </c>
      <c r="FG14" s="62">
        <v>0.0</v>
      </c>
      <c r="FH14" s="62">
        <v>0.0</v>
      </c>
      <c r="FI14" s="62">
        <v>0.0</v>
      </c>
      <c r="FJ14" s="62">
        <v>452496.0</v>
      </c>
      <c r="FK14" s="62">
        <v>2039503.0</v>
      </c>
      <c r="FL14" s="62">
        <v>0.0</v>
      </c>
      <c r="FM14" s="62">
        <v>0.0</v>
      </c>
      <c r="FN14" s="62">
        <v>0.0</v>
      </c>
      <c r="FO14" s="62">
        <v>0.0</v>
      </c>
      <c r="FP14" s="62">
        <v>0.0</v>
      </c>
      <c r="FQ14" s="62">
        <v>0.0</v>
      </c>
      <c r="FR14" s="62">
        <v>0.0</v>
      </c>
      <c r="FS14" s="62">
        <v>0.0</v>
      </c>
      <c r="FT14" s="62">
        <v>0.0</v>
      </c>
      <c r="FU14" s="62">
        <v>0.0</v>
      </c>
      <c r="FV14" s="62">
        <v>0.0</v>
      </c>
      <c r="FW14" s="62">
        <v>0.0</v>
      </c>
      <c r="FX14" s="62">
        <v>24826.0</v>
      </c>
      <c r="FY14" s="62">
        <v>28234.0</v>
      </c>
      <c r="FZ14" s="62">
        <v>46715.0</v>
      </c>
      <c r="GA14" s="62">
        <v>121707.0</v>
      </c>
      <c r="GB14" s="62">
        <v>459386.0</v>
      </c>
      <c r="GC14" s="62">
        <v>26440.0</v>
      </c>
      <c r="GD14" s="62">
        <v>0.0</v>
      </c>
      <c r="GE14" s="62">
        <v>561593.0</v>
      </c>
      <c r="GF14" s="63">
        <v>4.6679793E7</v>
      </c>
      <c r="GG14" s="64">
        <v>233121.0</v>
      </c>
      <c r="GH14" s="65">
        <v>0.0</v>
      </c>
      <c r="GI14" s="64">
        <v>0.0</v>
      </c>
      <c r="GJ14" s="64">
        <v>0.0</v>
      </c>
      <c r="GK14" s="64">
        <v>-4077.0</v>
      </c>
      <c r="GL14" s="64">
        <v>48152.0</v>
      </c>
      <c r="GM14" s="64">
        <v>0.0</v>
      </c>
      <c r="GN14" s="63">
        <v>277196.0</v>
      </c>
      <c r="GO14" s="66">
        <v>4.6956989E7</v>
      </c>
      <c r="GP14" s="64">
        <v>4.1057663E7</v>
      </c>
      <c r="GQ14" s="64">
        <v>0.0</v>
      </c>
      <c r="GR14" s="65">
        <v>0.0</v>
      </c>
      <c r="GS14" s="63">
        <v>4.1057663E7</v>
      </c>
      <c r="GT14" s="67">
        <v>1073837.0</v>
      </c>
      <c r="GU14" s="67">
        <v>346056.0</v>
      </c>
      <c r="GV14" s="67">
        <v>624088.0</v>
      </c>
      <c r="GW14" s="63">
        <v>2043981.0</v>
      </c>
      <c r="GX14" s="63">
        <v>3452132.0</v>
      </c>
      <c r="GY14" s="63">
        <v>403213.0</v>
      </c>
      <c r="GZ14" s="66">
        <v>4.6956989E7</v>
      </c>
      <c r="HC14" s="107" t="s">
        <v>499</v>
      </c>
      <c r="HD14" s="114" t="s">
        <v>500</v>
      </c>
      <c r="HE14" s="109" t="s">
        <v>501</v>
      </c>
      <c r="HF14" s="113">
        <f> GZ100</f>
        <v>907885220</v>
      </c>
      <c r="HH14" s="106"/>
    </row>
    <row r="15">
      <c r="A15" s="68">
        <v>10.0</v>
      </c>
      <c r="B15" s="111" t="s">
        <v>280</v>
      </c>
      <c r="C15" s="70">
        <v>0.0</v>
      </c>
      <c r="D15" s="70">
        <v>0.0</v>
      </c>
      <c r="E15" s="70">
        <v>0.0</v>
      </c>
      <c r="F15" s="70">
        <v>0.0</v>
      </c>
      <c r="G15" s="70">
        <v>0.0</v>
      </c>
      <c r="H15" s="70">
        <v>0.0</v>
      </c>
      <c r="I15" s="70">
        <v>0.0</v>
      </c>
      <c r="J15" s="70">
        <v>0.0</v>
      </c>
      <c r="K15" s="70">
        <v>0.0</v>
      </c>
      <c r="L15" s="70">
        <v>8422952.0</v>
      </c>
      <c r="M15" s="70">
        <v>0.0</v>
      </c>
      <c r="N15" s="70">
        <v>0.0</v>
      </c>
      <c r="O15" s="70">
        <v>0.0</v>
      </c>
      <c r="P15" s="70">
        <v>0.0</v>
      </c>
      <c r="Q15" s="70">
        <v>0.0</v>
      </c>
      <c r="R15" s="70">
        <v>0.0</v>
      </c>
      <c r="S15" s="70">
        <v>0.0</v>
      </c>
      <c r="T15" s="70">
        <v>0.0</v>
      </c>
      <c r="U15" s="70">
        <v>0.0</v>
      </c>
      <c r="V15" s="70">
        <v>0.0</v>
      </c>
      <c r="W15" s="70">
        <v>0.0</v>
      </c>
      <c r="X15" s="70">
        <v>0.0</v>
      </c>
      <c r="Y15" s="70">
        <v>0.0</v>
      </c>
      <c r="Z15" s="70">
        <v>0.0</v>
      </c>
      <c r="AA15" s="70">
        <v>0.0</v>
      </c>
      <c r="AB15" s="70">
        <v>282500.0</v>
      </c>
      <c r="AC15" s="70">
        <v>6.0</v>
      </c>
      <c r="AD15" s="70">
        <v>581.0</v>
      </c>
      <c r="AE15" s="70">
        <v>170519.0</v>
      </c>
      <c r="AF15" s="70">
        <v>0.0</v>
      </c>
      <c r="AG15" s="70">
        <v>0.0</v>
      </c>
      <c r="AH15" s="70">
        <v>0.0</v>
      </c>
      <c r="AI15" s="70">
        <v>0.0</v>
      </c>
      <c r="AJ15" s="70">
        <v>0.0</v>
      </c>
      <c r="AK15" s="70">
        <v>0.0</v>
      </c>
      <c r="AL15" s="70">
        <v>0.0</v>
      </c>
      <c r="AM15" s="70">
        <v>0.0</v>
      </c>
      <c r="AN15" s="70">
        <v>0.0</v>
      </c>
      <c r="AO15" s="70">
        <v>0.0</v>
      </c>
      <c r="AP15" s="70">
        <v>0.0</v>
      </c>
      <c r="AQ15" s="70">
        <v>0.0</v>
      </c>
      <c r="AR15" s="70">
        <v>0.0</v>
      </c>
      <c r="AS15" s="70">
        <v>0.0</v>
      </c>
      <c r="AT15" s="70">
        <v>0.0</v>
      </c>
      <c r="AU15" s="70">
        <v>0.0</v>
      </c>
      <c r="AV15" s="70">
        <v>0.0</v>
      </c>
      <c r="AW15" s="70">
        <v>0.0</v>
      </c>
      <c r="AX15" s="70">
        <v>0.0</v>
      </c>
      <c r="AY15" s="70">
        <v>0.0</v>
      </c>
      <c r="AZ15" s="70">
        <v>0.0</v>
      </c>
      <c r="BA15" s="70">
        <v>0.0</v>
      </c>
      <c r="BB15" s="70">
        <v>0.0</v>
      </c>
      <c r="BC15" s="70">
        <v>0.0</v>
      </c>
      <c r="BD15" s="70">
        <v>0.0</v>
      </c>
      <c r="BE15" s="70">
        <v>8629.0</v>
      </c>
      <c r="BF15" s="70">
        <v>12382.0</v>
      </c>
      <c r="BG15" s="70">
        <v>2172232.0</v>
      </c>
      <c r="BH15" s="70">
        <v>0.0</v>
      </c>
      <c r="BI15" s="70">
        <v>0.0</v>
      </c>
      <c r="BJ15" s="70">
        <v>0.0</v>
      </c>
      <c r="BK15" s="70">
        <v>12784.0</v>
      </c>
      <c r="BL15" s="70">
        <v>0.0</v>
      </c>
      <c r="BM15" s="70">
        <v>0.0</v>
      </c>
      <c r="BN15" s="70">
        <v>0.0</v>
      </c>
      <c r="BO15" s="70">
        <v>0.0</v>
      </c>
      <c r="BP15" s="70">
        <v>10973.0</v>
      </c>
      <c r="BQ15" s="70">
        <v>5948802.0</v>
      </c>
      <c r="BR15" s="70">
        <v>0.0</v>
      </c>
      <c r="BS15" s="70">
        <v>0.0</v>
      </c>
      <c r="BT15" s="70">
        <v>100440.0</v>
      </c>
      <c r="BU15" s="70">
        <v>1.749763E7</v>
      </c>
      <c r="BV15" s="70">
        <v>107665.0</v>
      </c>
      <c r="BW15" s="70">
        <v>13903.0</v>
      </c>
      <c r="BX15" s="70">
        <v>16895.0</v>
      </c>
      <c r="BY15" s="70">
        <v>0.0</v>
      </c>
      <c r="BZ15" s="70">
        <v>0.0</v>
      </c>
      <c r="CA15" s="70">
        <v>0.0</v>
      </c>
      <c r="CB15" s="70">
        <v>0.0</v>
      </c>
      <c r="CC15" s="70">
        <v>0.0</v>
      </c>
      <c r="CD15" s="70">
        <v>0.0</v>
      </c>
      <c r="CE15" s="70">
        <v>0.0</v>
      </c>
      <c r="CF15" s="70">
        <v>0.0</v>
      </c>
      <c r="CG15" s="70">
        <v>0.0</v>
      </c>
      <c r="CH15" s="70">
        <v>0.0</v>
      </c>
      <c r="CI15" s="70">
        <v>0.0</v>
      </c>
      <c r="CJ15" s="70">
        <v>0.0</v>
      </c>
      <c r="CK15" s="70">
        <v>0.0</v>
      </c>
      <c r="CL15" s="70">
        <v>0.0</v>
      </c>
      <c r="CM15" s="70">
        <v>0.0</v>
      </c>
      <c r="CN15" s="70">
        <v>0.0</v>
      </c>
      <c r="CO15" s="70">
        <v>0.0</v>
      </c>
      <c r="CP15" s="70">
        <v>0.0</v>
      </c>
      <c r="CQ15" s="70">
        <v>0.0</v>
      </c>
      <c r="CR15" s="70">
        <v>0.0</v>
      </c>
      <c r="CS15" s="70">
        <v>0.0</v>
      </c>
      <c r="CT15" s="70">
        <v>0.0</v>
      </c>
      <c r="CU15" s="70">
        <v>0.0</v>
      </c>
      <c r="CV15" s="70">
        <v>0.0</v>
      </c>
      <c r="CW15" s="70">
        <v>0.0</v>
      </c>
      <c r="CX15" s="70">
        <v>0.0</v>
      </c>
      <c r="CY15" s="70">
        <v>0.0</v>
      </c>
      <c r="CZ15" s="70">
        <v>0.0</v>
      </c>
      <c r="DA15" s="70">
        <v>0.0</v>
      </c>
      <c r="DB15" s="70">
        <v>0.0</v>
      </c>
      <c r="DC15" s="70">
        <v>276676.0</v>
      </c>
      <c r="DD15" s="70">
        <v>90255.0</v>
      </c>
      <c r="DE15" s="70">
        <v>0.0</v>
      </c>
      <c r="DF15" s="70">
        <v>0.0</v>
      </c>
      <c r="DG15" s="70">
        <v>0.0</v>
      </c>
      <c r="DH15" s="70">
        <v>0.0</v>
      </c>
      <c r="DI15" s="70">
        <v>0.0</v>
      </c>
      <c r="DJ15" s="70">
        <v>0.0</v>
      </c>
      <c r="DK15" s="70">
        <v>0.0</v>
      </c>
      <c r="DL15" s="70">
        <v>0.0</v>
      </c>
      <c r="DM15" s="70">
        <v>0.0</v>
      </c>
      <c r="DN15" s="70">
        <v>0.0</v>
      </c>
      <c r="DO15" s="70">
        <v>0.0</v>
      </c>
      <c r="DP15" s="70">
        <v>0.0</v>
      </c>
      <c r="DQ15" s="70">
        <v>0.0</v>
      </c>
      <c r="DR15" s="70">
        <v>0.0</v>
      </c>
      <c r="DS15" s="70">
        <v>0.0</v>
      </c>
      <c r="DT15" s="70">
        <v>0.0</v>
      </c>
      <c r="DU15" s="70">
        <v>0.0</v>
      </c>
      <c r="DV15" s="70">
        <v>0.0</v>
      </c>
      <c r="DW15" s="70">
        <v>0.0</v>
      </c>
      <c r="DX15" s="70">
        <v>0.0</v>
      </c>
      <c r="DY15" s="70">
        <v>0.0</v>
      </c>
      <c r="DZ15" s="70">
        <v>0.0</v>
      </c>
      <c r="EA15" s="70">
        <v>0.0</v>
      </c>
      <c r="EB15" s="70">
        <v>0.0</v>
      </c>
      <c r="EC15" s="70">
        <v>0.0</v>
      </c>
      <c r="ED15" s="70">
        <v>0.0</v>
      </c>
      <c r="EE15" s="70">
        <v>0.0</v>
      </c>
      <c r="EF15" s="70">
        <v>0.0</v>
      </c>
      <c r="EG15" s="70">
        <v>0.0</v>
      </c>
      <c r="EH15" s="70">
        <v>0.0</v>
      </c>
      <c r="EI15" s="70">
        <v>0.0</v>
      </c>
      <c r="EJ15" s="70">
        <v>0.0</v>
      </c>
      <c r="EK15" s="70">
        <v>0.0</v>
      </c>
      <c r="EL15" s="70">
        <v>0.0</v>
      </c>
      <c r="EM15" s="70">
        <v>0.0</v>
      </c>
      <c r="EN15" s="70">
        <v>0.0</v>
      </c>
      <c r="EO15" s="70">
        <v>0.0</v>
      </c>
      <c r="EP15" s="70">
        <v>0.0</v>
      </c>
      <c r="EQ15" s="70">
        <v>0.0</v>
      </c>
      <c r="ER15" s="70">
        <v>0.0</v>
      </c>
      <c r="ES15" s="70">
        <v>0.0</v>
      </c>
      <c r="ET15" s="70">
        <v>0.0</v>
      </c>
      <c r="EU15" s="70">
        <v>0.0</v>
      </c>
      <c r="EV15" s="70">
        <v>0.0</v>
      </c>
      <c r="EW15" s="70">
        <v>0.0</v>
      </c>
      <c r="EX15" s="70">
        <v>0.0</v>
      </c>
      <c r="EY15" s="70">
        <v>0.0</v>
      </c>
      <c r="EZ15" s="70">
        <v>0.0</v>
      </c>
      <c r="FA15" s="70">
        <v>0.0</v>
      </c>
      <c r="FB15" s="70">
        <v>0.0</v>
      </c>
      <c r="FC15" s="70">
        <v>0.0</v>
      </c>
      <c r="FD15" s="70">
        <v>0.0</v>
      </c>
      <c r="FE15" s="70">
        <v>0.0</v>
      </c>
      <c r="FF15" s="70">
        <v>0.0</v>
      </c>
      <c r="FG15" s="70">
        <v>0.0</v>
      </c>
      <c r="FH15" s="70">
        <v>0.0</v>
      </c>
      <c r="FI15" s="70">
        <v>0.0</v>
      </c>
      <c r="FJ15" s="70">
        <v>3551174.0</v>
      </c>
      <c r="FK15" s="70">
        <v>3.022522E7</v>
      </c>
      <c r="FL15" s="70">
        <v>0.0</v>
      </c>
      <c r="FM15" s="70">
        <v>0.0</v>
      </c>
      <c r="FN15" s="70">
        <v>0.0</v>
      </c>
      <c r="FO15" s="70">
        <v>0.0</v>
      </c>
      <c r="FP15" s="70">
        <v>0.0</v>
      </c>
      <c r="FQ15" s="70">
        <v>0.0</v>
      </c>
      <c r="FR15" s="70">
        <v>0.0</v>
      </c>
      <c r="FS15" s="70">
        <v>0.0</v>
      </c>
      <c r="FT15" s="70">
        <v>0.0</v>
      </c>
      <c r="FU15" s="70">
        <v>0.0</v>
      </c>
      <c r="FV15" s="70">
        <v>0.0</v>
      </c>
      <c r="FW15" s="70">
        <v>914626.0</v>
      </c>
      <c r="FX15" s="70">
        <v>29422.0</v>
      </c>
      <c r="FY15" s="70">
        <v>211342.0</v>
      </c>
      <c r="FZ15" s="70">
        <v>43901.0</v>
      </c>
      <c r="GA15" s="70">
        <v>92874.0</v>
      </c>
      <c r="GB15" s="70">
        <v>1141282.0</v>
      </c>
      <c r="GC15" s="70">
        <v>1077638.0</v>
      </c>
      <c r="GD15" s="70">
        <v>0.0</v>
      </c>
      <c r="GE15" s="70">
        <v>127767.0</v>
      </c>
      <c r="GF15" s="71">
        <v>7.256107E7</v>
      </c>
      <c r="GG15" s="72">
        <v>1.96107082E8</v>
      </c>
      <c r="GH15" s="73">
        <v>0.0</v>
      </c>
      <c r="GI15" s="72">
        <v>0.0</v>
      </c>
      <c r="GJ15" s="72">
        <v>1277184.0</v>
      </c>
      <c r="GK15" s="72">
        <v>-50108.0</v>
      </c>
      <c r="GL15" s="72">
        <v>1481850.0</v>
      </c>
      <c r="GM15" s="72">
        <v>0.0</v>
      </c>
      <c r="GN15" s="71">
        <v>1.98816008E8</v>
      </c>
      <c r="GO15" s="74">
        <v>2.71377078E8</v>
      </c>
      <c r="GP15" s="72">
        <v>1.3291834E7</v>
      </c>
      <c r="GQ15" s="72">
        <v>0.0</v>
      </c>
      <c r="GR15" s="73">
        <v>0.0</v>
      </c>
      <c r="GS15" s="71">
        <v>1.3291834E7</v>
      </c>
      <c r="GT15" s="75">
        <v>3.3769848E7</v>
      </c>
      <c r="GU15" s="75">
        <v>3.2826847E7</v>
      </c>
      <c r="GV15" s="75">
        <v>5632905.0</v>
      </c>
      <c r="GW15" s="71">
        <v>7.22296E7</v>
      </c>
      <c r="GX15" s="71">
        <v>239797.0</v>
      </c>
      <c r="GY15" s="71">
        <v>1.85615847E8</v>
      </c>
      <c r="GZ15" s="74">
        <v>2.71377078E8</v>
      </c>
      <c r="HC15" s="107" t="s">
        <v>14</v>
      </c>
      <c r="HD15" s="114" t="s">
        <v>502</v>
      </c>
      <c r="HE15" s="109" t="s">
        <v>503</v>
      </c>
      <c r="HF15" s="113">
        <f>SUM(GZ101:GZ102,GZ104:GZ109)</f>
        <v>1064949094</v>
      </c>
      <c r="HH15" s="106"/>
    </row>
    <row r="16">
      <c r="A16" s="52">
        <v>11.0</v>
      </c>
      <c r="B16" s="111" t="s">
        <v>281</v>
      </c>
      <c r="C16" s="54">
        <v>0.0</v>
      </c>
      <c r="D16" s="54">
        <v>0.0</v>
      </c>
      <c r="E16" s="54">
        <v>0.0</v>
      </c>
      <c r="F16" s="54">
        <v>0.0</v>
      </c>
      <c r="G16" s="54">
        <v>0.0</v>
      </c>
      <c r="H16" s="54">
        <v>0.0</v>
      </c>
      <c r="I16" s="54">
        <v>0.0</v>
      </c>
      <c r="J16" s="54">
        <v>0.0</v>
      </c>
      <c r="K16" s="54">
        <v>0.0</v>
      </c>
      <c r="L16" s="54">
        <v>0.0</v>
      </c>
      <c r="M16" s="54">
        <v>304233.0</v>
      </c>
      <c r="N16" s="54">
        <v>0.0</v>
      </c>
      <c r="O16" s="54">
        <v>0.0</v>
      </c>
      <c r="P16" s="54">
        <v>0.0</v>
      </c>
      <c r="Q16" s="54">
        <v>0.0</v>
      </c>
      <c r="R16" s="54">
        <v>0.0</v>
      </c>
      <c r="S16" s="54">
        <v>0.0</v>
      </c>
      <c r="T16" s="54">
        <v>0.0</v>
      </c>
      <c r="U16" s="54">
        <v>0.0</v>
      </c>
      <c r="V16" s="54">
        <v>0.0</v>
      </c>
      <c r="W16" s="54">
        <v>0.0</v>
      </c>
      <c r="X16" s="54">
        <v>0.0</v>
      </c>
      <c r="Y16" s="54">
        <v>0.0</v>
      </c>
      <c r="Z16" s="54">
        <v>0.0</v>
      </c>
      <c r="AA16" s="54">
        <v>0.0</v>
      </c>
      <c r="AB16" s="54">
        <v>1438583.0</v>
      </c>
      <c r="AC16" s="54">
        <v>65988.0</v>
      </c>
      <c r="AD16" s="54">
        <v>400933.0</v>
      </c>
      <c r="AE16" s="54">
        <v>79154.0</v>
      </c>
      <c r="AF16" s="54">
        <v>0.0</v>
      </c>
      <c r="AG16" s="54">
        <v>0.0</v>
      </c>
      <c r="AH16" s="54">
        <v>0.0</v>
      </c>
      <c r="AI16" s="54">
        <v>273496.0</v>
      </c>
      <c r="AJ16" s="54">
        <v>0.0</v>
      </c>
      <c r="AK16" s="54">
        <v>0.0</v>
      </c>
      <c r="AL16" s="54">
        <v>0.0</v>
      </c>
      <c r="AM16" s="54">
        <v>0.0</v>
      </c>
      <c r="AN16" s="54">
        <v>0.0</v>
      </c>
      <c r="AO16" s="54">
        <v>0.0</v>
      </c>
      <c r="AP16" s="54">
        <v>0.0</v>
      </c>
      <c r="AQ16" s="54">
        <v>0.0</v>
      </c>
      <c r="AR16" s="54">
        <v>0.0</v>
      </c>
      <c r="AS16" s="54">
        <v>0.0</v>
      </c>
      <c r="AT16" s="54">
        <v>0.0</v>
      </c>
      <c r="AU16" s="54">
        <v>0.0</v>
      </c>
      <c r="AV16" s="54">
        <v>0.0</v>
      </c>
      <c r="AW16" s="54">
        <v>0.0</v>
      </c>
      <c r="AX16" s="54">
        <v>0.0</v>
      </c>
      <c r="AY16" s="54">
        <v>0.0</v>
      </c>
      <c r="AZ16" s="54">
        <v>0.0</v>
      </c>
      <c r="BA16" s="54">
        <v>0.0</v>
      </c>
      <c r="BB16" s="54">
        <v>0.0</v>
      </c>
      <c r="BC16" s="54">
        <v>0.0</v>
      </c>
      <c r="BD16" s="54">
        <v>0.0</v>
      </c>
      <c r="BE16" s="54">
        <v>0.0</v>
      </c>
      <c r="BF16" s="54">
        <v>0.0</v>
      </c>
      <c r="BG16" s="54">
        <v>0.0</v>
      </c>
      <c r="BH16" s="54">
        <v>0.0</v>
      </c>
      <c r="BI16" s="54">
        <v>0.0</v>
      </c>
      <c r="BJ16" s="54">
        <v>0.0</v>
      </c>
      <c r="BK16" s="54">
        <v>0.0</v>
      </c>
      <c r="BL16" s="54">
        <v>0.0</v>
      </c>
      <c r="BM16" s="54">
        <v>0.0</v>
      </c>
      <c r="BN16" s="54">
        <v>0.0</v>
      </c>
      <c r="BO16" s="54">
        <v>0.0</v>
      </c>
      <c r="BP16" s="54">
        <v>0.0</v>
      </c>
      <c r="BQ16" s="54">
        <v>0.0</v>
      </c>
      <c r="BR16" s="54">
        <v>0.0</v>
      </c>
      <c r="BS16" s="54">
        <v>1541964.0</v>
      </c>
      <c r="BT16" s="54">
        <v>0.0</v>
      </c>
      <c r="BU16" s="54">
        <v>0.0</v>
      </c>
      <c r="BV16" s="54">
        <v>187855.0</v>
      </c>
      <c r="BW16" s="54">
        <v>0.0</v>
      </c>
      <c r="BX16" s="54">
        <v>1991.0</v>
      </c>
      <c r="BY16" s="54">
        <v>156.0</v>
      </c>
      <c r="BZ16" s="54">
        <v>0.0</v>
      </c>
      <c r="CA16" s="54">
        <v>0.0</v>
      </c>
      <c r="CB16" s="54">
        <v>0.0</v>
      </c>
      <c r="CC16" s="54">
        <v>0.0</v>
      </c>
      <c r="CD16" s="54">
        <v>0.0</v>
      </c>
      <c r="CE16" s="54">
        <v>0.0</v>
      </c>
      <c r="CF16" s="54">
        <v>0.0</v>
      </c>
      <c r="CG16" s="54">
        <v>0.0</v>
      </c>
      <c r="CH16" s="54">
        <v>0.0</v>
      </c>
      <c r="CI16" s="54">
        <v>0.0</v>
      </c>
      <c r="CJ16" s="54">
        <v>0.0</v>
      </c>
      <c r="CK16" s="54">
        <v>0.0</v>
      </c>
      <c r="CL16" s="54">
        <v>0.0</v>
      </c>
      <c r="CM16" s="54">
        <v>0.0</v>
      </c>
      <c r="CN16" s="54">
        <v>0.0</v>
      </c>
      <c r="CO16" s="54">
        <v>0.0</v>
      </c>
      <c r="CP16" s="54">
        <v>0.0</v>
      </c>
      <c r="CQ16" s="54">
        <v>0.0</v>
      </c>
      <c r="CR16" s="54">
        <v>0.0</v>
      </c>
      <c r="CS16" s="54">
        <v>0.0</v>
      </c>
      <c r="CT16" s="54">
        <v>0.0</v>
      </c>
      <c r="CU16" s="54">
        <v>0.0</v>
      </c>
      <c r="CV16" s="54">
        <v>0.0</v>
      </c>
      <c r="CW16" s="54">
        <v>0.0</v>
      </c>
      <c r="CX16" s="54">
        <v>0.0</v>
      </c>
      <c r="CY16" s="54">
        <v>0.0</v>
      </c>
      <c r="CZ16" s="54">
        <v>0.0</v>
      </c>
      <c r="DA16" s="54">
        <v>0.0</v>
      </c>
      <c r="DB16" s="54">
        <v>3981.0</v>
      </c>
      <c r="DC16" s="54">
        <v>440534.0</v>
      </c>
      <c r="DD16" s="54">
        <v>62178.0</v>
      </c>
      <c r="DE16" s="54">
        <v>0.0</v>
      </c>
      <c r="DF16" s="54">
        <v>0.0</v>
      </c>
      <c r="DG16" s="54">
        <v>0.0</v>
      </c>
      <c r="DH16" s="54">
        <v>0.0</v>
      </c>
      <c r="DI16" s="54">
        <v>0.0</v>
      </c>
      <c r="DJ16" s="54">
        <v>0.0</v>
      </c>
      <c r="DK16" s="54">
        <v>0.0</v>
      </c>
      <c r="DL16" s="54">
        <v>0.0</v>
      </c>
      <c r="DM16" s="54">
        <v>0.0</v>
      </c>
      <c r="DN16" s="54">
        <v>0.0</v>
      </c>
      <c r="DO16" s="54">
        <v>0.0</v>
      </c>
      <c r="DP16" s="54">
        <v>0.0</v>
      </c>
      <c r="DQ16" s="54">
        <v>0.0</v>
      </c>
      <c r="DR16" s="54">
        <v>0.0</v>
      </c>
      <c r="DS16" s="54">
        <v>0.0</v>
      </c>
      <c r="DT16" s="54">
        <v>0.0</v>
      </c>
      <c r="DU16" s="54">
        <v>0.0</v>
      </c>
      <c r="DV16" s="54">
        <v>0.0</v>
      </c>
      <c r="DW16" s="54">
        <v>0.0</v>
      </c>
      <c r="DX16" s="54">
        <v>0.0</v>
      </c>
      <c r="DY16" s="54">
        <v>0.0</v>
      </c>
      <c r="DZ16" s="54">
        <v>0.0</v>
      </c>
      <c r="EA16" s="54">
        <v>0.0</v>
      </c>
      <c r="EB16" s="54">
        <v>0.0</v>
      </c>
      <c r="EC16" s="54">
        <v>0.0</v>
      </c>
      <c r="ED16" s="54">
        <v>0.0</v>
      </c>
      <c r="EE16" s="54">
        <v>0.0</v>
      </c>
      <c r="EF16" s="54">
        <v>0.0</v>
      </c>
      <c r="EG16" s="54">
        <v>0.0</v>
      </c>
      <c r="EH16" s="54">
        <v>0.0</v>
      </c>
      <c r="EI16" s="54">
        <v>0.0</v>
      </c>
      <c r="EJ16" s="54">
        <v>0.0</v>
      </c>
      <c r="EK16" s="54">
        <v>0.0</v>
      </c>
      <c r="EL16" s="54">
        <v>0.0</v>
      </c>
      <c r="EM16" s="54">
        <v>0.0</v>
      </c>
      <c r="EN16" s="54">
        <v>0.0</v>
      </c>
      <c r="EO16" s="54">
        <v>451.0</v>
      </c>
      <c r="EP16" s="54">
        <v>0.0</v>
      </c>
      <c r="EQ16" s="54">
        <v>0.0</v>
      </c>
      <c r="ER16" s="54">
        <v>0.0</v>
      </c>
      <c r="ES16" s="54">
        <v>0.0</v>
      </c>
      <c r="ET16" s="54">
        <v>4825.0</v>
      </c>
      <c r="EU16" s="54">
        <v>765387.0</v>
      </c>
      <c r="EV16" s="54">
        <v>213082.0</v>
      </c>
      <c r="EW16" s="54">
        <v>0.0</v>
      </c>
      <c r="EX16" s="54">
        <v>45552.0</v>
      </c>
      <c r="EY16" s="54">
        <v>129258.0</v>
      </c>
      <c r="EZ16" s="54">
        <v>0.0</v>
      </c>
      <c r="FA16" s="54">
        <v>0.0</v>
      </c>
      <c r="FB16" s="54">
        <v>0.0</v>
      </c>
      <c r="FC16" s="54">
        <v>0.0</v>
      </c>
      <c r="FD16" s="54">
        <v>0.0</v>
      </c>
      <c r="FE16" s="54">
        <v>0.0</v>
      </c>
      <c r="FF16" s="54">
        <v>0.0</v>
      </c>
      <c r="FG16" s="54">
        <v>0.0</v>
      </c>
      <c r="FH16" s="54">
        <v>0.0</v>
      </c>
      <c r="FI16" s="54">
        <v>0.0</v>
      </c>
      <c r="FJ16" s="54">
        <v>0.0</v>
      </c>
      <c r="FK16" s="54">
        <v>0.0</v>
      </c>
      <c r="FL16" s="54">
        <v>0.0</v>
      </c>
      <c r="FM16" s="54">
        <v>0.0</v>
      </c>
      <c r="FN16" s="54">
        <v>0.0</v>
      </c>
      <c r="FO16" s="54">
        <v>0.0</v>
      </c>
      <c r="FP16" s="54">
        <v>0.0</v>
      </c>
      <c r="FQ16" s="54">
        <v>0.0</v>
      </c>
      <c r="FR16" s="54">
        <v>0.0</v>
      </c>
      <c r="FS16" s="54">
        <v>0.0</v>
      </c>
      <c r="FT16" s="54">
        <v>0.0</v>
      </c>
      <c r="FU16" s="54">
        <v>0.0</v>
      </c>
      <c r="FV16" s="54">
        <v>0.0</v>
      </c>
      <c r="FW16" s="54">
        <v>136759.0</v>
      </c>
      <c r="FX16" s="54">
        <v>1585.0</v>
      </c>
      <c r="FY16" s="54">
        <v>953.0</v>
      </c>
      <c r="FZ16" s="54">
        <v>268.0</v>
      </c>
      <c r="GA16" s="54">
        <v>19814.0</v>
      </c>
      <c r="GB16" s="54">
        <v>7094.0</v>
      </c>
      <c r="GC16" s="54">
        <v>680963.0</v>
      </c>
      <c r="GD16" s="54">
        <v>0.0</v>
      </c>
      <c r="GE16" s="54">
        <v>23548.0</v>
      </c>
      <c r="GF16" s="55">
        <v>6830585.0</v>
      </c>
      <c r="GG16" s="56">
        <v>2985108.0</v>
      </c>
      <c r="GH16" s="57">
        <v>0.0</v>
      </c>
      <c r="GI16" s="56">
        <v>0.0</v>
      </c>
      <c r="GJ16" s="56">
        <v>324869.0</v>
      </c>
      <c r="GK16" s="56">
        <v>67978.0</v>
      </c>
      <c r="GL16" s="56">
        <v>561562.0</v>
      </c>
      <c r="GM16" s="56">
        <v>0.0</v>
      </c>
      <c r="GN16" s="55">
        <v>3939517.0</v>
      </c>
      <c r="GO16" s="58">
        <v>1.0770102E7</v>
      </c>
      <c r="GP16" s="56">
        <v>267985.0</v>
      </c>
      <c r="GQ16" s="56">
        <v>0.0</v>
      </c>
      <c r="GR16" s="57">
        <v>0.0</v>
      </c>
      <c r="GS16" s="55">
        <v>267985.0</v>
      </c>
      <c r="GT16" s="59">
        <v>2073445.0</v>
      </c>
      <c r="GU16" s="59">
        <v>1899144.0</v>
      </c>
      <c r="GV16" s="59">
        <v>407391.0</v>
      </c>
      <c r="GW16" s="55">
        <v>4379980.0</v>
      </c>
      <c r="GX16" s="55">
        <v>126555.0</v>
      </c>
      <c r="GY16" s="55">
        <v>5995582.0</v>
      </c>
      <c r="GZ16" s="58">
        <v>1.0770102E7</v>
      </c>
      <c r="HC16" s="107" t="s">
        <v>15</v>
      </c>
      <c r="HD16" s="107" t="s">
        <v>504</v>
      </c>
      <c r="HE16" s="109" t="s">
        <v>505</v>
      </c>
      <c r="HF16" s="113">
        <f>SUM(GZ110:GZ111)</f>
        <v>197999705</v>
      </c>
      <c r="HH16" s="106"/>
    </row>
    <row r="17">
      <c r="A17" s="60">
        <v>12.0</v>
      </c>
      <c r="B17" s="111" t="s">
        <v>282</v>
      </c>
      <c r="C17" s="62">
        <v>0.0</v>
      </c>
      <c r="D17" s="62">
        <v>0.0</v>
      </c>
      <c r="E17" s="62">
        <v>0.0</v>
      </c>
      <c r="F17" s="62">
        <v>0.0</v>
      </c>
      <c r="G17" s="62">
        <v>0.0</v>
      </c>
      <c r="H17" s="62">
        <v>0.0</v>
      </c>
      <c r="I17" s="62">
        <v>0.0</v>
      </c>
      <c r="J17" s="62">
        <v>0.0</v>
      </c>
      <c r="K17" s="62">
        <v>0.0</v>
      </c>
      <c r="L17" s="62">
        <v>0.0</v>
      </c>
      <c r="M17" s="62">
        <v>0.0</v>
      </c>
      <c r="N17" s="62">
        <v>2202430.0</v>
      </c>
      <c r="O17" s="62">
        <v>0.0</v>
      </c>
      <c r="P17" s="62">
        <v>0.0</v>
      </c>
      <c r="Q17" s="62">
        <v>0.0</v>
      </c>
      <c r="R17" s="62">
        <v>0.0</v>
      </c>
      <c r="S17" s="62">
        <v>0.0</v>
      </c>
      <c r="T17" s="62">
        <v>0.0</v>
      </c>
      <c r="U17" s="62">
        <v>0.0</v>
      </c>
      <c r="V17" s="62">
        <v>0.0</v>
      </c>
      <c r="W17" s="62">
        <v>0.0</v>
      </c>
      <c r="X17" s="62">
        <v>0.0</v>
      </c>
      <c r="Y17" s="62">
        <v>0.0</v>
      </c>
      <c r="Z17" s="62">
        <v>0.0</v>
      </c>
      <c r="AA17" s="62">
        <v>0.0</v>
      </c>
      <c r="AB17" s="62">
        <v>991086.0</v>
      </c>
      <c r="AC17" s="62">
        <v>64802.0</v>
      </c>
      <c r="AD17" s="62">
        <v>55.0</v>
      </c>
      <c r="AE17" s="62">
        <v>0.0</v>
      </c>
      <c r="AF17" s="62">
        <v>0.0</v>
      </c>
      <c r="AG17" s="62">
        <v>0.0</v>
      </c>
      <c r="AH17" s="62">
        <v>0.0</v>
      </c>
      <c r="AI17" s="62">
        <v>0.0</v>
      </c>
      <c r="AJ17" s="62">
        <v>0.0</v>
      </c>
      <c r="AK17" s="62">
        <v>0.0</v>
      </c>
      <c r="AL17" s="62">
        <v>0.0</v>
      </c>
      <c r="AM17" s="62">
        <v>0.0</v>
      </c>
      <c r="AN17" s="62">
        <v>0.0</v>
      </c>
      <c r="AO17" s="62">
        <v>0.0</v>
      </c>
      <c r="AP17" s="62">
        <v>0.0</v>
      </c>
      <c r="AQ17" s="62">
        <v>0.0</v>
      </c>
      <c r="AR17" s="62">
        <v>0.0</v>
      </c>
      <c r="AS17" s="62">
        <v>0.0</v>
      </c>
      <c r="AT17" s="62">
        <v>0.0</v>
      </c>
      <c r="AU17" s="62">
        <v>0.0</v>
      </c>
      <c r="AV17" s="62">
        <v>0.0</v>
      </c>
      <c r="AW17" s="62">
        <v>0.0</v>
      </c>
      <c r="AX17" s="62">
        <v>0.0</v>
      </c>
      <c r="AY17" s="62">
        <v>0.0</v>
      </c>
      <c r="AZ17" s="62">
        <v>0.0</v>
      </c>
      <c r="BA17" s="62">
        <v>0.0</v>
      </c>
      <c r="BB17" s="62">
        <v>0.0</v>
      </c>
      <c r="BC17" s="62">
        <v>0.0</v>
      </c>
      <c r="BD17" s="62">
        <v>0.0</v>
      </c>
      <c r="BE17" s="62">
        <v>0.0</v>
      </c>
      <c r="BF17" s="62">
        <v>0.0</v>
      </c>
      <c r="BG17" s="62">
        <v>0.0</v>
      </c>
      <c r="BH17" s="62">
        <v>0.0</v>
      </c>
      <c r="BI17" s="62">
        <v>0.0</v>
      </c>
      <c r="BJ17" s="62">
        <v>3792.0</v>
      </c>
      <c r="BK17" s="62">
        <v>0.0</v>
      </c>
      <c r="BL17" s="62">
        <v>0.0</v>
      </c>
      <c r="BM17" s="62">
        <v>0.0</v>
      </c>
      <c r="BN17" s="62">
        <v>0.0</v>
      </c>
      <c r="BO17" s="62">
        <v>2.3791272E7</v>
      </c>
      <c r="BP17" s="62">
        <v>0.0</v>
      </c>
      <c r="BQ17" s="62">
        <v>0.0</v>
      </c>
      <c r="BR17" s="62">
        <v>0.0</v>
      </c>
      <c r="BS17" s="62">
        <v>13009.0</v>
      </c>
      <c r="BT17" s="62">
        <v>0.0</v>
      </c>
      <c r="BU17" s="62">
        <v>423.0</v>
      </c>
      <c r="BV17" s="62">
        <v>0.0</v>
      </c>
      <c r="BW17" s="62">
        <v>51.0</v>
      </c>
      <c r="BX17" s="62">
        <v>33947.0</v>
      </c>
      <c r="BY17" s="62">
        <v>0.0</v>
      </c>
      <c r="BZ17" s="62">
        <v>0.0</v>
      </c>
      <c r="CA17" s="62">
        <v>0.0</v>
      </c>
      <c r="CB17" s="62">
        <v>0.0</v>
      </c>
      <c r="CC17" s="62">
        <v>0.0</v>
      </c>
      <c r="CD17" s="62">
        <v>0.0</v>
      </c>
      <c r="CE17" s="62">
        <v>0.0</v>
      </c>
      <c r="CF17" s="62">
        <v>0.0</v>
      </c>
      <c r="CG17" s="62">
        <v>0.0</v>
      </c>
      <c r="CH17" s="62">
        <v>0.0</v>
      </c>
      <c r="CI17" s="62">
        <v>0.0</v>
      </c>
      <c r="CJ17" s="62">
        <v>0.0</v>
      </c>
      <c r="CK17" s="62">
        <v>0.0</v>
      </c>
      <c r="CL17" s="62">
        <v>0.0</v>
      </c>
      <c r="CM17" s="62">
        <v>0.0</v>
      </c>
      <c r="CN17" s="62">
        <v>0.0</v>
      </c>
      <c r="CO17" s="62">
        <v>0.0</v>
      </c>
      <c r="CP17" s="62">
        <v>0.0</v>
      </c>
      <c r="CQ17" s="62">
        <v>0.0</v>
      </c>
      <c r="CR17" s="62">
        <v>0.0</v>
      </c>
      <c r="CS17" s="62">
        <v>0.0</v>
      </c>
      <c r="CT17" s="62">
        <v>0.0</v>
      </c>
      <c r="CU17" s="62">
        <v>0.0</v>
      </c>
      <c r="CV17" s="62">
        <v>0.0</v>
      </c>
      <c r="CW17" s="62">
        <v>0.0</v>
      </c>
      <c r="CX17" s="62">
        <v>0.0</v>
      </c>
      <c r="CY17" s="62">
        <v>0.0</v>
      </c>
      <c r="CZ17" s="62">
        <v>0.0</v>
      </c>
      <c r="DA17" s="62">
        <v>0.0</v>
      </c>
      <c r="DB17" s="62">
        <v>0.0</v>
      </c>
      <c r="DC17" s="62">
        <v>151.0</v>
      </c>
      <c r="DD17" s="62">
        <v>11381.0</v>
      </c>
      <c r="DE17" s="62">
        <v>0.0</v>
      </c>
      <c r="DF17" s="62">
        <v>0.0</v>
      </c>
      <c r="DG17" s="62">
        <v>0.0</v>
      </c>
      <c r="DH17" s="62">
        <v>0.0</v>
      </c>
      <c r="DI17" s="62">
        <v>0.0</v>
      </c>
      <c r="DJ17" s="62">
        <v>0.0</v>
      </c>
      <c r="DK17" s="62">
        <v>0.0</v>
      </c>
      <c r="DL17" s="62">
        <v>0.0</v>
      </c>
      <c r="DM17" s="62">
        <v>0.0</v>
      </c>
      <c r="DN17" s="62">
        <v>0.0</v>
      </c>
      <c r="DO17" s="62">
        <v>0.0</v>
      </c>
      <c r="DP17" s="62">
        <v>0.0</v>
      </c>
      <c r="DQ17" s="62">
        <v>0.0</v>
      </c>
      <c r="DR17" s="62">
        <v>0.0</v>
      </c>
      <c r="DS17" s="62">
        <v>0.0</v>
      </c>
      <c r="DT17" s="62">
        <v>0.0</v>
      </c>
      <c r="DU17" s="62">
        <v>0.0</v>
      </c>
      <c r="DV17" s="62">
        <v>0.0</v>
      </c>
      <c r="DW17" s="62">
        <v>0.0</v>
      </c>
      <c r="DX17" s="62">
        <v>0.0</v>
      </c>
      <c r="DY17" s="62">
        <v>0.0</v>
      </c>
      <c r="DZ17" s="62">
        <v>0.0</v>
      </c>
      <c r="EA17" s="62">
        <v>0.0</v>
      </c>
      <c r="EB17" s="62">
        <v>0.0</v>
      </c>
      <c r="EC17" s="62">
        <v>0.0</v>
      </c>
      <c r="ED17" s="62">
        <v>0.0</v>
      </c>
      <c r="EE17" s="62">
        <v>0.0</v>
      </c>
      <c r="EF17" s="62">
        <v>0.0</v>
      </c>
      <c r="EG17" s="62">
        <v>0.0</v>
      </c>
      <c r="EH17" s="62">
        <v>0.0</v>
      </c>
      <c r="EI17" s="62">
        <v>0.0</v>
      </c>
      <c r="EJ17" s="62">
        <v>0.0</v>
      </c>
      <c r="EK17" s="62">
        <v>0.0</v>
      </c>
      <c r="EL17" s="62">
        <v>0.0</v>
      </c>
      <c r="EM17" s="62">
        <v>0.0</v>
      </c>
      <c r="EN17" s="62">
        <v>0.0</v>
      </c>
      <c r="EO17" s="62">
        <v>0.0</v>
      </c>
      <c r="EP17" s="62">
        <v>0.0</v>
      </c>
      <c r="EQ17" s="62">
        <v>0.0</v>
      </c>
      <c r="ER17" s="62">
        <v>0.0</v>
      </c>
      <c r="ES17" s="62">
        <v>0.0</v>
      </c>
      <c r="ET17" s="62">
        <v>0.0</v>
      </c>
      <c r="EU17" s="62">
        <v>0.0</v>
      </c>
      <c r="EV17" s="62">
        <v>0.0</v>
      </c>
      <c r="EW17" s="62">
        <v>0.0</v>
      </c>
      <c r="EX17" s="62">
        <v>0.0</v>
      </c>
      <c r="EY17" s="62">
        <v>0.0</v>
      </c>
      <c r="EZ17" s="62">
        <v>0.0</v>
      </c>
      <c r="FA17" s="62">
        <v>0.0</v>
      </c>
      <c r="FB17" s="62">
        <v>0.0</v>
      </c>
      <c r="FC17" s="62">
        <v>0.0</v>
      </c>
      <c r="FD17" s="62">
        <v>0.0</v>
      </c>
      <c r="FE17" s="62">
        <v>0.0</v>
      </c>
      <c r="FF17" s="62">
        <v>0.0</v>
      </c>
      <c r="FG17" s="62">
        <v>0.0</v>
      </c>
      <c r="FH17" s="62">
        <v>0.0</v>
      </c>
      <c r="FI17" s="62">
        <v>0.0</v>
      </c>
      <c r="FJ17" s="62">
        <v>0.0</v>
      </c>
      <c r="FK17" s="62">
        <v>129718.0</v>
      </c>
      <c r="FL17" s="62">
        <v>0.0</v>
      </c>
      <c r="FM17" s="62">
        <v>0.0</v>
      </c>
      <c r="FN17" s="62">
        <v>0.0</v>
      </c>
      <c r="FO17" s="62">
        <v>0.0</v>
      </c>
      <c r="FP17" s="62">
        <v>0.0</v>
      </c>
      <c r="FQ17" s="62">
        <v>0.0</v>
      </c>
      <c r="FR17" s="62">
        <v>0.0</v>
      </c>
      <c r="FS17" s="62">
        <v>0.0</v>
      </c>
      <c r="FT17" s="62">
        <v>0.0</v>
      </c>
      <c r="FU17" s="62">
        <v>0.0</v>
      </c>
      <c r="FV17" s="62">
        <v>0.0</v>
      </c>
      <c r="FW17" s="62">
        <v>99354.0</v>
      </c>
      <c r="FX17" s="62">
        <v>0.0</v>
      </c>
      <c r="FY17" s="62">
        <v>0.0</v>
      </c>
      <c r="FZ17" s="62">
        <v>0.0</v>
      </c>
      <c r="GA17" s="62">
        <v>40.0</v>
      </c>
      <c r="GB17" s="62">
        <v>0.0</v>
      </c>
      <c r="GC17" s="62">
        <v>0.0</v>
      </c>
      <c r="GD17" s="62">
        <v>0.0</v>
      </c>
      <c r="GE17" s="62">
        <v>0.0</v>
      </c>
      <c r="GF17" s="63">
        <v>2.7341511E7</v>
      </c>
      <c r="GG17" s="64">
        <v>0.0</v>
      </c>
      <c r="GH17" s="65">
        <v>0.0</v>
      </c>
      <c r="GI17" s="64">
        <v>0.0</v>
      </c>
      <c r="GJ17" s="64">
        <v>0.0</v>
      </c>
      <c r="GK17" s="64">
        <v>559027.0</v>
      </c>
      <c r="GL17" s="64">
        <v>559.0</v>
      </c>
      <c r="GM17" s="64">
        <v>0.0</v>
      </c>
      <c r="GN17" s="63">
        <v>559586.0</v>
      </c>
      <c r="GO17" s="66">
        <v>2.7901097E7</v>
      </c>
      <c r="GP17" s="64">
        <v>0.0</v>
      </c>
      <c r="GQ17" s="64">
        <v>0.0</v>
      </c>
      <c r="GR17" s="65">
        <v>0.0</v>
      </c>
      <c r="GS17" s="63">
        <v>0.0</v>
      </c>
      <c r="GT17" s="67">
        <v>5106571.0</v>
      </c>
      <c r="GU17" s="67">
        <v>1840076.0</v>
      </c>
      <c r="GV17" s="67">
        <v>462646.0</v>
      </c>
      <c r="GW17" s="63">
        <v>7409293.0</v>
      </c>
      <c r="GX17" s="63">
        <v>0.0</v>
      </c>
      <c r="GY17" s="63">
        <v>2.0491804E7</v>
      </c>
      <c r="GZ17" s="66">
        <v>2.7901097E7</v>
      </c>
      <c r="HC17" s="107" t="s">
        <v>506</v>
      </c>
      <c r="HD17" s="114" t="s">
        <v>507</v>
      </c>
      <c r="HE17" s="109" t="s">
        <v>508</v>
      </c>
      <c r="HF17" s="113">
        <f>SUM(GZ23,GZ113:GZ115,GZ112)</f>
        <v>514079171</v>
      </c>
      <c r="HH17" s="106"/>
    </row>
    <row r="18">
      <c r="A18" s="60">
        <v>13.0</v>
      </c>
      <c r="B18" s="111" t="s">
        <v>283</v>
      </c>
      <c r="C18" s="62">
        <v>0.0</v>
      </c>
      <c r="D18" s="62">
        <v>0.0</v>
      </c>
      <c r="E18" s="62">
        <v>0.0</v>
      </c>
      <c r="F18" s="62">
        <v>0.0</v>
      </c>
      <c r="G18" s="62">
        <v>0.0</v>
      </c>
      <c r="H18" s="62">
        <v>0.0</v>
      </c>
      <c r="I18" s="62">
        <v>0.0</v>
      </c>
      <c r="J18" s="62">
        <v>0.0</v>
      </c>
      <c r="K18" s="62">
        <v>0.0</v>
      </c>
      <c r="L18" s="62">
        <v>0.0</v>
      </c>
      <c r="M18" s="62">
        <v>0.0</v>
      </c>
      <c r="N18" s="62">
        <v>0.0</v>
      </c>
      <c r="O18" s="62">
        <v>518216.0</v>
      </c>
      <c r="P18" s="62">
        <v>0.0</v>
      </c>
      <c r="Q18" s="62">
        <v>0.0</v>
      </c>
      <c r="R18" s="62">
        <v>0.0</v>
      </c>
      <c r="S18" s="62">
        <v>0.0</v>
      </c>
      <c r="T18" s="62">
        <v>0.0</v>
      </c>
      <c r="U18" s="62">
        <v>0.0</v>
      </c>
      <c r="V18" s="62">
        <v>0.0</v>
      </c>
      <c r="W18" s="62">
        <v>0.0</v>
      </c>
      <c r="X18" s="62">
        <v>0.0</v>
      </c>
      <c r="Y18" s="62">
        <v>0.0</v>
      </c>
      <c r="Z18" s="62">
        <v>0.0</v>
      </c>
      <c r="AA18" s="62">
        <v>0.0</v>
      </c>
      <c r="AB18" s="62">
        <v>0.0</v>
      </c>
      <c r="AC18" s="62">
        <v>0.0</v>
      </c>
      <c r="AD18" s="62">
        <v>0.0</v>
      </c>
      <c r="AE18" s="62">
        <v>0.0</v>
      </c>
      <c r="AF18" s="62">
        <v>0.0</v>
      </c>
      <c r="AG18" s="62">
        <v>0.0</v>
      </c>
      <c r="AH18" s="62">
        <v>0.0</v>
      </c>
      <c r="AI18" s="62">
        <v>0.0</v>
      </c>
      <c r="AJ18" s="62">
        <v>0.0</v>
      </c>
      <c r="AK18" s="62">
        <v>0.0</v>
      </c>
      <c r="AL18" s="62">
        <v>0.0</v>
      </c>
      <c r="AM18" s="62">
        <v>0.0</v>
      </c>
      <c r="AN18" s="62">
        <v>0.0</v>
      </c>
      <c r="AO18" s="62">
        <v>0.0</v>
      </c>
      <c r="AP18" s="62">
        <v>0.0</v>
      </c>
      <c r="AQ18" s="62">
        <v>0.0</v>
      </c>
      <c r="AR18" s="62">
        <v>0.0</v>
      </c>
      <c r="AS18" s="62">
        <v>0.0</v>
      </c>
      <c r="AT18" s="62">
        <v>0.0</v>
      </c>
      <c r="AU18" s="62">
        <v>0.0</v>
      </c>
      <c r="AV18" s="62">
        <v>0.0</v>
      </c>
      <c r="AW18" s="62">
        <v>0.0</v>
      </c>
      <c r="AX18" s="62">
        <v>0.0</v>
      </c>
      <c r="AY18" s="62">
        <v>0.0</v>
      </c>
      <c r="AZ18" s="62">
        <v>0.0</v>
      </c>
      <c r="BA18" s="62">
        <v>0.0</v>
      </c>
      <c r="BB18" s="62">
        <v>0.0</v>
      </c>
      <c r="BC18" s="62">
        <v>0.0</v>
      </c>
      <c r="BD18" s="62">
        <v>0.0</v>
      </c>
      <c r="BE18" s="62">
        <v>0.0</v>
      </c>
      <c r="BF18" s="62">
        <v>0.0</v>
      </c>
      <c r="BG18" s="62">
        <v>0.0</v>
      </c>
      <c r="BH18" s="62">
        <v>0.0</v>
      </c>
      <c r="BI18" s="62">
        <v>0.0</v>
      </c>
      <c r="BJ18" s="62">
        <v>0.0</v>
      </c>
      <c r="BK18" s="62">
        <v>0.0</v>
      </c>
      <c r="BL18" s="62">
        <v>0.0</v>
      </c>
      <c r="BM18" s="62">
        <v>0.0</v>
      </c>
      <c r="BN18" s="62">
        <v>0.0</v>
      </c>
      <c r="BO18" s="62">
        <v>0.0</v>
      </c>
      <c r="BP18" s="62">
        <v>0.0</v>
      </c>
      <c r="BQ18" s="62">
        <v>0.0</v>
      </c>
      <c r="BR18" s="62">
        <v>0.0</v>
      </c>
      <c r="BS18" s="62">
        <v>0.0</v>
      </c>
      <c r="BT18" s="62">
        <v>0.0</v>
      </c>
      <c r="BU18" s="62">
        <v>0.0</v>
      </c>
      <c r="BV18" s="62">
        <v>0.0</v>
      </c>
      <c r="BW18" s="62">
        <v>0.0</v>
      </c>
      <c r="BX18" s="62">
        <v>0.0</v>
      </c>
      <c r="BY18" s="62">
        <v>2.2147579E7</v>
      </c>
      <c r="BZ18" s="62">
        <v>2015563.0</v>
      </c>
      <c r="CA18" s="62">
        <v>0.0</v>
      </c>
      <c r="CB18" s="62">
        <v>0.0</v>
      </c>
      <c r="CC18" s="62">
        <v>0.0</v>
      </c>
      <c r="CD18" s="62">
        <v>0.0</v>
      </c>
      <c r="CE18" s="62">
        <v>0.0</v>
      </c>
      <c r="CF18" s="62">
        <v>0.0</v>
      </c>
      <c r="CG18" s="62">
        <v>0.0</v>
      </c>
      <c r="CH18" s="62">
        <v>0.0</v>
      </c>
      <c r="CI18" s="62">
        <v>0.0</v>
      </c>
      <c r="CJ18" s="62">
        <v>0.0</v>
      </c>
      <c r="CK18" s="62">
        <v>0.0</v>
      </c>
      <c r="CL18" s="62">
        <v>0.0</v>
      </c>
      <c r="CM18" s="62">
        <v>0.0</v>
      </c>
      <c r="CN18" s="62">
        <v>0.0</v>
      </c>
      <c r="CO18" s="62">
        <v>0.0</v>
      </c>
      <c r="CP18" s="62">
        <v>0.0</v>
      </c>
      <c r="CQ18" s="62">
        <v>0.0</v>
      </c>
      <c r="CR18" s="62">
        <v>0.0</v>
      </c>
      <c r="CS18" s="62">
        <v>0.0</v>
      </c>
      <c r="CT18" s="62">
        <v>0.0</v>
      </c>
      <c r="CU18" s="62">
        <v>0.0</v>
      </c>
      <c r="CV18" s="62">
        <v>0.0</v>
      </c>
      <c r="CW18" s="62">
        <v>0.0</v>
      </c>
      <c r="CX18" s="62">
        <v>0.0</v>
      </c>
      <c r="CY18" s="62">
        <v>0.0</v>
      </c>
      <c r="CZ18" s="62">
        <v>0.0</v>
      </c>
      <c r="DA18" s="62">
        <v>0.0</v>
      </c>
      <c r="DB18" s="62">
        <v>0.0</v>
      </c>
      <c r="DC18" s="62">
        <v>29.0</v>
      </c>
      <c r="DD18" s="62">
        <v>1915.0</v>
      </c>
      <c r="DE18" s="62">
        <v>0.0</v>
      </c>
      <c r="DF18" s="62">
        <v>0.0</v>
      </c>
      <c r="DG18" s="62">
        <v>0.0</v>
      </c>
      <c r="DH18" s="62">
        <v>0.0</v>
      </c>
      <c r="DI18" s="62">
        <v>0.0</v>
      </c>
      <c r="DJ18" s="62">
        <v>0.0</v>
      </c>
      <c r="DK18" s="62">
        <v>0.0</v>
      </c>
      <c r="DL18" s="62">
        <v>0.0</v>
      </c>
      <c r="DM18" s="62">
        <v>0.0</v>
      </c>
      <c r="DN18" s="62">
        <v>0.0</v>
      </c>
      <c r="DO18" s="62">
        <v>0.0</v>
      </c>
      <c r="DP18" s="62">
        <v>0.0</v>
      </c>
      <c r="DQ18" s="62">
        <v>0.0</v>
      </c>
      <c r="DR18" s="62">
        <v>0.0</v>
      </c>
      <c r="DS18" s="62">
        <v>0.0</v>
      </c>
      <c r="DT18" s="62">
        <v>0.0</v>
      </c>
      <c r="DU18" s="62">
        <v>0.0</v>
      </c>
      <c r="DV18" s="62">
        <v>0.0</v>
      </c>
      <c r="DW18" s="62">
        <v>0.0</v>
      </c>
      <c r="DX18" s="62">
        <v>0.0</v>
      </c>
      <c r="DY18" s="62">
        <v>0.0</v>
      </c>
      <c r="DZ18" s="62">
        <v>0.0</v>
      </c>
      <c r="EA18" s="62">
        <v>0.0</v>
      </c>
      <c r="EB18" s="62">
        <v>0.0</v>
      </c>
      <c r="EC18" s="62">
        <v>0.0</v>
      </c>
      <c r="ED18" s="62">
        <v>0.0</v>
      </c>
      <c r="EE18" s="62">
        <v>0.0</v>
      </c>
      <c r="EF18" s="62">
        <v>0.0</v>
      </c>
      <c r="EG18" s="62">
        <v>0.0</v>
      </c>
      <c r="EH18" s="62">
        <v>0.0</v>
      </c>
      <c r="EI18" s="62">
        <v>0.0</v>
      </c>
      <c r="EJ18" s="62">
        <v>0.0</v>
      </c>
      <c r="EK18" s="62">
        <v>0.0</v>
      </c>
      <c r="EL18" s="62">
        <v>0.0</v>
      </c>
      <c r="EM18" s="62">
        <v>0.0</v>
      </c>
      <c r="EN18" s="62">
        <v>0.0</v>
      </c>
      <c r="EO18" s="62">
        <v>0.0</v>
      </c>
      <c r="EP18" s="62">
        <v>0.0</v>
      </c>
      <c r="EQ18" s="62">
        <v>0.0</v>
      </c>
      <c r="ER18" s="62">
        <v>0.0</v>
      </c>
      <c r="ES18" s="62">
        <v>0.0</v>
      </c>
      <c r="ET18" s="62">
        <v>0.0</v>
      </c>
      <c r="EU18" s="62">
        <v>0.0</v>
      </c>
      <c r="EV18" s="62">
        <v>0.0</v>
      </c>
      <c r="EW18" s="62">
        <v>0.0</v>
      </c>
      <c r="EX18" s="62">
        <v>0.0</v>
      </c>
      <c r="EY18" s="62">
        <v>0.0</v>
      </c>
      <c r="EZ18" s="62">
        <v>0.0</v>
      </c>
      <c r="FA18" s="62">
        <v>0.0</v>
      </c>
      <c r="FB18" s="62">
        <v>0.0</v>
      </c>
      <c r="FC18" s="62">
        <v>0.0</v>
      </c>
      <c r="FD18" s="62">
        <v>0.0</v>
      </c>
      <c r="FE18" s="62">
        <v>0.0</v>
      </c>
      <c r="FF18" s="62">
        <v>0.0</v>
      </c>
      <c r="FG18" s="62">
        <v>0.0</v>
      </c>
      <c r="FH18" s="62">
        <v>0.0</v>
      </c>
      <c r="FI18" s="62">
        <v>0.0</v>
      </c>
      <c r="FJ18" s="62">
        <v>0.0</v>
      </c>
      <c r="FK18" s="62">
        <v>0.0</v>
      </c>
      <c r="FL18" s="62">
        <v>0.0</v>
      </c>
      <c r="FM18" s="62">
        <v>0.0</v>
      </c>
      <c r="FN18" s="62">
        <v>0.0</v>
      </c>
      <c r="FO18" s="62">
        <v>0.0</v>
      </c>
      <c r="FP18" s="62">
        <v>0.0</v>
      </c>
      <c r="FQ18" s="62">
        <v>0.0</v>
      </c>
      <c r="FR18" s="62">
        <v>0.0</v>
      </c>
      <c r="FS18" s="62">
        <v>0.0</v>
      </c>
      <c r="FT18" s="62">
        <v>0.0</v>
      </c>
      <c r="FU18" s="62">
        <v>0.0</v>
      </c>
      <c r="FV18" s="62">
        <v>0.0</v>
      </c>
      <c r="FW18" s="62">
        <v>255.0</v>
      </c>
      <c r="FX18" s="62">
        <v>0.0</v>
      </c>
      <c r="FY18" s="62">
        <v>0.0</v>
      </c>
      <c r="FZ18" s="62">
        <v>0.0</v>
      </c>
      <c r="GA18" s="62">
        <v>0.0</v>
      </c>
      <c r="GB18" s="62">
        <v>0.0</v>
      </c>
      <c r="GC18" s="62">
        <v>0.0</v>
      </c>
      <c r="GD18" s="62">
        <v>0.0</v>
      </c>
      <c r="GE18" s="62">
        <v>0.0</v>
      </c>
      <c r="GF18" s="63">
        <v>2.4683557E7</v>
      </c>
      <c r="GG18" s="64">
        <v>0.0</v>
      </c>
      <c r="GH18" s="65">
        <v>0.0</v>
      </c>
      <c r="GI18" s="64">
        <v>0.0</v>
      </c>
      <c r="GJ18" s="64">
        <v>0.0</v>
      </c>
      <c r="GK18" s="64">
        <v>-182881.0</v>
      </c>
      <c r="GL18" s="64">
        <v>1177975.0</v>
      </c>
      <c r="GM18" s="64">
        <v>0.0</v>
      </c>
      <c r="GN18" s="63">
        <v>995094.0</v>
      </c>
      <c r="GO18" s="66">
        <v>2.5678651E7</v>
      </c>
      <c r="GP18" s="64">
        <v>1146398.0</v>
      </c>
      <c r="GQ18" s="64">
        <v>0.0</v>
      </c>
      <c r="GR18" s="65">
        <v>0.0</v>
      </c>
      <c r="GS18" s="63">
        <v>1146398.0</v>
      </c>
      <c r="GT18" s="67">
        <v>1188839.0</v>
      </c>
      <c r="GU18" s="67">
        <v>816995.0</v>
      </c>
      <c r="GV18" s="67">
        <v>102794.0</v>
      </c>
      <c r="GW18" s="63">
        <v>2108628.0</v>
      </c>
      <c r="GX18" s="63">
        <v>94790.0</v>
      </c>
      <c r="GY18" s="63">
        <v>2.2328835E7</v>
      </c>
      <c r="GZ18" s="66">
        <v>2.5678651E7</v>
      </c>
      <c r="HC18" s="107" t="s">
        <v>509</v>
      </c>
      <c r="HD18" s="107" t="s">
        <v>510</v>
      </c>
      <c r="HE18" s="109" t="s">
        <v>511</v>
      </c>
      <c r="HF18" s="113">
        <f> SUM(GZ99,GZ54,GZ116:GZ118)</f>
        <v>409705277</v>
      </c>
      <c r="HH18" s="106"/>
    </row>
    <row r="19">
      <c r="A19" s="60">
        <v>14.0</v>
      </c>
      <c r="B19" s="111" t="s">
        <v>284</v>
      </c>
      <c r="C19" s="62">
        <v>0.0</v>
      </c>
      <c r="D19" s="62">
        <v>0.0</v>
      </c>
      <c r="E19" s="62">
        <v>0.0</v>
      </c>
      <c r="F19" s="62">
        <v>0.0</v>
      </c>
      <c r="G19" s="62">
        <v>0.0</v>
      </c>
      <c r="H19" s="62">
        <v>0.0</v>
      </c>
      <c r="I19" s="62">
        <v>0.0</v>
      </c>
      <c r="J19" s="62">
        <v>0.0</v>
      </c>
      <c r="K19" s="62">
        <v>0.0</v>
      </c>
      <c r="L19" s="62">
        <v>0.0</v>
      </c>
      <c r="M19" s="62">
        <v>0.0</v>
      </c>
      <c r="N19" s="62">
        <v>0.0</v>
      </c>
      <c r="O19" s="62">
        <v>0.0</v>
      </c>
      <c r="P19" s="62">
        <v>11281.0</v>
      </c>
      <c r="Q19" s="62">
        <v>0.0</v>
      </c>
      <c r="R19" s="62">
        <v>0.0</v>
      </c>
      <c r="S19" s="62">
        <v>0.0</v>
      </c>
      <c r="T19" s="62">
        <v>0.0</v>
      </c>
      <c r="U19" s="62">
        <v>0.0</v>
      </c>
      <c r="V19" s="62">
        <v>0.0</v>
      </c>
      <c r="W19" s="62">
        <v>0.0</v>
      </c>
      <c r="X19" s="62">
        <v>0.0</v>
      </c>
      <c r="Y19" s="62">
        <v>0.0</v>
      </c>
      <c r="Z19" s="62">
        <v>0.0</v>
      </c>
      <c r="AA19" s="62">
        <v>0.0</v>
      </c>
      <c r="AB19" s="62">
        <v>0.0</v>
      </c>
      <c r="AC19" s="62">
        <v>0.0</v>
      </c>
      <c r="AD19" s="62">
        <v>0.0</v>
      </c>
      <c r="AE19" s="62">
        <v>0.0</v>
      </c>
      <c r="AF19" s="62">
        <v>0.0</v>
      </c>
      <c r="AG19" s="62">
        <v>0.0</v>
      </c>
      <c r="AH19" s="62">
        <v>0.0</v>
      </c>
      <c r="AI19" s="62">
        <v>0.0</v>
      </c>
      <c r="AJ19" s="62">
        <v>0.0</v>
      </c>
      <c r="AK19" s="62">
        <v>0.0</v>
      </c>
      <c r="AL19" s="62">
        <v>0.0</v>
      </c>
      <c r="AM19" s="62">
        <v>0.0</v>
      </c>
      <c r="AN19" s="62">
        <v>0.0</v>
      </c>
      <c r="AO19" s="62">
        <v>0.0</v>
      </c>
      <c r="AP19" s="62">
        <v>0.0</v>
      </c>
      <c r="AQ19" s="62">
        <v>0.0</v>
      </c>
      <c r="AR19" s="62">
        <v>0.0</v>
      </c>
      <c r="AS19" s="62">
        <v>0.0</v>
      </c>
      <c r="AT19" s="62">
        <v>0.0</v>
      </c>
      <c r="AU19" s="62">
        <v>0.0</v>
      </c>
      <c r="AV19" s="62">
        <v>0.0</v>
      </c>
      <c r="AW19" s="62">
        <v>0.0</v>
      </c>
      <c r="AX19" s="62">
        <v>0.0</v>
      </c>
      <c r="AY19" s="62">
        <v>0.0</v>
      </c>
      <c r="AZ19" s="62">
        <v>0.0</v>
      </c>
      <c r="BA19" s="62">
        <v>0.0</v>
      </c>
      <c r="BB19" s="62">
        <v>0.0</v>
      </c>
      <c r="BC19" s="62">
        <v>0.0</v>
      </c>
      <c r="BD19" s="62">
        <v>0.0</v>
      </c>
      <c r="BE19" s="62">
        <v>0.0</v>
      </c>
      <c r="BF19" s="62">
        <v>0.0</v>
      </c>
      <c r="BG19" s="62">
        <v>0.0</v>
      </c>
      <c r="BH19" s="62">
        <v>0.0</v>
      </c>
      <c r="BI19" s="62">
        <v>0.0</v>
      </c>
      <c r="BJ19" s="62">
        <v>0.0</v>
      </c>
      <c r="BK19" s="62">
        <v>0.0</v>
      </c>
      <c r="BL19" s="62">
        <v>0.0</v>
      </c>
      <c r="BM19" s="62">
        <v>0.0</v>
      </c>
      <c r="BN19" s="62">
        <v>0.0</v>
      </c>
      <c r="BO19" s="62">
        <v>0.0</v>
      </c>
      <c r="BP19" s="62">
        <v>0.0</v>
      </c>
      <c r="BQ19" s="62">
        <v>0.0</v>
      </c>
      <c r="BR19" s="62">
        <v>0.0</v>
      </c>
      <c r="BS19" s="62">
        <v>857.0</v>
      </c>
      <c r="BT19" s="62">
        <v>0.0</v>
      </c>
      <c r="BU19" s="62">
        <v>0.0</v>
      </c>
      <c r="BV19" s="62">
        <v>0.0</v>
      </c>
      <c r="BW19" s="62">
        <v>0.0</v>
      </c>
      <c r="BX19" s="62">
        <v>0.0</v>
      </c>
      <c r="BY19" s="62">
        <v>0.0</v>
      </c>
      <c r="BZ19" s="62">
        <v>0.0</v>
      </c>
      <c r="CA19" s="62">
        <v>1.4432837E7</v>
      </c>
      <c r="CB19" s="62">
        <v>760564.0</v>
      </c>
      <c r="CC19" s="62">
        <v>1645944.0</v>
      </c>
      <c r="CD19" s="62">
        <v>170455.0</v>
      </c>
      <c r="CE19" s="62">
        <v>145721.0</v>
      </c>
      <c r="CF19" s="62">
        <v>83273.0</v>
      </c>
      <c r="CG19" s="62">
        <v>1757.0</v>
      </c>
      <c r="CH19" s="62">
        <v>1209.0</v>
      </c>
      <c r="CI19" s="62">
        <v>7295.0</v>
      </c>
      <c r="CJ19" s="62">
        <v>0.0</v>
      </c>
      <c r="CK19" s="62">
        <v>576915.0</v>
      </c>
      <c r="CL19" s="62">
        <v>81929.0</v>
      </c>
      <c r="CM19" s="62">
        <v>0.0</v>
      </c>
      <c r="CN19" s="62">
        <v>0.0</v>
      </c>
      <c r="CO19" s="62">
        <v>0.0</v>
      </c>
      <c r="CP19" s="62">
        <v>0.0</v>
      </c>
      <c r="CQ19" s="62">
        <v>0.0</v>
      </c>
      <c r="CR19" s="62">
        <v>0.0</v>
      </c>
      <c r="CS19" s="62">
        <v>0.0</v>
      </c>
      <c r="CT19" s="62">
        <v>0.0</v>
      </c>
      <c r="CU19" s="62">
        <v>0.0</v>
      </c>
      <c r="CV19" s="62">
        <v>9299.0</v>
      </c>
      <c r="CW19" s="62">
        <v>0.0</v>
      </c>
      <c r="CX19" s="62">
        <v>0.0</v>
      </c>
      <c r="CY19" s="62">
        <v>0.0</v>
      </c>
      <c r="CZ19" s="62">
        <v>0.0</v>
      </c>
      <c r="DA19" s="62">
        <v>0.0</v>
      </c>
      <c r="DB19" s="62">
        <v>0.0</v>
      </c>
      <c r="DC19" s="62">
        <v>43350.0</v>
      </c>
      <c r="DD19" s="62">
        <v>9836.0</v>
      </c>
      <c r="DE19" s="62">
        <v>0.0</v>
      </c>
      <c r="DF19" s="62">
        <v>0.0</v>
      </c>
      <c r="DG19" s="62">
        <v>0.0</v>
      </c>
      <c r="DH19" s="62">
        <v>0.0</v>
      </c>
      <c r="DI19" s="62">
        <v>0.0</v>
      </c>
      <c r="DJ19" s="62">
        <v>0.0</v>
      </c>
      <c r="DK19" s="62">
        <v>0.0</v>
      </c>
      <c r="DL19" s="62">
        <v>0.0</v>
      </c>
      <c r="DM19" s="62">
        <v>0.0</v>
      </c>
      <c r="DN19" s="62">
        <v>0.0</v>
      </c>
      <c r="DO19" s="62">
        <v>0.0</v>
      </c>
      <c r="DP19" s="62">
        <v>0.0</v>
      </c>
      <c r="DQ19" s="62">
        <v>0.0</v>
      </c>
      <c r="DR19" s="62">
        <v>0.0</v>
      </c>
      <c r="DS19" s="62">
        <v>0.0</v>
      </c>
      <c r="DT19" s="62">
        <v>0.0</v>
      </c>
      <c r="DU19" s="62">
        <v>0.0</v>
      </c>
      <c r="DV19" s="62">
        <v>0.0</v>
      </c>
      <c r="DW19" s="62">
        <v>0.0</v>
      </c>
      <c r="DX19" s="62">
        <v>0.0</v>
      </c>
      <c r="DY19" s="62">
        <v>0.0</v>
      </c>
      <c r="DZ19" s="62">
        <v>0.0</v>
      </c>
      <c r="EA19" s="62">
        <v>0.0</v>
      </c>
      <c r="EB19" s="62">
        <v>0.0</v>
      </c>
      <c r="EC19" s="62">
        <v>0.0</v>
      </c>
      <c r="ED19" s="62">
        <v>0.0</v>
      </c>
      <c r="EE19" s="62">
        <v>0.0</v>
      </c>
      <c r="EF19" s="62">
        <v>0.0</v>
      </c>
      <c r="EG19" s="62">
        <v>0.0</v>
      </c>
      <c r="EH19" s="62">
        <v>0.0</v>
      </c>
      <c r="EI19" s="62">
        <v>0.0</v>
      </c>
      <c r="EJ19" s="62">
        <v>0.0</v>
      </c>
      <c r="EK19" s="62">
        <v>0.0</v>
      </c>
      <c r="EL19" s="62">
        <v>0.0</v>
      </c>
      <c r="EM19" s="62">
        <v>0.0</v>
      </c>
      <c r="EN19" s="62">
        <v>0.0</v>
      </c>
      <c r="EO19" s="62">
        <v>0.0</v>
      </c>
      <c r="EP19" s="62">
        <v>0.0</v>
      </c>
      <c r="EQ19" s="62">
        <v>0.0</v>
      </c>
      <c r="ER19" s="62">
        <v>0.0</v>
      </c>
      <c r="ES19" s="62">
        <v>0.0</v>
      </c>
      <c r="ET19" s="62">
        <v>0.0</v>
      </c>
      <c r="EU19" s="62">
        <v>0.0</v>
      </c>
      <c r="EV19" s="62">
        <v>0.0</v>
      </c>
      <c r="EW19" s="62">
        <v>0.0</v>
      </c>
      <c r="EX19" s="62">
        <v>0.0</v>
      </c>
      <c r="EY19" s="62">
        <v>0.0</v>
      </c>
      <c r="EZ19" s="62">
        <v>0.0</v>
      </c>
      <c r="FA19" s="62">
        <v>0.0</v>
      </c>
      <c r="FB19" s="62">
        <v>0.0</v>
      </c>
      <c r="FC19" s="62">
        <v>0.0</v>
      </c>
      <c r="FD19" s="62">
        <v>0.0</v>
      </c>
      <c r="FE19" s="62">
        <v>0.0</v>
      </c>
      <c r="FF19" s="62">
        <v>0.0</v>
      </c>
      <c r="FG19" s="62">
        <v>0.0</v>
      </c>
      <c r="FH19" s="62">
        <v>0.0</v>
      </c>
      <c r="FI19" s="62">
        <v>0.0</v>
      </c>
      <c r="FJ19" s="62">
        <v>0.0</v>
      </c>
      <c r="FK19" s="62">
        <v>0.0</v>
      </c>
      <c r="FL19" s="62">
        <v>0.0</v>
      </c>
      <c r="FM19" s="62">
        <v>0.0</v>
      </c>
      <c r="FN19" s="62">
        <v>0.0</v>
      </c>
      <c r="FO19" s="62">
        <v>0.0</v>
      </c>
      <c r="FP19" s="62">
        <v>0.0</v>
      </c>
      <c r="FQ19" s="62">
        <v>0.0</v>
      </c>
      <c r="FR19" s="62">
        <v>0.0</v>
      </c>
      <c r="FS19" s="62">
        <v>0.0</v>
      </c>
      <c r="FT19" s="62">
        <v>0.0</v>
      </c>
      <c r="FU19" s="62">
        <v>0.0</v>
      </c>
      <c r="FV19" s="62">
        <v>0.0</v>
      </c>
      <c r="FW19" s="62">
        <v>148.0</v>
      </c>
      <c r="FX19" s="62">
        <v>0.0</v>
      </c>
      <c r="FY19" s="62">
        <v>0.0</v>
      </c>
      <c r="FZ19" s="62">
        <v>0.0</v>
      </c>
      <c r="GA19" s="62">
        <v>0.0</v>
      </c>
      <c r="GB19" s="62">
        <v>0.0</v>
      </c>
      <c r="GC19" s="62">
        <v>0.0</v>
      </c>
      <c r="GD19" s="62">
        <v>0.0</v>
      </c>
      <c r="GE19" s="62">
        <v>0.0</v>
      </c>
      <c r="GF19" s="63">
        <v>1.798267E7</v>
      </c>
      <c r="GG19" s="64">
        <v>0.0</v>
      </c>
      <c r="GH19" s="65">
        <v>0.0</v>
      </c>
      <c r="GI19" s="64">
        <v>0.0</v>
      </c>
      <c r="GJ19" s="64">
        <v>0.0</v>
      </c>
      <c r="GK19" s="64">
        <v>-325312.0</v>
      </c>
      <c r="GL19" s="64">
        <v>56791.0</v>
      </c>
      <c r="GM19" s="64">
        <v>0.0</v>
      </c>
      <c r="GN19" s="63">
        <v>-268521.0</v>
      </c>
      <c r="GO19" s="66">
        <v>1.7714149E7</v>
      </c>
      <c r="GP19" s="64">
        <v>1.1888095E7</v>
      </c>
      <c r="GQ19" s="64">
        <v>0.0</v>
      </c>
      <c r="GR19" s="65">
        <v>0.0</v>
      </c>
      <c r="GS19" s="63">
        <v>1.1888095E7</v>
      </c>
      <c r="GT19" s="67">
        <v>1624836.0</v>
      </c>
      <c r="GU19" s="67">
        <v>1682634.0</v>
      </c>
      <c r="GV19" s="67">
        <v>1205399.0</v>
      </c>
      <c r="GW19" s="63">
        <v>4512869.0</v>
      </c>
      <c r="GX19" s="63">
        <v>745508.0</v>
      </c>
      <c r="GY19" s="63">
        <v>567677.0</v>
      </c>
      <c r="GZ19" s="66">
        <v>1.7714149E7</v>
      </c>
      <c r="HC19" s="107" t="s">
        <v>512</v>
      </c>
      <c r="HD19" s="107" t="s">
        <v>513</v>
      </c>
      <c r="HE19" s="109" t="s">
        <v>514</v>
      </c>
      <c r="HF19" s="113">
        <f>SUM(GZ45:GZ49,GZ51:GZ52,GZ119)</f>
        <v>560816478</v>
      </c>
      <c r="HH19" s="106"/>
    </row>
    <row r="20">
      <c r="A20" s="68">
        <v>15.0</v>
      </c>
      <c r="B20" s="111" t="s">
        <v>285</v>
      </c>
      <c r="C20" s="70">
        <v>0.0</v>
      </c>
      <c r="D20" s="70">
        <v>0.0</v>
      </c>
      <c r="E20" s="70">
        <v>0.0</v>
      </c>
      <c r="F20" s="70">
        <v>0.0</v>
      </c>
      <c r="G20" s="70">
        <v>0.0</v>
      </c>
      <c r="H20" s="70">
        <v>0.0</v>
      </c>
      <c r="I20" s="70">
        <v>0.0</v>
      </c>
      <c r="J20" s="70">
        <v>0.0</v>
      </c>
      <c r="K20" s="70">
        <v>0.0</v>
      </c>
      <c r="L20" s="70">
        <v>0.0</v>
      </c>
      <c r="M20" s="70">
        <v>0.0</v>
      </c>
      <c r="N20" s="70">
        <v>0.0</v>
      </c>
      <c r="O20" s="70">
        <v>0.0</v>
      </c>
      <c r="P20" s="70">
        <v>0.0</v>
      </c>
      <c r="Q20" s="70">
        <v>3830275.0</v>
      </c>
      <c r="R20" s="70">
        <v>0.0</v>
      </c>
      <c r="S20" s="70">
        <v>0.0</v>
      </c>
      <c r="T20" s="70">
        <v>0.0</v>
      </c>
      <c r="U20" s="70">
        <v>0.0</v>
      </c>
      <c r="V20" s="70">
        <v>0.0</v>
      </c>
      <c r="W20" s="70">
        <v>0.0</v>
      </c>
      <c r="X20" s="70">
        <v>0.0</v>
      </c>
      <c r="Y20" s="70">
        <v>0.0</v>
      </c>
      <c r="Z20" s="70">
        <v>0.0</v>
      </c>
      <c r="AA20" s="70">
        <v>0.0</v>
      </c>
      <c r="AB20" s="70">
        <v>0.0</v>
      </c>
      <c r="AC20" s="70">
        <v>0.0</v>
      </c>
      <c r="AD20" s="70">
        <v>0.0</v>
      </c>
      <c r="AE20" s="70">
        <v>0.0</v>
      </c>
      <c r="AF20" s="70">
        <v>0.0</v>
      </c>
      <c r="AG20" s="70">
        <v>0.0</v>
      </c>
      <c r="AH20" s="70">
        <v>0.0</v>
      </c>
      <c r="AI20" s="70">
        <v>0.0</v>
      </c>
      <c r="AJ20" s="70">
        <v>0.0</v>
      </c>
      <c r="AK20" s="70">
        <v>0.0</v>
      </c>
      <c r="AL20" s="70">
        <v>0.0</v>
      </c>
      <c r="AM20" s="70">
        <v>0.0</v>
      </c>
      <c r="AN20" s="70">
        <v>0.0</v>
      </c>
      <c r="AO20" s="70">
        <v>0.0</v>
      </c>
      <c r="AP20" s="70">
        <v>0.0</v>
      </c>
      <c r="AQ20" s="70">
        <v>0.0</v>
      </c>
      <c r="AR20" s="70">
        <v>0.0</v>
      </c>
      <c r="AS20" s="70">
        <v>0.0</v>
      </c>
      <c r="AT20" s="70">
        <v>0.0</v>
      </c>
      <c r="AU20" s="70">
        <v>0.0</v>
      </c>
      <c r="AV20" s="70">
        <v>0.0</v>
      </c>
      <c r="AW20" s="70">
        <v>0.0</v>
      </c>
      <c r="AX20" s="70">
        <v>0.0</v>
      </c>
      <c r="AY20" s="70">
        <v>0.0</v>
      </c>
      <c r="AZ20" s="70">
        <v>0.0</v>
      </c>
      <c r="BA20" s="70">
        <v>0.0</v>
      </c>
      <c r="BB20" s="70">
        <v>0.0</v>
      </c>
      <c r="BC20" s="70">
        <v>8288.0</v>
      </c>
      <c r="BD20" s="70">
        <v>0.0</v>
      </c>
      <c r="BE20" s="70">
        <v>0.0</v>
      </c>
      <c r="BF20" s="70">
        <v>2158.0</v>
      </c>
      <c r="BG20" s="70">
        <v>83193.0</v>
      </c>
      <c r="BH20" s="70">
        <v>1223368.0</v>
      </c>
      <c r="BI20" s="70">
        <v>0.0</v>
      </c>
      <c r="BJ20" s="70">
        <v>1866.0</v>
      </c>
      <c r="BK20" s="70">
        <v>1372.0</v>
      </c>
      <c r="BL20" s="70">
        <v>0.0</v>
      </c>
      <c r="BM20" s="70">
        <v>0.0</v>
      </c>
      <c r="BN20" s="70">
        <v>0.0</v>
      </c>
      <c r="BO20" s="70">
        <v>0.0</v>
      </c>
      <c r="BP20" s="70">
        <v>11817.0</v>
      </c>
      <c r="BQ20" s="70">
        <v>3260.0</v>
      </c>
      <c r="BR20" s="70">
        <v>1590.0</v>
      </c>
      <c r="BS20" s="70">
        <v>18431.0</v>
      </c>
      <c r="BT20" s="70">
        <v>80191.0</v>
      </c>
      <c r="BU20" s="70">
        <v>1.7229676E7</v>
      </c>
      <c r="BV20" s="70">
        <v>0.0</v>
      </c>
      <c r="BW20" s="70">
        <v>4.0</v>
      </c>
      <c r="BX20" s="70">
        <v>102830.0</v>
      </c>
      <c r="BY20" s="70">
        <v>801.0</v>
      </c>
      <c r="BZ20" s="70">
        <v>0.0</v>
      </c>
      <c r="CA20" s="70">
        <v>0.0</v>
      </c>
      <c r="CB20" s="70">
        <v>0.0</v>
      </c>
      <c r="CC20" s="70">
        <v>0.0</v>
      </c>
      <c r="CD20" s="70">
        <v>0.0</v>
      </c>
      <c r="CE20" s="70">
        <v>0.0</v>
      </c>
      <c r="CF20" s="70">
        <v>0.0</v>
      </c>
      <c r="CG20" s="70">
        <v>0.0</v>
      </c>
      <c r="CH20" s="70">
        <v>0.0</v>
      </c>
      <c r="CI20" s="70">
        <v>0.0</v>
      </c>
      <c r="CJ20" s="70">
        <v>0.0</v>
      </c>
      <c r="CK20" s="70">
        <v>0.0</v>
      </c>
      <c r="CL20" s="70">
        <v>0.0</v>
      </c>
      <c r="CM20" s="70">
        <v>0.0</v>
      </c>
      <c r="CN20" s="70">
        <v>0.0</v>
      </c>
      <c r="CO20" s="70">
        <v>0.0</v>
      </c>
      <c r="CP20" s="70">
        <v>0.0</v>
      </c>
      <c r="CQ20" s="70">
        <v>0.0</v>
      </c>
      <c r="CR20" s="70">
        <v>0.0</v>
      </c>
      <c r="CS20" s="70">
        <v>0.0</v>
      </c>
      <c r="CT20" s="70">
        <v>0.0</v>
      </c>
      <c r="CU20" s="70">
        <v>0.0</v>
      </c>
      <c r="CV20" s="70">
        <v>0.0</v>
      </c>
      <c r="CW20" s="70">
        <v>0.0</v>
      </c>
      <c r="CX20" s="70">
        <v>0.0</v>
      </c>
      <c r="CY20" s="70">
        <v>0.0</v>
      </c>
      <c r="CZ20" s="70">
        <v>93600.0</v>
      </c>
      <c r="DA20" s="70">
        <v>0.0</v>
      </c>
      <c r="DB20" s="70">
        <v>53627.0</v>
      </c>
      <c r="DC20" s="70">
        <v>933801.0</v>
      </c>
      <c r="DD20" s="70">
        <v>689473.0</v>
      </c>
      <c r="DE20" s="70">
        <v>0.0</v>
      </c>
      <c r="DF20" s="70">
        <v>0.0</v>
      </c>
      <c r="DG20" s="70">
        <v>0.0</v>
      </c>
      <c r="DH20" s="70">
        <v>0.0</v>
      </c>
      <c r="DI20" s="70">
        <v>0.0</v>
      </c>
      <c r="DJ20" s="70">
        <v>0.0</v>
      </c>
      <c r="DK20" s="70">
        <v>0.0</v>
      </c>
      <c r="DL20" s="70">
        <v>0.0</v>
      </c>
      <c r="DM20" s="70">
        <v>0.0</v>
      </c>
      <c r="DN20" s="70">
        <v>0.0</v>
      </c>
      <c r="DO20" s="70">
        <v>0.0</v>
      </c>
      <c r="DP20" s="70">
        <v>0.0</v>
      </c>
      <c r="DQ20" s="70">
        <v>0.0</v>
      </c>
      <c r="DR20" s="70">
        <v>0.0</v>
      </c>
      <c r="DS20" s="70">
        <v>0.0</v>
      </c>
      <c r="DT20" s="70">
        <v>0.0</v>
      </c>
      <c r="DU20" s="70">
        <v>0.0</v>
      </c>
      <c r="DV20" s="70">
        <v>0.0</v>
      </c>
      <c r="DW20" s="70">
        <v>0.0</v>
      </c>
      <c r="DX20" s="70">
        <v>0.0</v>
      </c>
      <c r="DY20" s="70">
        <v>0.0</v>
      </c>
      <c r="DZ20" s="70">
        <v>0.0</v>
      </c>
      <c r="EA20" s="70">
        <v>0.0</v>
      </c>
      <c r="EB20" s="70">
        <v>0.0</v>
      </c>
      <c r="EC20" s="70">
        <v>0.0</v>
      </c>
      <c r="ED20" s="70">
        <v>0.0</v>
      </c>
      <c r="EE20" s="70">
        <v>0.0</v>
      </c>
      <c r="EF20" s="70">
        <v>0.0</v>
      </c>
      <c r="EG20" s="70">
        <v>0.0</v>
      </c>
      <c r="EH20" s="70">
        <v>0.0</v>
      </c>
      <c r="EI20" s="70">
        <v>26.0</v>
      </c>
      <c r="EJ20" s="70">
        <v>0.0</v>
      </c>
      <c r="EK20" s="70">
        <v>0.0</v>
      </c>
      <c r="EL20" s="70">
        <v>0.0</v>
      </c>
      <c r="EM20" s="70">
        <v>0.0</v>
      </c>
      <c r="EN20" s="70">
        <v>0.0</v>
      </c>
      <c r="EO20" s="70">
        <v>0.0</v>
      </c>
      <c r="EP20" s="70">
        <v>0.0</v>
      </c>
      <c r="EQ20" s="70">
        <v>0.0</v>
      </c>
      <c r="ER20" s="70">
        <v>0.0</v>
      </c>
      <c r="ES20" s="70">
        <v>0.0</v>
      </c>
      <c r="ET20" s="70">
        <v>0.0</v>
      </c>
      <c r="EU20" s="70">
        <v>0.0</v>
      </c>
      <c r="EV20" s="70">
        <v>0.0</v>
      </c>
      <c r="EW20" s="70">
        <v>0.0</v>
      </c>
      <c r="EX20" s="70">
        <v>0.0</v>
      </c>
      <c r="EY20" s="70">
        <v>0.0</v>
      </c>
      <c r="EZ20" s="70">
        <v>0.0</v>
      </c>
      <c r="FA20" s="70">
        <v>0.0</v>
      </c>
      <c r="FB20" s="70">
        <v>0.0</v>
      </c>
      <c r="FC20" s="70">
        <v>0.0</v>
      </c>
      <c r="FD20" s="70">
        <v>0.0</v>
      </c>
      <c r="FE20" s="70">
        <v>0.0</v>
      </c>
      <c r="FF20" s="70">
        <v>0.0</v>
      </c>
      <c r="FG20" s="70">
        <v>0.0</v>
      </c>
      <c r="FH20" s="70">
        <v>0.0</v>
      </c>
      <c r="FI20" s="70">
        <v>0.0</v>
      </c>
      <c r="FJ20" s="70">
        <v>313756.0</v>
      </c>
      <c r="FK20" s="70">
        <v>2463326.0</v>
      </c>
      <c r="FL20" s="70">
        <v>0.0</v>
      </c>
      <c r="FM20" s="70">
        <v>0.0</v>
      </c>
      <c r="FN20" s="70">
        <v>0.0</v>
      </c>
      <c r="FO20" s="70">
        <v>0.0</v>
      </c>
      <c r="FP20" s="70">
        <v>0.0</v>
      </c>
      <c r="FQ20" s="70">
        <v>0.0</v>
      </c>
      <c r="FR20" s="70">
        <v>0.0</v>
      </c>
      <c r="FS20" s="70">
        <v>0.0</v>
      </c>
      <c r="FT20" s="70">
        <v>0.0</v>
      </c>
      <c r="FU20" s="70">
        <v>0.0</v>
      </c>
      <c r="FV20" s="70">
        <v>0.0</v>
      </c>
      <c r="FW20" s="70">
        <v>24799.0</v>
      </c>
      <c r="FX20" s="70">
        <v>195.0</v>
      </c>
      <c r="FY20" s="70">
        <v>8162.0</v>
      </c>
      <c r="FZ20" s="70">
        <v>0.0</v>
      </c>
      <c r="GA20" s="70">
        <v>2.0</v>
      </c>
      <c r="GB20" s="70">
        <v>695.0</v>
      </c>
      <c r="GC20" s="70">
        <v>11174.0</v>
      </c>
      <c r="GD20" s="70">
        <v>0.0</v>
      </c>
      <c r="GE20" s="70">
        <v>0.0</v>
      </c>
      <c r="GF20" s="71">
        <v>2.7191756E7</v>
      </c>
      <c r="GG20" s="72">
        <v>2297226.0</v>
      </c>
      <c r="GH20" s="73">
        <v>0.0</v>
      </c>
      <c r="GI20" s="72">
        <v>0.0</v>
      </c>
      <c r="GJ20" s="72">
        <v>2.7894524E7</v>
      </c>
      <c r="GK20" s="72">
        <v>6063050.0</v>
      </c>
      <c r="GL20" s="72">
        <v>7105013.0</v>
      </c>
      <c r="GM20" s="72">
        <v>0.0</v>
      </c>
      <c r="GN20" s="71">
        <v>4.3359813E7</v>
      </c>
      <c r="GO20" s="74">
        <v>7.0551569E7</v>
      </c>
      <c r="GP20" s="72">
        <v>669921.0</v>
      </c>
      <c r="GQ20" s="72">
        <v>0.0</v>
      </c>
      <c r="GR20" s="73">
        <v>0.0</v>
      </c>
      <c r="GS20" s="71">
        <v>669921.0</v>
      </c>
      <c r="GT20" s="75">
        <v>7366602.0</v>
      </c>
      <c r="GU20" s="75">
        <v>6124854.0</v>
      </c>
      <c r="GV20" s="75">
        <v>3860441.0</v>
      </c>
      <c r="GW20" s="71">
        <v>1.7351897E7</v>
      </c>
      <c r="GX20" s="71">
        <v>1472970.0</v>
      </c>
      <c r="GY20" s="71">
        <v>5.1056781E7</v>
      </c>
      <c r="GZ20" s="74">
        <v>7.0551569E7</v>
      </c>
      <c r="HC20" s="107" t="s">
        <v>515</v>
      </c>
      <c r="HD20" s="114" t="s">
        <v>516</v>
      </c>
      <c r="HE20" s="109" t="s">
        <v>517</v>
      </c>
      <c r="HF20" s="113">
        <f>SUM(GZ50,GZ120:GZ126)</f>
        <v>1164373013</v>
      </c>
      <c r="HH20" s="106"/>
    </row>
    <row r="21" ht="15.75" customHeight="1">
      <c r="A21" s="52">
        <v>16.0</v>
      </c>
      <c r="B21" s="111" t="s">
        <v>286</v>
      </c>
      <c r="C21" s="54">
        <v>0.0</v>
      </c>
      <c r="D21" s="54">
        <v>0.0</v>
      </c>
      <c r="E21" s="54">
        <v>0.0</v>
      </c>
      <c r="F21" s="54">
        <v>0.0</v>
      </c>
      <c r="G21" s="54">
        <v>0.0</v>
      </c>
      <c r="H21" s="54">
        <v>0.0</v>
      </c>
      <c r="I21" s="54">
        <v>0.0</v>
      </c>
      <c r="J21" s="54">
        <v>0.0</v>
      </c>
      <c r="K21" s="54">
        <v>0.0</v>
      </c>
      <c r="L21" s="54">
        <v>0.0</v>
      </c>
      <c r="M21" s="54">
        <v>0.0</v>
      </c>
      <c r="N21" s="54">
        <v>0.0</v>
      </c>
      <c r="O21" s="54">
        <v>0.0</v>
      </c>
      <c r="P21" s="54">
        <v>0.0</v>
      </c>
      <c r="Q21" s="54">
        <v>0.0</v>
      </c>
      <c r="R21" s="54">
        <v>8628880.0</v>
      </c>
      <c r="S21" s="54">
        <v>0.0</v>
      </c>
      <c r="T21" s="54">
        <v>0.0</v>
      </c>
      <c r="U21" s="54">
        <v>0.0</v>
      </c>
      <c r="V21" s="54">
        <v>0.0</v>
      </c>
      <c r="W21" s="54">
        <v>0.0</v>
      </c>
      <c r="X21" s="54">
        <v>0.0</v>
      </c>
      <c r="Y21" s="54">
        <v>0.0</v>
      </c>
      <c r="Z21" s="54">
        <v>0.0</v>
      </c>
      <c r="AA21" s="54">
        <v>0.0</v>
      </c>
      <c r="AB21" s="54">
        <v>406982.0</v>
      </c>
      <c r="AC21" s="54">
        <v>0.0</v>
      </c>
      <c r="AD21" s="54">
        <v>852.0</v>
      </c>
      <c r="AE21" s="54">
        <v>87967.0</v>
      </c>
      <c r="AF21" s="54">
        <v>0.0</v>
      </c>
      <c r="AG21" s="54">
        <v>0.0</v>
      </c>
      <c r="AH21" s="54">
        <v>0.0</v>
      </c>
      <c r="AI21" s="54">
        <v>5162.0</v>
      </c>
      <c r="AJ21" s="54">
        <v>0.0</v>
      </c>
      <c r="AK21" s="54">
        <v>0.0</v>
      </c>
      <c r="AL21" s="54">
        <v>0.0</v>
      </c>
      <c r="AM21" s="54">
        <v>264.0</v>
      </c>
      <c r="AN21" s="54">
        <v>97.0</v>
      </c>
      <c r="AO21" s="54">
        <v>215.0</v>
      </c>
      <c r="AP21" s="54">
        <v>89.0</v>
      </c>
      <c r="AQ21" s="54">
        <v>935.0</v>
      </c>
      <c r="AR21" s="54">
        <v>186.0</v>
      </c>
      <c r="AS21" s="54">
        <v>108.0</v>
      </c>
      <c r="AT21" s="54">
        <v>553.0</v>
      </c>
      <c r="AU21" s="54">
        <v>36.0</v>
      </c>
      <c r="AV21" s="54">
        <v>156.0</v>
      </c>
      <c r="AW21" s="54">
        <v>121.0</v>
      </c>
      <c r="AX21" s="54">
        <v>0.0</v>
      </c>
      <c r="AY21" s="54">
        <v>28.0</v>
      </c>
      <c r="AZ21" s="54">
        <v>141.0</v>
      </c>
      <c r="BA21" s="54">
        <v>74.0</v>
      </c>
      <c r="BB21" s="54">
        <v>45.0</v>
      </c>
      <c r="BC21" s="54">
        <v>0.0</v>
      </c>
      <c r="BD21" s="54">
        <v>0.0</v>
      </c>
      <c r="BE21" s="54">
        <v>0.0</v>
      </c>
      <c r="BF21" s="54">
        <v>0.0</v>
      </c>
      <c r="BG21" s="54">
        <v>9748190.0</v>
      </c>
      <c r="BH21" s="54">
        <v>163.0</v>
      </c>
      <c r="BI21" s="54">
        <v>0.0</v>
      </c>
      <c r="BJ21" s="54">
        <v>2159658.0</v>
      </c>
      <c r="BK21" s="54">
        <v>12398.0</v>
      </c>
      <c r="BL21" s="54">
        <v>0.0</v>
      </c>
      <c r="BM21" s="54">
        <v>18.0</v>
      </c>
      <c r="BN21" s="54">
        <v>80284.0</v>
      </c>
      <c r="BO21" s="54">
        <v>700929.0</v>
      </c>
      <c r="BP21" s="54">
        <v>392.0</v>
      </c>
      <c r="BQ21" s="54">
        <v>0.0</v>
      </c>
      <c r="BR21" s="54">
        <v>1532.0</v>
      </c>
      <c r="BS21" s="54">
        <v>29194.0</v>
      </c>
      <c r="BT21" s="54">
        <v>92603.0</v>
      </c>
      <c r="BU21" s="54">
        <v>148749.0</v>
      </c>
      <c r="BV21" s="54">
        <v>73653.0</v>
      </c>
      <c r="BW21" s="54">
        <v>662788.0</v>
      </c>
      <c r="BX21" s="54">
        <v>1.4459385E7</v>
      </c>
      <c r="BY21" s="54">
        <v>0.0</v>
      </c>
      <c r="BZ21" s="54">
        <v>0.0</v>
      </c>
      <c r="CA21" s="54">
        <v>0.0</v>
      </c>
      <c r="CB21" s="54">
        <v>93.0</v>
      </c>
      <c r="CC21" s="54">
        <v>0.0</v>
      </c>
      <c r="CD21" s="54">
        <v>0.0</v>
      </c>
      <c r="CE21" s="54">
        <v>0.0</v>
      </c>
      <c r="CF21" s="54">
        <v>0.0</v>
      </c>
      <c r="CG21" s="54">
        <v>70.0</v>
      </c>
      <c r="CH21" s="54">
        <v>0.0</v>
      </c>
      <c r="CI21" s="54">
        <v>35.0</v>
      </c>
      <c r="CJ21" s="54">
        <v>0.0</v>
      </c>
      <c r="CK21" s="54">
        <v>74124.0</v>
      </c>
      <c r="CL21" s="54">
        <v>79736.0</v>
      </c>
      <c r="CM21" s="54">
        <v>7503.0</v>
      </c>
      <c r="CN21" s="54">
        <v>295.0</v>
      </c>
      <c r="CO21" s="54">
        <v>191.0</v>
      </c>
      <c r="CP21" s="54">
        <v>196.0</v>
      </c>
      <c r="CQ21" s="54">
        <v>0.0</v>
      </c>
      <c r="CR21" s="54">
        <v>0.0</v>
      </c>
      <c r="CS21" s="54">
        <v>23377.0</v>
      </c>
      <c r="CT21" s="54">
        <v>0.0</v>
      </c>
      <c r="CU21" s="54">
        <v>0.0</v>
      </c>
      <c r="CV21" s="54">
        <v>0.0</v>
      </c>
      <c r="CW21" s="54">
        <v>0.0</v>
      </c>
      <c r="CX21" s="54">
        <v>0.0</v>
      </c>
      <c r="CY21" s="54">
        <v>0.0</v>
      </c>
      <c r="CZ21" s="54">
        <v>0.0</v>
      </c>
      <c r="DA21" s="54">
        <v>0.0</v>
      </c>
      <c r="DB21" s="54">
        <v>4956.0</v>
      </c>
      <c r="DC21" s="54">
        <v>904485.0</v>
      </c>
      <c r="DD21" s="54">
        <v>162532.0</v>
      </c>
      <c r="DE21" s="54">
        <v>0.0</v>
      </c>
      <c r="DF21" s="54">
        <v>0.0</v>
      </c>
      <c r="DG21" s="54">
        <v>0.0</v>
      </c>
      <c r="DH21" s="54">
        <v>0.0</v>
      </c>
      <c r="DI21" s="54">
        <v>0.0</v>
      </c>
      <c r="DJ21" s="54">
        <v>0.0</v>
      </c>
      <c r="DK21" s="54">
        <v>0.0</v>
      </c>
      <c r="DL21" s="54">
        <v>0.0</v>
      </c>
      <c r="DM21" s="54">
        <v>119.0</v>
      </c>
      <c r="DN21" s="54">
        <v>229.0</v>
      </c>
      <c r="DO21" s="54">
        <v>630.0</v>
      </c>
      <c r="DP21" s="54">
        <v>102.0</v>
      </c>
      <c r="DQ21" s="54">
        <v>1015.0</v>
      </c>
      <c r="DR21" s="54">
        <v>0.0</v>
      </c>
      <c r="DS21" s="54">
        <v>0.0</v>
      </c>
      <c r="DT21" s="54">
        <v>0.0</v>
      </c>
      <c r="DU21" s="54">
        <v>0.0</v>
      </c>
      <c r="DV21" s="54">
        <v>0.0</v>
      </c>
      <c r="DW21" s="54">
        <v>0.0</v>
      </c>
      <c r="DX21" s="54">
        <v>0.0</v>
      </c>
      <c r="DY21" s="54">
        <v>0.0</v>
      </c>
      <c r="DZ21" s="54">
        <v>24.0</v>
      </c>
      <c r="EA21" s="54">
        <v>0.0</v>
      </c>
      <c r="EB21" s="54">
        <v>0.0</v>
      </c>
      <c r="EC21" s="54">
        <v>135.0</v>
      </c>
      <c r="ED21" s="54">
        <v>153.0</v>
      </c>
      <c r="EE21" s="54">
        <v>49.0</v>
      </c>
      <c r="EF21" s="54">
        <v>281.0</v>
      </c>
      <c r="EG21" s="54">
        <v>47.0</v>
      </c>
      <c r="EH21" s="54">
        <v>1599.0</v>
      </c>
      <c r="EI21" s="54">
        <v>0.0</v>
      </c>
      <c r="EJ21" s="54">
        <v>0.0</v>
      </c>
      <c r="EK21" s="54">
        <v>0.0</v>
      </c>
      <c r="EL21" s="54">
        <v>0.0</v>
      </c>
      <c r="EM21" s="54">
        <v>0.0</v>
      </c>
      <c r="EN21" s="54">
        <v>0.0</v>
      </c>
      <c r="EO21" s="54">
        <v>0.0</v>
      </c>
      <c r="EP21" s="54">
        <v>0.0</v>
      </c>
      <c r="EQ21" s="54">
        <v>18644.0</v>
      </c>
      <c r="ER21" s="54">
        <v>2627.0</v>
      </c>
      <c r="ES21" s="54">
        <v>218.0</v>
      </c>
      <c r="ET21" s="54">
        <v>11526.0</v>
      </c>
      <c r="EU21" s="54">
        <v>785.0</v>
      </c>
      <c r="EV21" s="54">
        <v>62.0</v>
      </c>
      <c r="EW21" s="54">
        <v>140.0</v>
      </c>
      <c r="EX21" s="54">
        <v>125.0</v>
      </c>
      <c r="EY21" s="54">
        <v>538.0</v>
      </c>
      <c r="EZ21" s="54">
        <v>607.0</v>
      </c>
      <c r="FA21" s="54">
        <v>344.0</v>
      </c>
      <c r="FB21" s="54">
        <v>427821.0</v>
      </c>
      <c r="FC21" s="54">
        <v>3790.0</v>
      </c>
      <c r="FD21" s="54">
        <v>3445.0</v>
      </c>
      <c r="FE21" s="54">
        <v>2650801.0</v>
      </c>
      <c r="FF21" s="54">
        <v>8446.0</v>
      </c>
      <c r="FG21" s="54">
        <v>1706015.0</v>
      </c>
      <c r="FH21" s="54">
        <v>0.0</v>
      </c>
      <c r="FI21" s="54">
        <v>0.0</v>
      </c>
      <c r="FJ21" s="54">
        <v>2175530.0</v>
      </c>
      <c r="FK21" s="54">
        <v>1.3048825E7</v>
      </c>
      <c r="FL21" s="54">
        <v>6999.0</v>
      </c>
      <c r="FM21" s="54">
        <v>1042.0</v>
      </c>
      <c r="FN21" s="54">
        <v>3953.0</v>
      </c>
      <c r="FO21" s="54">
        <v>995.0</v>
      </c>
      <c r="FP21" s="54">
        <v>2727.0</v>
      </c>
      <c r="FQ21" s="54">
        <v>226.0</v>
      </c>
      <c r="FR21" s="54">
        <v>43.0</v>
      </c>
      <c r="FS21" s="54">
        <v>2853.0</v>
      </c>
      <c r="FT21" s="54">
        <v>1075.0</v>
      </c>
      <c r="FU21" s="54">
        <v>0.0</v>
      </c>
      <c r="FV21" s="54">
        <v>222503.0</v>
      </c>
      <c r="FW21" s="54">
        <v>323242.0</v>
      </c>
      <c r="FX21" s="54">
        <v>65616.0</v>
      </c>
      <c r="FY21" s="54">
        <v>744197.0</v>
      </c>
      <c r="FZ21" s="54">
        <v>34150.0</v>
      </c>
      <c r="GA21" s="54">
        <v>78515.0</v>
      </c>
      <c r="GB21" s="54">
        <v>5324925.0</v>
      </c>
      <c r="GC21" s="54">
        <v>1327571.0</v>
      </c>
      <c r="GD21" s="54">
        <v>0.0</v>
      </c>
      <c r="GE21" s="54">
        <v>267130.0</v>
      </c>
      <c r="GF21" s="55">
        <v>6.7032854E7</v>
      </c>
      <c r="GG21" s="56">
        <v>1.96567234E8</v>
      </c>
      <c r="GH21" s="57">
        <v>0.0</v>
      </c>
      <c r="GI21" s="56">
        <v>0.0</v>
      </c>
      <c r="GJ21" s="56">
        <v>2.5299926E7</v>
      </c>
      <c r="GK21" s="56">
        <v>-2477379.0</v>
      </c>
      <c r="GL21" s="56">
        <v>2109700.0</v>
      </c>
      <c r="GM21" s="56">
        <v>0.0</v>
      </c>
      <c r="GN21" s="55">
        <v>2.21499481E8</v>
      </c>
      <c r="GO21" s="58">
        <v>2.88532335E8</v>
      </c>
      <c r="GP21" s="56">
        <v>1.8901132E7</v>
      </c>
      <c r="GQ21" s="56">
        <v>0.0</v>
      </c>
      <c r="GR21" s="57">
        <v>0.0</v>
      </c>
      <c r="GS21" s="55">
        <v>1.8901132E7</v>
      </c>
      <c r="GT21" s="59">
        <v>2.6302118E7</v>
      </c>
      <c r="GU21" s="59">
        <v>4.1478895E7</v>
      </c>
      <c r="GV21" s="59">
        <v>9782002.0</v>
      </c>
      <c r="GW21" s="55">
        <v>7.7563015E7</v>
      </c>
      <c r="GX21" s="55">
        <v>491768.0</v>
      </c>
      <c r="GY21" s="55">
        <v>1.9157642E8</v>
      </c>
      <c r="GZ21" s="58">
        <v>2.88532335E8</v>
      </c>
      <c r="HC21" s="107" t="s">
        <v>518</v>
      </c>
      <c r="HD21" s="114" t="s">
        <v>519</v>
      </c>
      <c r="HE21" s="109" t="s">
        <v>520</v>
      </c>
      <c r="HF21" s="113">
        <f>GZ126+GZ127</f>
        <v>573440351</v>
      </c>
      <c r="HH21" s="106"/>
    </row>
    <row r="22" ht="15.75" customHeight="1">
      <c r="A22" s="60">
        <v>17.0</v>
      </c>
      <c r="B22" s="111" t="s">
        <v>287</v>
      </c>
      <c r="C22" s="62">
        <v>0.0</v>
      </c>
      <c r="D22" s="62">
        <v>0.0</v>
      </c>
      <c r="E22" s="62">
        <v>0.0</v>
      </c>
      <c r="F22" s="62">
        <v>0.0</v>
      </c>
      <c r="G22" s="62">
        <v>0.0</v>
      </c>
      <c r="H22" s="62">
        <v>0.0</v>
      </c>
      <c r="I22" s="62">
        <v>0.0</v>
      </c>
      <c r="J22" s="62">
        <v>0.0</v>
      </c>
      <c r="K22" s="62">
        <v>0.0</v>
      </c>
      <c r="L22" s="62">
        <v>0.0</v>
      </c>
      <c r="M22" s="62">
        <v>0.0</v>
      </c>
      <c r="N22" s="62">
        <v>0.0</v>
      </c>
      <c r="O22" s="62">
        <v>0.0</v>
      </c>
      <c r="P22" s="62">
        <v>0.0</v>
      </c>
      <c r="Q22" s="62">
        <v>0.0</v>
      </c>
      <c r="R22" s="62">
        <v>0.0</v>
      </c>
      <c r="S22" s="62">
        <v>19486.0</v>
      </c>
      <c r="T22" s="62">
        <v>0.0</v>
      </c>
      <c r="U22" s="62">
        <v>0.0</v>
      </c>
      <c r="V22" s="62">
        <v>0.0</v>
      </c>
      <c r="W22" s="62">
        <v>0.0</v>
      </c>
      <c r="X22" s="62">
        <v>0.0</v>
      </c>
      <c r="Y22" s="62">
        <v>0.0</v>
      </c>
      <c r="Z22" s="62">
        <v>0.0</v>
      </c>
      <c r="AA22" s="62">
        <v>0.0</v>
      </c>
      <c r="AB22" s="62">
        <v>0.0</v>
      </c>
      <c r="AC22" s="62">
        <v>0.0</v>
      </c>
      <c r="AD22" s="62">
        <v>0.0</v>
      </c>
      <c r="AE22" s="62">
        <v>0.0</v>
      </c>
      <c r="AF22" s="62">
        <v>0.0</v>
      </c>
      <c r="AG22" s="62">
        <v>0.0</v>
      </c>
      <c r="AH22" s="62">
        <v>0.0</v>
      </c>
      <c r="AI22" s="62">
        <v>0.0</v>
      </c>
      <c r="AJ22" s="62">
        <v>0.0</v>
      </c>
      <c r="AK22" s="62">
        <v>0.0</v>
      </c>
      <c r="AL22" s="62">
        <v>0.0</v>
      </c>
      <c r="AM22" s="62">
        <v>0.0</v>
      </c>
      <c r="AN22" s="62">
        <v>0.0</v>
      </c>
      <c r="AO22" s="62">
        <v>0.0</v>
      </c>
      <c r="AP22" s="62">
        <v>0.0</v>
      </c>
      <c r="AQ22" s="62">
        <v>0.0</v>
      </c>
      <c r="AR22" s="62">
        <v>0.0</v>
      </c>
      <c r="AS22" s="62">
        <v>0.0</v>
      </c>
      <c r="AT22" s="62">
        <v>0.0</v>
      </c>
      <c r="AU22" s="62">
        <v>0.0</v>
      </c>
      <c r="AV22" s="62">
        <v>0.0</v>
      </c>
      <c r="AW22" s="62">
        <v>0.0</v>
      </c>
      <c r="AX22" s="62">
        <v>0.0</v>
      </c>
      <c r="AY22" s="62">
        <v>0.0</v>
      </c>
      <c r="AZ22" s="62">
        <v>0.0</v>
      </c>
      <c r="BA22" s="62">
        <v>0.0</v>
      </c>
      <c r="BB22" s="62">
        <v>0.0</v>
      </c>
      <c r="BC22" s="62">
        <v>0.0</v>
      </c>
      <c r="BD22" s="62">
        <v>22488.0</v>
      </c>
      <c r="BE22" s="62">
        <v>0.0</v>
      </c>
      <c r="BF22" s="62">
        <v>0.0</v>
      </c>
      <c r="BG22" s="62">
        <v>11758.0</v>
      </c>
      <c r="BH22" s="62">
        <v>829.0</v>
      </c>
      <c r="BI22" s="62">
        <v>0.0</v>
      </c>
      <c r="BJ22" s="62">
        <v>7608.0</v>
      </c>
      <c r="BK22" s="62">
        <v>0.0</v>
      </c>
      <c r="BL22" s="62">
        <v>0.0</v>
      </c>
      <c r="BM22" s="62">
        <v>0.0</v>
      </c>
      <c r="BN22" s="62">
        <v>0.0</v>
      </c>
      <c r="BO22" s="62">
        <v>0.0</v>
      </c>
      <c r="BP22" s="62">
        <v>110.0</v>
      </c>
      <c r="BQ22" s="62">
        <v>0.0</v>
      </c>
      <c r="BR22" s="62">
        <v>343.0</v>
      </c>
      <c r="BS22" s="62">
        <v>191.0</v>
      </c>
      <c r="BT22" s="62">
        <v>93499.0</v>
      </c>
      <c r="BU22" s="62">
        <v>540411.0</v>
      </c>
      <c r="BV22" s="62">
        <v>0.0</v>
      </c>
      <c r="BW22" s="62">
        <v>0.0</v>
      </c>
      <c r="BX22" s="62">
        <v>50020.0</v>
      </c>
      <c r="BY22" s="62">
        <v>0.0</v>
      </c>
      <c r="BZ22" s="62">
        <v>0.0</v>
      </c>
      <c r="CA22" s="62">
        <v>0.0</v>
      </c>
      <c r="CB22" s="62">
        <v>0.0</v>
      </c>
      <c r="CC22" s="62">
        <v>0.0</v>
      </c>
      <c r="CD22" s="62">
        <v>0.0</v>
      </c>
      <c r="CE22" s="62">
        <v>0.0</v>
      </c>
      <c r="CF22" s="62">
        <v>0.0</v>
      </c>
      <c r="CG22" s="62">
        <v>0.0</v>
      </c>
      <c r="CH22" s="62">
        <v>0.0</v>
      </c>
      <c r="CI22" s="62">
        <v>0.0</v>
      </c>
      <c r="CJ22" s="62">
        <v>0.0</v>
      </c>
      <c r="CK22" s="62">
        <v>0.0</v>
      </c>
      <c r="CL22" s="62">
        <v>0.0</v>
      </c>
      <c r="CM22" s="62">
        <v>0.0</v>
      </c>
      <c r="CN22" s="62">
        <v>0.0</v>
      </c>
      <c r="CO22" s="62">
        <v>0.0</v>
      </c>
      <c r="CP22" s="62">
        <v>0.0</v>
      </c>
      <c r="CQ22" s="62">
        <v>0.0</v>
      </c>
      <c r="CR22" s="62">
        <v>0.0</v>
      </c>
      <c r="CS22" s="62">
        <v>0.0</v>
      </c>
      <c r="CT22" s="62">
        <v>0.0</v>
      </c>
      <c r="CU22" s="62">
        <v>0.0</v>
      </c>
      <c r="CV22" s="62">
        <v>0.0</v>
      </c>
      <c r="CW22" s="62">
        <v>0.0</v>
      </c>
      <c r="CX22" s="62">
        <v>0.0</v>
      </c>
      <c r="CY22" s="62">
        <v>0.0</v>
      </c>
      <c r="CZ22" s="62">
        <v>57423.0</v>
      </c>
      <c r="DA22" s="62">
        <v>0.0</v>
      </c>
      <c r="DB22" s="62">
        <v>133649.0</v>
      </c>
      <c r="DC22" s="62">
        <v>259279.0</v>
      </c>
      <c r="DD22" s="62">
        <v>1778284.0</v>
      </c>
      <c r="DE22" s="62">
        <v>0.0</v>
      </c>
      <c r="DF22" s="62">
        <v>0.0</v>
      </c>
      <c r="DG22" s="62">
        <v>0.0</v>
      </c>
      <c r="DH22" s="62">
        <v>0.0</v>
      </c>
      <c r="DI22" s="62">
        <v>0.0</v>
      </c>
      <c r="DJ22" s="62">
        <v>0.0</v>
      </c>
      <c r="DK22" s="62">
        <v>0.0</v>
      </c>
      <c r="DL22" s="62">
        <v>0.0</v>
      </c>
      <c r="DM22" s="62">
        <v>0.0</v>
      </c>
      <c r="DN22" s="62">
        <v>0.0</v>
      </c>
      <c r="DO22" s="62">
        <v>0.0</v>
      </c>
      <c r="DP22" s="62">
        <v>0.0</v>
      </c>
      <c r="DQ22" s="62">
        <v>0.0</v>
      </c>
      <c r="DR22" s="62">
        <v>0.0</v>
      </c>
      <c r="DS22" s="62">
        <v>0.0</v>
      </c>
      <c r="DT22" s="62">
        <v>0.0</v>
      </c>
      <c r="DU22" s="62">
        <v>0.0</v>
      </c>
      <c r="DV22" s="62">
        <v>0.0</v>
      </c>
      <c r="DW22" s="62">
        <v>0.0</v>
      </c>
      <c r="DX22" s="62">
        <v>0.0</v>
      </c>
      <c r="DY22" s="62">
        <v>0.0</v>
      </c>
      <c r="DZ22" s="62">
        <v>0.0</v>
      </c>
      <c r="EA22" s="62">
        <v>0.0</v>
      </c>
      <c r="EB22" s="62">
        <v>0.0</v>
      </c>
      <c r="EC22" s="62">
        <v>0.0</v>
      </c>
      <c r="ED22" s="62">
        <v>0.0</v>
      </c>
      <c r="EE22" s="62">
        <v>0.0</v>
      </c>
      <c r="EF22" s="62">
        <v>0.0</v>
      </c>
      <c r="EG22" s="62">
        <v>0.0</v>
      </c>
      <c r="EH22" s="62">
        <v>0.0</v>
      </c>
      <c r="EI22" s="62">
        <v>0.0</v>
      </c>
      <c r="EJ22" s="62">
        <v>0.0</v>
      </c>
      <c r="EK22" s="62">
        <v>0.0</v>
      </c>
      <c r="EL22" s="62">
        <v>0.0</v>
      </c>
      <c r="EM22" s="62">
        <v>0.0</v>
      </c>
      <c r="EN22" s="62">
        <v>0.0</v>
      </c>
      <c r="EO22" s="62">
        <v>0.0</v>
      </c>
      <c r="EP22" s="62">
        <v>0.0</v>
      </c>
      <c r="EQ22" s="62">
        <v>0.0</v>
      </c>
      <c r="ER22" s="62">
        <v>0.0</v>
      </c>
      <c r="ES22" s="62">
        <v>0.0</v>
      </c>
      <c r="ET22" s="62">
        <v>272.0</v>
      </c>
      <c r="EU22" s="62">
        <v>0.0</v>
      </c>
      <c r="EV22" s="62">
        <v>0.0</v>
      </c>
      <c r="EW22" s="62">
        <v>0.0</v>
      </c>
      <c r="EX22" s="62">
        <v>0.0</v>
      </c>
      <c r="EY22" s="62">
        <v>0.0</v>
      </c>
      <c r="EZ22" s="62">
        <v>0.0</v>
      </c>
      <c r="FA22" s="62">
        <v>0.0</v>
      </c>
      <c r="FB22" s="62">
        <v>0.0</v>
      </c>
      <c r="FC22" s="62">
        <v>0.0</v>
      </c>
      <c r="FD22" s="62">
        <v>0.0</v>
      </c>
      <c r="FE22" s="62">
        <v>0.0</v>
      </c>
      <c r="FF22" s="62">
        <v>0.0</v>
      </c>
      <c r="FG22" s="62">
        <v>0.0</v>
      </c>
      <c r="FH22" s="62">
        <v>0.0</v>
      </c>
      <c r="FI22" s="62">
        <v>0.0</v>
      </c>
      <c r="FJ22" s="62">
        <v>381.0</v>
      </c>
      <c r="FK22" s="62">
        <v>5376.0</v>
      </c>
      <c r="FL22" s="62">
        <v>0.0</v>
      </c>
      <c r="FM22" s="62">
        <v>0.0</v>
      </c>
      <c r="FN22" s="62">
        <v>0.0</v>
      </c>
      <c r="FO22" s="62">
        <v>0.0</v>
      </c>
      <c r="FP22" s="62">
        <v>0.0</v>
      </c>
      <c r="FQ22" s="62">
        <v>0.0</v>
      </c>
      <c r="FR22" s="62">
        <v>0.0</v>
      </c>
      <c r="FS22" s="62">
        <v>0.0</v>
      </c>
      <c r="FT22" s="62">
        <v>0.0</v>
      </c>
      <c r="FU22" s="62">
        <v>0.0</v>
      </c>
      <c r="FV22" s="62">
        <v>0.0</v>
      </c>
      <c r="FW22" s="62">
        <v>56635.0</v>
      </c>
      <c r="FX22" s="62">
        <v>1613.0</v>
      </c>
      <c r="FY22" s="62">
        <v>18154.0</v>
      </c>
      <c r="FZ22" s="62">
        <v>310.0</v>
      </c>
      <c r="GA22" s="62">
        <v>8.0</v>
      </c>
      <c r="GB22" s="62">
        <v>49051.0</v>
      </c>
      <c r="GC22" s="62">
        <v>12139.0</v>
      </c>
      <c r="GD22" s="62">
        <v>0.0</v>
      </c>
      <c r="GE22" s="62">
        <v>0.0</v>
      </c>
      <c r="GF22" s="63">
        <v>3119317.0</v>
      </c>
      <c r="GG22" s="64">
        <v>2266384.0</v>
      </c>
      <c r="GH22" s="65">
        <v>0.0</v>
      </c>
      <c r="GI22" s="64">
        <v>0.0</v>
      </c>
      <c r="GJ22" s="64">
        <v>1276564.0</v>
      </c>
      <c r="GK22" s="64">
        <v>676401.0</v>
      </c>
      <c r="GL22" s="64">
        <v>4160011.0</v>
      </c>
      <c r="GM22" s="64">
        <v>0.0</v>
      </c>
      <c r="GN22" s="63">
        <v>8379360.0</v>
      </c>
      <c r="GO22" s="66">
        <v>1.1498677E7</v>
      </c>
      <c r="GP22" s="64">
        <v>739379.0</v>
      </c>
      <c r="GQ22" s="64">
        <v>0.0</v>
      </c>
      <c r="GR22" s="65">
        <v>0.0</v>
      </c>
      <c r="GS22" s="63">
        <v>739379.0</v>
      </c>
      <c r="GT22" s="67">
        <v>554540.0</v>
      </c>
      <c r="GU22" s="67">
        <v>863497.0</v>
      </c>
      <c r="GV22" s="67">
        <v>233456.0</v>
      </c>
      <c r="GW22" s="63">
        <v>1651493.0</v>
      </c>
      <c r="GX22" s="63">
        <v>223337.0</v>
      </c>
      <c r="GY22" s="63">
        <v>8884468.0</v>
      </c>
      <c r="GZ22" s="66">
        <v>1.1498677E7</v>
      </c>
      <c r="HC22" s="107" t="s">
        <v>521</v>
      </c>
      <c r="HD22" s="115" t="s">
        <v>522</v>
      </c>
      <c r="HE22" s="109" t="s">
        <v>523</v>
      </c>
      <c r="HF22" s="113">
        <f>SUM(GZ132,GZ142)</f>
        <v>263282677</v>
      </c>
      <c r="HH22" s="106"/>
    </row>
    <row r="23" ht="15.75" customHeight="1">
      <c r="A23" s="60">
        <v>18.0</v>
      </c>
      <c r="B23" s="111" t="s">
        <v>288</v>
      </c>
      <c r="C23" s="62">
        <v>0.0</v>
      </c>
      <c r="D23" s="62">
        <v>0.0</v>
      </c>
      <c r="E23" s="62">
        <v>0.0</v>
      </c>
      <c r="F23" s="62">
        <v>0.0</v>
      </c>
      <c r="G23" s="62">
        <v>0.0</v>
      </c>
      <c r="H23" s="62">
        <v>0.0</v>
      </c>
      <c r="I23" s="62">
        <v>0.0</v>
      </c>
      <c r="J23" s="62">
        <v>0.0</v>
      </c>
      <c r="K23" s="62">
        <v>0.0</v>
      </c>
      <c r="L23" s="62">
        <v>0.0</v>
      </c>
      <c r="M23" s="62">
        <v>0.0</v>
      </c>
      <c r="N23" s="62">
        <v>0.0</v>
      </c>
      <c r="O23" s="62">
        <v>0.0</v>
      </c>
      <c r="P23" s="62">
        <v>0.0</v>
      </c>
      <c r="Q23" s="62">
        <v>0.0</v>
      </c>
      <c r="R23" s="62">
        <v>0.0</v>
      </c>
      <c r="S23" s="62">
        <v>0.0</v>
      </c>
      <c r="T23" s="62">
        <v>5132001.0</v>
      </c>
      <c r="U23" s="62">
        <v>0.0</v>
      </c>
      <c r="V23" s="62">
        <v>0.0</v>
      </c>
      <c r="W23" s="62">
        <v>0.0</v>
      </c>
      <c r="X23" s="62">
        <v>0.0</v>
      </c>
      <c r="Y23" s="62">
        <v>0.0</v>
      </c>
      <c r="Z23" s="62">
        <v>0.0</v>
      </c>
      <c r="AA23" s="62">
        <v>0.0</v>
      </c>
      <c r="AB23" s="62">
        <v>0.0</v>
      </c>
      <c r="AC23" s="62">
        <v>0.0</v>
      </c>
      <c r="AD23" s="62">
        <v>0.0</v>
      </c>
      <c r="AE23" s="62">
        <v>0.0</v>
      </c>
      <c r="AF23" s="62">
        <v>0.0</v>
      </c>
      <c r="AG23" s="62">
        <v>0.0</v>
      </c>
      <c r="AH23" s="62">
        <v>0.0</v>
      </c>
      <c r="AI23" s="62">
        <v>0.0</v>
      </c>
      <c r="AJ23" s="62">
        <v>0.0</v>
      </c>
      <c r="AK23" s="62">
        <v>0.0</v>
      </c>
      <c r="AL23" s="62">
        <v>0.0</v>
      </c>
      <c r="AM23" s="62">
        <v>0.0</v>
      </c>
      <c r="AN23" s="62">
        <v>0.0</v>
      </c>
      <c r="AO23" s="62">
        <v>0.0</v>
      </c>
      <c r="AP23" s="62">
        <v>0.0</v>
      </c>
      <c r="AQ23" s="62">
        <v>0.0</v>
      </c>
      <c r="AR23" s="62">
        <v>0.0</v>
      </c>
      <c r="AS23" s="62">
        <v>0.0</v>
      </c>
      <c r="AT23" s="62">
        <v>0.0</v>
      </c>
      <c r="AU23" s="62">
        <v>0.0</v>
      </c>
      <c r="AV23" s="62">
        <v>0.0</v>
      </c>
      <c r="AW23" s="62">
        <v>0.0</v>
      </c>
      <c r="AX23" s="62">
        <v>0.0</v>
      </c>
      <c r="AY23" s="62">
        <v>0.0</v>
      </c>
      <c r="AZ23" s="62">
        <v>0.0</v>
      </c>
      <c r="BA23" s="62">
        <v>0.0</v>
      </c>
      <c r="BB23" s="62">
        <v>0.0</v>
      </c>
      <c r="BC23" s="62">
        <v>0.0</v>
      </c>
      <c r="BD23" s="62">
        <v>0.0</v>
      </c>
      <c r="BE23" s="62">
        <v>0.0</v>
      </c>
      <c r="BF23" s="62">
        <v>0.0</v>
      </c>
      <c r="BG23" s="62">
        <v>0.0</v>
      </c>
      <c r="BH23" s="62">
        <v>0.0</v>
      </c>
      <c r="BI23" s="62">
        <v>0.0</v>
      </c>
      <c r="BJ23" s="62">
        <v>0.0</v>
      </c>
      <c r="BK23" s="62">
        <v>0.0</v>
      </c>
      <c r="BL23" s="62">
        <v>0.0</v>
      </c>
      <c r="BM23" s="62">
        <v>0.0</v>
      </c>
      <c r="BN23" s="62">
        <v>0.0</v>
      </c>
      <c r="BO23" s="62">
        <v>0.0</v>
      </c>
      <c r="BP23" s="62">
        <v>0.0</v>
      </c>
      <c r="BQ23" s="62">
        <v>0.0</v>
      </c>
      <c r="BR23" s="62">
        <v>0.0</v>
      </c>
      <c r="BS23" s="62">
        <v>0.0</v>
      </c>
      <c r="BT23" s="62">
        <v>0.0</v>
      </c>
      <c r="BU23" s="62">
        <v>0.0</v>
      </c>
      <c r="BV23" s="62">
        <v>0.0</v>
      </c>
      <c r="BW23" s="62">
        <v>0.0</v>
      </c>
      <c r="BX23" s="62">
        <v>0.0</v>
      </c>
      <c r="BY23" s="62">
        <v>0.0</v>
      </c>
      <c r="BZ23" s="62">
        <v>0.0</v>
      </c>
      <c r="CA23" s="62">
        <v>0.0</v>
      </c>
      <c r="CB23" s="62">
        <v>0.0</v>
      </c>
      <c r="CC23" s="62">
        <v>0.0</v>
      </c>
      <c r="CD23" s="62">
        <v>0.0</v>
      </c>
      <c r="CE23" s="62">
        <v>0.0</v>
      </c>
      <c r="CF23" s="62">
        <v>0.0</v>
      </c>
      <c r="CG23" s="62">
        <v>0.0</v>
      </c>
      <c r="CH23" s="62">
        <v>0.0</v>
      </c>
      <c r="CI23" s="62">
        <v>0.0</v>
      </c>
      <c r="CJ23" s="62">
        <v>0.0</v>
      </c>
      <c r="CK23" s="62">
        <v>0.0</v>
      </c>
      <c r="CL23" s="62">
        <v>0.0</v>
      </c>
      <c r="CM23" s="62">
        <v>0.0</v>
      </c>
      <c r="CN23" s="62">
        <v>0.0</v>
      </c>
      <c r="CO23" s="62">
        <v>0.0</v>
      </c>
      <c r="CP23" s="62">
        <v>0.0</v>
      </c>
      <c r="CQ23" s="62">
        <v>0.0</v>
      </c>
      <c r="CR23" s="62">
        <v>0.0</v>
      </c>
      <c r="CS23" s="62">
        <v>0.0</v>
      </c>
      <c r="CT23" s="62">
        <v>0.0</v>
      </c>
      <c r="CU23" s="62">
        <v>0.0</v>
      </c>
      <c r="CV23" s="62">
        <v>3823621.0</v>
      </c>
      <c r="CW23" s="62">
        <v>0.0</v>
      </c>
      <c r="CX23" s="62">
        <v>936123.0</v>
      </c>
      <c r="CY23" s="62">
        <v>0.0</v>
      </c>
      <c r="CZ23" s="62">
        <v>0.0</v>
      </c>
      <c r="DA23" s="62">
        <v>0.0</v>
      </c>
      <c r="DB23" s="62">
        <v>0.0</v>
      </c>
      <c r="DC23" s="62">
        <v>0.0</v>
      </c>
      <c r="DD23" s="62">
        <v>0.0</v>
      </c>
      <c r="DE23" s="62">
        <v>8446185.0</v>
      </c>
      <c r="DF23" s="62">
        <v>4.9603214E7</v>
      </c>
      <c r="DG23" s="62">
        <v>3443222.0</v>
      </c>
      <c r="DH23" s="62">
        <v>2508246.0</v>
      </c>
      <c r="DI23" s="62">
        <v>0.0</v>
      </c>
      <c r="DJ23" s="62">
        <v>0.0</v>
      </c>
      <c r="DK23" s="62">
        <v>0.0</v>
      </c>
      <c r="DL23" s="62">
        <v>0.0</v>
      </c>
      <c r="DM23" s="62">
        <v>0.0</v>
      </c>
      <c r="DN23" s="62">
        <v>0.0</v>
      </c>
      <c r="DO23" s="62">
        <v>55097.0</v>
      </c>
      <c r="DP23" s="62">
        <v>0.0</v>
      </c>
      <c r="DQ23" s="62">
        <v>67840.0</v>
      </c>
      <c r="DR23" s="62">
        <v>0.0</v>
      </c>
      <c r="DS23" s="62">
        <v>0.0</v>
      </c>
      <c r="DT23" s="62">
        <v>0.0</v>
      </c>
      <c r="DU23" s="62">
        <v>0.0</v>
      </c>
      <c r="DV23" s="62">
        <v>0.0</v>
      </c>
      <c r="DW23" s="62">
        <v>0.0</v>
      </c>
      <c r="DX23" s="62">
        <v>0.0</v>
      </c>
      <c r="DY23" s="62">
        <v>0.0</v>
      </c>
      <c r="DZ23" s="62">
        <v>0.0</v>
      </c>
      <c r="EA23" s="62">
        <v>0.0</v>
      </c>
      <c r="EB23" s="62">
        <v>0.0</v>
      </c>
      <c r="EC23" s="62">
        <v>0.0</v>
      </c>
      <c r="ED23" s="62">
        <v>0.0</v>
      </c>
      <c r="EE23" s="62">
        <v>0.0</v>
      </c>
      <c r="EF23" s="62">
        <v>0.0</v>
      </c>
      <c r="EG23" s="62">
        <v>0.0</v>
      </c>
      <c r="EH23" s="62">
        <v>972007.0</v>
      </c>
      <c r="EI23" s="62">
        <v>910432.0</v>
      </c>
      <c r="EJ23" s="62">
        <v>0.0</v>
      </c>
      <c r="EK23" s="62">
        <v>0.0</v>
      </c>
      <c r="EL23" s="62">
        <v>0.0</v>
      </c>
      <c r="EM23" s="62">
        <v>0.0</v>
      </c>
      <c r="EN23" s="62">
        <v>0.0</v>
      </c>
      <c r="EO23" s="62">
        <v>0.0</v>
      </c>
      <c r="EP23" s="62">
        <v>0.0</v>
      </c>
      <c r="EQ23" s="62">
        <v>0.0</v>
      </c>
      <c r="ER23" s="62">
        <v>0.0</v>
      </c>
      <c r="ES23" s="62">
        <v>0.0</v>
      </c>
      <c r="ET23" s="62">
        <v>0.0</v>
      </c>
      <c r="EU23" s="62">
        <v>0.0</v>
      </c>
      <c r="EV23" s="62">
        <v>0.0</v>
      </c>
      <c r="EW23" s="62">
        <v>0.0</v>
      </c>
      <c r="EX23" s="62">
        <v>9597.0</v>
      </c>
      <c r="EY23" s="62">
        <v>783.0</v>
      </c>
      <c r="EZ23" s="62">
        <v>0.0</v>
      </c>
      <c r="FA23" s="62">
        <v>0.0</v>
      </c>
      <c r="FB23" s="62">
        <v>0.0</v>
      </c>
      <c r="FC23" s="62">
        <v>0.0</v>
      </c>
      <c r="FD23" s="62">
        <v>0.0</v>
      </c>
      <c r="FE23" s="62">
        <v>0.0</v>
      </c>
      <c r="FF23" s="62">
        <v>0.0</v>
      </c>
      <c r="FG23" s="62">
        <v>0.0</v>
      </c>
      <c r="FH23" s="62">
        <v>0.0</v>
      </c>
      <c r="FI23" s="62">
        <v>0.0</v>
      </c>
      <c r="FJ23" s="62">
        <v>0.0</v>
      </c>
      <c r="FK23" s="62">
        <v>0.0</v>
      </c>
      <c r="FL23" s="62">
        <v>0.0</v>
      </c>
      <c r="FM23" s="62">
        <v>0.0</v>
      </c>
      <c r="FN23" s="62">
        <v>0.0</v>
      </c>
      <c r="FO23" s="62">
        <v>0.0</v>
      </c>
      <c r="FP23" s="62">
        <v>0.0</v>
      </c>
      <c r="FQ23" s="62">
        <v>0.0</v>
      </c>
      <c r="FR23" s="62">
        <v>0.0</v>
      </c>
      <c r="FS23" s="62">
        <v>0.0</v>
      </c>
      <c r="FT23" s="62">
        <v>0.0</v>
      </c>
      <c r="FU23" s="62">
        <v>0.0</v>
      </c>
      <c r="FV23" s="62">
        <v>0.0</v>
      </c>
      <c r="FW23" s="62">
        <v>0.0</v>
      </c>
      <c r="FX23" s="62">
        <v>0.0</v>
      </c>
      <c r="FY23" s="62">
        <v>0.0</v>
      </c>
      <c r="FZ23" s="62">
        <v>0.0</v>
      </c>
      <c r="GA23" s="62">
        <v>3149.0</v>
      </c>
      <c r="GB23" s="62">
        <v>0.0</v>
      </c>
      <c r="GC23" s="62">
        <v>0.0</v>
      </c>
      <c r="GD23" s="62">
        <v>0.0</v>
      </c>
      <c r="GE23" s="62">
        <v>0.0</v>
      </c>
      <c r="GF23" s="63">
        <v>7.5911517E7</v>
      </c>
      <c r="GG23" s="64">
        <v>0.0</v>
      </c>
      <c r="GH23" s="65">
        <v>0.0</v>
      </c>
      <c r="GI23" s="64">
        <v>0.0</v>
      </c>
      <c r="GJ23" s="64">
        <v>1.0872469E7</v>
      </c>
      <c r="GK23" s="64">
        <v>4464866.0</v>
      </c>
      <c r="GL23" s="64">
        <v>96566.0</v>
      </c>
      <c r="GM23" s="64">
        <v>0.0</v>
      </c>
      <c r="GN23" s="63">
        <v>1.5433901E7</v>
      </c>
      <c r="GO23" s="66">
        <v>9.1345418E7</v>
      </c>
      <c r="GP23" s="64">
        <v>667495.0</v>
      </c>
      <c r="GQ23" s="64">
        <v>0.0</v>
      </c>
      <c r="GR23" s="65">
        <v>0.0</v>
      </c>
      <c r="GS23" s="63">
        <v>667495.0</v>
      </c>
      <c r="GT23" s="67">
        <v>1.0128945E7</v>
      </c>
      <c r="GU23" s="67">
        <v>0.0</v>
      </c>
      <c r="GV23" s="67">
        <v>1247802.0</v>
      </c>
      <c r="GW23" s="63">
        <v>1.1376747E7</v>
      </c>
      <c r="GX23" s="63">
        <v>451905.0</v>
      </c>
      <c r="GY23" s="63">
        <v>7.8849271E7</v>
      </c>
      <c r="GZ23" s="66">
        <v>9.1345418E7</v>
      </c>
      <c r="HC23" s="107" t="s">
        <v>524</v>
      </c>
      <c r="HD23" s="114" t="s">
        <v>525</v>
      </c>
      <c r="HE23" s="109" t="s">
        <v>526</v>
      </c>
      <c r="HF23" s="113">
        <f>SUM(GZ129:GZ131,GZ134:GZ135,GZ133)</f>
        <v>1017568474</v>
      </c>
      <c r="HH23" s="106"/>
    </row>
    <row r="24" ht="15.75" customHeight="1">
      <c r="A24" s="60">
        <v>19.0</v>
      </c>
      <c r="B24" s="111" t="s">
        <v>289</v>
      </c>
      <c r="C24" s="62">
        <v>0.0</v>
      </c>
      <c r="D24" s="62">
        <v>0.0</v>
      </c>
      <c r="E24" s="62">
        <v>0.0</v>
      </c>
      <c r="F24" s="62">
        <v>0.0</v>
      </c>
      <c r="G24" s="62">
        <v>0.0</v>
      </c>
      <c r="H24" s="62">
        <v>0.0</v>
      </c>
      <c r="I24" s="62">
        <v>0.0</v>
      </c>
      <c r="J24" s="62">
        <v>0.0</v>
      </c>
      <c r="K24" s="62">
        <v>0.0</v>
      </c>
      <c r="L24" s="62">
        <v>0.0</v>
      </c>
      <c r="M24" s="62">
        <v>0.0</v>
      </c>
      <c r="N24" s="62">
        <v>0.0</v>
      </c>
      <c r="O24" s="62">
        <v>0.0</v>
      </c>
      <c r="P24" s="62">
        <v>0.0</v>
      </c>
      <c r="Q24" s="62">
        <v>0.0</v>
      </c>
      <c r="R24" s="62">
        <v>0.0</v>
      </c>
      <c r="S24" s="62">
        <v>0.0</v>
      </c>
      <c r="T24" s="62">
        <v>0.0</v>
      </c>
      <c r="U24" s="62">
        <v>1101179.0</v>
      </c>
      <c r="V24" s="62">
        <v>0.0</v>
      </c>
      <c r="W24" s="62">
        <v>0.0</v>
      </c>
      <c r="X24" s="62">
        <v>0.0</v>
      </c>
      <c r="Y24" s="62">
        <v>0.0</v>
      </c>
      <c r="Z24" s="62">
        <v>0.0</v>
      </c>
      <c r="AA24" s="62">
        <v>0.0</v>
      </c>
      <c r="AB24" s="62">
        <v>0.0</v>
      </c>
      <c r="AC24" s="62">
        <v>0.0</v>
      </c>
      <c r="AD24" s="62">
        <v>0.0</v>
      </c>
      <c r="AE24" s="62">
        <v>0.0</v>
      </c>
      <c r="AF24" s="62">
        <v>0.0</v>
      </c>
      <c r="AG24" s="62">
        <v>0.0</v>
      </c>
      <c r="AH24" s="62">
        <v>0.0</v>
      </c>
      <c r="AI24" s="62">
        <v>0.0</v>
      </c>
      <c r="AJ24" s="62">
        <v>0.0</v>
      </c>
      <c r="AK24" s="62">
        <v>0.0</v>
      </c>
      <c r="AL24" s="62">
        <v>0.0</v>
      </c>
      <c r="AM24" s="62">
        <v>0.0</v>
      </c>
      <c r="AN24" s="62">
        <v>0.0</v>
      </c>
      <c r="AO24" s="62">
        <v>0.0</v>
      </c>
      <c r="AP24" s="62">
        <v>0.0</v>
      </c>
      <c r="AQ24" s="62">
        <v>0.0</v>
      </c>
      <c r="AR24" s="62">
        <v>0.0</v>
      </c>
      <c r="AS24" s="62">
        <v>0.0</v>
      </c>
      <c r="AT24" s="62">
        <v>0.0</v>
      </c>
      <c r="AU24" s="62">
        <v>0.0</v>
      </c>
      <c r="AV24" s="62">
        <v>0.0</v>
      </c>
      <c r="AW24" s="62">
        <v>0.0</v>
      </c>
      <c r="AX24" s="62">
        <v>0.0</v>
      </c>
      <c r="AY24" s="62">
        <v>0.0</v>
      </c>
      <c r="AZ24" s="62">
        <v>0.0</v>
      </c>
      <c r="BA24" s="62">
        <v>0.0</v>
      </c>
      <c r="BB24" s="62">
        <v>0.0</v>
      </c>
      <c r="BC24" s="62">
        <v>44466.0</v>
      </c>
      <c r="BD24" s="62">
        <v>0.0</v>
      </c>
      <c r="BE24" s="62">
        <v>0.0</v>
      </c>
      <c r="BF24" s="62">
        <v>0.0</v>
      </c>
      <c r="BG24" s="62">
        <v>119.0</v>
      </c>
      <c r="BH24" s="62">
        <v>22802.0</v>
      </c>
      <c r="BI24" s="62">
        <v>1.1640756E7</v>
      </c>
      <c r="BJ24" s="62">
        <v>1077819.0</v>
      </c>
      <c r="BK24" s="62">
        <v>0.0</v>
      </c>
      <c r="BL24" s="62">
        <v>0.0</v>
      </c>
      <c r="BM24" s="62">
        <v>0.0</v>
      </c>
      <c r="BN24" s="62">
        <v>1139478.0</v>
      </c>
      <c r="BO24" s="62">
        <v>389.0</v>
      </c>
      <c r="BP24" s="62">
        <v>0.0</v>
      </c>
      <c r="BQ24" s="62">
        <v>0.0</v>
      </c>
      <c r="BR24" s="62">
        <v>2137.0</v>
      </c>
      <c r="BS24" s="62">
        <v>0.0</v>
      </c>
      <c r="BT24" s="62">
        <v>0.0</v>
      </c>
      <c r="BU24" s="62">
        <v>1535704.0</v>
      </c>
      <c r="BV24" s="62">
        <v>50271.0</v>
      </c>
      <c r="BW24" s="62">
        <v>59497.0</v>
      </c>
      <c r="BX24" s="62">
        <v>1998692.0</v>
      </c>
      <c r="BY24" s="62">
        <v>0.0</v>
      </c>
      <c r="BZ24" s="62">
        <v>0.0</v>
      </c>
      <c r="CA24" s="62">
        <v>0.0</v>
      </c>
      <c r="CB24" s="62">
        <v>0.0</v>
      </c>
      <c r="CC24" s="62">
        <v>0.0</v>
      </c>
      <c r="CD24" s="62">
        <v>0.0</v>
      </c>
      <c r="CE24" s="62">
        <v>0.0</v>
      </c>
      <c r="CF24" s="62">
        <v>0.0</v>
      </c>
      <c r="CG24" s="62">
        <v>0.0</v>
      </c>
      <c r="CH24" s="62">
        <v>4794.0</v>
      </c>
      <c r="CI24" s="62">
        <v>28922.0</v>
      </c>
      <c r="CJ24" s="62">
        <v>0.0</v>
      </c>
      <c r="CK24" s="62">
        <v>0.0</v>
      </c>
      <c r="CL24" s="62">
        <v>0.0</v>
      </c>
      <c r="CM24" s="62">
        <v>96251.0</v>
      </c>
      <c r="CN24" s="62">
        <v>0.0</v>
      </c>
      <c r="CO24" s="62">
        <v>0.0</v>
      </c>
      <c r="CP24" s="62">
        <v>0.0</v>
      </c>
      <c r="CQ24" s="62">
        <v>0.0</v>
      </c>
      <c r="CR24" s="62">
        <v>0.0</v>
      </c>
      <c r="CS24" s="62">
        <v>0.0</v>
      </c>
      <c r="CT24" s="62">
        <v>2845930.0</v>
      </c>
      <c r="CU24" s="62">
        <v>0.0</v>
      </c>
      <c r="CV24" s="62">
        <v>0.0</v>
      </c>
      <c r="CW24" s="62">
        <v>0.0</v>
      </c>
      <c r="CX24" s="62">
        <v>0.0</v>
      </c>
      <c r="CY24" s="62">
        <v>0.0</v>
      </c>
      <c r="CZ24" s="62">
        <v>0.0</v>
      </c>
      <c r="DA24" s="62">
        <v>0.0</v>
      </c>
      <c r="DB24" s="62">
        <v>931627.0</v>
      </c>
      <c r="DC24" s="62">
        <v>1451650.0</v>
      </c>
      <c r="DD24" s="62">
        <v>283999.0</v>
      </c>
      <c r="DE24" s="62">
        <v>0.0</v>
      </c>
      <c r="DF24" s="62">
        <v>0.0</v>
      </c>
      <c r="DG24" s="62">
        <v>0.0</v>
      </c>
      <c r="DH24" s="62">
        <v>0.0</v>
      </c>
      <c r="DI24" s="62">
        <v>0.0</v>
      </c>
      <c r="DJ24" s="62">
        <v>0.0</v>
      </c>
      <c r="DK24" s="62">
        <v>0.0</v>
      </c>
      <c r="DL24" s="62">
        <v>0.0</v>
      </c>
      <c r="DM24" s="62">
        <v>0.0</v>
      </c>
      <c r="DN24" s="62">
        <v>0.0</v>
      </c>
      <c r="DO24" s="62">
        <v>0.0</v>
      </c>
      <c r="DP24" s="62">
        <v>0.0</v>
      </c>
      <c r="DQ24" s="62">
        <v>17448.0</v>
      </c>
      <c r="DR24" s="62">
        <v>0.0</v>
      </c>
      <c r="DS24" s="62">
        <v>0.0</v>
      </c>
      <c r="DT24" s="62">
        <v>0.0</v>
      </c>
      <c r="DU24" s="62">
        <v>0.0</v>
      </c>
      <c r="DV24" s="62">
        <v>0.0</v>
      </c>
      <c r="DW24" s="62">
        <v>0.0</v>
      </c>
      <c r="DX24" s="62">
        <v>0.0</v>
      </c>
      <c r="DY24" s="62">
        <v>0.0</v>
      </c>
      <c r="DZ24" s="62">
        <v>0.0</v>
      </c>
      <c r="EA24" s="62">
        <v>0.0</v>
      </c>
      <c r="EB24" s="62">
        <v>0.0</v>
      </c>
      <c r="EC24" s="62">
        <v>0.0</v>
      </c>
      <c r="ED24" s="62">
        <v>0.0</v>
      </c>
      <c r="EE24" s="62">
        <v>0.0</v>
      </c>
      <c r="EF24" s="62">
        <v>0.0</v>
      </c>
      <c r="EG24" s="62">
        <v>0.0</v>
      </c>
      <c r="EH24" s="62">
        <v>0.0</v>
      </c>
      <c r="EI24" s="62">
        <v>702924.0</v>
      </c>
      <c r="EJ24" s="62">
        <v>107250.0</v>
      </c>
      <c r="EK24" s="62">
        <v>61002.0</v>
      </c>
      <c r="EL24" s="62">
        <v>20167.0</v>
      </c>
      <c r="EM24" s="62">
        <v>0.0</v>
      </c>
      <c r="EN24" s="62">
        <v>0.0</v>
      </c>
      <c r="EO24" s="62">
        <v>0.0</v>
      </c>
      <c r="EP24" s="62">
        <v>0.0</v>
      </c>
      <c r="EQ24" s="62">
        <v>0.0</v>
      </c>
      <c r="ER24" s="62">
        <v>0.0</v>
      </c>
      <c r="ES24" s="62">
        <v>0.0</v>
      </c>
      <c r="ET24" s="62">
        <v>0.0</v>
      </c>
      <c r="EU24" s="62">
        <v>0.0</v>
      </c>
      <c r="EV24" s="62">
        <v>0.0</v>
      </c>
      <c r="EW24" s="62">
        <v>0.0</v>
      </c>
      <c r="EX24" s="62">
        <v>0.0</v>
      </c>
      <c r="EY24" s="62">
        <v>0.0</v>
      </c>
      <c r="EZ24" s="62">
        <v>0.0</v>
      </c>
      <c r="FA24" s="62">
        <v>0.0</v>
      </c>
      <c r="FB24" s="62">
        <v>0.0</v>
      </c>
      <c r="FC24" s="62">
        <v>0.0</v>
      </c>
      <c r="FD24" s="62">
        <v>0.0</v>
      </c>
      <c r="FE24" s="62">
        <v>0.0</v>
      </c>
      <c r="FF24" s="62">
        <v>0.0</v>
      </c>
      <c r="FG24" s="62">
        <v>0.0</v>
      </c>
      <c r="FH24" s="62">
        <v>0.0</v>
      </c>
      <c r="FI24" s="62">
        <v>0.0</v>
      </c>
      <c r="FJ24" s="62">
        <v>596487.0</v>
      </c>
      <c r="FK24" s="62">
        <v>8601158.0</v>
      </c>
      <c r="FL24" s="62">
        <v>0.0</v>
      </c>
      <c r="FM24" s="62">
        <v>0.0</v>
      </c>
      <c r="FN24" s="62">
        <v>0.0</v>
      </c>
      <c r="FO24" s="62">
        <v>0.0</v>
      </c>
      <c r="FP24" s="62">
        <v>0.0</v>
      </c>
      <c r="FQ24" s="62">
        <v>0.0</v>
      </c>
      <c r="FR24" s="62">
        <v>0.0</v>
      </c>
      <c r="FS24" s="62">
        <v>0.0</v>
      </c>
      <c r="FT24" s="62">
        <v>0.0</v>
      </c>
      <c r="FU24" s="62">
        <v>0.0</v>
      </c>
      <c r="FV24" s="62">
        <v>0.0</v>
      </c>
      <c r="FW24" s="62">
        <v>45162.0</v>
      </c>
      <c r="FX24" s="62">
        <v>11599.0</v>
      </c>
      <c r="FY24" s="62">
        <v>570.0</v>
      </c>
      <c r="FZ24" s="62">
        <v>1568.0</v>
      </c>
      <c r="GA24" s="62">
        <v>24887.0</v>
      </c>
      <c r="GB24" s="62">
        <v>104794.0</v>
      </c>
      <c r="GC24" s="62">
        <v>313358.0</v>
      </c>
      <c r="GD24" s="62">
        <v>0.0</v>
      </c>
      <c r="GE24" s="62">
        <v>18591.0</v>
      </c>
      <c r="GF24" s="63">
        <v>3.4943447E7</v>
      </c>
      <c r="GG24" s="64">
        <v>1.5420234E7</v>
      </c>
      <c r="GH24" s="65">
        <v>0.0</v>
      </c>
      <c r="GI24" s="64">
        <v>0.0</v>
      </c>
      <c r="GJ24" s="64">
        <v>6760400.0</v>
      </c>
      <c r="GK24" s="64">
        <v>-1815784.0</v>
      </c>
      <c r="GL24" s="64">
        <v>6368132.0</v>
      </c>
      <c r="GM24" s="64">
        <v>0.0</v>
      </c>
      <c r="GN24" s="63">
        <v>2.6732982E7</v>
      </c>
      <c r="GO24" s="66">
        <v>6.1676429E7</v>
      </c>
      <c r="GP24" s="64">
        <v>90012.0</v>
      </c>
      <c r="GQ24" s="64">
        <v>0.0</v>
      </c>
      <c r="GR24" s="65">
        <v>0.0</v>
      </c>
      <c r="GS24" s="63">
        <v>90012.0</v>
      </c>
      <c r="GT24" s="67">
        <v>6043410.0</v>
      </c>
      <c r="GU24" s="67">
        <v>5937941.0</v>
      </c>
      <c r="GV24" s="67">
        <v>1014122.0</v>
      </c>
      <c r="GW24" s="63">
        <v>1.2995473E7</v>
      </c>
      <c r="GX24" s="63">
        <v>909359.0</v>
      </c>
      <c r="GY24" s="63">
        <v>4.7681585E7</v>
      </c>
      <c r="GZ24" s="66">
        <v>6.1676429E7</v>
      </c>
      <c r="HC24" s="107" t="s">
        <v>527</v>
      </c>
      <c r="HD24" s="115" t="s">
        <v>528</v>
      </c>
      <c r="HE24" s="109" t="s">
        <v>529</v>
      </c>
      <c r="HF24" s="113">
        <f>SUM(GZ136,GZ157,GZ141)</f>
        <v>1112668115</v>
      </c>
      <c r="HH24" s="106"/>
    </row>
    <row r="25" ht="15.75" customHeight="1">
      <c r="A25" s="68">
        <v>20.0</v>
      </c>
      <c r="B25" s="111" t="s">
        <v>290</v>
      </c>
      <c r="C25" s="70">
        <v>0.0</v>
      </c>
      <c r="D25" s="70">
        <v>0.0</v>
      </c>
      <c r="E25" s="70">
        <v>0.0</v>
      </c>
      <c r="F25" s="70">
        <v>0.0</v>
      </c>
      <c r="G25" s="70">
        <v>0.0</v>
      </c>
      <c r="H25" s="70">
        <v>0.0</v>
      </c>
      <c r="I25" s="70">
        <v>0.0</v>
      </c>
      <c r="J25" s="70">
        <v>0.0</v>
      </c>
      <c r="K25" s="70">
        <v>0.0</v>
      </c>
      <c r="L25" s="70">
        <v>0.0</v>
      </c>
      <c r="M25" s="70">
        <v>0.0</v>
      </c>
      <c r="N25" s="70">
        <v>0.0</v>
      </c>
      <c r="O25" s="70">
        <v>0.0</v>
      </c>
      <c r="P25" s="70">
        <v>0.0</v>
      </c>
      <c r="Q25" s="70">
        <v>0.0</v>
      </c>
      <c r="R25" s="70">
        <v>0.0</v>
      </c>
      <c r="S25" s="70">
        <v>0.0</v>
      </c>
      <c r="T25" s="70">
        <v>0.0</v>
      </c>
      <c r="U25" s="70">
        <v>0.0</v>
      </c>
      <c r="V25" s="70">
        <v>5.0836602E7</v>
      </c>
      <c r="W25" s="70">
        <v>0.0</v>
      </c>
      <c r="X25" s="70">
        <v>0.0</v>
      </c>
      <c r="Y25" s="70">
        <v>0.0</v>
      </c>
      <c r="Z25" s="70">
        <v>0.0</v>
      </c>
      <c r="AA25" s="70">
        <v>0.0</v>
      </c>
      <c r="AB25" s="70">
        <v>0.0</v>
      </c>
      <c r="AC25" s="70">
        <v>0.0</v>
      </c>
      <c r="AD25" s="70">
        <v>0.0</v>
      </c>
      <c r="AE25" s="70">
        <v>0.0</v>
      </c>
      <c r="AF25" s="70">
        <v>0.0</v>
      </c>
      <c r="AG25" s="70">
        <v>0.0</v>
      </c>
      <c r="AH25" s="70">
        <v>0.0</v>
      </c>
      <c r="AI25" s="70">
        <v>0.0</v>
      </c>
      <c r="AJ25" s="70">
        <v>0.0</v>
      </c>
      <c r="AK25" s="70">
        <v>0.0</v>
      </c>
      <c r="AL25" s="70">
        <v>0.0</v>
      </c>
      <c r="AM25" s="70">
        <v>0.0</v>
      </c>
      <c r="AN25" s="70">
        <v>0.0</v>
      </c>
      <c r="AO25" s="70">
        <v>0.0</v>
      </c>
      <c r="AP25" s="70">
        <v>0.0</v>
      </c>
      <c r="AQ25" s="70">
        <v>0.0</v>
      </c>
      <c r="AR25" s="70">
        <v>0.0</v>
      </c>
      <c r="AS25" s="70">
        <v>0.0</v>
      </c>
      <c r="AT25" s="70">
        <v>0.0</v>
      </c>
      <c r="AU25" s="70">
        <v>0.0</v>
      </c>
      <c r="AV25" s="70">
        <v>0.0</v>
      </c>
      <c r="AW25" s="70">
        <v>0.0</v>
      </c>
      <c r="AX25" s="70">
        <v>0.0</v>
      </c>
      <c r="AY25" s="70">
        <v>0.0</v>
      </c>
      <c r="AZ25" s="70">
        <v>0.0</v>
      </c>
      <c r="BA25" s="70">
        <v>0.0</v>
      </c>
      <c r="BB25" s="70">
        <v>0.0</v>
      </c>
      <c r="BC25" s="70">
        <v>0.0</v>
      </c>
      <c r="BD25" s="70">
        <v>0.0</v>
      </c>
      <c r="BE25" s="70">
        <v>0.0</v>
      </c>
      <c r="BF25" s="70">
        <v>0.0</v>
      </c>
      <c r="BG25" s="70">
        <v>0.0</v>
      </c>
      <c r="BH25" s="70">
        <v>2.77228887E8</v>
      </c>
      <c r="BI25" s="70">
        <v>0.0</v>
      </c>
      <c r="BJ25" s="70">
        <v>0.0</v>
      </c>
      <c r="BK25" s="70">
        <v>0.0</v>
      </c>
      <c r="BL25" s="70">
        <v>0.0</v>
      </c>
      <c r="BM25" s="70">
        <v>0.0</v>
      </c>
      <c r="BN25" s="70">
        <v>0.0</v>
      </c>
      <c r="BO25" s="70">
        <v>0.0</v>
      </c>
      <c r="BP25" s="70">
        <v>0.0</v>
      </c>
      <c r="BQ25" s="70">
        <v>0.0</v>
      </c>
      <c r="BR25" s="70">
        <v>0.0</v>
      </c>
      <c r="BS25" s="70">
        <v>0.0</v>
      </c>
      <c r="BT25" s="70">
        <v>0.0</v>
      </c>
      <c r="BU25" s="70">
        <v>0.0</v>
      </c>
      <c r="BV25" s="70">
        <v>0.0</v>
      </c>
      <c r="BW25" s="70">
        <v>0.0</v>
      </c>
      <c r="BX25" s="70">
        <v>0.0</v>
      </c>
      <c r="BY25" s="70">
        <v>0.0</v>
      </c>
      <c r="BZ25" s="70">
        <v>0.0</v>
      </c>
      <c r="CA25" s="70">
        <v>0.0</v>
      </c>
      <c r="CB25" s="70">
        <v>0.0</v>
      </c>
      <c r="CC25" s="70">
        <v>0.0</v>
      </c>
      <c r="CD25" s="70">
        <v>0.0</v>
      </c>
      <c r="CE25" s="70">
        <v>0.0</v>
      </c>
      <c r="CF25" s="70">
        <v>0.0</v>
      </c>
      <c r="CG25" s="70">
        <v>0.0</v>
      </c>
      <c r="CH25" s="70">
        <v>0.0</v>
      </c>
      <c r="CI25" s="70">
        <v>0.0</v>
      </c>
      <c r="CJ25" s="70">
        <v>0.0</v>
      </c>
      <c r="CK25" s="70">
        <v>0.0</v>
      </c>
      <c r="CL25" s="70">
        <v>0.0</v>
      </c>
      <c r="CM25" s="70">
        <v>0.0</v>
      </c>
      <c r="CN25" s="70">
        <v>0.0</v>
      </c>
      <c r="CO25" s="70">
        <v>0.0</v>
      </c>
      <c r="CP25" s="70">
        <v>0.0</v>
      </c>
      <c r="CQ25" s="70">
        <v>0.0</v>
      </c>
      <c r="CR25" s="70">
        <v>0.0</v>
      </c>
      <c r="CS25" s="70">
        <v>0.0</v>
      </c>
      <c r="CT25" s="70">
        <v>0.0</v>
      </c>
      <c r="CU25" s="70">
        <v>0.0</v>
      </c>
      <c r="CV25" s="70">
        <v>0.0</v>
      </c>
      <c r="CW25" s="70">
        <v>0.0</v>
      </c>
      <c r="CX25" s="70">
        <v>0.0</v>
      </c>
      <c r="CY25" s="70">
        <v>0.0</v>
      </c>
      <c r="CZ25" s="70">
        <v>0.0</v>
      </c>
      <c r="DA25" s="70">
        <v>0.0</v>
      </c>
      <c r="DB25" s="70">
        <v>0.0</v>
      </c>
      <c r="DC25" s="70">
        <v>0.0</v>
      </c>
      <c r="DD25" s="70">
        <v>0.0</v>
      </c>
      <c r="DE25" s="70">
        <v>0.0</v>
      </c>
      <c r="DF25" s="70">
        <v>0.0</v>
      </c>
      <c r="DG25" s="70">
        <v>0.0</v>
      </c>
      <c r="DH25" s="70">
        <v>0.0</v>
      </c>
      <c r="DI25" s="70">
        <v>0.0</v>
      </c>
      <c r="DJ25" s="70">
        <v>0.0</v>
      </c>
      <c r="DK25" s="70">
        <v>0.0</v>
      </c>
      <c r="DL25" s="70">
        <v>0.0</v>
      </c>
      <c r="DM25" s="70">
        <v>0.0</v>
      </c>
      <c r="DN25" s="70">
        <v>0.0</v>
      </c>
      <c r="DO25" s="70">
        <v>0.0</v>
      </c>
      <c r="DP25" s="70">
        <v>0.0</v>
      </c>
      <c r="DQ25" s="70">
        <v>0.0</v>
      </c>
      <c r="DR25" s="70">
        <v>0.0</v>
      </c>
      <c r="DS25" s="70">
        <v>0.0</v>
      </c>
      <c r="DT25" s="70">
        <v>0.0</v>
      </c>
      <c r="DU25" s="70">
        <v>0.0</v>
      </c>
      <c r="DV25" s="70">
        <v>0.0</v>
      </c>
      <c r="DW25" s="70">
        <v>0.0</v>
      </c>
      <c r="DX25" s="70">
        <v>0.0</v>
      </c>
      <c r="DY25" s="70">
        <v>0.0</v>
      </c>
      <c r="DZ25" s="70">
        <v>0.0</v>
      </c>
      <c r="EA25" s="70">
        <v>0.0</v>
      </c>
      <c r="EB25" s="70">
        <v>0.0</v>
      </c>
      <c r="EC25" s="70">
        <v>0.0</v>
      </c>
      <c r="ED25" s="70">
        <v>0.0</v>
      </c>
      <c r="EE25" s="70">
        <v>0.0</v>
      </c>
      <c r="EF25" s="70">
        <v>0.0</v>
      </c>
      <c r="EG25" s="70">
        <v>0.0</v>
      </c>
      <c r="EH25" s="70">
        <v>0.0</v>
      </c>
      <c r="EI25" s="70">
        <v>0.0</v>
      </c>
      <c r="EJ25" s="70">
        <v>0.0</v>
      </c>
      <c r="EK25" s="70">
        <v>0.0</v>
      </c>
      <c r="EL25" s="70">
        <v>0.0</v>
      </c>
      <c r="EM25" s="70">
        <v>0.0</v>
      </c>
      <c r="EN25" s="70">
        <v>0.0</v>
      </c>
      <c r="EO25" s="70">
        <v>0.0</v>
      </c>
      <c r="EP25" s="70">
        <v>0.0</v>
      </c>
      <c r="EQ25" s="70">
        <v>0.0</v>
      </c>
      <c r="ER25" s="70">
        <v>0.0</v>
      </c>
      <c r="ES25" s="70">
        <v>0.0</v>
      </c>
      <c r="ET25" s="70">
        <v>0.0</v>
      </c>
      <c r="EU25" s="70">
        <v>0.0</v>
      </c>
      <c r="EV25" s="70">
        <v>0.0</v>
      </c>
      <c r="EW25" s="70">
        <v>0.0</v>
      </c>
      <c r="EX25" s="70">
        <v>0.0</v>
      </c>
      <c r="EY25" s="70">
        <v>0.0</v>
      </c>
      <c r="EZ25" s="70">
        <v>0.0</v>
      </c>
      <c r="FA25" s="70">
        <v>0.0</v>
      </c>
      <c r="FB25" s="70">
        <v>0.0</v>
      </c>
      <c r="FC25" s="70">
        <v>0.0</v>
      </c>
      <c r="FD25" s="70">
        <v>0.0</v>
      </c>
      <c r="FE25" s="70">
        <v>0.0</v>
      </c>
      <c r="FF25" s="70">
        <v>0.0</v>
      </c>
      <c r="FG25" s="70">
        <v>0.0</v>
      </c>
      <c r="FH25" s="70">
        <v>0.0</v>
      </c>
      <c r="FI25" s="70">
        <v>0.0</v>
      </c>
      <c r="FJ25" s="70">
        <v>0.0</v>
      </c>
      <c r="FK25" s="70">
        <v>0.0</v>
      </c>
      <c r="FL25" s="70">
        <v>0.0</v>
      </c>
      <c r="FM25" s="70">
        <v>0.0</v>
      </c>
      <c r="FN25" s="70">
        <v>0.0</v>
      </c>
      <c r="FO25" s="70">
        <v>0.0</v>
      </c>
      <c r="FP25" s="70">
        <v>0.0</v>
      </c>
      <c r="FQ25" s="70">
        <v>0.0</v>
      </c>
      <c r="FR25" s="70">
        <v>0.0</v>
      </c>
      <c r="FS25" s="70">
        <v>0.0</v>
      </c>
      <c r="FT25" s="70">
        <v>0.0</v>
      </c>
      <c r="FU25" s="70">
        <v>0.0</v>
      </c>
      <c r="FV25" s="70">
        <v>0.0</v>
      </c>
      <c r="FW25" s="70">
        <v>0.0</v>
      </c>
      <c r="FX25" s="70">
        <v>0.0</v>
      </c>
      <c r="FY25" s="70">
        <v>0.0</v>
      </c>
      <c r="FZ25" s="70">
        <v>0.0</v>
      </c>
      <c r="GA25" s="70">
        <v>911.0</v>
      </c>
      <c r="GB25" s="70">
        <v>0.0</v>
      </c>
      <c r="GC25" s="70">
        <v>0.0</v>
      </c>
      <c r="GD25" s="70">
        <v>0.0</v>
      </c>
      <c r="GE25" s="70">
        <v>0.0</v>
      </c>
      <c r="GF25" s="71">
        <v>3.280664E8</v>
      </c>
      <c r="GG25" s="72">
        <v>0.0</v>
      </c>
      <c r="GH25" s="73">
        <v>0.0</v>
      </c>
      <c r="GI25" s="72">
        <v>0.0</v>
      </c>
      <c r="GJ25" s="72">
        <v>7.7436811E7</v>
      </c>
      <c r="GK25" s="72">
        <v>-1.3101061E7</v>
      </c>
      <c r="GL25" s="72">
        <v>168188.0</v>
      </c>
      <c r="GM25" s="72">
        <v>0.0</v>
      </c>
      <c r="GN25" s="71">
        <v>6.4503938E7</v>
      </c>
      <c r="GO25" s="74">
        <v>3.92570338E8</v>
      </c>
      <c r="GP25" s="72">
        <v>311.0</v>
      </c>
      <c r="GQ25" s="72">
        <v>0.0</v>
      </c>
      <c r="GR25" s="73">
        <v>0.0</v>
      </c>
      <c r="GS25" s="71">
        <v>311.0</v>
      </c>
      <c r="GT25" s="75">
        <v>1.1617122E7</v>
      </c>
      <c r="GU25" s="75">
        <v>0.0</v>
      </c>
      <c r="GV25" s="75">
        <v>530392.0</v>
      </c>
      <c r="GW25" s="71">
        <v>1.2147514E7</v>
      </c>
      <c r="GX25" s="71">
        <v>3152500.0</v>
      </c>
      <c r="GY25" s="71">
        <v>3.77270013E8</v>
      </c>
      <c r="GZ25" s="74">
        <v>3.92570338E8</v>
      </c>
      <c r="HC25" s="107" t="s">
        <v>530</v>
      </c>
      <c r="HD25" s="114" t="s">
        <v>531</v>
      </c>
      <c r="HE25" s="109" t="s">
        <v>421</v>
      </c>
      <c r="HF25" s="110">
        <f>GZ156</f>
        <v>39433756</v>
      </c>
      <c r="HH25" s="106"/>
    </row>
    <row r="26" ht="15.75" customHeight="1">
      <c r="A26" s="52">
        <v>21.0</v>
      </c>
      <c r="B26" s="111" t="s">
        <v>291</v>
      </c>
      <c r="C26" s="54">
        <v>0.0</v>
      </c>
      <c r="D26" s="54">
        <v>0.0</v>
      </c>
      <c r="E26" s="54">
        <v>0.0</v>
      </c>
      <c r="F26" s="54">
        <v>0.0</v>
      </c>
      <c r="G26" s="54">
        <v>0.0</v>
      </c>
      <c r="H26" s="54">
        <v>0.0</v>
      </c>
      <c r="I26" s="54">
        <v>0.0</v>
      </c>
      <c r="J26" s="54">
        <v>0.0</v>
      </c>
      <c r="K26" s="54">
        <v>0.0</v>
      </c>
      <c r="L26" s="54">
        <v>0.0</v>
      </c>
      <c r="M26" s="54">
        <v>0.0</v>
      </c>
      <c r="N26" s="54">
        <v>0.0</v>
      </c>
      <c r="O26" s="54">
        <v>0.0</v>
      </c>
      <c r="P26" s="54">
        <v>0.0</v>
      </c>
      <c r="Q26" s="54">
        <v>0.0</v>
      </c>
      <c r="R26" s="54">
        <v>0.0</v>
      </c>
      <c r="S26" s="54">
        <v>0.0</v>
      </c>
      <c r="T26" s="54">
        <v>0.0</v>
      </c>
      <c r="U26" s="54">
        <v>0.0</v>
      </c>
      <c r="V26" s="54">
        <v>0.0</v>
      </c>
      <c r="W26" s="54">
        <v>5493241.0</v>
      </c>
      <c r="X26" s="54">
        <v>0.0</v>
      </c>
      <c r="Y26" s="54">
        <v>0.0</v>
      </c>
      <c r="Z26" s="54">
        <v>0.0</v>
      </c>
      <c r="AA26" s="54">
        <v>0.0</v>
      </c>
      <c r="AB26" s="54">
        <v>0.0</v>
      </c>
      <c r="AC26" s="54">
        <v>0.0</v>
      </c>
      <c r="AD26" s="54">
        <v>0.0</v>
      </c>
      <c r="AE26" s="54">
        <v>0.0</v>
      </c>
      <c r="AF26" s="54">
        <v>0.0</v>
      </c>
      <c r="AG26" s="54">
        <v>0.0</v>
      </c>
      <c r="AH26" s="54">
        <v>0.0</v>
      </c>
      <c r="AI26" s="54">
        <v>0.0</v>
      </c>
      <c r="AJ26" s="54">
        <v>0.0</v>
      </c>
      <c r="AK26" s="54">
        <v>0.0</v>
      </c>
      <c r="AL26" s="54">
        <v>0.0</v>
      </c>
      <c r="AM26" s="54">
        <v>0.0</v>
      </c>
      <c r="AN26" s="54">
        <v>0.0</v>
      </c>
      <c r="AO26" s="54">
        <v>0.0</v>
      </c>
      <c r="AP26" s="54">
        <v>0.0</v>
      </c>
      <c r="AQ26" s="54">
        <v>0.0</v>
      </c>
      <c r="AR26" s="54">
        <v>0.0</v>
      </c>
      <c r="AS26" s="54">
        <v>0.0</v>
      </c>
      <c r="AT26" s="54">
        <v>0.0</v>
      </c>
      <c r="AU26" s="54">
        <v>0.0</v>
      </c>
      <c r="AV26" s="54">
        <v>0.0</v>
      </c>
      <c r="AW26" s="54">
        <v>0.0</v>
      </c>
      <c r="AX26" s="54">
        <v>0.0</v>
      </c>
      <c r="AY26" s="54">
        <v>0.0</v>
      </c>
      <c r="AZ26" s="54">
        <v>0.0</v>
      </c>
      <c r="BA26" s="54">
        <v>0.0</v>
      </c>
      <c r="BB26" s="54">
        <v>0.0</v>
      </c>
      <c r="BC26" s="54">
        <v>0.0</v>
      </c>
      <c r="BD26" s="54">
        <v>0.0</v>
      </c>
      <c r="BE26" s="54">
        <v>0.0</v>
      </c>
      <c r="BF26" s="54">
        <v>0.0</v>
      </c>
      <c r="BG26" s="54">
        <v>0.0</v>
      </c>
      <c r="BH26" s="54">
        <v>0.0</v>
      </c>
      <c r="BI26" s="54">
        <v>0.0</v>
      </c>
      <c r="BJ26" s="54">
        <v>1833556.0</v>
      </c>
      <c r="BK26" s="54">
        <v>0.0</v>
      </c>
      <c r="BL26" s="54">
        <v>0.0</v>
      </c>
      <c r="BM26" s="54">
        <v>0.0</v>
      </c>
      <c r="BN26" s="54">
        <v>0.0</v>
      </c>
      <c r="BO26" s="54">
        <v>0.0</v>
      </c>
      <c r="BP26" s="54">
        <v>25424.0</v>
      </c>
      <c r="BQ26" s="54">
        <v>0.0</v>
      </c>
      <c r="BR26" s="54">
        <v>2.6741526E7</v>
      </c>
      <c r="BS26" s="54">
        <v>1949.0</v>
      </c>
      <c r="BT26" s="54">
        <v>0.0</v>
      </c>
      <c r="BU26" s="54">
        <v>0.0</v>
      </c>
      <c r="BV26" s="54">
        <v>0.0</v>
      </c>
      <c r="BW26" s="54">
        <v>7522.0</v>
      </c>
      <c r="BX26" s="54">
        <v>2523667.0</v>
      </c>
      <c r="BY26" s="54">
        <v>0.0</v>
      </c>
      <c r="BZ26" s="54">
        <v>0.0</v>
      </c>
      <c r="CA26" s="54">
        <v>0.0</v>
      </c>
      <c r="CB26" s="54">
        <v>0.0</v>
      </c>
      <c r="CC26" s="54">
        <v>0.0</v>
      </c>
      <c r="CD26" s="54">
        <v>0.0</v>
      </c>
      <c r="CE26" s="54">
        <v>0.0</v>
      </c>
      <c r="CF26" s="54">
        <v>0.0</v>
      </c>
      <c r="CG26" s="54">
        <v>0.0</v>
      </c>
      <c r="CH26" s="54">
        <v>0.0</v>
      </c>
      <c r="CI26" s="54">
        <v>0.0</v>
      </c>
      <c r="CJ26" s="54">
        <v>0.0</v>
      </c>
      <c r="CK26" s="54">
        <v>0.0</v>
      </c>
      <c r="CL26" s="54">
        <v>0.0</v>
      </c>
      <c r="CM26" s="54">
        <v>0.0</v>
      </c>
      <c r="CN26" s="54">
        <v>0.0</v>
      </c>
      <c r="CO26" s="54">
        <v>0.0</v>
      </c>
      <c r="CP26" s="54">
        <v>0.0</v>
      </c>
      <c r="CQ26" s="54">
        <v>0.0</v>
      </c>
      <c r="CR26" s="54">
        <v>0.0</v>
      </c>
      <c r="CS26" s="54">
        <v>0.0</v>
      </c>
      <c r="CT26" s="54">
        <v>0.0</v>
      </c>
      <c r="CU26" s="54">
        <v>0.0</v>
      </c>
      <c r="CV26" s="54">
        <v>0.0</v>
      </c>
      <c r="CW26" s="54">
        <v>0.0</v>
      </c>
      <c r="CX26" s="54">
        <v>0.0</v>
      </c>
      <c r="CY26" s="54">
        <v>0.0</v>
      </c>
      <c r="CZ26" s="54">
        <v>0.0</v>
      </c>
      <c r="DA26" s="54">
        <v>0.0</v>
      </c>
      <c r="DB26" s="54">
        <v>0.0</v>
      </c>
      <c r="DC26" s="54">
        <v>21580.0</v>
      </c>
      <c r="DD26" s="54">
        <v>45397.0</v>
      </c>
      <c r="DE26" s="54">
        <v>0.0</v>
      </c>
      <c r="DF26" s="54">
        <v>0.0</v>
      </c>
      <c r="DG26" s="54">
        <v>0.0</v>
      </c>
      <c r="DH26" s="54">
        <v>0.0</v>
      </c>
      <c r="DI26" s="54">
        <v>0.0</v>
      </c>
      <c r="DJ26" s="54">
        <v>0.0</v>
      </c>
      <c r="DK26" s="54">
        <v>0.0</v>
      </c>
      <c r="DL26" s="54">
        <v>0.0</v>
      </c>
      <c r="DM26" s="54">
        <v>0.0</v>
      </c>
      <c r="DN26" s="54">
        <v>0.0</v>
      </c>
      <c r="DO26" s="54">
        <v>0.0</v>
      </c>
      <c r="DP26" s="54">
        <v>0.0</v>
      </c>
      <c r="DQ26" s="54">
        <v>0.0</v>
      </c>
      <c r="DR26" s="54">
        <v>0.0</v>
      </c>
      <c r="DS26" s="54">
        <v>0.0</v>
      </c>
      <c r="DT26" s="54">
        <v>0.0</v>
      </c>
      <c r="DU26" s="54">
        <v>0.0</v>
      </c>
      <c r="DV26" s="54">
        <v>0.0</v>
      </c>
      <c r="DW26" s="54">
        <v>0.0</v>
      </c>
      <c r="DX26" s="54">
        <v>0.0</v>
      </c>
      <c r="DY26" s="54">
        <v>0.0</v>
      </c>
      <c r="DZ26" s="54">
        <v>0.0</v>
      </c>
      <c r="EA26" s="54">
        <v>0.0</v>
      </c>
      <c r="EB26" s="54">
        <v>0.0</v>
      </c>
      <c r="EC26" s="54">
        <v>0.0</v>
      </c>
      <c r="ED26" s="54">
        <v>0.0</v>
      </c>
      <c r="EE26" s="54">
        <v>0.0</v>
      </c>
      <c r="EF26" s="54">
        <v>0.0</v>
      </c>
      <c r="EG26" s="54">
        <v>0.0</v>
      </c>
      <c r="EH26" s="54">
        <v>0.0</v>
      </c>
      <c r="EI26" s="54">
        <v>0.0</v>
      </c>
      <c r="EJ26" s="54">
        <v>0.0</v>
      </c>
      <c r="EK26" s="54">
        <v>0.0</v>
      </c>
      <c r="EL26" s="54">
        <v>0.0</v>
      </c>
      <c r="EM26" s="54">
        <v>0.0</v>
      </c>
      <c r="EN26" s="54">
        <v>0.0</v>
      </c>
      <c r="EO26" s="54">
        <v>0.0</v>
      </c>
      <c r="EP26" s="54">
        <v>0.0</v>
      </c>
      <c r="EQ26" s="54">
        <v>0.0</v>
      </c>
      <c r="ER26" s="54">
        <v>0.0</v>
      </c>
      <c r="ES26" s="54">
        <v>0.0</v>
      </c>
      <c r="ET26" s="54">
        <v>0.0</v>
      </c>
      <c r="EU26" s="54">
        <v>0.0</v>
      </c>
      <c r="EV26" s="54">
        <v>0.0</v>
      </c>
      <c r="EW26" s="54">
        <v>0.0</v>
      </c>
      <c r="EX26" s="54">
        <v>0.0</v>
      </c>
      <c r="EY26" s="54">
        <v>0.0</v>
      </c>
      <c r="EZ26" s="54">
        <v>0.0</v>
      </c>
      <c r="FA26" s="54">
        <v>0.0</v>
      </c>
      <c r="FB26" s="54">
        <v>0.0</v>
      </c>
      <c r="FC26" s="54">
        <v>0.0</v>
      </c>
      <c r="FD26" s="54">
        <v>0.0</v>
      </c>
      <c r="FE26" s="54">
        <v>0.0</v>
      </c>
      <c r="FF26" s="54">
        <v>0.0</v>
      </c>
      <c r="FG26" s="54">
        <v>0.0</v>
      </c>
      <c r="FH26" s="54">
        <v>0.0</v>
      </c>
      <c r="FI26" s="54">
        <v>0.0</v>
      </c>
      <c r="FJ26" s="54">
        <v>209673.0</v>
      </c>
      <c r="FK26" s="54">
        <v>5378763.0</v>
      </c>
      <c r="FL26" s="54">
        <v>0.0</v>
      </c>
      <c r="FM26" s="54">
        <v>0.0</v>
      </c>
      <c r="FN26" s="54">
        <v>0.0</v>
      </c>
      <c r="FO26" s="54">
        <v>0.0</v>
      </c>
      <c r="FP26" s="54">
        <v>0.0</v>
      </c>
      <c r="FQ26" s="54">
        <v>0.0</v>
      </c>
      <c r="FR26" s="54">
        <v>0.0</v>
      </c>
      <c r="FS26" s="54">
        <v>0.0</v>
      </c>
      <c r="FT26" s="54">
        <v>0.0</v>
      </c>
      <c r="FU26" s="54">
        <v>0.0</v>
      </c>
      <c r="FV26" s="54">
        <v>0.0</v>
      </c>
      <c r="FW26" s="54">
        <v>0.0</v>
      </c>
      <c r="FX26" s="54">
        <v>5268.0</v>
      </c>
      <c r="FY26" s="54">
        <v>0.0</v>
      </c>
      <c r="FZ26" s="54">
        <v>0.0</v>
      </c>
      <c r="GA26" s="54">
        <v>153.0</v>
      </c>
      <c r="GB26" s="54">
        <v>0.0</v>
      </c>
      <c r="GC26" s="54">
        <v>0.0</v>
      </c>
      <c r="GD26" s="54">
        <v>0.0</v>
      </c>
      <c r="GE26" s="54">
        <v>0.0</v>
      </c>
      <c r="GF26" s="55">
        <v>4.2287719E7</v>
      </c>
      <c r="GG26" s="56">
        <v>0.0</v>
      </c>
      <c r="GH26" s="57">
        <v>0.0</v>
      </c>
      <c r="GI26" s="56">
        <v>0.0</v>
      </c>
      <c r="GJ26" s="56">
        <v>4915576.0</v>
      </c>
      <c r="GK26" s="56">
        <v>9553667.0</v>
      </c>
      <c r="GL26" s="56">
        <v>1.1784542E7</v>
      </c>
      <c r="GM26" s="56">
        <v>0.0</v>
      </c>
      <c r="GN26" s="55">
        <v>2.6253785E7</v>
      </c>
      <c r="GO26" s="58">
        <v>6.8541504E7</v>
      </c>
      <c r="GP26" s="56">
        <v>485504.0</v>
      </c>
      <c r="GQ26" s="56">
        <v>0.0</v>
      </c>
      <c r="GR26" s="57">
        <v>0.0</v>
      </c>
      <c r="GS26" s="55">
        <v>485504.0</v>
      </c>
      <c r="GT26" s="59">
        <v>9662297.0</v>
      </c>
      <c r="GU26" s="59">
        <v>5852815.0</v>
      </c>
      <c r="GV26" s="59">
        <v>1726902.0</v>
      </c>
      <c r="GW26" s="55">
        <v>1.7242014E7</v>
      </c>
      <c r="GX26" s="55">
        <v>249499.0</v>
      </c>
      <c r="GY26" s="55">
        <v>5.0564487E7</v>
      </c>
      <c r="GZ26" s="58">
        <v>6.8541504E7</v>
      </c>
      <c r="HC26" s="107" t="s">
        <v>532</v>
      </c>
      <c r="HD26" s="114" t="s">
        <v>533</v>
      </c>
      <c r="HE26" s="109" t="s">
        <v>534</v>
      </c>
      <c r="HF26" s="113">
        <f>SUM(GZ58:GZ64,GZ66:GZ77,GZ148)</f>
        <v>3058409825</v>
      </c>
      <c r="HH26" s="106"/>
    </row>
    <row r="27" ht="15.75" customHeight="1">
      <c r="A27" s="60">
        <v>22.0</v>
      </c>
      <c r="B27" s="111" t="s">
        <v>292</v>
      </c>
      <c r="C27" s="62">
        <v>0.0</v>
      </c>
      <c r="D27" s="62">
        <v>0.0</v>
      </c>
      <c r="E27" s="62">
        <v>0.0</v>
      </c>
      <c r="F27" s="62">
        <v>0.0</v>
      </c>
      <c r="G27" s="62">
        <v>0.0</v>
      </c>
      <c r="H27" s="62">
        <v>0.0</v>
      </c>
      <c r="I27" s="62">
        <v>0.0</v>
      </c>
      <c r="J27" s="62">
        <v>0.0</v>
      </c>
      <c r="K27" s="62">
        <v>0.0</v>
      </c>
      <c r="L27" s="62">
        <v>0.0</v>
      </c>
      <c r="M27" s="62">
        <v>0.0</v>
      </c>
      <c r="N27" s="62">
        <v>0.0</v>
      </c>
      <c r="O27" s="62">
        <v>0.0</v>
      </c>
      <c r="P27" s="62">
        <v>0.0</v>
      </c>
      <c r="Q27" s="62">
        <v>0.0</v>
      </c>
      <c r="R27" s="62">
        <v>0.0</v>
      </c>
      <c r="S27" s="62">
        <v>0.0</v>
      </c>
      <c r="T27" s="62">
        <v>0.0</v>
      </c>
      <c r="U27" s="62">
        <v>0.0</v>
      </c>
      <c r="V27" s="62">
        <v>0.0</v>
      </c>
      <c r="W27" s="62">
        <v>0.0</v>
      </c>
      <c r="X27" s="62">
        <v>46634.0</v>
      </c>
      <c r="Y27" s="62">
        <v>0.0</v>
      </c>
      <c r="Z27" s="62">
        <v>0.0</v>
      </c>
      <c r="AA27" s="62">
        <v>0.0</v>
      </c>
      <c r="AB27" s="62">
        <v>0.0</v>
      </c>
      <c r="AC27" s="62">
        <v>0.0</v>
      </c>
      <c r="AD27" s="62">
        <v>0.0</v>
      </c>
      <c r="AE27" s="62">
        <v>0.0</v>
      </c>
      <c r="AF27" s="62">
        <v>0.0</v>
      </c>
      <c r="AG27" s="62">
        <v>0.0</v>
      </c>
      <c r="AH27" s="62">
        <v>0.0</v>
      </c>
      <c r="AI27" s="62">
        <v>0.0</v>
      </c>
      <c r="AJ27" s="62">
        <v>0.0</v>
      </c>
      <c r="AK27" s="62">
        <v>0.0</v>
      </c>
      <c r="AL27" s="62">
        <v>0.0</v>
      </c>
      <c r="AM27" s="62">
        <v>0.0</v>
      </c>
      <c r="AN27" s="62">
        <v>0.0</v>
      </c>
      <c r="AO27" s="62">
        <v>0.0</v>
      </c>
      <c r="AP27" s="62">
        <v>0.0</v>
      </c>
      <c r="AQ27" s="62">
        <v>0.0</v>
      </c>
      <c r="AR27" s="62">
        <v>0.0</v>
      </c>
      <c r="AS27" s="62">
        <v>0.0</v>
      </c>
      <c r="AT27" s="62">
        <v>0.0</v>
      </c>
      <c r="AU27" s="62">
        <v>0.0</v>
      </c>
      <c r="AV27" s="62">
        <v>0.0</v>
      </c>
      <c r="AW27" s="62">
        <v>0.0</v>
      </c>
      <c r="AX27" s="62">
        <v>0.0</v>
      </c>
      <c r="AY27" s="62">
        <v>0.0</v>
      </c>
      <c r="AZ27" s="62">
        <v>0.0</v>
      </c>
      <c r="BA27" s="62">
        <v>0.0</v>
      </c>
      <c r="BB27" s="62">
        <v>0.0</v>
      </c>
      <c r="BC27" s="62">
        <v>0.0</v>
      </c>
      <c r="BD27" s="62">
        <v>0.0</v>
      </c>
      <c r="BE27" s="62">
        <v>0.0</v>
      </c>
      <c r="BF27" s="62">
        <v>0.0</v>
      </c>
      <c r="BG27" s="62">
        <v>0.0</v>
      </c>
      <c r="BH27" s="62">
        <v>0.0</v>
      </c>
      <c r="BI27" s="62">
        <v>0.0</v>
      </c>
      <c r="BJ27" s="62">
        <v>53106.0</v>
      </c>
      <c r="BK27" s="62">
        <v>0.0</v>
      </c>
      <c r="BL27" s="62">
        <v>0.0</v>
      </c>
      <c r="BM27" s="62">
        <v>0.0</v>
      </c>
      <c r="BN27" s="62">
        <v>0.0</v>
      </c>
      <c r="BO27" s="62">
        <v>0.0</v>
      </c>
      <c r="BP27" s="62">
        <v>332.0</v>
      </c>
      <c r="BQ27" s="62">
        <v>0.0</v>
      </c>
      <c r="BR27" s="62">
        <v>0.0</v>
      </c>
      <c r="BS27" s="62">
        <v>8375762.0</v>
      </c>
      <c r="BT27" s="62">
        <v>0.0</v>
      </c>
      <c r="BU27" s="62">
        <v>0.0</v>
      </c>
      <c r="BV27" s="62">
        <v>0.0</v>
      </c>
      <c r="BW27" s="62">
        <v>185.0</v>
      </c>
      <c r="BX27" s="62">
        <v>41145.0</v>
      </c>
      <c r="BY27" s="62">
        <v>0.0</v>
      </c>
      <c r="BZ27" s="62">
        <v>0.0</v>
      </c>
      <c r="CA27" s="62">
        <v>0.0</v>
      </c>
      <c r="CB27" s="62">
        <v>0.0</v>
      </c>
      <c r="CC27" s="62">
        <v>0.0</v>
      </c>
      <c r="CD27" s="62">
        <v>0.0</v>
      </c>
      <c r="CE27" s="62">
        <v>0.0</v>
      </c>
      <c r="CF27" s="62">
        <v>0.0</v>
      </c>
      <c r="CG27" s="62">
        <v>0.0</v>
      </c>
      <c r="CH27" s="62">
        <v>0.0</v>
      </c>
      <c r="CI27" s="62">
        <v>0.0</v>
      </c>
      <c r="CJ27" s="62">
        <v>0.0</v>
      </c>
      <c r="CK27" s="62">
        <v>0.0</v>
      </c>
      <c r="CL27" s="62">
        <v>0.0</v>
      </c>
      <c r="CM27" s="62">
        <v>0.0</v>
      </c>
      <c r="CN27" s="62">
        <v>0.0</v>
      </c>
      <c r="CO27" s="62">
        <v>0.0</v>
      </c>
      <c r="CP27" s="62">
        <v>0.0</v>
      </c>
      <c r="CQ27" s="62">
        <v>0.0</v>
      </c>
      <c r="CR27" s="62">
        <v>0.0</v>
      </c>
      <c r="CS27" s="62">
        <v>0.0</v>
      </c>
      <c r="CT27" s="62">
        <v>0.0</v>
      </c>
      <c r="CU27" s="62">
        <v>0.0</v>
      </c>
      <c r="CV27" s="62">
        <v>0.0</v>
      </c>
      <c r="CW27" s="62">
        <v>0.0</v>
      </c>
      <c r="CX27" s="62">
        <v>0.0</v>
      </c>
      <c r="CY27" s="62">
        <v>0.0</v>
      </c>
      <c r="CZ27" s="62">
        <v>0.0</v>
      </c>
      <c r="DA27" s="62">
        <v>0.0</v>
      </c>
      <c r="DB27" s="62">
        <v>0.0</v>
      </c>
      <c r="DC27" s="62">
        <v>128.0</v>
      </c>
      <c r="DD27" s="62">
        <v>255.0</v>
      </c>
      <c r="DE27" s="62">
        <v>0.0</v>
      </c>
      <c r="DF27" s="62">
        <v>0.0</v>
      </c>
      <c r="DG27" s="62">
        <v>0.0</v>
      </c>
      <c r="DH27" s="62">
        <v>0.0</v>
      </c>
      <c r="DI27" s="62">
        <v>0.0</v>
      </c>
      <c r="DJ27" s="62">
        <v>0.0</v>
      </c>
      <c r="DK27" s="62">
        <v>0.0</v>
      </c>
      <c r="DL27" s="62">
        <v>0.0</v>
      </c>
      <c r="DM27" s="62">
        <v>0.0</v>
      </c>
      <c r="DN27" s="62">
        <v>0.0</v>
      </c>
      <c r="DO27" s="62">
        <v>0.0</v>
      </c>
      <c r="DP27" s="62">
        <v>0.0</v>
      </c>
      <c r="DQ27" s="62">
        <v>0.0</v>
      </c>
      <c r="DR27" s="62">
        <v>0.0</v>
      </c>
      <c r="DS27" s="62">
        <v>0.0</v>
      </c>
      <c r="DT27" s="62">
        <v>0.0</v>
      </c>
      <c r="DU27" s="62">
        <v>0.0</v>
      </c>
      <c r="DV27" s="62">
        <v>0.0</v>
      </c>
      <c r="DW27" s="62">
        <v>0.0</v>
      </c>
      <c r="DX27" s="62">
        <v>0.0</v>
      </c>
      <c r="DY27" s="62">
        <v>0.0</v>
      </c>
      <c r="DZ27" s="62">
        <v>0.0</v>
      </c>
      <c r="EA27" s="62">
        <v>0.0</v>
      </c>
      <c r="EB27" s="62">
        <v>0.0</v>
      </c>
      <c r="EC27" s="62">
        <v>0.0</v>
      </c>
      <c r="ED27" s="62">
        <v>0.0</v>
      </c>
      <c r="EE27" s="62">
        <v>0.0</v>
      </c>
      <c r="EF27" s="62">
        <v>0.0</v>
      </c>
      <c r="EG27" s="62">
        <v>0.0</v>
      </c>
      <c r="EH27" s="62">
        <v>0.0</v>
      </c>
      <c r="EI27" s="62">
        <v>0.0</v>
      </c>
      <c r="EJ27" s="62">
        <v>0.0</v>
      </c>
      <c r="EK27" s="62">
        <v>0.0</v>
      </c>
      <c r="EL27" s="62">
        <v>0.0</v>
      </c>
      <c r="EM27" s="62">
        <v>0.0</v>
      </c>
      <c r="EN27" s="62">
        <v>0.0</v>
      </c>
      <c r="EO27" s="62">
        <v>0.0</v>
      </c>
      <c r="EP27" s="62">
        <v>0.0</v>
      </c>
      <c r="EQ27" s="62">
        <v>0.0</v>
      </c>
      <c r="ER27" s="62">
        <v>0.0</v>
      </c>
      <c r="ES27" s="62">
        <v>0.0</v>
      </c>
      <c r="ET27" s="62">
        <v>0.0</v>
      </c>
      <c r="EU27" s="62">
        <v>0.0</v>
      </c>
      <c r="EV27" s="62">
        <v>0.0</v>
      </c>
      <c r="EW27" s="62">
        <v>0.0</v>
      </c>
      <c r="EX27" s="62">
        <v>0.0</v>
      </c>
      <c r="EY27" s="62">
        <v>0.0</v>
      </c>
      <c r="EZ27" s="62">
        <v>0.0</v>
      </c>
      <c r="FA27" s="62">
        <v>0.0</v>
      </c>
      <c r="FB27" s="62">
        <v>0.0</v>
      </c>
      <c r="FC27" s="62">
        <v>0.0</v>
      </c>
      <c r="FD27" s="62">
        <v>0.0</v>
      </c>
      <c r="FE27" s="62">
        <v>0.0</v>
      </c>
      <c r="FF27" s="62">
        <v>0.0</v>
      </c>
      <c r="FG27" s="62">
        <v>0.0</v>
      </c>
      <c r="FH27" s="62">
        <v>0.0</v>
      </c>
      <c r="FI27" s="62">
        <v>0.0</v>
      </c>
      <c r="FJ27" s="62">
        <v>0.0</v>
      </c>
      <c r="FK27" s="62">
        <v>498.0</v>
      </c>
      <c r="FL27" s="62">
        <v>0.0</v>
      </c>
      <c r="FM27" s="62">
        <v>0.0</v>
      </c>
      <c r="FN27" s="62">
        <v>0.0</v>
      </c>
      <c r="FO27" s="62">
        <v>0.0</v>
      </c>
      <c r="FP27" s="62">
        <v>0.0</v>
      </c>
      <c r="FQ27" s="62">
        <v>0.0</v>
      </c>
      <c r="FR27" s="62">
        <v>0.0</v>
      </c>
      <c r="FS27" s="62">
        <v>0.0</v>
      </c>
      <c r="FT27" s="62">
        <v>0.0</v>
      </c>
      <c r="FU27" s="62">
        <v>0.0</v>
      </c>
      <c r="FV27" s="62">
        <v>0.0</v>
      </c>
      <c r="FW27" s="62">
        <v>0.0</v>
      </c>
      <c r="FX27" s="62">
        <v>0.0</v>
      </c>
      <c r="FY27" s="62">
        <v>0.0</v>
      </c>
      <c r="FZ27" s="62">
        <v>0.0</v>
      </c>
      <c r="GA27" s="62">
        <v>0.0</v>
      </c>
      <c r="GB27" s="62">
        <v>0.0</v>
      </c>
      <c r="GC27" s="62">
        <v>0.0</v>
      </c>
      <c r="GD27" s="62">
        <v>0.0</v>
      </c>
      <c r="GE27" s="62">
        <v>0.0</v>
      </c>
      <c r="GF27" s="63">
        <v>8518045.0</v>
      </c>
      <c r="GG27" s="64">
        <v>0.0</v>
      </c>
      <c r="GH27" s="65">
        <v>0.0</v>
      </c>
      <c r="GI27" s="64">
        <v>0.0</v>
      </c>
      <c r="GJ27" s="64">
        <v>159795.0</v>
      </c>
      <c r="GK27" s="64">
        <v>301611.0</v>
      </c>
      <c r="GL27" s="64">
        <v>250743.0</v>
      </c>
      <c r="GM27" s="64">
        <v>0.0</v>
      </c>
      <c r="GN27" s="63">
        <v>712149.0</v>
      </c>
      <c r="GO27" s="66">
        <v>9230194.0</v>
      </c>
      <c r="GP27" s="64">
        <v>114481.0</v>
      </c>
      <c r="GQ27" s="64">
        <v>0.0</v>
      </c>
      <c r="GR27" s="65">
        <v>0.0</v>
      </c>
      <c r="GS27" s="63">
        <v>114481.0</v>
      </c>
      <c r="GT27" s="67">
        <v>993655.0</v>
      </c>
      <c r="GU27" s="67">
        <v>878730.0</v>
      </c>
      <c r="GV27" s="67">
        <v>322971.0</v>
      </c>
      <c r="GW27" s="63">
        <v>2195356.0</v>
      </c>
      <c r="GX27" s="63">
        <v>17124.0</v>
      </c>
      <c r="GY27" s="63">
        <v>6903233.0</v>
      </c>
      <c r="GZ27" s="66">
        <v>9230194.0</v>
      </c>
      <c r="HC27" s="107" t="s">
        <v>20</v>
      </c>
      <c r="HD27" s="107" t="s">
        <v>535</v>
      </c>
      <c r="HE27" s="109" t="s">
        <v>536</v>
      </c>
      <c r="HF27" s="113">
        <f>SUM(GZ150,GZ128)</f>
        <v>726112809</v>
      </c>
      <c r="HH27" s="106"/>
    </row>
    <row r="28" ht="15.75" customHeight="1">
      <c r="A28" s="60">
        <v>23.0</v>
      </c>
      <c r="B28" s="111" t="s">
        <v>293</v>
      </c>
      <c r="C28" s="62">
        <v>0.0</v>
      </c>
      <c r="D28" s="62">
        <v>0.0</v>
      </c>
      <c r="E28" s="62">
        <v>0.0</v>
      </c>
      <c r="F28" s="62">
        <v>0.0</v>
      </c>
      <c r="G28" s="62">
        <v>0.0</v>
      </c>
      <c r="H28" s="62">
        <v>0.0</v>
      </c>
      <c r="I28" s="62">
        <v>0.0</v>
      </c>
      <c r="J28" s="62">
        <v>0.0</v>
      </c>
      <c r="K28" s="62">
        <v>0.0</v>
      </c>
      <c r="L28" s="62">
        <v>0.0</v>
      </c>
      <c r="M28" s="62">
        <v>0.0</v>
      </c>
      <c r="N28" s="62">
        <v>0.0</v>
      </c>
      <c r="O28" s="62">
        <v>0.0</v>
      </c>
      <c r="P28" s="62">
        <v>0.0</v>
      </c>
      <c r="Q28" s="62">
        <v>0.0</v>
      </c>
      <c r="R28" s="62">
        <v>0.0</v>
      </c>
      <c r="S28" s="62">
        <v>0.0</v>
      </c>
      <c r="T28" s="62">
        <v>0.0</v>
      </c>
      <c r="U28" s="62">
        <v>0.0</v>
      </c>
      <c r="V28" s="62">
        <v>0.0</v>
      </c>
      <c r="W28" s="62">
        <v>0.0</v>
      </c>
      <c r="X28" s="62">
        <v>0.0</v>
      </c>
      <c r="Y28" s="62">
        <v>1268893.0</v>
      </c>
      <c r="Z28" s="62">
        <v>0.0</v>
      </c>
      <c r="AA28" s="62">
        <v>0.0</v>
      </c>
      <c r="AB28" s="62">
        <v>0.0</v>
      </c>
      <c r="AC28" s="62">
        <v>0.0</v>
      </c>
      <c r="AD28" s="62">
        <v>0.0</v>
      </c>
      <c r="AE28" s="62">
        <v>0.0</v>
      </c>
      <c r="AF28" s="62">
        <v>0.0</v>
      </c>
      <c r="AG28" s="62">
        <v>0.0</v>
      </c>
      <c r="AH28" s="62">
        <v>0.0</v>
      </c>
      <c r="AI28" s="62">
        <v>0.0</v>
      </c>
      <c r="AJ28" s="62">
        <v>0.0</v>
      </c>
      <c r="AK28" s="62">
        <v>0.0</v>
      </c>
      <c r="AL28" s="62">
        <v>0.0</v>
      </c>
      <c r="AM28" s="62">
        <v>0.0</v>
      </c>
      <c r="AN28" s="62">
        <v>0.0</v>
      </c>
      <c r="AO28" s="62">
        <v>0.0</v>
      </c>
      <c r="AP28" s="62">
        <v>0.0</v>
      </c>
      <c r="AQ28" s="62">
        <v>0.0</v>
      </c>
      <c r="AR28" s="62">
        <v>0.0</v>
      </c>
      <c r="AS28" s="62">
        <v>0.0</v>
      </c>
      <c r="AT28" s="62">
        <v>0.0</v>
      </c>
      <c r="AU28" s="62">
        <v>0.0</v>
      </c>
      <c r="AV28" s="62">
        <v>0.0</v>
      </c>
      <c r="AW28" s="62">
        <v>0.0</v>
      </c>
      <c r="AX28" s="62">
        <v>0.0</v>
      </c>
      <c r="AY28" s="62">
        <v>0.0</v>
      </c>
      <c r="AZ28" s="62">
        <v>0.0</v>
      </c>
      <c r="BA28" s="62">
        <v>0.0</v>
      </c>
      <c r="BB28" s="62">
        <v>0.0</v>
      </c>
      <c r="BC28" s="62">
        <v>0.0</v>
      </c>
      <c r="BD28" s="62">
        <v>0.0</v>
      </c>
      <c r="BE28" s="62">
        <v>0.0</v>
      </c>
      <c r="BF28" s="62">
        <v>0.0</v>
      </c>
      <c r="BG28" s="62">
        <v>0.0</v>
      </c>
      <c r="BH28" s="62">
        <v>609882.0</v>
      </c>
      <c r="BI28" s="62">
        <v>0.0</v>
      </c>
      <c r="BJ28" s="62">
        <v>4224939.0</v>
      </c>
      <c r="BK28" s="62">
        <v>0.0</v>
      </c>
      <c r="BL28" s="62">
        <v>0.0</v>
      </c>
      <c r="BM28" s="62">
        <v>0.0</v>
      </c>
      <c r="BN28" s="62">
        <v>0.0</v>
      </c>
      <c r="BO28" s="62">
        <v>0.0</v>
      </c>
      <c r="BP28" s="62">
        <v>1.3518375E7</v>
      </c>
      <c r="BQ28" s="62">
        <v>0.0</v>
      </c>
      <c r="BR28" s="62">
        <v>3540330.0</v>
      </c>
      <c r="BS28" s="62">
        <v>3433913.0</v>
      </c>
      <c r="BT28" s="62">
        <v>0.0</v>
      </c>
      <c r="BU28" s="62">
        <v>2920765.0</v>
      </c>
      <c r="BV28" s="62">
        <v>933545.0</v>
      </c>
      <c r="BW28" s="62">
        <v>166774.0</v>
      </c>
      <c r="BX28" s="62">
        <v>1.1253894E7</v>
      </c>
      <c r="BY28" s="62">
        <v>0.0</v>
      </c>
      <c r="BZ28" s="62">
        <v>0.0</v>
      </c>
      <c r="CA28" s="62">
        <v>0.0</v>
      </c>
      <c r="CB28" s="62">
        <v>0.0</v>
      </c>
      <c r="CC28" s="62">
        <v>0.0</v>
      </c>
      <c r="CD28" s="62">
        <v>0.0</v>
      </c>
      <c r="CE28" s="62">
        <v>0.0</v>
      </c>
      <c r="CF28" s="62">
        <v>0.0</v>
      </c>
      <c r="CG28" s="62">
        <v>0.0</v>
      </c>
      <c r="CH28" s="62">
        <v>0.0</v>
      </c>
      <c r="CI28" s="62">
        <v>0.0</v>
      </c>
      <c r="CJ28" s="62">
        <v>0.0</v>
      </c>
      <c r="CK28" s="62">
        <v>0.0</v>
      </c>
      <c r="CL28" s="62">
        <v>0.0</v>
      </c>
      <c r="CM28" s="62">
        <v>0.0</v>
      </c>
      <c r="CN28" s="62">
        <v>0.0</v>
      </c>
      <c r="CO28" s="62">
        <v>0.0</v>
      </c>
      <c r="CP28" s="62">
        <v>0.0</v>
      </c>
      <c r="CQ28" s="62">
        <v>0.0</v>
      </c>
      <c r="CR28" s="62">
        <v>0.0</v>
      </c>
      <c r="CS28" s="62">
        <v>0.0</v>
      </c>
      <c r="CT28" s="62">
        <v>0.0</v>
      </c>
      <c r="CU28" s="62">
        <v>0.0</v>
      </c>
      <c r="CV28" s="62">
        <v>0.0</v>
      </c>
      <c r="CW28" s="62">
        <v>0.0</v>
      </c>
      <c r="CX28" s="62">
        <v>0.0</v>
      </c>
      <c r="CY28" s="62">
        <v>0.0</v>
      </c>
      <c r="CZ28" s="62">
        <v>608234.0</v>
      </c>
      <c r="DA28" s="62">
        <v>292671.0</v>
      </c>
      <c r="DB28" s="62">
        <v>465088.0</v>
      </c>
      <c r="DC28" s="62">
        <v>705366.0</v>
      </c>
      <c r="DD28" s="62">
        <v>349691.0</v>
      </c>
      <c r="DE28" s="62">
        <v>0.0</v>
      </c>
      <c r="DF28" s="62">
        <v>0.0</v>
      </c>
      <c r="DG28" s="62">
        <v>0.0</v>
      </c>
      <c r="DH28" s="62">
        <v>0.0</v>
      </c>
      <c r="DI28" s="62">
        <v>0.0</v>
      </c>
      <c r="DJ28" s="62">
        <v>0.0</v>
      </c>
      <c r="DK28" s="62">
        <v>0.0</v>
      </c>
      <c r="DL28" s="62">
        <v>0.0</v>
      </c>
      <c r="DM28" s="62">
        <v>0.0</v>
      </c>
      <c r="DN28" s="62">
        <v>0.0</v>
      </c>
      <c r="DO28" s="62">
        <v>0.0</v>
      </c>
      <c r="DP28" s="62">
        <v>0.0</v>
      </c>
      <c r="DQ28" s="62">
        <v>0.0</v>
      </c>
      <c r="DR28" s="62">
        <v>0.0</v>
      </c>
      <c r="DS28" s="62">
        <v>0.0</v>
      </c>
      <c r="DT28" s="62">
        <v>0.0</v>
      </c>
      <c r="DU28" s="62">
        <v>0.0</v>
      </c>
      <c r="DV28" s="62">
        <v>0.0</v>
      </c>
      <c r="DW28" s="62">
        <v>0.0</v>
      </c>
      <c r="DX28" s="62">
        <v>0.0</v>
      </c>
      <c r="DY28" s="62">
        <v>0.0</v>
      </c>
      <c r="DZ28" s="62">
        <v>0.0</v>
      </c>
      <c r="EA28" s="62">
        <v>0.0</v>
      </c>
      <c r="EB28" s="62">
        <v>0.0</v>
      </c>
      <c r="EC28" s="62">
        <v>0.0</v>
      </c>
      <c r="ED28" s="62">
        <v>0.0</v>
      </c>
      <c r="EE28" s="62">
        <v>0.0</v>
      </c>
      <c r="EF28" s="62">
        <v>0.0</v>
      </c>
      <c r="EG28" s="62">
        <v>0.0</v>
      </c>
      <c r="EH28" s="62">
        <v>0.0</v>
      </c>
      <c r="EI28" s="62">
        <v>0.0</v>
      </c>
      <c r="EJ28" s="62">
        <v>0.0</v>
      </c>
      <c r="EK28" s="62">
        <v>0.0</v>
      </c>
      <c r="EL28" s="62">
        <v>0.0</v>
      </c>
      <c r="EM28" s="62">
        <v>0.0</v>
      </c>
      <c r="EN28" s="62">
        <v>0.0</v>
      </c>
      <c r="EO28" s="62">
        <v>0.0</v>
      </c>
      <c r="EP28" s="62">
        <v>0.0</v>
      </c>
      <c r="EQ28" s="62">
        <v>0.0</v>
      </c>
      <c r="ER28" s="62">
        <v>0.0</v>
      </c>
      <c r="ES28" s="62">
        <v>0.0</v>
      </c>
      <c r="ET28" s="62">
        <v>0.0</v>
      </c>
      <c r="EU28" s="62">
        <v>0.0</v>
      </c>
      <c r="EV28" s="62">
        <v>0.0</v>
      </c>
      <c r="EW28" s="62">
        <v>0.0</v>
      </c>
      <c r="EX28" s="62">
        <v>0.0</v>
      </c>
      <c r="EY28" s="62">
        <v>0.0</v>
      </c>
      <c r="EZ28" s="62">
        <v>0.0</v>
      </c>
      <c r="FA28" s="62">
        <v>0.0</v>
      </c>
      <c r="FB28" s="62">
        <v>0.0</v>
      </c>
      <c r="FC28" s="62">
        <v>0.0</v>
      </c>
      <c r="FD28" s="62">
        <v>0.0</v>
      </c>
      <c r="FE28" s="62">
        <v>0.0</v>
      </c>
      <c r="FF28" s="62">
        <v>0.0</v>
      </c>
      <c r="FG28" s="62">
        <v>0.0</v>
      </c>
      <c r="FH28" s="62">
        <v>0.0</v>
      </c>
      <c r="FI28" s="62">
        <v>0.0</v>
      </c>
      <c r="FJ28" s="62">
        <v>0.0</v>
      </c>
      <c r="FK28" s="62">
        <v>177845.0</v>
      </c>
      <c r="FL28" s="62">
        <v>0.0</v>
      </c>
      <c r="FM28" s="62">
        <v>0.0</v>
      </c>
      <c r="FN28" s="62">
        <v>0.0</v>
      </c>
      <c r="FO28" s="62">
        <v>0.0</v>
      </c>
      <c r="FP28" s="62">
        <v>0.0</v>
      </c>
      <c r="FQ28" s="62">
        <v>0.0</v>
      </c>
      <c r="FR28" s="62">
        <v>0.0</v>
      </c>
      <c r="FS28" s="62">
        <v>0.0</v>
      </c>
      <c r="FT28" s="62">
        <v>0.0</v>
      </c>
      <c r="FU28" s="62">
        <v>0.0</v>
      </c>
      <c r="FV28" s="62">
        <v>0.0</v>
      </c>
      <c r="FW28" s="62">
        <v>0.0</v>
      </c>
      <c r="FX28" s="62">
        <v>5184.0</v>
      </c>
      <c r="FY28" s="62">
        <v>0.0</v>
      </c>
      <c r="FZ28" s="62">
        <v>0.0</v>
      </c>
      <c r="GA28" s="62">
        <v>0.0</v>
      </c>
      <c r="GB28" s="62">
        <v>0.0</v>
      </c>
      <c r="GC28" s="62">
        <v>0.0</v>
      </c>
      <c r="GD28" s="62">
        <v>0.0</v>
      </c>
      <c r="GE28" s="62">
        <v>0.0</v>
      </c>
      <c r="GF28" s="63">
        <v>4.4475389E7</v>
      </c>
      <c r="GG28" s="64">
        <v>0.0</v>
      </c>
      <c r="GH28" s="65">
        <v>0.0</v>
      </c>
      <c r="GI28" s="64">
        <v>0.0</v>
      </c>
      <c r="GJ28" s="64">
        <v>1.034695E7</v>
      </c>
      <c r="GK28" s="64">
        <v>1.2934112E7</v>
      </c>
      <c r="GL28" s="64">
        <v>1113435.0</v>
      </c>
      <c r="GM28" s="64">
        <v>0.0</v>
      </c>
      <c r="GN28" s="63">
        <v>2.4394497E7</v>
      </c>
      <c r="GO28" s="66">
        <v>6.8869886E7</v>
      </c>
      <c r="GP28" s="64">
        <v>7724253.0</v>
      </c>
      <c r="GQ28" s="64">
        <v>0.0</v>
      </c>
      <c r="GR28" s="65">
        <v>0.0</v>
      </c>
      <c r="GS28" s="63">
        <v>7724253.0</v>
      </c>
      <c r="GT28" s="67">
        <v>3188120.0</v>
      </c>
      <c r="GU28" s="67">
        <v>2294760.0</v>
      </c>
      <c r="GV28" s="67">
        <v>1409413.0</v>
      </c>
      <c r="GW28" s="63">
        <v>6892293.0</v>
      </c>
      <c r="GX28" s="63">
        <v>640958.0</v>
      </c>
      <c r="GY28" s="63">
        <v>5.3612382E7</v>
      </c>
      <c r="GZ28" s="66">
        <v>6.8869886E7</v>
      </c>
      <c r="HC28" s="107" t="s">
        <v>21</v>
      </c>
      <c r="HD28" s="114" t="s">
        <v>537</v>
      </c>
      <c r="HE28" s="109" t="s">
        <v>416</v>
      </c>
      <c r="HF28" s="113">
        <f>GZ151</f>
        <v>45176830</v>
      </c>
      <c r="HH28" s="106"/>
    </row>
    <row r="29" ht="15.75" customHeight="1">
      <c r="A29" s="60">
        <v>24.0</v>
      </c>
      <c r="B29" s="111" t="s">
        <v>294</v>
      </c>
      <c r="C29" s="62">
        <v>0.0</v>
      </c>
      <c r="D29" s="62">
        <v>0.0</v>
      </c>
      <c r="E29" s="62">
        <v>0.0</v>
      </c>
      <c r="F29" s="62">
        <v>0.0</v>
      </c>
      <c r="G29" s="62">
        <v>0.0</v>
      </c>
      <c r="H29" s="62">
        <v>0.0</v>
      </c>
      <c r="I29" s="62">
        <v>0.0</v>
      </c>
      <c r="J29" s="62">
        <v>0.0</v>
      </c>
      <c r="K29" s="62">
        <v>0.0</v>
      </c>
      <c r="L29" s="62">
        <v>0.0</v>
      </c>
      <c r="M29" s="62">
        <v>0.0</v>
      </c>
      <c r="N29" s="62">
        <v>0.0</v>
      </c>
      <c r="O29" s="62">
        <v>0.0</v>
      </c>
      <c r="P29" s="62">
        <v>0.0</v>
      </c>
      <c r="Q29" s="62">
        <v>0.0</v>
      </c>
      <c r="R29" s="62">
        <v>0.0</v>
      </c>
      <c r="S29" s="62">
        <v>0.0</v>
      </c>
      <c r="T29" s="62">
        <v>0.0</v>
      </c>
      <c r="U29" s="62">
        <v>0.0</v>
      </c>
      <c r="V29" s="62">
        <v>0.0</v>
      </c>
      <c r="W29" s="62">
        <v>0.0</v>
      </c>
      <c r="X29" s="62">
        <v>0.0</v>
      </c>
      <c r="Y29" s="62">
        <v>0.0</v>
      </c>
      <c r="Z29" s="62">
        <v>365036.0</v>
      </c>
      <c r="AA29" s="62">
        <v>0.0</v>
      </c>
      <c r="AB29" s="62">
        <v>0.0</v>
      </c>
      <c r="AC29" s="62">
        <v>0.0</v>
      </c>
      <c r="AD29" s="62">
        <v>0.0</v>
      </c>
      <c r="AE29" s="62">
        <v>0.0</v>
      </c>
      <c r="AF29" s="62">
        <v>0.0</v>
      </c>
      <c r="AG29" s="62">
        <v>0.0</v>
      </c>
      <c r="AH29" s="62">
        <v>0.0</v>
      </c>
      <c r="AI29" s="62">
        <v>0.0</v>
      </c>
      <c r="AJ29" s="62">
        <v>0.0</v>
      </c>
      <c r="AK29" s="62">
        <v>0.0</v>
      </c>
      <c r="AL29" s="62">
        <v>0.0</v>
      </c>
      <c r="AM29" s="62">
        <v>0.0</v>
      </c>
      <c r="AN29" s="62">
        <v>0.0</v>
      </c>
      <c r="AO29" s="62">
        <v>0.0</v>
      </c>
      <c r="AP29" s="62">
        <v>0.0</v>
      </c>
      <c r="AQ29" s="62">
        <v>0.0</v>
      </c>
      <c r="AR29" s="62">
        <v>0.0</v>
      </c>
      <c r="AS29" s="62">
        <v>0.0</v>
      </c>
      <c r="AT29" s="62">
        <v>0.0</v>
      </c>
      <c r="AU29" s="62">
        <v>0.0</v>
      </c>
      <c r="AV29" s="62">
        <v>0.0</v>
      </c>
      <c r="AW29" s="62">
        <v>0.0</v>
      </c>
      <c r="AX29" s="62">
        <v>0.0</v>
      </c>
      <c r="AY29" s="62">
        <v>0.0</v>
      </c>
      <c r="AZ29" s="62">
        <v>0.0</v>
      </c>
      <c r="BA29" s="62">
        <v>0.0</v>
      </c>
      <c r="BB29" s="62">
        <v>0.0</v>
      </c>
      <c r="BC29" s="62">
        <v>0.0</v>
      </c>
      <c r="BD29" s="62">
        <v>0.0</v>
      </c>
      <c r="BE29" s="62">
        <v>0.0</v>
      </c>
      <c r="BF29" s="62">
        <v>0.0</v>
      </c>
      <c r="BG29" s="62">
        <v>0.0</v>
      </c>
      <c r="BH29" s="62">
        <v>142588.0</v>
      </c>
      <c r="BI29" s="62">
        <v>0.0</v>
      </c>
      <c r="BJ29" s="62">
        <v>0.0</v>
      </c>
      <c r="BK29" s="62">
        <v>0.0</v>
      </c>
      <c r="BL29" s="62">
        <v>0.0</v>
      </c>
      <c r="BM29" s="62">
        <v>0.0</v>
      </c>
      <c r="BN29" s="62">
        <v>0.0</v>
      </c>
      <c r="BO29" s="62">
        <v>0.0</v>
      </c>
      <c r="BP29" s="62">
        <v>0.0</v>
      </c>
      <c r="BQ29" s="62">
        <v>85282.0</v>
      </c>
      <c r="BR29" s="62">
        <v>278.0</v>
      </c>
      <c r="BS29" s="62">
        <v>333.0</v>
      </c>
      <c r="BT29" s="62">
        <v>0.0</v>
      </c>
      <c r="BU29" s="62">
        <v>8944199.0</v>
      </c>
      <c r="BV29" s="62">
        <v>0.0</v>
      </c>
      <c r="BW29" s="62">
        <v>5583.0</v>
      </c>
      <c r="BX29" s="62">
        <v>979540.0</v>
      </c>
      <c r="BY29" s="62">
        <v>1.5814202E7</v>
      </c>
      <c r="BZ29" s="62">
        <v>1039001.0</v>
      </c>
      <c r="CA29" s="62">
        <v>0.0</v>
      </c>
      <c r="CB29" s="62">
        <v>0.0</v>
      </c>
      <c r="CC29" s="62">
        <v>0.0</v>
      </c>
      <c r="CD29" s="62">
        <v>0.0</v>
      </c>
      <c r="CE29" s="62">
        <v>0.0</v>
      </c>
      <c r="CF29" s="62">
        <v>0.0</v>
      </c>
      <c r="CG29" s="62">
        <v>0.0</v>
      </c>
      <c r="CH29" s="62">
        <v>0.0</v>
      </c>
      <c r="CI29" s="62">
        <v>0.0</v>
      </c>
      <c r="CJ29" s="62">
        <v>0.0</v>
      </c>
      <c r="CK29" s="62">
        <v>0.0</v>
      </c>
      <c r="CL29" s="62">
        <v>0.0</v>
      </c>
      <c r="CM29" s="62">
        <v>0.0</v>
      </c>
      <c r="CN29" s="62">
        <v>0.0</v>
      </c>
      <c r="CO29" s="62">
        <v>0.0</v>
      </c>
      <c r="CP29" s="62">
        <v>0.0</v>
      </c>
      <c r="CQ29" s="62">
        <v>0.0</v>
      </c>
      <c r="CR29" s="62">
        <v>0.0</v>
      </c>
      <c r="CS29" s="62">
        <v>0.0</v>
      </c>
      <c r="CT29" s="62">
        <v>0.0</v>
      </c>
      <c r="CU29" s="62">
        <v>0.0</v>
      </c>
      <c r="CV29" s="62">
        <v>0.0</v>
      </c>
      <c r="CW29" s="62">
        <v>0.0</v>
      </c>
      <c r="CX29" s="62">
        <v>0.0</v>
      </c>
      <c r="CY29" s="62">
        <v>0.0</v>
      </c>
      <c r="CZ29" s="62">
        <v>87023.0</v>
      </c>
      <c r="DA29" s="62">
        <v>0.0</v>
      </c>
      <c r="DB29" s="62">
        <v>78942.0</v>
      </c>
      <c r="DC29" s="62">
        <v>366047.0</v>
      </c>
      <c r="DD29" s="62">
        <v>254110.0</v>
      </c>
      <c r="DE29" s="62">
        <v>0.0</v>
      </c>
      <c r="DF29" s="62">
        <v>0.0</v>
      </c>
      <c r="DG29" s="62">
        <v>0.0</v>
      </c>
      <c r="DH29" s="62">
        <v>0.0</v>
      </c>
      <c r="DI29" s="62">
        <v>0.0</v>
      </c>
      <c r="DJ29" s="62">
        <v>0.0</v>
      </c>
      <c r="DK29" s="62">
        <v>0.0</v>
      </c>
      <c r="DL29" s="62">
        <v>0.0</v>
      </c>
      <c r="DM29" s="62">
        <v>0.0</v>
      </c>
      <c r="DN29" s="62">
        <v>0.0</v>
      </c>
      <c r="DO29" s="62">
        <v>0.0</v>
      </c>
      <c r="DP29" s="62">
        <v>0.0</v>
      </c>
      <c r="DQ29" s="62">
        <v>0.0</v>
      </c>
      <c r="DR29" s="62">
        <v>0.0</v>
      </c>
      <c r="DS29" s="62">
        <v>0.0</v>
      </c>
      <c r="DT29" s="62">
        <v>0.0</v>
      </c>
      <c r="DU29" s="62">
        <v>0.0</v>
      </c>
      <c r="DV29" s="62">
        <v>0.0</v>
      </c>
      <c r="DW29" s="62">
        <v>0.0</v>
      </c>
      <c r="DX29" s="62">
        <v>0.0</v>
      </c>
      <c r="DY29" s="62">
        <v>0.0</v>
      </c>
      <c r="DZ29" s="62">
        <v>0.0</v>
      </c>
      <c r="EA29" s="62">
        <v>0.0</v>
      </c>
      <c r="EB29" s="62">
        <v>0.0</v>
      </c>
      <c r="EC29" s="62">
        <v>0.0</v>
      </c>
      <c r="ED29" s="62">
        <v>0.0</v>
      </c>
      <c r="EE29" s="62">
        <v>0.0</v>
      </c>
      <c r="EF29" s="62">
        <v>0.0</v>
      </c>
      <c r="EG29" s="62">
        <v>0.0</v>
      </c>
      <c r="EH29" s="62">
        <v>0.0</v>
      </c>
      <c r="EI29" s="62">
        <v>0.0</v>
      </c>
      <c r="EJ29" s="62">
        <v>0.0</v>
      </c>
      <c r="EK29" s="62">
        <v>0.0</v>
      </c>
      <c r="EL29" s="62">
        <v>0.0</v>
      </c>
      <c r="EM29" s="62">
        <v>0.0</v>
      </c>
      <c r="EN29" s="62">
        <v>0.0</v>
      </c>
      <c r="EO29" s="62">
        <v>0.0</v>
      </c>
      <c r="EP29" s="62">
        <v>0.0</v>
      </c>
      <c r="EQ29" s="62">
        <v>0.0</v>
      </c>
      <c r="ER29" s="62">
        <v>0.0</v>
      </c>
      <c r="ES29" s="62">
        <v>0.0</v>
      </c>
      <c r="ET29" s="62">
        <v>0.0</v>
      </c>
      <c r="EU29" s="62">
        <v>0.0</v>
      </c>
      <c r="EV29" s="62">
        <v>0.0</v>
      </c>
      <c r="EW29" s="62">
        <v>0.0</v>
      </c>
      <c r="EX29" s="62">
        <v>0.0</v>
      </c>
      <c r="EY29" s="62">
        <v>0.0</v>
      </c>
      <c r="EZ29" s="62">
        <v>0.0</v>
      </c>
      <c r="FA29" s="62">
        <v>0.0</v>
      </c>
      <c r="FB29" s="62">
        <v>0.0</v>
      </c>
      <c r="FC29" s="62">
        <v>0.0</v>
      </c>
      <c r="FD29" s="62">
        <v>0.0</v>
      </c>
      <c r="FE29" s="62">
        <v>0.0</v>
      </c>
      <c r="FF29" s="62">
        <v>0.0</v>
      </c>
      <c r="FG29" s="62">
        <v>0.0</v>
      </c>
      <c r="FH29" s="62">
        <v>0.0</v>
      </c>
      <c r="FI29" s="62">
        <v>0.0</v>
      </c>
      <c r="FJ29" s="62">
        <v>3852.0</v>
      </c>
      <c r="FK29" s="62">
        <v>115007.0</v>
      </c>
      <c r="FL29" s="62">
        <v>0.0</v>
      </c>
      <c r="FM29" s="62">
        <v>0.0</v>
      </c>
      <c r="FN29" s="62">
        <v>0.0</v>
      </c>
      <c r="FO29" s="62">
        <v>0.0</v>
      </c>
      <c r="FP29" s="62">
        <v>0.0</v>
      </c>
      <c r="FQ29" s="62">
        <v>0.0</v>
      </c>
      <c r="FR29" s="62">
        <v>0.0</v>
      </c>
      <c r="FS29" s="62">
        <v>0.0</v>
      </c>
      <c r="FT29" s="62">
        <v>0.0</v>
      </c>
      <c r="FU29" s="62">
        <v>0.0</v>
      </c>
      <c r="FV29" s="62">
        <v>0.0</v>
      </c>
      <c r="FW29" s="62">
        <v>18756.0</v>
      </c>
      <c r="FX29" s="62">
        <v>0.0</v>
      </c>
      <c r="FY29" s="62">
        <v>0.0</v>
      </c>
      <c r="FZ29" s="62">
        <v>0.0</v>
      </c>
      <c r="GA29" s="62">
        <v>0.0</v>
      </c>
      <c r="GB29" s="62">
        <v>0.0</v>
      </c>
      <c r="GC29" s="62">
        <v>0.0</v>
      </c>
      <c r="GD29" s="62">
        <v>0.0</v>
      </c>
      <c r="GE29" s="62">
        <v>0.0</v>
      </c>
      <c r="GF29" s="63">
        <v>2.8299779E7</v>
      </c>
      <c r="GG29" s="64">
        <v>90907.0</v>
      </c>
      <c r="GH29" s="65">
        <v>0.0</v>
      </c>
      <c r="GI29" s="64">
        <v>0.0</v>
      </c>
      <c r="GJ29" s="64">
        <v>7770250.0</v>
      </c>
      <c r="GK29" s="64">
        <v>2031073.0</v>
      </c>
      <c r="GL29" s="64">
        <v>2519821.0</v>
      </c>
      <c r="GM29" s="64">
        <v>0.0</v>
      </c>
      <c r="GN29" s="63">
        <v>1.2412051E7</v>
      </c>
      <c r="GO29" s="66">
        <v>4.071183E7</v>
      </c>
      <c r="GP29" s="64">
        <v>186552.0</v>
      </c>
      <c r="GQ29" s="64">
        <v>0.0</v>
      </c>
      <c r="GR29" s="65">
        <v>0.0</v>
      </c>
      <c r="GS29" s="63">
        <v>186552.0</v>
      </c>
      <c r="GT29" s="67">
        <v>4993098.0</v>
      </c>
      <c r="GU29" s="67">
        <v>2901904.0</v>
      </c>
      <c r="GV29" s="67">
        <v>2493178.0</v>
      </c>
      <c r="GW29" s="63">
        <v>1.038818E7</v>
      </c>
      <c r="GX29" s="63">
        <v>338828.0</v>
      </c>
      <c r="GY29" s="63">
        <v>2.979827E7</v>
      </c>
      <c r="GZ29" s="66">
        <v>4.071183E7</v>
      </c>
      <c r="HC29" s="107" t="s">
        <v>538</v>
      </c>
      <c r="HD29" s="115" t="s">
        <v>539</v>
      </c>
      <c r="HE29" s="109" t="s">
        <v>540</v>
      </c>
      <c r="HF29" s="113">
        <f>SUM(GZ152:GZ153)</f>
        <v>70301631</v>
      </c>
      <c r="HH29" s="106"/>
    </row>
    <row r="30" ht="15.75" customHeight="1">
      <c r="A30" s="68">
        <v>25.0</v>
      </c>
      <c r="B30" s="111" t="s">
        <v>295</v>
      </c>
      <c r="C30" s="70">
        <v>0.0</v>
      </c>
      <c r="D30" s="70">
        <v>0.0</v>
      </c>
      <c r="E30" s="70">
        <v>0.0</v>
      </c>
      <c r="F30" s="70">
        <v>0.0</v>
      </c>
      <c r="G30" s="70">
        <v>0.0</v>
      </c>
      <c r="H30" s="70">
        <v>0.0</v>
      </c>
      <c r="I30" s="70">
        <v>0.0</v>
      </c>
      <c r="J30" s="70">
        <v>0.0</v>
      </c>
      <c r="K30" s="70">
        <v>0.0</v>
      </c>
      <c r="L30" s="70">
        <v>0.0</v>
      </c>
      <c r="M30" s="70">
        <v>0.0</v>
      </c>
      <c r="N30" s="70">
        <v>0.0</v>
      </c>
      <c r="O30" s="70">
        <v>0.0</v>
      </c>
      <c r="P30" s="70">
        <v>0.0</v>
      </c>
      <c r="Q30" s="70">
        <v>0.0</v>
      </c>
      <c r="R30" s="70">
        <v>0.0</v>
      </c>
      <c r="S30" s="70">
        <v>0.0</v>
      </c>
      <c r="T30" s="70">
        <v>0.0</v>
      </c>
      <c r="U30" s="70">
        <v>0.0</v>
      </c>
      <c r="V30" s="70">
        <v>0.0</v>
      </c>
      <c r="W30" s="70">
        <v>0.0</v>
      </c>
      <c r="X30" s="70">
        <v>0.0</v>
      </c>
      <c r="Y30" s="70">
        <v>0.0</v>
      </c>
      <c r="Z30" s="70">
        <v>0.0</v>
      </c>
      <c r="AA30" s="70">
        <v>54952.0</v>
      </c>
      <c r="AB30" s="70">
        <v>0.0</v>
      </c>
      <c r="AC30" s="70">
        <v>0.0</v>
      </c>
      <c r="AD30" s="70">
        <v>0.0</v>
      </c>
      <c r="AE30" s="70">
        <v>0.0</v>
      </c>
      <c r="AF30" s="70">
        <v>0.0</v>
      </c>
      <c r="AG30" s="70">
        <v>0.0</v>
      </c>
      <c r="AH30" s="70">
        <v>0.0</v>
      </c>
      <c r="AI30" s="70">
        <v>0.0</v>
      </c>
      <c r="AJ30" s="70">
        <v>0.0</v>
      </c>
      <c r="AK30" s="70">
        <v>0.0</v>
      </c>
      <c r="AL30" s="70">
        <v>0.0</v>
      </c>
      <c r="AM30" s="70">
        <v>0.0</v>
      </c>
      <c r="AN30" s="70">
        <v>0.0</v>
      </c>
      <c r="AO30" s="70">
        <v>0.0</v>
      </c>
      <c r="AP30" s="70">
        <v>0.0</v>
      </c>
      <c r="AQ30" s="70">
        <v>0.0</v>
      </c>
      <c r="AR30" s="70">
        <v>0.0</v>
      </c>
      <c r="AS30" s="70">
        <v>0.0</v>
      </c>
      <c r="AT30" s="70">
        <v>0.0</v>
      </c>
      <c r="AU30" s="70">
        <v>0.0</v>
      </c>
      <c r="AV30" s="70">
        <v>0.0</v>
      </c>
      <c r="AW30" s="70">
        <v>0.0</v>
      </c>
      <c r="AX30" s="70">
        <v>0.0</v>
      </c>
      <c r="AY30" s="70">
        <v>0.0</v>
      </c>
      <c r="AZ30" s="70">
        <v>0.0</v>
      </c>
      <c r="BA30" s="70">
        <v>0.0</v>
      </c>
      <c r="BB30" s="70">
        <v>0.0</v>
      </c>
      <c r="BC30" s="70">
        <v>0.0</v>
      </c>
      <c r="BD30" s="70">
        <v>0.0</v>
      </c>
      <c r="BE30" s="70">
        <v>0.0</v>
      </c>
      <c r="BF30" s="70">
        <v>0.0</v>
      </c>
      <c r="BG30" s="70">
        <v>76823.0</v>
      </c>
      <c r="BH30" s="70">
        <v>25774.0</v>
      </c>
      <c r="BI30" s="70">
        <v>0.0</v>
      </c>
      <c r="BJ30" s="70">
        <v>135138.0</v>
      </c>
      <c r="BK30" s="70">
        <v>0.0</v>
      </c>
      <c r="BL30" s="70">
        <v>0.0</v>
      </c>
      <c r="BM30" s="70">
        <v>0.0</v>
      </c>
      <c r="BN30" s="70">
        <v>0.0</v>
      </c>
      <c r="BO30" s="70">
        <v>0.0</v>
      </c>
      <c r="BP30" s="70">
        <v>127779.0</v>
      </c>
      <c r="BQ30" s="70">
        <v>0.0</v>
      </c>
      <c r="BR30" s="70">
        <v>1464.0</v>
      </c>
      <c r="BS30" s="70">
        <v>0.0</v>
      </c>
      <c r="BT30" s="70">
        <v>0.0</v>
      </c>
      <c r="BU30" s="70">
        <v>484690.0</v>
      </c>
      <c r="BV30" s="70">
        <v>1292.0</v>
      </c>
      <c r="BW30" s="70">
        <v>1088.0</v>
      </c>
      <c r="BX30" s="70">
        <v>1739.0</v>
      </c>
      <c r="BY30" s="70">
        <v>0.0</v>
      </c>
      <c r="BZ30" s="70">
        <v>0.0</v>
      </c>
      <c r="CA30" s="70">
        <v>0.0</v>
      </c>
      <c r="CB30" s="70">
        <v>0.0</v>
      </c>
      <c r="CC30" s="70">
        <v>0.0</v>
      </c>
      <c r="CD30" s="70">
        <v>0.0</v>
      </c>
      <c r="CE30" s="70">
        <v>0.0</v>
      </c>
      <c r="CF30" s="70">
        <v>0.0</v>
      </c>
      <c r="CG30" s="70">
        <v>0.0</v>
      </c>
      <c r="CH30" s="70">
        <v>0.0</v>
      </c>
      <c r="CI30" s="70">
        <v>0.0</v>
      </c>
      <c r="CJ30" s="70">
        <v>0.0</v>
      </c>
      <c r="CK30" s="70">
        <v>0.0</v>
      </c>
      <c r="CL30" s="70">
        <v>0.0</v>
      </c>
      <c r="CM30" s="70">
        <v>0.0</v>
      </c>
      <c r="CN30" s="70">
        <v>0.0</v>
      </c>
      <c r="CO30" s="70">
        <v>0.0</v>
      </c>
      <c r="CP30" s="70">
        <v>0.0</v>
      </c>
      <c r="CQ30" s="70">
        <v>0.0</v>
      </c>
      <c r="CR30" s="70">
        <v>0.0</v>
      </c>
      <c r="CS30" s="70">
        <v>0.0</v>
      </c>
      <c r="CT30" s="70">
        <v>0.0</v>
      </c>
      <c r="CU30" s="70">
        <v>0.0</v>
      </c>
      <c r="CV30" s="70">
        <v>0.0</v>
      </c>
      <c r="CW30" s="70">
        <v>0.0</v>
      </c>
      <c r="CX30" s="70">
        <v>0.0</v>
      </c>
      <c r="CY30" s="70">
        <v>0.0</v>
      </c>
      <c r="CZ30" s="70">
        <v>0.0</v>
      </c>
      <c r="DA30" s="70">
        <v>0.0</v>
      </c>
      <c r="DB30" s="70">
        <v>151.0</v>
      </c>
      <c r="DC30" s="70">
        <v>7515.0</v>
      </c>
      <c r="DD30" s="70">
        <v>10622.0</v>
      </c>
      <c r="DE30" s="70">
        <v>0.0</v>
      </c>
      <c r="DF30" s="70">
        <v>0.0</v>
      </c>
      <c r="DG30" s="70">
        <v>0.0</v>
      </c>
      <c r="DH30" s="70">
        <v>0.0</v>
      </c>
      <c r="DI30" s="70">
        <v>0.0</v>
      </c>
      <c r="DJ30" s="70">
        <v>0.0</v>
      </c>
      <c r="DK30" s="70">
        <v>0.0</v>
      </c>
      <c r="DL30" s="70">
        <v>0.0</v>
      </c>
      <c r="DM30" s="70">
        <v>0.0</v>
      </c>
      <c r="DN30" s="70">
        <v>0.0</v>
      </c>
      <c r="DO30" s="70">
        <v>0.0</v>
      </c>
      <c r="DP30" s="70">
        <v>0.0</v>
      </c>
      <c r="DQ30" s="70">
        <v>0.0</v>
      </c>
      <c r="DR30" s="70">
        <v>0.0</v>
      </c>
      <c r="DS30" s="70">
        <v>0.0</v>
      </c>
      <c r="DT30" s="70">
        <v>0.0</v>
      </c>
      <c r="DU30" s="70">
        <v>0.0</v>
      </c>
      <c r="DV30" s="70">
        <v>0.0</v>
      </c>
      <c r="DW30" s="70">
        <v>0.0</v>
      </c>
      <c r="DX30" s="70">
        <v>0.0</v>
      </c>
      <c r="DY30" s="70">
        <v>0.0</v>
      </c>
      <c r="DZ30" s="70">
        <v>0.0</v>
      </c>
      <c r="EA30" s="70">
        <v>0.0</v>
      </c>
      <c r="EB30" s="70">
        <v>0.0</v>
      </c>
      <c r="EC30" s="70">
        <v>0.0</v>
      </c>
      <c r="ED30" s="70">
        <v>0.0</v>
      </c>
      <c r="EE30" s="70">
        <v>0.0</v>
      </c>
      <c r="EF30" s="70">
        <v>0.0</v>
      </c>
      <c r="EG30" s="70">
        <v>0.0</v>
      </c>
      <c r="EH30" s="70">
        <v>0.0</v>
      </c>
      <c r="EI30" s="70">
        <v>0.0</v>
      </c>
      <c r="EJ30" s="70">
        <v>0.0</v>
      </c>
      <c r="EK30" s="70">
        <v>0.0</v>
      </c>
      <c r="EL30" s="70">
        <v>0.0</v>
      </c>
      <c r="EM30" s="70">
        <v>0.0</v>
      </c>
      <c r="EN30" s="70">
        <v>0.0</v>
      </c>
      <c r="EO30" s="70">
        <v>0.0</v>
      </c>
      <c r="EP30" s="70">
        <v>0.0</v>
      </c>
      <c r="EQ30" s="70">
        <v>0.0</v>
      </c>
      <c r="ER30" s="70">
        <v>0.0</v>
      </c>
      <c r="ES30" s="70">
        <v>0.0</v>
      </c>
      <c r="ET30" s="70">
        <v>0.0</v>
      </c>
      <c r="EU30" s="70">
        <v>0.0</v>
      </c>
      <c r="EV30" s="70">
        <v>0.0</v>
      </c>
      <c r="EW30" s="70">
        <v>0.0</v>
      </c>
      <c r="EX30" s="70">
        <v>0.0</v>
      </c>
      <c r="EY30" s="70">
        <v>0.0</v>
      </c>
      <c r="EZ30" s="70">
        <v>0.0</v>
      </c>
      <c r="FA30" s="70">
        <v>0.0</v>
      </c>
      <c r="FB30" s="70">
        <v>0.0</v>
      </c>
      <c r="FC30" s="70">
        <v>0.0</v>
      </c>
      <c r="FD30" s="70">
        <v>0.0</v>
      </c>
      <c r="FE30" s="70">
        <v>0.0</v>
      </c>
      <c r="FF30" s="70">
        <v>0.0</v>
      </c>
      <c r="FG30" s="70">
        <v>0.0</v>
      </c>
      <c r="FH30" s="70">
        <v>0.0</v>
      </c>
      <c r="FI30" s="70">
        <v>0.0</v>
      </c>
      <c r="FJ30" s="70">
        <v>0.0</v>
      </c>
      <c r="FK30" s="70">
        <v>1681593.0</v>
      </c>
      <c r="FL30" s="70">
        <v>0.0</v>
      </c>
      <c r="FM30" s="70">
        <v>0.0</v>
      </c>
      <c r="FN30" s="70">
        <v>0.0</v>
      </c>
      <c r="FO30" s="70">
        <v>0.0</v>
      </c>
      <c r="FP30" s="70">
        <v>0.0</v>
      </c>
      <c r="FQ30" s="70">
        <v>0.0</v>
      </c>
      <c r="FR30" s="70">
        <v>0.0</v>
      </c>
      <c r="FS30" s="70">
        <v>0.0</v>
      </c>
      <c r="FT30" s="70">
        <v>0.0</v>
      </c>
      <c r="FU30" s="70">
        <v>0.0</v>
      </c>
      <c r="FV30" s="70">
        <v>0.0</v>
      </c>
      <c r="FW30" s="70">
        <v>0.0</v>
      </c>
      <c r="FX30" s="70">
        <v>0.0</v>
      </c>
      <c r="FY30" s="70">
        <v>0.0</v>
      </c>
      <c r="FZ30" s="70">
        <v>0.0</v>
      </c>
      <c r="GA30" s="70">
        <v>0.0</v>
      </c>
      <c r="GB30" s="70">
        <v>0.0</v>
      </c>
      <c r="GC30" s="70">
        <v>0.0</v>
      </c>
      <c r="GD30" s="70">
        <v>0.0</v>
      </c>
      <c r="GE30" s="70">
        <v>0.0</v>
      </c>
      <c r="GF30" s="71">
        <v>2610620.0</v>
      </c>
      <c r="GG30" s="72">
        <v>195726.0</v>
      </c>
      <c r="GH30" s="73">
        <v>0.0</v>
      </c>
      <c r="GI30" s="72">
        <v>0.0</v>
      </c>
      <c r="GJ30" s="72">
        <v>558699.0</v>
      </c>
      <c r="GK30" s="72">
        <v>-143263.0</v>
      </c>
      <c r="GL30" s="72">
        <v>1455629.0</v>
      </c>
      <c r="GM30" s="72">
        <v>0.0</v>
      </c>
      <c r="GN30" s="71">
        <v>2066791.0</v>
      </c>
      <c r="GO30" s="74">
        <v>4677411.0</v>
      </c>
      <c r="GP30" s="72">
        <v>283.0</v>
      </c>
      <c r="GQ30" s="72">
        <v>0.0</v>
      </c>
      <c r="GR30" s="73">
        <v>0.0</v>
      </c>
      <c r="GS30" s="71">
        <v>283.0</v>
      </c>
      <c r="GT30" s="75">
        <v>561073.0</v>
      </c>
      <c r="GU30" s="75">
        <v>391481.0</v>
      </c>
      <c r="GV30" s="75">
        <v>18337.0</v>
      </c>
      <c r="GW30" s="71">
        <v>970891.0</v>
      </c>
      <c r="GX30" s="71">
        <v>30716.0</v>
      </c>
      <c r="GY30" s="71">
        <v>3675521.0</v>
      </c>
      <c r="GZ30" s="74">
        <v>4677411.0</v>
      </c>
      <c r="HC30" s="107" t="s">
        <v>541</v>
      </c>
      <c r="HD30" s="115" t="s">
        <v>542</v>
      </c>
      <c r="HE30" s="109" t="s">
        <v>543</v>
      </c>
      <c r="HF30" s="113">
        <f>SUM(GZ154:GZ155,GZ158)</f>
        <v>3340544206</v>
      </c>
      <c r="HH30" s="106"/>
    </row>
    <row r="31" ht="15.75" customHeight="1">
      <c r="A31" s="52">
        <v>26.0</v>
      </c>
      <c r="B31" s="111" t="s">
        <v>296</v>
      </c>
      <c r="C31" s="54">
        <v>33778.0</v>
      </c>
      <c r="D31" s="54">
        <v>58716.0</v>
      </c>
      <c r="E31" s="54">
        <v>633.0</v>
      </c>
      <c r="F31" s="54">
        <v>62556.0</v>
      </c>
      <c r="G31" s="54">
        <v>459.0</v>
      </c>
      <c r="H31" s="54">
        <v>14784.0</v>
      </c>
      <c r="I31" s="54">
        <v>5322.0</v>
      </c>
      <c r="J31" s="54">
        <v>1477.0</v>
      </c>
      <c r="K31" s="54">
        <v>0.0</v>
      </c>
      <c r="L31" s="54">
        <v>564283.0</v>
      </c>
      <c r="M31" s="54">
        <v>98007.0</v>
      </c>
      <c r="N31" s="54">
        <v>89067.0</v>
      </c>
      <c r="O31" s="54">
        <v>358693.0</v>
      </c>
      <c r="P31" s="54">
        <v>352.0</v>
      </c>
      <c r="Q31" s="54">
        <v>40543.0</v>
      </c>
      <c r="R31" s="54">
        <v>757947.0</v>
      </c>
      <c r="S31" s="54">
        <v>13488.0</v>
      </c>
      <c r="T31" s="54">
        <v>86991.0</v>
      </c>
      <c r="U31" s="54">
        <v>334490.0</v>
      </c>
      <c r="V31" s="54">
        <v>914199.0</v>
      </c>
      <c r="W31" s="54">
        <v>19457.0</v>
      </c>
      <c r="X31" s="54">
        <v>11794.0</v>
      </c>
      <c r="Y31" s="54">
        <v>37945.0</v>
      </c>
      <c r="Z31" s="54">
        <v>125975.0</v>
      </c>
      <c r="AA31" s="54">
        <v>2787.0</v>
      </c>
      <c r="AB31" s="54">
        <v>833212.0</v>
      </c>
      <c r="AC31" s="54">
        <v>812.0</v>
      </c>
      <c r="AD31" s="54">
        <v>0.0</v>
      </c>
      <c r="AE31" s="54">
        <v>0.0</v>
      </c>
      <c r="AF31" s="54">
        <v>664236.0</v>
      </c>
      <c r="AG31" s="54">
        <v>130889.0</v>
      </c>
      <c r="AH31" s="54">
        <v>149863.0</v>
      </c>
      <c r="AI31" s="54">
        <v>3349.0</v>
      </c>
      <c r="AJ31" s="54">
        <v>0.0</v>
      </c>
      <c r="AK31" s="54">
        <v>0.0</v>
      </c>
      <c r="AL31" s="54">
        <v>29434.0</v>
      </c>
      <c r="AM31" s="54">
        <v>0.0</v>
      </c>
      <c r="AN31" s="54">
        <v>0.0</v>
      </c>
      <c r="AO31" s="54">
        <v>0.0</v>
      </c>
      <c r="AP31" s="54">
        <v>0.0</v>
      </c>
      <c r="AQ31" s="54">
        <v>0.0</v>
      </c>
      <c r="AR31" s="54">
        <v>0.0</v>
      </c>
      <c r="AS31" s="54">
        <v>0.0</v>
      </c>
      <c r="AT31" s="54">
        <v>0.0</v>
      </c>
      <c r="AU31" s="54">
        <v>0.0</v>
      </c>
      <c r="AV31" s="54">
        <v>0.0</v>
      </c>
      <c r="AW31" s="54">
        <v>0.0</v>
      </c>
      <c r="AX31" s="54">
        <v>0.0</v>
      </c>
      <c r="AY31" s="54">
        <v>0.0</v>
      </c>
      <c r="AZ31" s="54">
        <v>0.0</v>
      </c>
      <c r="BA31" s="54">
        <v>0.0</v>
      </c>
      <c r="BB31" s="54">
        <v>0.0</v>
      </c>
      <c r="BC31" s="54">
        <v>6.333299E7</v>
      </c>
      <c r="BD31" s="54">
        <v>0.0</v>
      </c>
      <c r="BE31" s="54">
        <v>0.0</v>
      </c>
      <c r="BF31" s="54">
        <v>0.0</v>
      </c>
      <c r="BG31" s="54">
        <v>0.0</v>
      </c>
      <c r="BH31" s="54">
        <v>0.0</v>
      </c>
      <c r="BI31" s="54">
        <v>0.0</v>
      </c>
      <c r="BJ31" s="54">
        <v>0.0</v>
      </c>
      <c r="BK31" s="54">
        <v>0.0</v>
      </c>
      <c r="BL31" s="54">
        <v>0.0</v>
      </c>
      <c r="BM31" s="54">
        <v>0.0</v>
      </c>
      <c r="BN31" s="54">
        <v>0.0</v>
      </c>
      <c r="BO31" s="54">
        <v>0.0</v>
      </c>
      <c r="BP31" s="54">
        <v>0.0</v>
      </c>
      <c r="BQ31" s="54">
        <v>0.0</v>
      </c>
      <c r="BR31" s="54">
        <v>0.0</v>
      </c>
      <c r="BS31" s="54">
        <v>0.0</v>
      </c>
      <c r="BT31" s="54">
        <v>0.0</v>
      </c>
      <c r="BU31" s="54">
        <v>1901585.0</v>
      </c>
      <c r="BV31" s="54">
        <v>273084.0</v>
      </c>
      <c r="BW31" s="54">
        <v>0.0</v>
      </c>
      <c r="BX31" s="54">
        <v>0.0</v>
      </c>
      <c r="BY31" s="54">
        <v>0.0</v>
      </c>
      <c r="BZ31" s="54">
        <v>0.0</v>
      </c>
      <c r="CA31" s="54">
        <v>435.0</v>
      </c>
      <c r="CB31" s="54">
        <v>0.0</v>
      </c>
      <c r="CC31" s="54">
        <v>8471.0</v>
      </c>
      <c r="CD31" s="54">
        <v>0.0</v>
      </c>
      <c r="CE31" s="54">
        <v>0.0</v>
      </c>
      <c r="CF31" s="54">
        <v>919.0</v>
      </c>
      <c r="CG31" s="54">
        <v>0.0</v>
      </c>
      <c r="CH31" s="54">
        <v>0.0</v>
      </c>
      <c r="CI31" s="54">
        <v>0.0</v>
      </c>
      <c r="CJ31" s="54">
        <v>0.0</v>
      </c>
      <c r="CK31" s="54">
        <v>0.0</v>
      </c>
      <c r="CL31" s="54">
        <v>0.0</v>
      </c>
      <c r="CM31" s="54">
        <v>0.0</v>
      </c>
      <c r="CN31" s="54">
        <v>0.0</v>
      </c>
      <c r="CO31" s="54">
        <v>0.0</v>
      </c>
      <c r="CP31" s="54">
        <v>0.0</v>
      </c>
      <c r="CQ31" s="54">
        <v>0.0</v>
      </c>
      <c r="CR31" s="54">
        <v>0.0</v>
      </c>
      <c r="CS31" s="54">
        <v>0.0</v>
      </c>
      <c r="CT31" s="54">
        <v>0.0</v>
      </c>
      <c r="CU31" s="54">
        <v>0.0</v>
      </c>
      <c r="CV31" s="54">
        <v>0.0</v>
      </c>
      <c r="CW31" s="54">
        <v>0.0</v>
      </c>
      <c r="CX31" s="54">
        <v>0.0</v>
      </c>
      <c r="CY31" s="54">
        <v>0.0</v>
      </c>
      <c r="CZ31" s="54">
        <v>0.0</v>
      </c>
      <c r="DA31" s="54">
        <v>0.0</v>
      </c>
      <c r="DB31" s="54">
        <v>8325.0</v>
      </c>
      <c r="DC31" s="54">
        <v>0.0</v>
      </c>
      <c r="DD31" s="54">
        <v>203.0</v>
      </c>
      <c r="DE31" s="54">
        <v>0.0</v>
      </c>
      <c r="DF31" s="54">
        <v>0.0</v>
      </c>
      <c r="DG31" s="54">
        <v>0.0</v>
      </c>
      <c r="DH31" s="54">
        <v>0.0</v>
      </c>
      <c r="DI31" s="54">
        <v>0.0</v>
      </c>
      <c r="DJ31" s="54">
        <v>0.0</v>
      </c>
      <c r="DK31" s="54">
        <v>0.0</v>
      </c>
      <c r="DL31" s="54">
        <v>0.0</v>
      </c>
      <c r="DM31" s="54">
        <v>0.0</v>
      </c>
      <c r="DN31" s="54">
        <v>0.0</v>
      </c>
      <c r="DO31" s="54">
        <v>0.0</v>
      </c>
      <c r="DP31" s="54">
        <v>0.0</v>
      </c>
      <c r="DQ31" s="54">
        <v>0.0</v>
      </c>
      <c r="DR31" s="54">
        <v>0.0</v>
      </c>
      <c r="DS31" s="54">
        <v>0.0</v>
      </c>
      <c r="DT31" s="54">
        <v>0.0</v>
      </c>
      <c r="DU31" s="54">
        <v>0.0</v>
      </c>
      <c r="DV31" s="54">
        <v>0.0</v>
      </c>
      <c r="DW31" s="54">
        <v>0.0</v>
      </c>
      <c r="DX31" s="54">
        <v>0.0</v>
      </c>
      <c r="DY31" s="54">
        <v>0.0</v>
      </c>
      <c r="DZ31" s="54">
        <v>0.0</v>
      </c>
      <c r="EA31" s="54">
        <v>0.0</v>
      </c>
      <c r="EB31" s="54">
        <v>0.0</v>
      </c>
      <c r="EC31" s="54">
        <v>0.0</v>
      </c>
      <c r="ED31" s="54">
        <v>0.0</v>
      </c>
      <c r="EE31" s="54">
        <v>0.0</v>
      </c>
      <c r="EF31" s="54">
        <v>0.0</v>
      </c>
      <c r="EG31" s="54">
        <v>0.0</v>
      </c>
      <c r="EH31" s="54">
        <v>0.0</v>
      </c>
      <c r="EI31" s="54">
        <v>629.0</v>
      </c>
      <c r="EJ31" s="54">
        <v>0.0</v>
      </c>
      <c r="EK31" s="54">
        <v>0.0</v>
      </c>
      <c r="EL31" s="54">
        <v>0.0</v>
      </c>
      <c r="EM31" s="54">
        <v>0.0</v>
      </c>
      <c r="EN31" s="54">
        <v>0.0</v>
      </c>
      <c r="EO31" s="54">
        <v>0.0</v>
      </c>
      <c r="EP31" s="54">
        <v>0.0</v>
      </c>
      <c r="EQ31" s="54">
        <v>0.0</v>
      </c>
      <c r="ER31" s="54">
        <v>0.0</v>
      </c>
      <c r="ES31" s="54">
        <v>0.0</v>
      </c>
      <c r="ET31" s="54">
        <v>16.0</v>
      </c>
      <c r="EU31" s="54">
        <v>0.0</v>
      </c>
      <c r="EV31" s="54">
        <v>0.0</v>
      </c>
      <c r="EW31" s="54">
        <v>0.0</v>
      </c>
      <c r="EX31" s="54">
        <v>0.0</v>
      </c>
      <c r="EY31" s="54">
        <v>0.0</v>
      </c>
      <c r="EZ31" s="54">
        <v>0.0</v>
      </c>
      <c r="FA31" s="54">
        <v>0.0</v>
      </c>
      <c r="FB31" s="54">
        <v>0.0</v>
      </c>
      <c r="FC31" s="54">
        <v>0.0</v>
      </c>
      <c r="FD31" s="54">
        <v>0.0</v>
      </c>
      <c r="FE31" s="54">
        <v>0.0</v>
      </c>
      <c r="FF31" s="54">
        <v>0.0</v>
      </c>
      <c r="FG31" s="54">
        <v>0.0</v>
      </c>
      <c r="FH31" s="54">
        <v>0.0</v>
      </c>
      <c r="FI31" s="54">
        <v>0.0</v>
      </c>
      <c r="FJ31" s="54">
        <v>0.0</v>
      </c>
      <c r="FK31" s="54">
        <v>634639.0</v>
      </c>
      <c r="FL31" s="54">
        <v>0.0</v>
      </c>
      <c r="FM31" s="54">
        <v>0.0</v>
      </c>
      <c r="FN31" s="54">
        <v>0.0</v>
      </c>
      <c r="FO31" s="54">
        <v>0.0</v>
      </c>
      <c r="FP31" s="54">
        <v>0.0</v>
      </c>
      <c r="FQ31" s="54">
        <v>0.0</v>
      </c>
      <c r="FR31" s="54">
        <v>0.0</v>
      </c>
      <c r="FS31" s="54">
        <v>0.0</v>
      </c>
      <c r="FT31" s="54">
        <v>0.0</v>
      </c>
      <c r="FU31" s="54">
        <v>0.0</v>
      </c>
      <c r="FV31" s="54">
        <v>0.0</v>
      </c>
      <c r="FW31" s="54">
        <v>96747.0</v>
      </c>
      <c r="FX31" s="54">
        <v>0.0</v>
      </c>
      <c r="FY31" s="54">
        <v>109.0</v>
      </c>
      <c r="FZ31" s="54">
        <v>50.0</v>
      </c>
      <c r="GA31" s="54">
        <v>0.0</v>
      </c>
      <c r="GB31" s="54">
        <v>0.0</v>
      </c>
      <c r="GC31" s="54">
        <v>147818.0</v>
      </c>
      <c r="GD31" s="54">
        <v>0.0</v>
      </c>
      <c r="GE31" s="54">
        <v>0.0</v>
      </c>
      <c r="GF31" s="55">
        <v>7.1851558E7</v>
      </c>
      <c r="GG31" s="56">
        <v>474855.0</v>
      </c>
      <c r="GH31" s="57">
        <v>0.0</v>
      </c>
      <c r="GI31" s="56">
        <v>0.0</v>
      </c>
      <c r="GJ31" s="56">
        <v>6.9343373E7</v>
      </c>
      <c r="GK31" s="56">
        <v>-3161885.0</v>
      </c>
      <c r="GL31" s="56">
        <v>1195393.0</v>
      </c>
      <c r="GM31" s="56">
        <v>0.0</v>
      </c>
      <c r="GN31" s="55">
        <v>6.7851736E7</v>
      </c>
      <c r="GO31" s="58">
        <v>1.39703294E8</v>
      </c>
      <c r="GP31" s="56">
        <v>6752579.0</v>
      </c>
      <c r="GQ31" s="56">
        <v>0.0</v>
      </c>
      <c r="GR31" s="57">
        <v>0.0</v>
      </c>
      <c r="GS31" s="55">
        <v>6752579.0</v>
      </c>
      <c r="GT31" s="59">
        <v>1.390691E7</v>
      </c>
      <c r="GU31" s="59">
        <v>1.4363107E7</v>
      </c>
      <c r="GV31" s="59">
        <v>2786031.0</v>
      </c>
      <c r="GW31" s="55">
        <v>3.1056048E7</v>
      </c>
      <c r="GX31" s="55">
        <v>300747.0</v>
      </c>
      <c r="GY31" s="55">
        <v>1.0159392E8</v>
      </c>
      <c r="GZ31" s="58">
        <v>1.39703294E8</v>
      </c>
      <c r="HC31" s="107" t="s">
        <v>544</v>
      </c>
      <c r="HD31" s="107" t="s">
        <v>545</v>
      </c>
      <c r="HE31" s="109" t="s">
        <v>546</v>
      </c>
      <c r="HF31" s="110">
        <f>SUM(GZ137:GZ139,GZ140,GZ149,GZ162,GZ138,GZ160)</f>
        <v>423377269</v>
      </c>
      <c r="HH31" s="106"/>
    </row>
    <row r="32" ht="15.75" customHeight="1">
      <c r="A32" s="60">
        <v>27.0</v>
      </c>
      <c r="B32" s="111" t="s">
        <v>297</v>
      </c>
      <c r="C32" s="62">
        <v>0.0</v>
      </c>
      <c r="D32" s="62">
        <v>0.0</v>
      </c>
      <c r="E32" s="62">
        <v>0.0</v>
      </c>
      <c r="F32" s="62">
        <v>0.0</v>
      </c>
      <c r="G32" s="62">
        <v>0.0</v>
      </c>
      <c r="H32" s="62">
        <v>0.0</v>
      </c>
      <c r="I32" s="62">
        <v>0.0</v>
      </c>
      <c r="J32" s="62">
        <v>0.0</v>
      </c>
      <c r="K32" s="62">
        <v>0.0</v>
      </c>
      <c r="L32" s="62">
        <v>0.0</v>
      </c>
      <c r="M32" s="62">
        <v>0.0</v>
      </c>
      <c r="N32" s="62">
        <v>0.0</v>
      </c>
      <c r="O32" s="62">
        <v>0.0</v>
      </c>
      <c r="P32" s="62">
        <v>0.0</v>
      </c>
      <c r="Q32" s="62">
        <v>0.0</v>
      </c>
      <c r="R32" s="62">
        <v>0.0</v>
      </c>
      <c r="S32" s="62">
        <v>0.0</v>
      </c>
      <c r="T32" s="62">
        <v>0.0</v>
      </c>
      <c r="U32" s="62">
        <v>0.0</v>
      </c>
      <c r="V32" s="62">
        <v>0.0</v>
      </c>
      <c r="W32" s="62">
        <v>0.0</v>
      </c>
      <c r="X32" s="62">
        <v>0.0</v>
      </c>
      <c r="Y32" s="62">
        <v>0.0</v>
      </c>
      <c r="Z32" s="62">
        <v>0.0</v>
      </c>
      <c r="AA32" s="62">
        <v>0.0</v>
      </c>
      <c r="AB32" s="62">
        <v>256.0</v>
      </c>
      <c r="AC32" s="62">
        <v>4039.0</v>
      </c>
      <c r="AD32" s="62">
        <v>45367.0</v>
      </c>
      <c r="AE32" s="62">
        <v>0.0</v>
      </c>
      <c r="AF32" s="62">
        <v>0.0</v>
      </c>
      <c r="AG32" s="62">
        <v>0.0</v>
      </c>
      <c r="AH32" s="62">
        <v>0.0</v>
      </c>
      <c r="AI32" s="62">
        <v>0.0</v>
      </c>
      <c r="AJ32" s="62">
        <v>0.0</v>
      </c>
      <c r="AK32" s="62">
        <v>0.0</v>
      </c>
      <c r="AL32" s="62">
        <v>0.0</v>
      </c>
      <c r="AM32" s="62">
        <v>0.0</v>
      </c>
      <c r="AN32" s="62">
        <v>0.0</v>
      </c>
      <c r="AO32" s="62">
        <v>0.0</v>
      </c>
      <c r="AP32" s="62">
        <v>0.0</v>
      </c>
      <c r="AQ32" s="62">
        <v>0.0</v>
      </c>
      <c r="AR32" s="62">
        <v>0.0</v>
      </c>
      <c r="AS32" s="62">
        <v>0.0</v>
      </c>
      <c r="AT32" s="62">
        <v>0.0</v>
      </c>
      <c r="AU32" s="62">
        <v>0.0</v>
      </c>
      <c r="AV32" s="62">
        <v>0.0</v>
      </c>
      <c r="AW32" s="62">
        <v>0.0</v>
      </c>
      <c r="AX32" s="62">
        <v>0.0</v>
      </c>
      <c r="AY32" s="62">
        <v>0.0</v>
      </c>
      <c r="AZ32" s="62">
        <v>0.0</v>
      </c>
      <c r="BA32" s="62">
        <v>0.0</v>
      </c>
      <c r="BB32" s="62">
        <v>0.0</v>
      </c>
      <c r="BC32" s="62">
        <v>0.0</v>
      </c>
      <c r="BD32" s="62">
        <v>0.0</v>
      </c>
      <c r="BE32" s="62">
        <v>0.0</v>
      </c>
      <c r="BF32" s="62">
        <v>0.0</v>
      </c>
      <c r="BG32" s="62">
        <v>2010.0</v>
      </c>
      <c r="BH32" s="62">
        <v>0.0</v>
      </c>
      <c r="BI32" s="62">
        <v>0.0</v>
      </c>
      <c r="BJ32" s="62">
        <v>1.8195183E7</v>
      </c>
      <c r="BK32" s="62">
        <v>0.0</v>
      </c>
      <c r="BL32" s="62">
        <v>0.0</v>
      </c>
      <c r="BM32" s="62">
        <v>0.0</v>
      </c>
      <c r="BN32" s="62">
        <v>104900.0</v>
      </c>
      <c r="BO32" s="62">
        <v>0.0</v>
      </c>
      <c r="BP32" s="62">
        <v>0.0</v>
      </c>
      <c r="BQ32" s="62">
        <v>0.0</v>
      </c>
      <c r="BR32" s="62">
        <v>140.0</v>
      </c>
      <c r="BS32" s="62">
        <v>2857.0</v>
      </c>
      <c r="BT32" s="62">
        <v>0.0</v>
      </c>
      <c r="BU32" s="62">
        <v>11773.0</v>
      </c>
      <c r="BV32" s="62">
        <v>0.0</v>
      </c>
      <c r="BW32" s="62">
        <v>9666.0</v>
      </c>
      <c r="BX32" s="62">
        <v>209957.0</v>
      </c>
      <c r="BY32" s="62">
        <v>0.0</v>
      </c>
      <c r="BZ32" s="62">
        <v>0.0</v>
      </c>
      <c r="CA32" s="62">
        <v>0.0</v>
      </c>
      <c r="CB32" s="62">
        <v>0.0</v>
      </c>
      <c r="CC32" s="62">
        <v>0.0</v>
      </c>
      <c r="CD32" s="62">
        <v>0.0</v>
      </c>
      <c r="CE32" s="62">
        <v>0.0</v>
      </c>
      <c r="CF32" s="62">
        <v>0.0</v>
      </c>
      <c r="CG32" s="62">
        <v>0.0</v>
      </c>
      <c r="CH32" s="62">
        <v>0.0</v>
      </c>
      <c r="CI32" s="62">
        <v>0.0</v>
      </c>
      <c r="CJ32" s="62">
        <v>0.0</v>
      </c>
      <c r="CK32" s="62">
        <v>0.0</v>
      </c>
      <c r="CL32" s="62">
        <v>0.0</v>
      </c>
      <c r="CM32" s="62">
        <v>0.0</v>
      </c>
      <c r="CN32" s="62">
        <v>0.0</v>
      </c>
      <c r="CO32" s="62">
        <v>0.0</v>
      </c>
      <c r="CP32" s="62">
        <v>0.0</v>
      </c>
      <c r="CQ32" s="62">
        <v>0.0</v>
      </c>
      <c r="CR32" s="62">
        <v>0.0</v>
      </c>
      <c r="CS32" s="62">
        <v>0.0</v>
      </c>
      <c r="CT32" s="62">
        <v>0.0</v>
      </c>
      <c r="CU32" s="62">
        <v>0.0</v>
      </c>
      <c r="CV32" s="62">
        <v>0.0</v>
      </c>
      <c r="CW32" s="62">
        <v>0.0</v>
      </c>
      <c r="CX32" s="62">
        <v>0.0</v>
      </c>
      <c r="CY32" s="62">
        <v>0.0</v>
      </c>
      <c r="CZ32" s="62">
        <v>11852.0</v>
      </c>
      <c r="DA32" s="62">
        <v>26870.0</v>
      </c>
      <c r="DB32" s="62">
        <v>12829.0</v>
      </c>
      <c r="DC32" s="62">
        <v>0.0</v>
      </c>
      <c r="DD32" s="62">
        <v>6558.0</v>
      </c>
      <c r="DE32" s="62">
        <v>0.0</v>
      </c>
      <c r="DF32" s="62">
        <v>0.0</v>
      </c>
      <c r="DG32" s="62">
        <v>0.0</v>
      </c>
      <c r="DH32" s="62">
        <v>0.0</v>
      </c>
      <c r="DI32" s="62">
        <v>0.0</v>
      </c>
      <c r="DJ32" s="62">
        <v>0.0</v>
      </c>
      <c r="DK32" s="62">
        <v>0.0</v>
      </c>
      <c r="DL32" s="62">
        <v>0.0</v>
      </c>
      <c r="DM32" s="62">
        <v>0.0</v>
      </c>
      <c r="DN32" s="62">
        <v>0.0</v>
      </c>
      <c r="DO32" s="62">
        <v>0.0</v>
      </c>
      <c r="DP32" s="62">
        <v>0.0</v>
      </c>
      <c r="DQ32" s="62">
        <v>0.0</v>
      </c>
      <c r="DR32" s="62">
        <v>0.0</v>
      </c>
      <c r="DS32" s="62">
        <v>0.0</v>
      </c>
      <c r="DT32" s="62">
        <v>0.0</v>
      </c>
      <c r="DU32" s="62">
        <v>0.0</v>
      </c>
      <c r="DV32" s="62">
        <v>0.0</v>
      </c>
      <c r="DW32" s="62">
        <v>0.0</v>
      </c>
      <c r="DX32" s="62">
        <v>0.0</v>
      </c>
      <c r="DY32" s="62">
        <v>0.0</v>
      </c>
      <c r="DZ32" s="62">
        <v>0.0</v>
      </c>
      <c r="EA32" s="62">
        <v>0.0</v>
      </c>
      <c r="EB32" s="62">
        <v>0.0</v>
      </c>
      <c r="EC32" s="62">
        <v>0.0</v>
      </c>
      <c r="ED32" s="62">
        <v>0.0</v>
      </c>
      <c r="EE32" s="62">
        <v>0.0</v>
      </c>
      <c r="EF32" s="62">
        <v>0.0</v>
      </c>
      <c r="EG32" s="62">
        <v>0.0</v>
      </c>
      <c r="EH32" s="62">
        <v>0.0</v>
      </c>
      <c r="EI32" s="62">
        <v>0.0</v>
      </c>
      <c r="EJ32" s="62">
        <v>0.0</v>
      </c>
      <c r="EK32" s="62">
        <v>0.0</v>
      </c>
      <c r="EL32" s="62">
        <v>0.0</v>
      </c>
      <c r="EM32" s="62">
        <v>0.0</v>
      </c>
      <c r="EN32" s="62">
        <v>0.0</v>
      </c>
      <c r="EO32" s="62">
        <v>0.0</v>
      </c>
      <c r="EP32" s="62">
        <v>0.0</v>
      </c>
      <c r="EQ32" s="62">
        <v>0.0</v>
      </c>
      <c r="ER32" s="62">
        <v>0.0</v>
      </c>
      <c r="ES32" s="62">
        <v>0.0</v>
      </c>
      <c r="ET32" s="62">
        <v>0.0</v>
      </c>
      <c r="EU32" s="62">
        <v>0.0</v>
      </c>
      <c r="EV32" s="62">
        <v>0.0</v>
      </c>
      <c r="EW32" s="62">
        <v>0.0</v>
      </c>
      <c r="EX32" s="62">
        <v>0.0</v>
      </c>
      <c r="EY32" s="62">
        <v>0.0</v>
      </c>
      <c r="EZ32" s="62">
        <v>0.0</v>
      </c>
      <c r="FA32" s="62">
        <v>0.0</v>
      </c>
      <c r="FB32" s="62">
        <v>0.0</v>
      </c>
      <c r="FC32" s="62">
        <v>0.0</v>
      </c>
      <c r="FD32" s="62">
        <v>0.0</v>
      </c>
      <c r="FE32" s="62">
        <v>0.0</v>
      </c>
      <c r="FF32" s="62">
        <v>0.0</v>
      </c>
      <c r="FG32" s="62">
        <v>0.0</v>
      </c>
      <c r="FH32" s="62">
        <v>0.0</v>
      </c>
      <c r="FI32" s="62">
        <v>0.0</v>
      </c>
      <c r="FJ32" s="62">
        <v>41524.0</v>
      </c>
      <c r="FK32" s="62">
        <v>455445.0</v>
      </c>
      <c r="FL32" s="62">
        <v>0.0</v>
      </c>
      <c r="FM32" s="62">
        <v>0.0</v>
      </c>
      <c r="FN32" s="62">
        <v>0.0</v>
      </c>
      <c r="FO32" s="62">
        <v>0.0</v>
      </c>
      <c r="FP32" s="62">
        <v>0.0</v>
      </c>
      <c r="FQ32" s="62">
        <v>0.0</v>
      </c>
      <c r="FR32" s="62">
        <v>0.0</v>
      </c>
      <c r="FS32" s="62">
        <v>0.0</v>
      </c>
      <c r="FT32" s="62">
        <v>0.0</v>
      </c>
      <c r="FU32" s="62">
        <v>0.0</v>
      </c>
      <c r="FV32" s="62">
        <v>0.0</v>
      </c>
      <c r="FW32" s="62">
        <v>379.0</v>
      </c>
      <c r="FX32" s="62">
        <v>278.0</v>
      </c>
      <c r="FY32" s="62">
        <v>1234341.0</v>
      </c>
      <c r="FZ32" s="62">
        <v>0.0</v>
      </c>
      <c r="GA32" s="62">
        <v>50544.0</v>
      </c>
      <c r="GB32" s="62">
        <v>568034.0</v>
      </c>
      <c r="GC32" s="62">
        <v>32992.0</v>
      </c>
      <c r="GD32" s="62">
        <v>0.0</v>
      </c>
      <c r="GE32" s="62">
        <v>229006.0</v>
      </c>
      <c r="GF32" s="63">
        <v>2.12568E7</v>
      </c>
      <c r="GG32" s="64">
        <v>1123679.0</v>
      </c>
      <c r="GH32" s="65">
        <v>0.0</v>
      </c>
      <c r="GI32" s="64">
        <v>0.0</v>
      </c>
      <c r="GJ32" s="64">
        <v>0.0</v>
      </c>
      <c r="GK32" s="64">
        <v>-438818.0</v>
      </c>
      <c r="GL32" s="64">
        <v>135213.0</v>
      </c>
      <c r="GM32" s="64">
        <v>0.0</v>
      </c>
      <c r="GN32" s="63">
        <v>820074.0</v>
      </c>
      <c r="GO32" s="66">
        <v>2.2076874E7</v>
      </c>
      <c r="GP32" s="64">
        <v>174170.0</v>
      </c>
      <c r="GQ32" s="64">
        <v>0.0</v>
      </c>
      <c r="GR32" s="65">
        <v>0.0</v>
      </c>
      <c r="GS32" s="63">
        <v>174170.0</v>
      </c>
      <c r="GT32" s="67">
        <v>2388175.0</v>
      </c>
      <c r="GU32" s="67">
        <v>1565297.0</v>
      </c>
      <c r="GV32" s="67">
        <v>246789.0</v>
      </c>
      <c r="GW32" s="63">
        <v>4200261.0</v>
      </c>
      <c r="GX32" s="63">
        <v>17432.0</v>
      </c>
      <c r="GY32" s="63">
        <v>1.7685011E7</v>
      </c>
      <c r="GZ32" s="66">
        <v>2.2076874E7</v>
      </c>
      <c r="HC32" s="107" t="s">
        <v>547</v>
      </c>
      <c r="HD32" s="107" t="s">
        <v>548</v>
      </c>
      <c r="HE32" s="109" t="s">
        <v>549</v>
      </c>
      <c r="HF32" s="113">
        <f>SUM(GZ159,GZ161:GZ166)</f>
        <v>850333235</v>
      </c>
      <c r="HH32" s="106"/>
    </row>
    <row r="33" ht="15.75" customHeight="1">
      <c r="A33" s="60">
        <v>28.0</v>
      </c>
      <c r="B33" s="111" t="s">
        <v>298</v>
      </c>
      <c r="C33" s="62">
        <v>88607.0</v>
      </c>
      <c r="D33" s="62">
        <v>88791.0</v>
      </c>
      <c r="E33" s="62">
        <v>8922.0</v>
      </c>
      <c r="F33" s="62">
        <v>63798.0</v>
      </c>
      <c r="G33" s="62">
        <v>2623.0</v>
      </c>
      <c r="H33" s="62">
        <v>16301.0</v>
      </c>
      <c r="I33" s="62">
        <v>5998.0</v>
      </c>
      <c r="J33" s="62">
        <v>9167.0</v>
      </c>
      <c r="K33" s="62">
        <v>0.0</v>
      </c>
      <c r="L33" s="62">
        <v>665365.0</v>
      </c>
      <c r="M33" s="62">
        <v>66882.0</v>
      </c>
      <c r="N33" s="62">
        <v>65771.0</v>
      </c>
      <c r="O33" s="62">
        <v>279090.0</v>
      </c>
      <c r="P33" s="62">
        <v>624.0</v>
      </c>
      <c r="Q33" s="62">
        <v>27772.0</v>
      </c>
      <c r="R33" s="62">
        <v>1267702.0</v>
      </c>
      <c r="S33" s="62">
        <v>24110.0</v>
      </c>
      <c r="T33" s="62">
        <v>16269.0</v>
      </c>
      <c r="U33" s="62">
        <v>5452.0</v>
      </c>
      <c r="V33" s="62">
        <v>85396.0</v>
      </c>
      <c r="W33" s="62">
        <v>3110.0</v>
      </c>
      <c r="X33" s="62">
        <v>91120.0</v>
      </c>
      <c r="Y33" s="62">
        <v>48490.0</v>
      </c>
      <c r="Z33" s="62">
        <v>81514.0</v>
      </c>
      <c r="AA33" s="62">
        <v>952.0</v>
      </c>
      <c r="AB33" s="62">
        <v>53015.0</v>
      </c>
      <c r="AC33" s="62">
        <v>6184.0</v>
      </c>
      <c r="AD33" s="62">
        <v>4595365.0</v>
      </c>
      <c r="AE33" s="62">
        <v>42056.0</v>
      </c>
      <c r="AF33" s="62">
        <v>0.0</v>
      </c>
      <c r="AG33" s="62">
        <v>0.0</v>
      </c>
      <c r="AH33" s="62">
        <v>0.0</v>
      </c>
      <c r="AI33" s="62">
        <v>0.0</v>
      </c>
      <c r="AJ33" s="62">
        <v>0.0</v>
      </c>
      <c r="AK33" s="62">
        <v>0.0</v>
      </c>
      <c r="AL33" s="62">
        <v>8765.0</v>
      </c>
      <c r="AM33" s="62">
        <v>0.0</v>
      </c>
      <c r="AN33" s="62">
        <v>0.0</v>
      </c>
      <c r="AO33" s="62">
        <v>0.0</v>
      </c>
      <c r="AP33" s="62">
        <v>0.0</v>
      </c>
      <c r="AQ33" s="62">
        <v>0.0</v>
      </c>
      <c r="AR33" s="62">
        <v>0.0</v>
      </c>
      <c r="AS33" s="62">
        <v>0.0</v>
      </c>
      <c r="AT33" s="62">
        <v>0.0</v>
      </c>
      <c r="AU33" s="62">
        <v>0.0</v>
      </c>
      <c r="AV33" s="62">
        <v>0.0</v>
      </c>
      <c r="AW33" s="62">
        <v>0.0</v>
      </c>
      <c r="AX33" s="62">
        <v>0.0</v>
      </c>
      <c r="AY33" s="62">
        <v>0.0</v>
      </c>
      <c r="AZ33" s="62">
        <v>0.0</v>
      </c>
      <c r="BA33" s="62">
        <v>0.0</v>
      </c>
      <c r="BB33" s="62">
        <v>0.0</v>
      </c>
      <c r="BC33" s="62">
        <v>9.6443546E7</v>
      </c>
      <c r="BD33" s="62">
        <v>205565.0</v>
      </c>
      <c r="BE33" s="62">
        <v>0.0</v>
      </c>
      <c r="BF33" s="62">
        <v>0.0</v>
      </c>
      <c r="BG33" s="62">
        <v>2870.0</v>
      </c>
      <c r="BH33" s="62">
        <v>0.0</v>
      </c>
      <c r="BI33" s="62">
        <v>0.0</v>
      </c>
      <c r="BJ33" s="62">
        <v>40125.0</v>
      </c>
      <c r="BK33" s="62">
        <v>0.0</v>
      </c>
      <c r="BL33" s="62">
        <v>0.0</v>
      </c>
      <c r="BM33" s="62">
        <v>0.0</v>
      </c>
      <c r="BN33" s="62">
        <v>1911153.0</v>
      </c>
      <c r="BO33" s="62">
        <v>0.0</v>
      </c>
      <c r="BP33" s="62">
        <v>159.0</v>
      </c>
      <c r="BQ33" s="62">
        <v>5475.0</v>
      </c>
      <c r="BR33" s="62">
        <v>78.0</v>
      </c>
      <c r="BS33" s="62">
        <v>141.0</v>
      </c>
      <c r="BT33" s="62">
        <v>24706.0</v>
      </c>
      <c r="BU33" s="62">
        <v>6011320.0</v>
      </c>
      <c r="BV33" s="62">
        <v>0.0</v>
      </c>
      <c r="BW33" s="62">
        <v>0.0</v>
      </c>
      <c r="BX33" s="62">
        <v>10114.0</v>
      </c>
      <c r="BY33" s="62">
        <v>0.0</v>
      </c>
      <c r="BZ33" s="62">
        <v>0.0</v>
      </c>
      <c r="CA33" s="62">
        <v>0.0</v>
      </c>
      <c r="CB33" s="62">
        <v>0.0</v>
      </c>
      <c r="CC33" s="62">
        <v>0.0</v>
      </c>
      <c r="CD33" s="62">
        <v>0.0</v>
      </c>
      <c r="CE33" s="62">
        <v>0.0</v>
      </c>
      <c r="CF33" s="62">
        <v>0.0</v>
      </c>
      <c r="CG33" s="62">
        <v>0.0</v>
      </c>
      <c r="CH33" s="62">
        <v>0.0</v>
      </c>
      <c r="CI33" s="62">
        <v>0.0</v>
      </c>
      <c r="CJ33" s="62">
        <v>0.0</v>
      </c>
      <c r="CK33" s="62">
        <v>0.0</v>
      </c>
      <c r="CL33" s="62">
        <v>0.0</v>
      </c>
      <c r="CM33" s="62">
        <v>0.0</v>
      </c>
      <c r="CN33" s="62">
        <v>0.0</v>
      </c>
      <c r="CO33" s="62">
        <v>0.0</v>
      </c>
      <c r="CP33" s="62">
        <v>0.0</v>
      </c>
      <c r="CQ33" s="62">
        <v>0.0</v>
      </c>
      <c r="CR33" s="62">
        <v>0.0</v>
      </c>
      <c r="CS33" s="62">
        <v>0.0</v>
      </c>
      <c r="CT33" s="62">
        <v>0.0</v>
      </c>
      <c r="CU33" s="62">
        <v>0.0</v>
      </c>
      <c r="CV33" s="62">
        <v>0.0</v>
      </c>
      <c r="CW33" s="62">
        <v>0.0</v>
      </c>
      <c r="CX33" s="62">
        <v>0.0</v>
      </c>
      <c r="CY33" s="62">
        <v>0.0</v>
      </c>
      <c r="CZ33" s="62">
        <v>0.0</v>
      </c>
      <c r="DA33" s="62">
        <v>0.0</v>
      </c>
      <c r="DB33" s="62">
        <v>3443.0</v>
      </c>
      <c r="DC33" s="62">
        <v>84364.0</v>
      </c>
      <c r="DD33" s="62">
        <v>22372.0</v>
      </c>
      <c r="DE33" s="62">
        <v>0.0</v>
      </c>
      <c r="DF33" s="62">
        <v>0.0</v>
      </c>
      <c r="DG33" s="62">
        <v>0.0</v>
      </c>
      <c r="DH33" s="62">
        <v>0.0</v>
      </c>
      <c r="DI33" s="62">
        <v>0.0</v>
      </c>
      <c r="DJ33" s="62">
        <v>0.0</v>
      </c>
      <c r="DK33" s="62">
        <v>0.0</v>
      </c>
      <c r="DL33" s="62">
        <v>0.0</v>
      </c>
      <c r="DM33" s="62">
        <v>0.0</v>
      </c>
      <c r="DN33" s="62">
        <v>0.0</v>
      </c>
      <c r="DO33" s="62">
        <v>0.0</v>
      </c>
      <c r="DP33" s="62">
        <v>0.0</v>
      </c>
      <c r="DQ33" s="62">
        <v>0.0</v>
      </c>
      <c r="DR33" s="62">
        <v>0.0</v>
      </c>
      <c r="DS33" s="62">
        <v>0.0</v>
      </c>
      <c r="DT33" s="62">
        <v>0.0</v>
      </c>
      <c r="DU33" s="62">
        <v>0.0</v>
      </c>
      <c r="DV33" s="62">
        <v>0.0</v>
      </c>
      <c r="DW33" s="62">
        <v>0.0</v>
      </c>
      <c r="DX33" s="62">
        <v>0.0</v>
      </c>
      <c r="DY33" s="62">
        <v>0.0</v>
      </c>
      <c r="DZ33" s="62">
        <v>0.0</v>
      </c>
      <c r="EA33" s="62">
        <v>0.0</v>
      </c>
      <c r="EB33" s="62">
        <v>0.0</v>
      </c>
      <c r="EC33" s="62">
        <v>0.0</v>
      </c>
      <c r="ED33" s="62">
        <v>0.0</v>
      </c>
      <c r="EE33" s="62">
        <v>0.0</v>
      </c>
      <c r="EF33" s="62">
        <v>0.0</v>
      </c>
      <c r="EG33" s="62">
        <v>0.0</v>
      </c>
      <c r="EH33" s="62">
        <v>0.0</v>
      </c>
      <c r="EI33" s="62">
        <v>0.0</v>
      </c>
      <c r="EJ33" s="62">
        <v>0.0</v>
      </c>
      <c r="EK33" s="62">
        <v>0.0</v>
      </c>
      <c r="EL33" s="62">
        <v>155325.0</v>
      </c>
      <c r="EM33" s="62">
        <v>4443.0</v>
      </c>
      <c r="EN33" s="62">
        <v>0.0</v>
      </c>
      <c r="EO33" s="62">
        <v>0.0</v>
      </c>
      <c r="EP33" s="62">
        <v>0.0</v>
      </c>
      <c r="EQ33" s="62">
        <v>0.0</v>
      </c>
      <c r="ER33" s="62">
        <v>0.0</v>
      </c>
      <c r="ES33" s="62">
        <v>0.0</v>
      </c>
      <c r="ET33" s="62">
        <v>0.0</v>
      </c>
      <c r="EU33" s="62">
        <v>0.0</v>
      </c>
      <c r="EV33" s="62">
        <v>0.0</v>
      </c>
      <c r="EW33" s="62">
        <v>0.0</v>
      </c>
      <c r="EX33" s="62">
        <v>0.0</v>
      </c>
      <c r="EY33" s="62">
        <v>0.0</v>
      </c>
      <c r="EZ33" s="62">
        <v>0.0</v>
      </c>
      <c r="FA33" s="62">
        <v>0.0</v>
      </c>
      <c r="FB33" s="62">
        <v>0.0</v>
      </c>
      <c r="FC33" s="62">
        <v>0.0</v>
      </c>
      <c r="FD33" s="62">
        <v>0.0</v>
      </c>
      <c r="FE33" s="62">
        <v>57167.0</v>
      </c>
      <c r="FF33" s="62">
        <v>0.0</v>
      </c>
      <c r="FG33" s="62">
        <v>0.0</v>
      </c>
      <c r="FH33" s="62">
        <v>0.0</v>
      </c>
      <c r="FI33" s="62">
        <v>0.0</v>
      </c>
      <c r="FJ33" s="62">
        <v>2118261.0</v>
      </c>
      <c r="FK33" s="62">
        <v>1.6426834E7</v>
      </c>
      <c r="FL33" s="62">
        <v>0.0</v>
      </c>
      <c r="FM33" s="62">
        <v>0.0</v>
      </c>
      <c r="FN33" s="62">
        <v>0.0</v>
      </c>
      <c r="FO33" s="62">
        <v>0.0</v>
      </c>
      <c r="FP33" s="62">
        <v>0.0</v>
      </c>
      <c r="FQ33" s="62">
        <v>0.0</v>
      </c>
      <c r="FR33" s="62">
        <v>0.0</v>
      </c>
      <c r="FS33" s="62">
        <v>0.0</v>
      </c>
      <c r="FT33" s="62">
        <v>0.0</v>
      </c>
      <c r="FU33" s="62">
        <v>0.0</v>
      </c>
      <c r="FV33" s="62">
        <v>0.0</v>
      </c>
      <c r="FW33" s="62">
        <v>205501.0</v>
      </c>
      <c r="FX33" s="62">
        <v>6233.0</v>
      </c>
      <c r="FY33" s="62">
        <v>382269.0</v>
      </c>
      <c r="FZ33" s="62">
        <v>2926.0</v>
      </c>
      <c r="GA33" s="62">
        <v>160342.0</v>
      </c>
      <c r="GB33" s="62">
        <v>1383123.0</v>
      </c>
      <c r="GC33" s="62">
        <v>148539.0</v>
      </c>
      <c r="GD33" s="62">
        <v>0.0</v>
      </c>
      <c r="GE33" s="62">
        <v>608013.0</v>
      </c>
      <c r="GF33" s="63">
        <v>1.34143618E8</v>
      </c>
      <c r="GG33" s="64">
        <v>9.6248584E7</v>
      </c>
      <c r="GH33" s="65">
        <v>0.0</v>
      </c>
      <c r="GI33" s="64">
        <v>0.0</v>
      </c>
      <c r="GJ33" s="64">
        <v>3.2590435E7</v>
      </c>
      <c r="GK33" s="64">
        <v>-2018594.0</v>
      </c>
      <c r="GL33" s="64">
        <v>32986.0</v>
      </c>
      <c r="GM33" s="64">
        <v>0.0</v>
      </c>
      <c r="GN33" s="63">
        <v>1.26853411E8</v>
      </c>
      <c r="GO33" s="66">
        <v>2.60997029E8</v>
      </c>
      <c r="GP33" s="64">
        <v>509273.0</v>
      </c>
      <c r="GQ33" s="64">
        <v>0.0</v>
      </c>
      <c r="GR33" s="65">
        <v>0.0</v>
      </c>
      <c r="GS33" s="63">
        <v>509273.0</v>
      </c>
      <c r="GT33" s="67">
        <v>2.4338252E7</v>
      </c>
      <c r="GU33" s="67">
        <v>2.6686842E7</v>
      </c>
      <c r="GV33" s="67">
        <v>3176670.0</v>
      </c>
      <c r="GW33" s="63">
        <v>5.4201764E7</v>
      </c>
      <c r="GX33" s="63">
        <v>25295.0</v>
      </c>
      <c r="GY33" s="63">
        <v>2.06260697E8</v>
      </c>
      <c r="GZ33" s="66">
        <v>2.60997029E8</v>
      </c>
      <c r="HC33" s="107" t="s">
        <v>550</v>
      </c>
      <c r="HD33" s="107" t="s">
        <v>551</v>
      </c>
      <c r="HE33" s="109" t="s">
        <v>552</v>
      </c>
      <c r="HF33" s="113">
        <f>SUM(GZ169:GZ170)</f>
        <v>1249866699</v>
      </c>
      <c r="HH33" s="106"/>
    </row>
    <row r="34" ht="15.75" customHeight="1">
      <c r="A34" s="60">
        <v>29.0</v>
      </c>
      <c r="B34" s="111" t="s">
        <v>299</v>
      </c>
      <c r="C34" s="62">
        <v>0.0</v>
      </c>
      <c r="D34" s="62">
        <v>0.0</v>
      </c>
      <c r="E34" s="62">
        <v>0.0</v>
      </c>
      <c r="F34" s="62">
        <v>0.0</v>
      </c>
      <c r="G34" s="62">
        <v>0.0</v>
      </c>
      <c r="H34" s="62">
        <v>0.0</v>
      </c>
      <c r="I34" s="62">
        <v>0.0</v>
      </c>
      <c r="J34" s="62">
        <v>0.0</v>
      </c>
      <c r="K34" s="62">
        <v>0.0</v>
      </c>
      <c r="L34" s="62">
        <v>0.0</v>
      </c>
      <c r="M34" s="62">
        <v>0.0</v>
      </c>
      <c r="N34" s="62">
        <v>0.0</v>
      </c>
      <c r="O34" s="62">
        <v>0.0</v>
      </c>
      <c r="P34" s="62">
        <v>0.0</v>
      </c>
      <c r="Q34" s="62">
        <v>0.0</v>
      </c>
      <c r="R34" s="62">
        <v>0.0</v>
      </c>
      <c r="S34" s="62">
        <v>0.0</v>
      </c>
      <c r="T34" s="62">
        <v>0.0</v>
      </c>
      <c r="U34" s="62">
        <v>0.0</v>
      </c>
      <c r="V34" s="62">
        <v>0.0</v>
      </c>
      <c r="W34" s="62">
        <v>0.0</v>
      </c>
      <c r="X34" s="62">
        <v>0.0</v>
      </c>
      <c r="Y34" s="62">
        <v>0.0</v>
      </c>
      <c r="Z34" s="62">
        <v>0.0</v>
      </c>
      <c r="AA34" s="62">
        <v>0.0</v>
      </c>
      <c r="AB34" s="62">
        <v>0.0</v>
      </c>
      <c r="AC34" s="62">
        <v>0.0</v>
      </c>
      <c r="AD34" s="62">
        <v>0.0</v>
      </c>
      <c r="AE34" s="62">
        <v>219309.0</v>
      </c>
      <c r="AF34" s="62">
        <v>0.0</v>
      </c>
      <c r="AG34" s="62">
        <v>0.0</v>
      </c>
      <c r="AH34" s="62">
        <v>0.0</v>
      </c>
      <c r="AI34" s="62">
        <v>6352.0</v>
      </c>
      <c r="AJ34" s="62">
        <v>0.0</v>
      </c>
      <c r="AK34" s="62">
        <v>0.0</v>
      </c>
      <c r="AL34" s="62">
        <v>0.0</v>
      </c>
      <c r="AM34" s="62">
        <v>0.0</v>
      </c>
      <c r="AN34" s="62">
        <v>0.0</v>
      </c>
      <c r="AO34" s="62">
        <v>0.0</v>
      </c>
      <c r="AP34" s="62">
        <v>0.0</v>
      </c>
      <c r="AQ34" s="62">
        <v>0.0</v>
      </c>
      <c r="AR34" s="62">
        <v>0.0</v>
      </c>
      <c r="AS34" s="62">
        <v>0.0</v>
      </c>
      <c r="AT34" s="62">
        <v>0.0</v>
      </c>
      <c r="AU34" s="62">
        <v>0.0</v>
      </c>
      <c r="AV34" s="62">
        <v>0.0</v>
      </c>
      <c r="AW34" s="62">
        <v>0.0</v>
      </c>
      <c r="AX34" s="62">
        <v>0.0</v>
      </c>
      <c r="AY34" s="62">
        <v>0.0</v>
      </c>
      <c r="AZ34" s="62">
        <v>0.0</v>
      </c>
      <c r="BA34" s="62">
        <v>0.0</v>
      </c>
      <c r="BB34" s="62">
        <v>0.0</v>
      </c>
      <c r="BC34" s="62">
        <v>0.0</v>
      </c>
      <c r="BD34" s="62">
        <v>0.0</v>
      </c>
      <c r="BE34" s="62">
        <v>0.0</v>
      </c>
      <c r="BF34" s="62">
        <v>0.0</v>
      </c>
      <c r="BG34" s="62">
        <v>0.0</v>
      </c>
      <c r="BH34" s="62">
        <v>4632.0</v>
      </c>
      <c r="BI34" s="62">
        <v>0.0</v>
      </c>
      <c r="BJ34" s="62">
        <v>0.0</v>
      </c>
      <c r="BK34" s="62">
        <v>0.0</v>
      </c>
      <c r="BL34" s="62">
        <v>0.0</v>
      </c>
      <c r="BM34" s="62">
        <v>0.0</v>
      </c>
      <c r="BN34" s="62">
        <v>0.0</v>
      </c>
      <c r="BO34" s="62">
        <v>0.0</v>
      </c>
      <c r="BP34" s="62">
        <v>0.0</v>
      </c>
      <c r="BQ34" s="62">
        <v>0.0</v>
      </c>
      <c r="BR34" s="62">
        <v>0.0</v>
      </c>
      <c r="BS34" s="62">
        <v>0.0</v>
      </c>
      <c r="BT34" s="62">
        <v>0.0</v>
      </c>
      <c r="BU34" s="62">
        <v>248.0</v>
      </c>
      <c r="BV34" s="62">
        <v>0.0</v>
      </c>
      <c r="BW34" s="62">
        <v>0.0</v>
      </c>
      <c r="BX34" s="62">
        <v>0.0</v>
      </c>
      <c r="BY34" s="62">
        <v>0.0</v>
      </c>
      <c r="BZ34" s="62">
        <v>0.0</v>
      </c>
      <c r="CA34" s="62">
        <v>225698.0</v>
      </c>
      <c r="CB34" s="62">
        <v>0.0</v>
      </c>
      <c r="CC34" s="62">
        <v>0.0</v>
      </c>
      <c r="CD34" s="62">
        <v>0.0</v>
      </c>
      <c r="CE34" s="62">
        <v>0.0</v>
      </c>
      <c r="CF34" s="62">
        <v>0.0</v>
      </c>
      <c r="CG34" s="62">
        <v>0.0</v>
      </c>
      <c r="CH34" s="62">
        <v>0.0</v>
      </c>
      <c r="CI34" s="62">
        <v>0.0</v>
      </c>
      <c r="CJ34" s="62">
        <v>0.0</v>
      </c>
      <c r="CK34" s="62">
        <v>0.0</v>
      </c>
      <c r="CL34" s="62">
        <v>0.0</v>
      </c>
      <c r="CM34" s="62">
        <v>0.0</v>
      </c>
      <c r="CN34" s="62">
        <v>0.0</v>
      </c>
      <c r="CO34" s="62">
        <v>0.0</v>
      </c>
      <c r="CP34" s="62">
        <v>0.0</v>
      </c>
      <c r="CQ34" s="62">
        <v>0.0</v>
      </c>
      <c r="CR34" s="62">
        <v>0.0</v>
      </c>
      <c r="CS34" s="62">
        <v>0.0</v>
      </c>
      <c r="CT34" s="62">
        <v>0.0</v>
      </c>
      <c r="CU34" s="62">
        <v>0.0</v>
      </c>
      <c r="CV34" s="62">
        <v>0.0</v>
      </c>
      <c r="CW34" s="62">
        <v>0.0</v>
      </c>
      <c r="CX34" s="62">
        <v>0.0</v>
      </c>
      <c r="CY34" s="62">
        <v>0.0</v>
      </c>
      <c r="CZ34" s="62">
        <v>0.0</v>
      </c>
      <c r="DA34" s="62">
        <v>0.0</v>
      </c>
      <c r="DB34" s="62">
        <v>0.0</v>
      </c>
      <c r="DC34" s="62">
        <v>0.0</v>
      </c>
      <c r="DD34" s="62">
        <v>5463.0</v>
      </c>
      <c r="DE34" s="62">
        <v>0.0</v>
      </c>
      <c r="DF34" s="62">
        <v>0.0</v>
      </c>
      <c r="DG34" s="62">
        <v>0.0</v>
      </c>
      <c r="DH34" s="62">
        <v>0.0</v>
      </c>
      <c r="DI34" s="62">
        <v>0.0</v>
      </c>
      <c r="DJ34" s="62">
        <v>0.0</v>
      </c>
      <c r="DK34" s="62">
        <v>0.0</v>
      </c>
      <c r="DL34" s="62">
        <v>0.0</v>
      </c>
      <c r="DM34" s="62">
        <v>0.0</v>
      </c>
      <c r="DN34" s="62">
        <v>0.0</v>
      </c>
      <c r="DO34" s="62">
        <v>0.0</v>
      </c>
      <c r="DP34" s="62">
        <v>0.0</v>
      </c>
      <c r="DQ34" s="62">
        <v>0.0</v>
      </c>
      <c r="DR34" s="62">
        <v>0.0</v>
      </c>
      <c r="DS34" s="62">
        <v>0.0</v>
      </c>
      <c r="DT34" s="62">
        <v>0.0</v>
      </c>
      <c r="DU34" s="62">
        <v>0.0</v>
      </c>
      <c r="DV34" s="62">
        <v>0.0</v>
      </c>
      <c r="DW34" s="62">
        <v>0.0</v>
      </c>
      <c r="DX34" s="62">
        <v>0.0</v>
      </c>
      <c r="DY34" s="62">
        <v>0.0</v>
      </c>
      <c r="DZ34" s="62">
        <v>0.0</v>
      </c>
      <c r="EA34" s="62">
        <v>0.0</v>
      </c>
      <c r="EB34" s="62">
        <v>0.0</v>
      </c>
      <c r="EC34" s="62">
        <v>0.0</v>
      </c>
      <c r="ED34" s="62">
        <v>0.0</v>
      </c>
      <c r="EE34" s="62">
        <v>0.0</v>
      </c>
      <c r="EF34" s="62">
        <v>0.0</v>
      </c>
      <c r="EG34" s="62">
        <v>0.0</v>
      </c>
      <c r="EH34" s="62">
        <v>0.0</v>
      </c>
      <c r="EI34" s="62">
        <v>0.0</v>
      </c>
      <c r="EJ34" s="62">
        <v>0.0</v>
      </c>
      <c r="EK34" s="62">
        <v>0.0</v>
      </c>
      <c r="EL34" s="62">
        <v>0.0</v>
      </c>
      <c r="EM34" s="62">
        <v>0.0</v>
      </c>
      <c r="EN34" s="62">
        <v>0.0</v>
      </c>
      <c r="EO34" s="62">
        <v>0.0</v>
      </c>
      <c r="EP34" s="62">
        <v>0.0</v>
      </c>
      <c r="EQ34" s="62">
        <v>0.0</v>
      </c>
      <c r="ER34" s="62">
        <v>0.0</v>
      </c>
      <c r="ES34" s="62">
        <v>0.0</v>
      </c>
      <c r="ET34" s="62">
        <v>0.0</v>
      </c>
      <c r="EU34" s="62">
        <v>0.0</v>
      </c>
      <c r="EV34" s="62">
        <v>0.0</v>
      </c>
      <c r="EW34" s="62">
        <v>0.0</v>
      </c>
      <c r="EX34" s="62">
        <v>0.0</v>
      </c>
      <c r="EY34" s="62">
        <v>0.0</v>
      </c>
      <c r="EZ34" s="62">
        <v>0.0</v>
      </c>
      <c r="FA34" s="62">
        <v>0.0</v>
      </c>
      <c r="FB34" s="62">
        <v>0.0</v>
      </c>
      <c r="FC34" s="62">
        <v>0.0</v>
      </c>
      <c r="FD34" s="62">
        <v>0.0</v>
      </c>
      <c r="FE34" s="62">
        <v>0.0</v>
      </c>
      <c r="FF34" s="62">
        <v>0.0</v>
      </c>
      <c r="FG34" s="62">
        <v>0.0</v>
      </c>
      <c r="FH34" s="62">
        <v>0.0</v>
      </c>
      <c r="FI34" s="62">
        <v>0.0</v>
      </c>
      <c r="FJ34" s="62">
        <v>35171.0</v>
      </c>
      <c r="FK34" s="62">
        <v>112222.0</v>
      </c>
      <c r="FL34" s="62">
        <v>0.0</v>
      </c>
      <c r="FM34" s="62">
        <v>0.0</v>
      </c>
      <c r="FN34" s="62">
        <v>0.0</v>
      </c>
      <c r="FO34" s="62">
        <v>0.0</v>
      </c>
      <c r="FP34" s="62">
        <v>0.0</v>
      </c>
      <c r="FQ34" s="62">
        <v>0.0</v>
      </c>
      <c r="FR34" s="62">
        <v>0.0</v>
      </c>
      <c r="FS34" s="62">
        <v>0.0</v>
      </c>
      <c r="FT34" s="62">
        <v>0.0</v>
      </c>
      <c r="FU34" s="62">
        <v>0.0</v>
      </c>
      <c r="FV34" s="62">
        <v>0.0</v>
      </c>
      <c r="FW34" s="62">
        <v>0.0</v>
      </c>
      <c r="FX34" s="62">
        <v>0.0</v>
      </c>
      <c r="FY34" s="62">
        <v>0.0</v>
      </c>
      <c r="FZ34" s="62">
        <v>0.0</v>
      </c>
      <c r="GA34" s="62">
        <v>0.0</v>
      </c>
      <c r="GB34" s="62">
        <v>17.0</v>
      </c>
      <c r="GC34" s="62">
        <v>960.0</v>
      </c>
      <c r="GD34" s="62">
        <v>0.0</v>
      </c>
      <c r="GE34" s="62">
        <v>0.0</v>
      </c>
      <c r="GF34" s="63">
        <v>610072.0</v>
      </c>
      <c r="GG34" s="64">
        <v>6510565.0</v>
      </c>
      <c r="GH34" s="65">
        <v>0.0</v>
      </c>
      <c r="GI34" s="64">
        <v>0.0</v>
      </c>
      <c r="GJ34" s="64">
        <v>9850970.0</v>
      </c>
      <c r="GK34" s="64">
        <v>-1604509.0</v>
      </c>
      <c r="GL34" s="64">
        <v>7911017.0</v>
      </c>
      <c r="GM34" s="64">
        <v>0.0</v>
      </c>
      <c r="GN34" s="63">
        <v>2.2668043E7</v>
      </c>
      <c r="GO34" s="66">
        <v>2.3278115E7</v>
      </c>
      <c r="GP34" s="64">
        <v>54147.0</v>
      </c>
      <c r="GQ34" s="64">
        <v>0.0</v>
      </c>
      <c r="GR34" s="65">
        <v>0.0</v>
      </c>
      <c r="GS34" s="63">
        <v>54147.0</v>
      </c>
      <c r="GT34" s="67">
        <v>2938273.0</v>
      </c>
      <c r="GU34" s="67">
        <v>1779836.0</v>
      </c>
      <c r="GV34" s="67">
        <v>319442.0</v>
      </c>
      <c r="GW34" s="63">
        <v>5037551.0</v>
      </c>
      <c r="GX34" s="63">
        <v>5725.0</v>
      </c>
      <c r="GY34" s="63">
        <v>1.8180692E7</v>
      </c>
      <c r="GZ34" s="66">
        <v>2.3278115E7</v>
      </c>
      <c r="HC34" s="107" t="s">
        <v>553</v>
      </c>
      <c r="HD34" s="107" t="s">
        <v>554</v>
      </c>
      <c r="HE34" s="109" t="s">
        <v>555</v>
      </c>
      <c r="HF34" s="113">
        <f>SUM(GZ171:GZ172)</f>
        <v>359437845</v>
      </c>
      <c r="HH34" s="106"/>
    </row>
    <row r="35" ht="15.75" customHeight="1">
      <c r="A35" s="68">
        <v>30.0</v>
      </c>
      <c r="B35" s="111" t="s">
        <v>556</v>
      </c>
      <c r="C35" s="70">
        <v>3268458.0</v>
      </c>
      <c r="D35" s="70">
        <v>401487.0</v>
      </c>
      <c r="E35" s="70">
        <v>98617.0</v>
      </c>
      <c r="F35" s="70">
        <v>1161301.0</v>
      </c>
      <c r="G35" s="70">
        <v>68921.0</v>
      </c>
      <c r="H35" s="70">
        <v>165801.0</v>
      </c>
      <c r="I35" s="70">
        <v>135048.0</v>
      </c>
      <c r="J35" s="70">
        <v>163305.0</v>
      </c>
      <c r="K35" s="70">
        <v>531.0</v>
      </c>
      <c r="L35" s="70">
        <v>2619485.0</v>
      </c>
      <c r="M35" s="70">
        <v>198085.0</v>
      </c>
      <c r="N35" s="70">
        <v>526315.0</v>
      </c>
      <c r="O35" s="70">
        <v>1206888.0</v>
      </c>
      <c r="P35" s="70">
        <v>13155.0</v>
      </c>
      <c r="Q35" s="70">
        <v>522630.0</v>
      </c>
      <c r="R35" s="70">
        <v>2380273.0</v>
      </c>
      <c r="S35" s="70">
        <v>143873.0</v>
      </c>
      <c r="T35" s="70">
        <v>2852237.0</v>
      </c>
      <c r="U35" s="70">
        <v>896234.0</v>
      </c>
      <c r="V35" s="70">
        <v>1.3666851E7</v>
      </c>
      <c r="W35" s="70">
        <v>69103.0</v>
      </c>
      <c r="X35" s="70">
        <v>226751.0</v>
      </c>
      <c r="Y35" s="70">
        <v>1016878.0</v>
      </c>
      <c r="Z35" s="70">
        <v>642388.0</v>
      </c>
      <c r="AA35" s="70">
        <v>61665.0</v>
      </c>
      <c r="AB35" s="70">
        <v>351865.0</v>
      </c>
      <c r="AC35" s="70">
        <v>115128.0</v>
      </c>
      <c r="AD35" s="70">
        <v>339178.0</v>
      </c>
      <c r="AE35" s="70">
        <v>398129.0</v>
      </c>
      <c r="AF35" s="70">
        <v>259028.0</v>
      </c>
      <c r="AG35" s="70">
        <v>1979227.0</v>
      </c>
      <c r="AH35" s="70">
        <v>939090.0</v>
      </c>
      <c r="AI35" s="70">
        <v>1279045.0</v>
      </c>
      <c r="AJ35" s="70">
        <v>301915.0</v>
      </c>
      <c r="AK35" s="70">
        <v>43219.0</v>
      </c>
      <c r="AL35" s="70">
        <v>78713.0</v>
      </c>
      <c r="AM35" s="70">
        <v>0.0</v>
      </c>
      <c r="AN35" s="70">
        <v>0.0</v>
      </c>
      <c r="AO35" s="70">
        <v>0.0</v>
      </c>
      <c r="AP35" s="70">
        <v>0.0</v>
      </c>
      <c r="AQ35" s="70">
        <v>0.0</v>
      </c>
      <c r="AR35" s="70">
        <v>0.0</v>
      </c>
      <c r="AS35" s="70">
        <v>0.0</v>
      </c>
      <c r="AT35" s="70">
        <v>0.0</v>
      </c>
      <c r="AU35" s="70">
        <v>0.0</v>
      </c>
      <c r="AV35" s="70">
        <v>0.0</v>
      </c>
      <c r="AW35" s="70">
        <v>0.0</v>
      </c>
      <c r="AX35" s="70">
        <v>0.0</v>
      </c>
      <c r="AY35" s="70">
        <v>0.0</v>
      </c>
      <c r="AZ35" s="70">
        <v>0.0</v>
      </c>
      <c r="BA35" s="70">
        <v>0.0</v>
      </c>
      <c r="BB35" s="70">
        <v>0.0</v>
      </c>
      <c r="BC35" s="70">
        <v>0.0</v>
      </c>
      <c r="BD35" s="70">
        <v>0.0</v>
      </c>
      <c r="BE35" s="70">
        <v>0.0</v>
      </c>
      <c r="BF35" s="70">
        <v>0.0</v>
      </c>
      <c r="BG35" s="70">
        <v>0.0</v>
      </c>
      <c r="BH35" s="70">
        <v>0.0</v>
      </c>
      <c r="BI35" s="70">
        <v>0.0</v>
      </c>
      <c r="BJ35" s="70">
        <v>0.0</v>
      </c>
      <c r="BK35" s="70">
        <v>0.0</v>
      </c>
      <c r="BL35" s="70">
        <v>0.0</v>
      </c>
      <c r="BM35" s="70">
        <v>0.0</v>
      </c>
      <c r="BN35" s="70">
        <v>0.0</v>
      </c>
      <c r="BO35" s="70">
        <v>0.0</v>
      </c>
      <c r="BP35" s="70">
        <v>0.0</v>
      </c>
      <c r="BQ35" s="70">
        <v>0.0</v>
      </c>
      <c r="BR35" s="70">
        <v>0.0</v>
      </c>
      <c r="BS35" s="70">
        <v>0.0</v>
      </c>
      <c r="BT35" s="70">
        <v>0.0</v>
      </c>
      <c r="BU35" s="70">
        <v>0.0</v>
      </c>
      <c r="BV35" s="70">
        <v>0.0</v>
      </c>
      <c r="BW35" s="70">
        <v>0.0</v>
      </c>
      <c r="BX35" s="70">
        <v>0.0</v>
      </c>
      <c r="BY35" s="70">
        <v>0.0</v>
      </c>
      <c r="BZ35" s="70">
        <v>0.0</v>
      </c>
      <c r="CA35" s="70">
        <v>0.0</v>
      </c>
      <c r="CB35" s="70">
        <v>0.0</v>
      </c>
      <c r="CC35" s="70">
        <v>0.0</v>
      </c>
      <c r="CD35" s="70">
        <v>0.0</v>
      </c>
      <c r="CE35" s="70">
        <v>0.0</v>
      </c>
      <c r="CF35" s="70">
        <v>0.0</v>
      </c>
      <c r="CG35" s="70">
        <v>0.0</v>
      </c>
      <c r="CH35" s="70">
        <v>0.0</v>
      </c>
      <c r="CI35" s="70">
        <v>0.0</v>
      </c>
      <c r="CJ35" s="70">
        <v>0.0</v>
      </c>
      <c r="CK35" s="70">
        <v>0.0</v>
      </c>
      <c r="CL35" s="70">
        <v>0.0</v>
      </c>
      <c r="CM35" s="70">
        <v>0.0</v>
      </c>
      <c r="CN35" s="70">
        <v>0.0</v>
      </c>
      <c r="CO35" s="70">
        <v>0.0</v>
      </c>
      <c r="CP35" s="70">
        <v>0.0</v>
      </c>
      <c r="CQ35" s="70">
        <v>0.0</v>
      </c>
      <c r="CR35" s="70">
        <v>0.0</v>
      </c>
      <c r="CS35" s="70">
        <v>0.0</v>
      </c>
      <c r="CT35" s="70">
        <v>0.0</v>
      </c>
      <c r="CU35" s="70">
        <v>0.0</v>
      </c>
      <c r="CV35" s="70">
        <v>0.0</v>
      </c>
      <c r="CW35" s="70">
        <v>0.0</v>
      </c>
      <c r="CX35" s="70">
        <v>0.0</v>
      </c>
      <c r="CY35" s="70">
        <v>0.0</v>
      </c>
      <c r="CZ35" s="70">
        <v>0.0</v>
      </c>
      <c r="DA35" s="70">
        <v>0.0</v>
      </c>
      <c r="DB35" s="70">
        <v>0.0</v>
      </c>
      <c r="DC35" s="70">
        <v>0.0</v>
      </c>
      <c r="DD35" s="70">
        <v>0.0</v>
      </c>
      <c r="DE35" s="70">
        <v>0.0</v>
      </c>
      <c r="DF35" s="70">
        <v>0.0</v>
      </c>
      <c r="DG35" s="70">
        <v>0.0</v>
      </c>
      <c r="DH35" s="70">
        <v>0.0</v>
      </c>
      <c r="DI35" s="70">
        <v>0.0</v>
      </c>
      <c r="DJ35" s="70">
        <v>0.0</v>
      </c>
      <c r="DK35" s="70">
        <v>0.0</v>
      </c>
      <c r="DL35" s="70">
        <v>0.0</v>
      </c>
      <c r="DM35" s="70">
        <v>0.0</v>
      </c>
      <c r="DN35" s="70">
        <v>0.0</v>
      </c>
      <c r="DO35" s="70">
        <v>0.0</v>
      </c>
      <c r="DP35" s="70">
        <v>0.0</v>
      </c>
      <c r="DQ35" s="70">
        <v>0.0</v>
      </c>
      <c r="DR35" s="70">
        <v>0.0</v>
      </c>
      <c r="DS35" s="70">
        <v>0.0</v>
      </c>
      <c r="DT35" s="70">
        <v>0.0</v>
      </c>
      <c r="DU35" s="70">
        <v>0.0</v>
      </c>
      <c r="DV35" s="70">
        <v>0.0</v>
      </c>
      <c r="DW35" s="70">
        <v>0.0</v>
      </c>
      <c r="DX35" s="70">
        <v>0.0</v>
      </c>
      <c r="DY35" s="70">
        <v>0.0</v>
      </c>
      <c r="DZ35" s="70">
        <v>0.0</v>
      </c>
      <c r="EA35" s="70">
        <v>0.0</v>
      </c>
      <c r="EB35" s="70">
        <v>0.0</v>
      </c>
      <c r="EC35" s="70">
        <v>0.0</v>
      </c>
      <c r="ED35" s="70">
        <v>0.0</v>
      </c>
      <c r="EE35" s="70">
        <v>0.0</v>
      </c>
      <c r="EF35" s="70">
        <v>0.0</v>
      </c>
      <c r="EG35" s="70">
        <v>0.0</v>
      </c>
      <c r="EH35" s="70">
        <v>0.0</v>
      </c>
      <c r="EI35" s="70">
        <v>0.0</v>
      </c>
      <c r="EJ35" s="70">
        <v>0.0</v>
      </c>
      <c r="EK35" s="70">
        <v>0.0</v>
      </c>
      <c r="EL35" s="70">
        <v>0.0</v>
      </c>
      <c r="EM35" s="70">
        <v>0.0</v>
      </c>
      <c r="EN35" s="70">
        <v>0.0</v>
      </c>
      <c r="EO35" s="70">
        <v>0.0</v>
      </c>
      <c r="EP35" s="70">
        <v>0.0</v>
      </c>
      <c r="EQ35" s="70">
        <v>0.0</v>
      </c>
      <c r="ER35" s="70">
        <v>0.0</v>
      </c>
      <c r="ES35" s="70">
        <v>0.0</v>
      </c>
      <c r="ET35" s="70">
        <v>933.0</v>
      </c>
      <c r="EU35" s="70">
        <v>0.0</v>
      </c>
      <c r="EV35" s="70">
        <v>0.0</v>
      </c>
      <c r="EW35" s="70">
        <v>0.0</v>
      </c>
      <c r="EX35" s="70">
        <v>0.0</v>
      </c>
      <c r="EY35" s="70">
        <v>0.0</v>
      </c>
      <c r="EZ35" s="70">
        <v>0.0</v>
      </c>
      <c r="FA35" s="70">
        <v>0.0</v>
      </c>
      <c r="FB35" s="70">
        <v>0.0</v>
      </c>
      <c r="FC35" s="70">
        <v>0.0</v>
      </c>
      <c r="FD35" s="70">
        <v>0.0</v>
      </c>
      <c r="FE35" s="70">
        <v>0.0</v>
      </c>
      <c r="FF35" s="70">
        <v>0.0</v>
      </c>
      <c r="FG35" s="70">
        <v>0.0</v>
      </c>
      <c r="FH35" s="70">
        <v>0.0</v>
      </c>
      <c r="FI35" s="70">
        <v>0.0</v>
      </c>
      <c r="FJ35" s="70">
        <v>0.0</v>
      </c>
      <c r="FK35" s="70">
        <v>0.0</v>
      </c>
      <c r="FL35" s="70">
        <v>0.0</v>
      </c>
      <c r="FM35" s="70">
        <v>0.0</v>
      </c>
      <c r="FN35" s="70">
        <v>0.0</v>
      </c>
      <c r="FO35" s="70">
        <v>0.0</v>
      </c>
      <c r="FP35" s="70">
        <v>0.0</v>
      </c>
      <c r="FQ35" s="70">
        <v>0.0</v>
      </c>
      <c r="FR35" s="70">
        <v>0.0</v>
      </c>
      <c r="FS35" s="70">
        <v>0.0</v>
      </c>
      <c r="FT35" s="70">
        <v>0.0</v>
      </c>
      <c r="FU35" s="70">
        <v>0.0</v>
      </c>
      <c r="FV35" s="70">
        <v>0.0</v>
      </c>
      <c r="FW35" s="70">
        <v>10752.0</v>
      </c>
      <c r="FX35" s="70">
        <v>0.0</v>
      </c>
      <c r="FY35" s="70">
        <v>0.0</v>
      </c>
      <c r="FZ35" s="70">
        <v>0.0</v>
      </c>
      <c r="GA35" s="70">
        <v>0.0</v>
      </c>
      <c r="GB35" s="70">
        <v>0.0</v>
      </c>
      <c r="GC35" s="70">
        <v>0.0</v>
      </c>
      <c r="GD35" s="70">
        <v>0.0</v>
      </c>
      <c r="GE35" s="70">
        <v>0.0</v>
      </c>
      <c r="GF35" s="71">
        <v>3.8602502E7</v>
      </c>
      <c r="GG35" s="72">
        <v>381444.0</v>
      </c>
      <c r="GH35" s="73">
        <v>0.0</v>
      </c>
      <c r="GI35" s="72">
        <v>0.0</v>
      </c>
      <c r="GJ35" s="72">
        <v>0.0</v>
      </c>
      <c r="GK35" s="72">
        <v>0.0</v>
      </c>
      <c r="GL35" s="72">
        <v>0.0</v>
      </c>
      <c r="GM35" s="72">
        <v>0.0</v>
      </c>
      <c r="GN35" s="71">
        <v>381444.0</v>
      </c>
      <c r="GO35" s="74">
        <v>3.8983946E7</v>
      </c>
      <c r="GP35" s="72">
        <v>0.0</v>
      </c>
      <c r="GQ35" s="72">
        <v>0.0</v>
      </c>
      <c r="GR35" s="73">
        <v>0.0</v>
      </c>
      <c r="GS35" s="71">
        <v>0.0</v>
      </c>
      <c r="GT35" s="75">
        <v>0.0</v>
      </c>
      <c r="GU35" s="75">
        <v>0.0</v>
      </c>
      <c r="GV35" s="75">
        <v>0.0</v>
      </c>
      <c r="GW35" s="71">
        <v>0.0</v>
      </c>
      <c r="GX35" s="71">
        <v>15512.0</v>
      </c>
      <c r="GY35" s="71">
        <v>3.8968434E7</v>
      </c>
      <c r="GZ35" s="74">
        <v>3.8983946E7</v>
      </c>
      <c r="HC35" s="107" t="s">
        <v>557</v>
      </c>
      <c r="HD35" s="107" t="s">
        <v>558</v>
      </c>
      <c r="HE35" s="109" t="s">
        <v>438</v>
      </c>
      <c r="HF35" s="113">
        <f t="shared" ref="HF35:HF36" si="1">GZ173</f>
        <v>659397161</v>
      </c>
      <c r="HH35" s="106"/>
    </row>
    <row r="36" ht="15.0" customHeight="1">
      <c r="A36" s="52">
        <v>31.0</v>
      </c>
      <c r="B36" s="111" t="s">
        <v>301</v>
      </c>
      <c r="C36" s="54">
        <v>0.0</v>
      </c>
      <c r="D36" s="54">
        <v>0.0</v>
      </c>
      <c r="E36" s="54">
        <v>0.0</v>
      </c>
      <c r="F36" s="54">
        <v>0.0</v>
      </c>
      <c r="G36" s="54">
        <v>0.0</v>
      </c>
      <c r="H36" s="54">
        <v>0.0</v>
      </c>
      <c r="I36" s="54">
        <v>0.0</v>
      </c>
      <c r="J36" s="54">
        <v>0.0</v>
      </c>
      <c r="K36" s="54">
        <v>0.0</v>
      </c>
      <c r="L36" s="54">
        <v>5566.0</v>
      </c>
      <c r="M36" s="54">
        <v>0.0</v>
      </c>
      <c r="N36" s="54">
        <v>0.0</v>
      </c>
      <c r="O36" s="54">
        <v>31650.0</v>
      </c>
      <c r="P36" s="54">
        <v>0.0</v>
      </c>
      <c r="Q36" s="54">
        <v>0.0</v>
      </c>
      <c r="R36" s="54">
        <v>40145.0</v>
      </c>
      <c r="S36" s="54">
        <v>0.0</v>
      </c>
      <c r="T36" s="54">
        <v>0.0</v>
      </c>
      <c r="U36" s="54">
        <v>0.0</v>
      </c>
      <c r="V36" s="54">
        <v>0.0</v>
      </c>
      <c r="W36" s="54">
        <v>0.0</v>
      </c>
      <c r="X36" s="54">
        <v>0.0</v>
      </c>
      <c r="Y36" s="54">
        <v>0.0</v>
      </c>
      <c r="Z36" s="54">
        <v>0.0</v>
      </c>
      <c r="AA36" s="54">
        <v>0.0</v>
      </c>
      <c r="AB36" s="54">
        <v>91091.0</v>
      </c>
      <c r="AC36" s="54">
        <v>900.0</v>
      </c>
      <c r="AD36" s="54">
        <v>6523.0</v>
      </c>
      <c r="AE36" s="54">
        <v>9644.0</v>
      </c>
      <c r="AF36" s="54">
        <v>34.0</v>
      </c>
      <c r="AG36" s="54">
        <v>1639.0</v>
      </c>
      <c r="AH36" s="54">
        <v>429.0</v>
      </c>
      <c r="AI36" s="54">
        <v>21725.0</v>
      </c>
      <c r="AJ36" s="54">
        <v>2861.0</v>
      </c>
      <c r="AK36" s="54">
        <v>515.0</v>
      </c>
      <c r="AL36" s="54">
        <v>233.0</v>
      </c>
      <c r="AM36" s="54">
        <v>0.0</v>
      </c>
      <c r="AN36" s="54">
        <v>0.0</v>
      </c>
      <c r="AO36" s="54">
        <v>0.0</v>
      </c>
      <c r="AP36" s="54">
        <v>0.0</v>
      </c>
      <c r="AQ36" s="54">
        <v>0.0</v>
      </c>
      <c r="AR36" s="54">
        <v>0.0</v>
      </c>
      <c r="AS36" s="54">
        <v>0.0</v>
      </c>
      <c r="AT36" s="54">
        <v>0.0</v>
      </c>
      <c r="AU36" s="54">
        <v>0.0</v>
      </c>
      <c r="AV36" s="54">
        <v>0.0</v>
      </c>
      <c r="AW36" s="54">
        <v>0.0</v>
      </c>
      <c r="AX36" s="54">
        <v>0.0</v>
      </c>
      <c r="AY36" s="54">
        <v>0.0</v>
      </c>
      <c r="AZ36" s="54">
        <v>0.0</v>
      </c>
      <c r="BA36" s="54">
        <v>0.0</v>
      </c>
      <c r="BB36" s="54">
        <v>0.0</v>
      </c>
      <c r="BC36" s="54">
        <v>1622.0</v>
      </c>
      <c r="BD36" s="54">
        <v>113.0</v>
      </c>
      <c r="BE36" s="54">
        <v>5459.0</v>
      </c>
      <c r="BF36" s="54">
        <v>19650.0</v>
      </c>
      <c r="BG36" s="54">
        <v>49855.0</v>
      </c>
      <c r="BH36" s="54">
        <v>23356.0</v>
      </c>
      <c r="BI36" s="54">
        <v>1593.0</v>
      </c>
      <c r="BJ36" s="54">
        <v>77525.0</v>
      </c>
      <c r="BK36" s="54">
        <v>6433.0</v>
      </c>
      <c r="BL36" s="54">
        <v>0.0</v>
      </c>
      <c r="BM36" s="54">
        <v>0.0</v>
      </c>
      <c r="BN36" s="54">
        <v>0.0</v>
      </c>
      <c r="BO36" s="54">
        <v>0.0</v>
      </c>
      <c r="BP36" s="54">
        <v>0.0</v>
      </c>
      <c r="BQ36" s="54">
        <v>0.0</v>
      </c>
      <c r="BR36" s="54">
        <v>0.0</v>
      </c>
      <c r="BS36" s="54">
        <v>0.0</v>
      </c>
      <c r="BT36" s="54">
        <v>267535.0</v>
      </c>
      <c r="BU36" s="54">
        <v>18825.0</v>
      </c>
      <c r="BV36" s="54">
        <v>0.0</v>
      </c>
      <c r="BW36" s="54">
        <v>0.0</v>
      </c>
      <c r="BX36" s="54">
        <v>0.0</v>
      </c>
      <c r="BY36" s="54">
        <v>0.0</v>
      </c>
      <c r="BZ36" s="54">
        <v>0.0</v>
      </c>
      <c r="CA36" s="54">
        <v>128.0</v>
      </c>
      <c r="CB36" s="54">
        <v>0.0</v>
      </c>
      <c r="CC36" s="54">
        <v>0.0</v>
      </c>
      <c r="CD36" s="54">
        <v>0.0</v>
      </c>
      <c r="CE36" s="54">
        <v>0.0</v>
      </c>
      <c r="CF36" s="54">
        <v>652.0</v>
      </c>
      <c r="CG36" s="54">
        <v>0.0</v>
      </c>
      <c r="CH36" s="54">
        <v>0.0</v>
      </c>
      <c r="CI36" s="54">
        <v>0.0</v>
      </c>
      <c r="CJ36" s="54">
        <v>7431269.0</v>
      </c>
      <c r="CK36" s="54">
        <v>2.0802944E7</v>
      </c>
      <c r="CL36" s="54">
        <v>1.3060697E7</v>
      </c>
      <c r="CM36" s="54">
        <v>5105097.0</v>
      </c>
      <c r="CN36" s="54">
        <v>9192113.0</v>
      </c>
      <c r="CO36" s="54">
        <v>5269652.0</v>
      </c>
      <c r="CP36" s="54">
        <v>6810904.0</v>
      </c>
      <c r="CQ36" s="54">
        <v>0.0</v>
      </c>
      <c r="CR36" s="54">
        <v>0.0</v>
      </c>
      <c r="CS36" s="54">
        <v>0.0</v>
      </c>
      <c r="CT36" s="54">
        <v>0.0</v>
      </c>
      <c r="CU36" s="54">
        <v>0.0</v>
      </c>
      <c r="CV36" s="54">
        <v>0.0</v>
      </c>
      <c r="CW36" s="54">
        <v>0.0</v>
      </c>
      <c r="CX36" s="54">
        <v>0.0</v>
      </c>
      <c r="CY36" s="54">
        <v>0.0</v>
      </c>
      <c r="CZ36" s="54">
        <v>0.0</v>
      </c>
      <c r="DA36" s="54">
        <v>0.0</v>
      </c>
      <c r="DB36" s="54">
        <v>0.0</v>
      </c>
      <c r="DC36" s="54">
        <v>0.0</v>
      </c>
      <c r="DD36" s="54">
        <v>1949.0</v>
      </c>
      <c r="DE36" s="54">
        <v>0.0</v>
      </c>
      <c r="DF36" s="54">
        <v>0.0</v>
      </c>
      <c r="DG36" s="54">
        <v>0.0</v>
      </c>
      <c r="DH36" s="54">
        <v>0.0</v>
      </c>
      <c r="DI36" s="54">
        <v>0.0</v>
      </c>
      <c r="DJ36" s="54">
        <v>0.0</v>
      </c>
      <c r="DK36" s="54">
        <v>0.0</v>
      </c>
      <c r="DL36" s="54">
        <v>0.0</v>
      </c>
      <c r="DM36" s="54">
        <v>0.0</v>
      </c>
      <c r="DN36" s="54">
        <v>0.0</v>
      </c>
      <c r="DO36" s="54">
        <v>0.0</v>
      </c>
      <c r="DP36" s="54">
        <v>0.0</v>
      </c>
      <c r="DQ36" s="54">
        <v>0.0</v>
      </c>
      <c r="DR36" s="54">
        <v>0.0</v>
      </c>
      <c r="DS36" s="54">
        <v>0.0</v>
      </c>
      <c r="DT36" s="54">
        <v>0.0</v>
      </c>
      <c r="DU36" s="54">
        <v>0.0</v>
      </c>
      <c r="DV36" s="54">
        <v>0.0</v>
      </c>
      <c r="DW36" s="54">
        <v>0.0</v>
      </c>
      <c r="DX36" s="54">
        <v>0.0</v>
      </c>
      <c r="DY36" s="54">
        <v>0.0</v>
      </c>
      <c r="DZ36" s="54">
        <v>0.0</v>
      </c>
      <c r="EA36" s="54">
        <v>0.0</v>
      </c>
      <c r="EB36" s="54">
        <v>0.0</v>
      </c>
      <c r="EC36" s="54">
        <v>0.0</v>
      </c>
      <c r="ED36" s="54">
        <v>46800.0</v>
      </c>
      <c r="EE36" s="54">
        <v>0.0</v>
      </c>
      <c r="EF36" s="54">
        <v>0.0</v>
      </c>
      <c r="EG36" s="54">
        <v>0.0</v>
      </c>
      <c r="EH36" s="54">
        <v>0.0</v>
      </c>
      <c r="EI36" s="54">
        <v>1957745.0</v>
      </c>
      <c r="EJ36" s="54">
        <v>14325.0</v>
      </c>
      <c r="EK36" s="54">
        <v>293207.0</v>
      </c>
      <c r="EL36" s="54">
        <v>65144.0</v>
      </c>
      <c r="EM36" s="54">
        <v>34191.0</v>
      </c>
      <c r="EN36" s="54">
        <v>0.0</v>
      </c>
      <c r="EO36" s="54">
        <v>80983.0</v>
      </c>
      <c r="EP36" s="54">
        <v>707.0</v>
      </c>
      <c r="EQ36" s="54">
        <v>0.0</v>
      </c>
      <c r="ER36" s="54">
        <v>0.0</v>
      </c>
      <c r="ES36" s="54">
        <v>0.0</v>
      </c>
      <c r="ET36" s="54">
        <v>0.0</v>
      </c>
      <c r="EU36" s="54">
        <v>1.6254967E7</v>
      </c>
      <c r="EV36" s="54">
        <v>3452680.0</v>
      </c>
      <c r="EW36" s="54">
        <v>1087989.0</v>
      </c>
      <c r="EX36" s="54">
        <v>4101085.0</v>
      </c>
      <c r="EY36" s="54">
        <v>3.8137353E7</v>
      </c>
      <c r="EZ36" s="54">
        <v>0.0</v>
      </c>
      <c r="FA36" s="54">
        <v>0.0</v>
      </c>
      <c r="FB36" s="54">
        <v>0.0</v>
      </c>
      <c r="FC36" s="54">
        <v>0.0</v>
      </c>
      <c r="FD36" s="54">
        <v>0.0</v>
      </c>
      <c r="FE36" s="54">
        <v>0.0</v>
      </c>
      <c r="FF36" s="54">
        <v>0.0</v>
      </c>
      <c r="FG36" s="54">
        <v>0.0</v>
      </c>
      <c r="FH36" s="54">
        <v>0.0</v>
      </c>
      <c r="FI36" s="54">
        <v>0.0</v>
      </c>
      <c r="FJ36" s="54">
        <v>3288.0</v>
      </c>
      <c r="FK36" s="54">
        <v>15700.0</v>
      </c>
      <c r="FL36" s="54">
        <v>106709.0</v>
      </c>
      <c r="FM36" s="54">
        <v>0.0</v>
      </c>
      <c r="FN36" s="54">
        <v>0.0</v>
      </c>
      <c r="FO36" s="54">
        <v>0.0</v>
      </c>
      <c r="FP36" s="54">
        <v>0.0</v>
      </c>
      <c r="FQ36" s="54">
        <v>0.0</v>
      </c>
      <c r="FR36" s="54">
        <v>0.0</v>
      </c>
      <c r="FS36" s="54">
        <v>0.0</v>
      </c>
      <c r="FT36" s="54">
        <v>0.0</v>
      </c>
      <c r="FU36" s="54">
        <v>0.0</v>
      </c>
      <c r="FV36" s="54">
        <v>16332.0</v>
      </c>
      <c r="FW36" s="54">
        <v>1035.0</v>
      </c>
      <c r="FX36" s="54">
        <v>0.0</v>
      </c>
      <c r="FY36" s="54">
        <v>144.0</v>
      </c>
      <c r="FZ36" s="54">
        <v>0.0</v>
      </c>
      <c r="GA36" s="54">
        <v>4243.0</v>
      </c>
      <c r="GB36" s="54">
        <v>0.0</v>
      </c>
      <c r="GC36" s="54">
        <v>1680.0</v>
      </c>
      <c r="GD36" s="54">
        <v>0.0</v>
      </c>
      <c r="GE36" s="54">
        <v>0.0</v>
      </c>
      <c r="GF36" s="55">
        <v>1.34036633E8</v>
      </c>
      <c r="GG36" s="56">
        <v>1925528.0</v>
      </c>
      <c r="GH36" s="57">
        <v>0.0</v>
      </c>
      <c r="GI36" s="56">
        <v>0.0</v>
      </c>
      <c r="GJ36" s="56">
        <v>0.0</v>
      </c>
      <c r="GK36" s="56">
        <v>8081142.0</v>
      </c>
      <c r="GL36" s="56">
        <v>2019985.0</v>
      </c>
      <c r="GM36" s="56">
        <v>0.0</v>
      </c>
      <c r="GN36" s="55">
        <v>1.2026655E7</v>
      </c>
      <c r="GO36" s="58">
        <v>1.46063288E8</v>
      </c>
      <c r="GP36" s="56">
        <v>513352.0</v>
      </c>
      <c r="GQ36" s="56">
        <v>0.0</v>
      </c>
      <c r="GR36" s="57">
        <v>0.0</v>
      </c>
      <c r="GS36" s="55">
        <v>513352.0</v>
      </c>
      <c r="GT36" s="59">
        <v>2.5968933E7</v>
      </c>
      <c r="GU36" s="59">
        <v>7187229.0</v>
      </c>
      <c r="GV36" s="59">
        <v>2902430.0</v>
      </c>
      <c r="GW36" s="55">
        <v>3.6058592E7</v>
      </c>
      <c r="GX36" s="55">
        <v>126283.0</v>
      </c>
      <c r="GY36" s="55">
        <v>1.09365061E8</v>
      </c>
      <c r="GZ36" s="58">
        <v>1.46063288E8</v>
      </c>
      <c r="HC36" s="107" t="s">
        <v>559</v>
      </c>
      <c r="HD36" s="107" t="s">
        <v>560</v>
      </c>
      <c r="HE36" s="109" t="s">
        <v>561</v>
      </c>
      <c r="HF36" s="113">
        <f t="shared" si="1"/>
        <v>220426901</v>
      </c>
      <c r="HH36" s="106"/>
    </row>
    <row r="37" ht="15.75" customHeight="1">
      <c r="A37" s="60">
        <v>32.0</v>
      </c>
      <c r="B37" s="111" t="s">
        <v>302</v>
      </c>
      <c r="C37" s="62">
        <v>2819.0</v>
      </c>
      <c r="D37" s="62">
        <v>3956.0</v>
      </c>
      <c r="E37" s="62">
        <v>1310.0</v>
      </c>
      <c r="F37" s="62">
        <v>2050.0</v>
      </c>
      <c r="G37" s="62">
        <v>188.0</v>
      </c>
      <c r="H37" s="62">
        <v>363.0</v>
      </c>
      <c r="I37" s="62">
        <v>263.0</v>
      </c>
      <c r="J37" s="62">
        <v>478.0</v>
      </c>
      <c r="K37" s="62">
        <v>0.0</v>
      </c>
      <c r="L37" s="62">
        <v>3517.0</v>
      </c>
      <c r="M37" s="62">
        <v>2426.0</v>
      </c>
      <c r="N37" s="62">
        <v>0.0</v>
      </c>
      <c r="O37" s="62">
        <v>3192.0</v>
      </c>
      <c r="P37" s="62">
        <v>0.0</v>
      </c>
      <c r="Q37" s="62">
        <v>1331.0</v>
      </c>
      <c r="R37" s="62">
        <v>1132.0</v>
      </c>
      <c r="S37" s="62">
        <v>86.0</v>
      </c>
      <c r="T37" s="62">
        <v>876.0</v>
      </c>
      <c r="U37" s="62">
        <v>3578.0</v>
      </c>
      <c r="V37" s="62">
        <v>20285.0</v>
      </c>
      <c r="W37" s="62">
        <v>733.0</v>
      </c>
      <c r="X37" s="62">
        <v>735.0</v>
      </c>
      <c r="Y37" s="62">
        <v>4507.0</v>
      </c>
      <c r="Z37" s="62">
        <v>4743.0</v>
      </c>
      <c r="AA37" s="62">
        <v>2292.0</v>
      </c>
      <c r="AB37" s="62">
        <v>64644.0</v>
      </c>
      <c r="AC37" s="62">
        <v>371.0</v>
      </c>
      <c r="AD37" s="62">
        <v>0.0</v>
      </c>
      <c r="AE37" s="62">
        <v>0.0</v>
      </c>
      <c r="AF37" s="62">
        <v>9149.0</v>
      </c>
      <c r="AG37" s="62">
        <v>778.0</v>
      </c>
      <c r="AH37" s="62">
        <v>131533.0</v>
      </c>
      <c r="AI37" s="62">
        <v>13764.0</v>
      </c>
      <c r="AJ37" s="62">
        <v>7029.0</v>
      </c>
      <c r="AK37" s="62">
        <v>596.0</v>
      </c>
      <c r="AL37" s="62">
        <v>3294.0</v>
      </c>
      <c r="AM37" s="62">
        <v>0.0</v>
      </c>
      <c r="AN37" s="62">
        <v>0.0</v>
      </c>
      <c r="AO37" s="62">
        <v>0.0</v>
      </c>
      <c r="AP37" s="62">
        <v>0.0</v>
      </c>
      <c r="AQ37" s="62">
        <v>0.0</v>
      </c>
      <c r="AR37" s="62">
        <v>0.0</v>
      </c>
      <c r="AS37" s="62">
        <v>0.0</v>
      </c>
      <c r="AT37" s="62">
        <v>0.0</v>
      </c>
      <c r="AU37" s="62">
        <v>0.0</v>
      </c>
      <c r="AV37" s="62">
        <v>0.0</v>
      </c>
      <c r="AW37" s="62">
        <v>0.0</v>
      </c>
      <c r="AX37" s="62">
        <v>0.0</v>
      </c>
      <c r="AY37" s="62">
        <v>0.0</v>
      </c>
      <c r="AZ37" s="62">
        <v>0.0</v>
      </c>
      <c r="BA37" s="62">
        <v>0.0</v>
      </c>
      <c r="BB37" s="62">
        <v>0.0</v>
      </c>
      <c r="BC37" s="62">
        <v>0.0</v>
      </c>
      <c r="BD37" s="62">
        <v>0.0</v>
      </c>
      <c r="BE37" s="62">
        <v>0.0</v>
      </c>
      <c r="BF37" s="62">
        <v>0.0</v>
      </c>
      <c r="BG37" s="62">
        <v>0.0</v>
      </c>
      <c r="BH37" s="62">
        <v>4715.0</v>
      </c>
      <c r="BI37" s="62">
        <v>0.0</v>
      </c>
      <c r="BJ37" s="62">
        <v>0.0</v>
      </c>
      <c r="BK37" s="62">
        <v>0.0</v>
      </c>
      <c r="BL37" s="62">
        <v>0.0</v>
      </c>
      <c r="BM37" s="62">
        <v>0.0</v>
      </c>
      <c r="BN37" s="62">
        <v>0.0</v>
      </c>
      <c r="BO37" s="62">
        <v>0.0</v>
      </c>
      <c r="BP37" s="62">
        <v>0.0</v>
      </c>
      <c r="BQ37" s="62">
        <v>0.0</v>
      </c>
      <c r="BR37" s="62">
        <v>0.0</v>
      </c>
      <c r="BS37" s="62">
        <v>0.0</v>
      </c>
      <c r="BT37" s="62">
        <v>0.0</v>
      </c>
      <c r="BU37" s="62">
        <v>30795.0</v>
      </c>
      <c r="BV37" s="62">
        <v>0.0</v>
      </c>
      <c r="BW37" s="62">
        <v>0.0</v>
      </c>
      <c r="BX37" s="62">
        <v>63.0</v>
      </c>
      <c r="BY37" s="62">
        <v>9386.0</v>
      </c>
      <c r="BZ37" s="62">
        <v>0.0</v>
      </c>
      <c r="CA37" s="62">
        <v>145.0</v>
      </c>
      <c r="CB37" s="62">
        <v>0.0</v>
      </c>
      <c r="CC37" s="62">
        <v>0.0</v>
      </c>
      <c r="CD37" s="62">
        <v>1946.0</v>
      </c>
      <c r="CE37" s="62">
        <v>0.0</v>
      </c>
      <c r="CF37" s="62">
        <v>0.0</v>
      </c>
      <c r="CG37" s="62">
        <v>460.0</v>
      </c>
      <c r="CH37" s="62">
        <v>18967.0</v>
      </c>
      <c r="CI37" s="62">
        <v>126568.0</v>
      </c>
      <c r="CJ37" s="62">
        <v>6423515.0</v>
      </c>
      <c r="CK37" s="62">
        <v>0.0</v>
      </c>
      <c r="CL37" s="62">
        <v>0.0</v>
      </c>
      <c r="CM37" s="62">
        <v>0.0</v>
      </c>
      <c r="CN37" s="62">
        <v>2093938.0</v>
      </c>
      <c r="CO37" s="62">
        <v>1041694.0</v>
      </c>
      <c r="CP37" s="62">
        <v>1768265.0</v>
      </c>
      <c r="CQ37" s="62">
        <v>0.0</v>
      </c>
      <c r="CR37" s="62">
        <v>23346.0</v>
      </c>
      <c r="CS37" s="62">
        <v>0.0</v>
      </c>
      <c r="CT37" s="62">
        <v>0.0</v>
      </c>
      <c r="CU37" s="62">
        <v>0.0</v>
      </c>
      <c r="CV37" s="62">
        <v>508919.0</v>
      </c>
      <c r="CW37" s="62">
        <v>0.0</v>
      </c>
      <c r="CX37" s="62">
        <v>109840.0</v>
      </c>
      <c r="CY37" s="62">
        <v>18472.0</v>
      </c>
      <c r="CZ37" s="62">
        <v>58540.0</v>
      </c>
      <c r="DA37" s="62">
        <v>146718.0</v>
      </c>
      <c r="DB37" s="62">
        <v>573642.0</v>
      </c>
      <c r="DC37" s="62">
        <v>1259.0</v>
      </c>
      <c r="DD37" s="62">
        <v>81711.0</v>
      </c>
      <c r="DE37" s="62">
        <v>0.0</v>
      </c>
      <c r="DF37" s="62">
        <v>0.0</v>
      </c>
      <c r="DG37" s="62">
        <v>3691.0</v>
      </c>
      <c r="DH37" s="62">
        <v>19042.0</v>
      </c>
      <c r="DI37" s="62">
        <v>0.0</v>
      </c>
      <c r="DJ37" s="62">
        <v>39899.0</v>
      </c>
      <c r="DK37" s="62">
        <v>0.0</v>
      </c>
      <c r="DL37" s="62">
        <v>0.0</v>
      </c>
      <c r="DM37" s="62">
        <v>0.0</v>
      </c>
      <c r="DN37" s="62">
        <v>0.0</v>
      </c>
      <c r="DO37" s="62">
        <v>332.0</v>
      </c>
      <c r="DP37" s="62">
        <v>0.0</v>
      </c>
      <c r="DQ37" s="62">
        <v>189675.0</v>
      </c>
      <c r="DR37" s="62">
        <v>458419.0</v>
      </c>
      <c r="DS37" s="62">
        <v>0.0</v>
      </c>
      <c r="DT37" s="62">
        <v>0.0</v>
      </c>
      <c r="DU37" s="62">
        <v>0.0</v>
      </c>
      <c r="DV37" s="62">
        <v>0.0</v>
      </c>
      <c r="DW37" s="62">
        <v>0.0</v>
      </c>
      <c r="DX37" s="62">
        <v>0.0</v>
      </c>
      <c r="DY37" s="62">
        <v>0.0</v>
      </c>
      <c r="DZ37" s="62">
        <v>0.0</v>
      </c>
      <c r="EA37" s="62">
        <v>0.0</v>
      </c>
      <c r="EB37" s="62">
        <v>0.0</v>
      </c>
      <c r="EC37" s="62">
        <v>0.0</v>
      </c>
      <c r="ED37" s="62">
        <v>0.0</v>
      </c>
      <c r="EE37" s="62">
        <v>0.0</v>
      </c>
      <c r="EF37" s="62">
        <v>0.0</v>
      </c>
      <c r="EG37" s="62">
        <v>0.0</v>
      </c>
      <c r="EH37" s="62">
        <v>13863.0</v>
      </c>
      <c r="EI37" s="62">
        <v>1179073.0</v>
      </c>
      <c r="EJ37" s="62">
        <v>5658.0</v>
      </c>
      <c r="EK37" s="62">
        <v>5500.0</v>
      </c>
      <c r="EL37" s="62">
        <v>16548.0</v>
      </c>
      <c r="EM37" s="62">
        <v>11717.0</v>
      </c>
      <c r="EN37" s="62">
        <v>0.0</v>
      </c>
      <c r="EO37" s="62">
        <v>262823.0</v>
      </c>
      <c r="EP37" s="62">
        <v>0.0</v>
      </c>
      <c r="EQ37" s="62">
        <v>0.0</v>
      </c>
      <c r="ER37" s="62">
        <v>0.0</v>
      </c>
      <c r="ES37" s="62">
        <v>0.0</v>
      </c>
      <c r="ET37" s="62">
        <v>0.0</v>
      </c>
      <c r="EU37" s="62">
        <v>2.0646838E7</v>
      </c>
      <c r="EV37" s="62">
        <v>3480972.0</v>
      </c>
      <c r="EW37" s="62">
        <v>873002.0</v>
      </c>
      <c r="EX37" s="62">
        <v>2756279.0</v>
      </c>
      <c r="EY37" s="62">
        <v>9681461.0</v>
      </c>
      <c r="EZ37" s="62">
        <v>0.0</v>
      </c>
      <c r="FA37" s="62">
        <v>0.0</v>
      </c>
      <c r="FB37" s="62">
        <v>0.0</v>
      </c>
      <c r="FC37" s="62">
        <v>0.0</v>
      </c>
      <c r="FD37" s="62">
        <v>0.0</v>
      </c>
      <c r="FE37" s="62">
        <v>0.0</v>
      </c>
      <c r="FF37" s="62">
        <v>0.0</v>
      </c>
      <c r="FG37" s="62">
        <v>0.0</v>
      </c>
      <c r="FH37" s="62">
        <v>0.0</v>
      </c>
      <c r="FI37" s="62">
        <v>0.0</v>
      </c>
      <c r="FJ37" s="62">
        <v>4372.0</v>
      </c>
      <c r="FK37" s="62">
        <v>60239.0</v>
      </c>
      <c r="FL37" s="62">
        <v>0.0</v>
      </c>
      <c r="FM37" s="62">
        <v>0.0</v>
      </c>
      <c r="FN37" s="62">
        <v>0.0</v>
      </c>
      <c r="FO37" s="62">
        <v>0.0</v>
      </c>
      <c r="FP37" s="62">
        <v>0.0</v>
      </c>
      <c r="FQ37" s="62">
        <v>0.0</v>
      </c>
      <c r="FR37" s="62">
        <v>0.0</v>
      </c>
      <c r="FS37" s="62">
        <v>0.0</v>
      </c>
      <c r="FT37" s="62">
        <v>0.0</v>
      </c>
      <c r="FU37" s="62">
        <v>0.0</v>
      </c>
      <c r="FV37" s="62">
        <v>0.0</v>
      </c>
      <c r="FW37" s="62">
        <v>103.0</v>
      </c>
      <c r="FX37" s="62">
        <v>4.0</v>
      </c>
      <c r="FY37" s="62">
        <v>200186.0</v>
      </c>
      <c r="FZ37" s="62">
        <v>0.0</v>
      </c>
      <c r="GA37" s="62">
        <v>2632.0</v>
      </c>
      <c r="GB37" s="62">
        <v>3698.0</v>
      </c>
      <c r="GC37" s="62">
        <v>649.0</v>
      </c>
      <c r="GD37" s="62">
        <v>0.0</v>
      </c>
      <c r="GE37" s="62">
        <v>0.0</v>
      </c>
      <c r="GF37" s="63">
        <v>5.3251597E7</v>
      </c>
      <c r="GG37" s="64">
        <v>401198.0</v>
      </c>
      <c r="GH37" s="65">
        <v>0.0</v>
      </c>
      <c r="GI37" s="64">
        <v>0.0</v>
      </c>
      <c r="GJ37" s="64">
        <v>0.0</v>
      </c>
      <c r="GK37" s="64">
        <v>4091834.0</v>
      </c>
      <c r="GL37" s="64">
        <v>6132656.0</v>
      </c>
      <c r="GM37" s="64">
        <v>0.0</v>
      </c>
      <c r="GN37" s="63">
        <v>1.0625688E7</v>
      </c>
      <c r="GO37" s="66">
        <v>6.3877285E7</v>
      </c>
      <c r="GP37" s="64">
        <v>504370.0</v>
      </c>
      <c r="GQ37" s="64">
        <v>0.0</v>
      </c>
      <c r="GR37" s="65">
        <v>0.0</v>
      </c>
      <c r="GS37" s="63">
        <v>504370.0</v>
      </c>
      <c r="GT37" s="67">
        <v>6482853.0</v>
      </c>
      <c r="GU37" s="67">
        <v>1382960.0</v>
      </c>
      <c r="GV37" s="67">
        <v>759404.0</v>
      </c>
      <c r="GW37" s="63">
        <v>8625217.0</v>
      </c>
      <c r="GX37" s="63">
        <v>113221.0</v>
      </c>
      <c r="GY37" s="63">
        <v>5.4634477E7</v>
      </c>
      <c r="GZ37" s="66">
        <v>6.3877285E7</v>
      </c>
      <c r="HC37" s="107" t="s">
        <v>562</v>
      </c>
      <c r="HD37" s="107" t="s">
        <v>563</v>
      </c>
      <c r="HE37" s="109" t="s">
        <v>564</v>
      </c>
      <c r="HF37" s="113">
        <f>SUM(GZ175:GZ178)</f>
        <v>958248882</v>
      </c>
      <c r="HH37" s="106"/>
    </row>
    <row r="38" ht="15.75" customHeight="1">
      <c r="A38" s="60">
        <v>33.0</v>
      </c>
      <c r="B38" s="111" t="s">
        <v>303</v>
      </c>
      <c r="C38" s="62">
        <v>0.0</v>
      </c>
      <c r="D38" s="62">
        <v>0.0</v>
      </c>
      <c r="E38" s="62">
        <v>0.0</v>
      </c>
      <c r="F38" s="62">
        <v>0.0</v>
      </c>
      <c r="G38" s="62">
        <v>0.0</v>
      </c>
      <c r="H38" s="62">
        <v>0.0</v>
      </c>
      <c r="I38" s="62">
        <v>0.0</v>
      </c>
      <c r="J38" s="62">
        <v>0.0</v>
      </c>
      <c r="K38" s="62">
        <v>0.0</v>
      </c>
      <c r="L38" s="62">
        <v>0.0</v>
      </c>
      <c r="M38" s="62">
        <v>0.0</v>
      </c>
      <c r="N38" s="62">
        <v>0.0</v>
      </c>
      <c r="O38" s="62">
        <v>0.0</v>
      </c>
      <c r="P38" s="62">
        <v>0.0</v>
      </c>
      <c r="Q38" s="62">
        <v>0.0</v>
      </c>
      <c r="R38" s="62">
        <v>0.0</v>
      </c>
      <c r="S38" s="62">
        <v>0.0</v>
      </c>
      <c r="T38" s="62">
        <v>0.0</v>
      </c>
      <c r="U38" s="62">
        <v>0.0</v>
      </c>
      <c r="V38" s="62">
        <v>0.0</v>
      </c>
      <c r="W38" s="62">
        <v>0.0</v>
      </c>
      <c r="X38" s="62">
        <v>0.0</v>
      </c>
      <c r="Y38" s="62">
        <v>0.0</v>
      </c>
      <c r="Z38" s="62">
        <v>0.0</v>
      </c>
      <c r="AA38" s="62">
        <v>0.0</v>
      </c>
      <c r="AB38" s="62">
        <v>0.0</v>
      </c>
      <c r="AC38" s="62">
        <v>3629.0</v>
      </c>
      <c r="AD38" s="62">
        <v>181129.0</v>
      </c>
      <c r="AE38" s="62">
        <v>0.0</v>
      </c>
      <c r="AF38" s="62">
        <v>5118.0</v>
      </c>
      <c r="AG38" s="62">
        <v>0.0</v>
      </c>
      <c r="AH38" s="62">
        <v>0.0</v>
      </c>
      <c r="AI38" s="62">
        <v>2879097.0</v>
      </c>
      <c r="AJ38" s="62">
        <v>236727.0</v>
      </c>
      <c r="AK38" s="62">
        <v>61245.0</v>
      </c>
      <c r="AL38" s="62">
        <v>0.0</v>
      </c>
      <c r="AM38" s="62">
        <v>0.0</v>
      </c>
      <c r="AN38" s="62">
        <v>0.0</v>
      </c>
      <c r="AO38" s="62">
        <v>0.0</v>
      </c>
      <c r="AP38" s="62">
        <v>0.0</v>
      </c>
      <c r="AQ38" s="62">
        <v>0.0</v>
      </c>
      <c r="AR38" s="62">
        <v>0.0</v>
      </c>
      <c r="AS38" s="62">
        <v>0.0</v>
      </c>
      <c r="AT38" s="62">
        <v>0.0</v>
      </c>
      <c r="AU38" s="62">
        <v>0.0</v>
      </c>
      <c r="AV38" s="62">
        <v>0.0</v>
      </c>
      <c r="AW38" s="62">
        <v>0.0</v>
      </c>
      <c r="AX38" s="62">
        <v>0.0</v>
      </c>
      <c r="AY38" s="62">
        <v>0.0</v>
      </c>
      <c r="AZ38" s="62">
        <v>0.0</v>
      </c>
      <c r="BA38" s="62">
        <v>0.0</v>
      </c>
      <c r="BB38" s="62">
        <v>0.0</v>
      </c>
      <c r="BC38" s="62">
        <v>0.0</v>
      </c>
      <c r="BD38" s="62">
        <v>0.0</v>
      </c>
      <c r="BE38" s="62">
        <v>1.4277668E7</v>
      </c>
      <c r="BF38" s="62">
        <v>3.0448116E7</v>
      </c>
      <c r="BG38" s="62">
        <v>0.0</v>
      </c>
      <c r="BH38" s="62">
        <v>75699.0</v>
      </c>
      <c r="BI38" s="62">
        <v>0.0</v>
      </c>
      <c r="BJ38" s="62">
        <v>0.0</v>
      </c>
      <c r="BK38" s="62">
        <v>0.0</v>
      </c>
      <c r="BL38" s="62">
        <v>0.0</v>
      </c>
      <c r="BM38" s="62">
        <v>0.0</v>
      </c>
      <c r="BN38" s="62">
        <v>0.0</v>
      </c>
      <c r="BO38" s="62">
        <v>0.0</v>
      </c>
      <c r="BP38" s="62">
        <v>0.0</v>
      </c>
      <c r="BQ38" s="62">
        <v>1019.0</v>
      </c>
      <c r="BR38" s="62">
        <v>0.0</v>
      </c>
      <c r="BS38" s="62">
        <v>0.0</v>
      </c>
      <c r="BT38" s="62">
        <v>112021.0</v>
      </c>
      <c r="BU38" s="62">
        <v>8737647.0</v>
      </c>
      <c r="BV38" s="62">
        <v>0.0</v>
      </c>
      <c r="BW38" s="62">
        <v>0.0</v>
      </c>
      <c r="BX38" s="62">
        <v>0.0</v>
      </c>
      <c r="BY38" s="62">
        <v>0.0</v>
      </c>
      <c r="BZ38" s="62">
        <v>0.0</v>
      </c>
      <c r="CA38" s="62">
        <v>0.0</v>
      </c>
      <c r="CB38" s="62">
        <v>0.0</v>
      </c>
      <c r="CC38" s="62">
        <v>0.0</v>
      </c>
      <c r="CD38" s="62">
        <v>0.0</v>
      </c>
      <c r="CE38" s="62">
        <v>0.0</v>
      </c>
      <c r="CF38" s="62">
        <v>0.0</v>
      </c>
      <c r="CG38" s="62">
        <v>0.0</v>
      </c>
      <c r="CH38" s="62">
        <v>0.0</v>
      </c>
      <c r="CI38" s="62">
        <v>0.0</v>
      </c>
      <c r="CJ38" s="62">
        <v>0.0</v>
      </c>
      <c r="CK38" s="62">
        <v>0.0</v>
      </c>
      <c r="CL38" s="62">
        <v>0.0</v>
      </c>
      <c r="CM38" s="62">
        <v>0.0</v>
      </c>
      <c r="CN38" s="62">
        <v>0.0</v>
      </c>
      <c r="CO38" s="62">
        <v>0.0</v>
      </c>
      <c r="CP38" s="62">
        <v>0.0</v>
      </c>
      <c r="CQ38" s="62">
        <v>0.0</v>
      </c>
      <c r="CR38" s="62">
        <v>0.0</v>
      </c>
      <c r="CS38" s="62">
        <v>0.0</v>
      </c>
      <c r="CT38" s="62">
        <v>0.0</v>
      </c>
      <c r="CU38" s="62">
        <v>0.0</v>
      </c>
      <c r="CV38" s="62">
        <v>0.0</v>
      </c>
      <c r="CW38" s="62">
        <v>0.0</v>
      </c>
      <c r="CX38" s="62">
        <v>0.0</v>
      </c>
      <c r="CY38" s="62">
        <v>0.0</v>
      </c>
      <c r="CZ38" s="62">
        <v>0.0</v>
      </c>
      <c r="DA38" s="62">
        <v>114563.0</v>
      </c>
      <c r="DB38" s="62">
        <v>6885.0</v>
      </c>
      <c r="DC38" s="62">
        <v>0.0</v>
      </c>
      <c r="DD38" s="62">
        <v>209360.0</v>
      </c>
      <c r="DE38" s="62">
        <v>0.0</v>
      </c>
      <c r="DF38" s="62">
        <v>0.0</v>
      </c>
      <c r="DG38" s="62">
        <v>0.0</v>
      </c>
      <c r="DH38" s="62">
        <v>0.0</v>
      </c>
      <c r="DI38" s="62">
        <v>0.0</v>
      </c>
      <c r="DJ38" s="62">
        <v>0.0</v>
      </c>
      <c r="DK38" s="62">
        <v>0.0</v>
      </c>
      <c r="DL38" s="62">
        <v>0.0</v>
      </c>
      <c r="DM38" s="62">
        <v>0.0</v>
      </c>
      <c r="DN38" s="62">
        <v>0.0</v>
      </c>
      <c r="DO38" s="62">
        <v>0.0</v>
      </c>
      <c r="DP38" s="62">
        <v>0.0</v>
      </c>
      <c r="DQ38" s="62">
        <v>0.0</v>
      </c>
      <c r="DR38" s="62">
        <v>0.0</v>
      </c>
      <c r="DS38" s="62">
        <v>0.0</v>
      </c>
      <c r="DT38" s="62">
        <v>0.0</v>
      </c>
      <c r="DU38" s="62">
        <v>0.0</v>
      </c>
      <c r="DV38" s="62">
        <v>0.0</v>
      </c>
      <c r="DW38" s="62">
        <v>0.0</v>
      </c>
      <c r="DX38" s="62">
        <v>0.0</v>
      </c>
      <c r="DY38" s="62">
        <v>0.0</v>
      </c>
      <c r="DZ38" s="62">
        <v>0.0</v>
      </c>
      <c r="EA38" s="62">
        <v>0.0</v>
      </c>
      <c r="EB38" s="62">
        <v>0.0</v>
      </c>
      <c r="EC38" s="62">
        <v>0.0</v>
      </c>
      <c r="ED38" s="62">
        <v>0.0</v>
      </c>
      <c r="EE38" s="62">
        <v>0.0</v>
      </c>
      <c r="EF38" s="62">
        <v>0.0</v>
      </c>
      <c r="EG38" s="62">
        <v>0.0</v>
      </c>
      <c r="EH38" s="62">
        <v>0.0</v>
      </c>
      <c r="EI38" s="62">
        <v>0.0</v>
      </c>
      <c r="EJ38" s="62">
        <v>0.0</v>
      </c>
      <c r="EK38" s="62">
        <v>0.0</v>
      </c>
      <c r="EL38" s="62">
        <v>0.0</v>
      </c>
      <c r="EM38" s="62">
        <v>0.0</v>
      </c>
      <c r="EN38" s="62">
        <v>0.0</v>
      </c>
      <c r="EO38" s="62">
        <v>0.0</v>
      </c>
      <c r="EP38" s="62">
        <v>0.0</v>
      </c>
      <c r="EQ38" s="62">
        <v>0.0</v>
      </c>
      <c r="ER38" s="62">
        <v>0.0</v>
      </c>
      <c r="ES38" s="62">
        <v>0.0</v>
      </c>
      <c r="ET38" s="62">
        <v>0.0</v>
      </c>
      <c r="EU38" s="62">
        <v>0.0</v>
      </c>
      <c r="EV38" s="62">
        <v>0.0</v>
      </c>
      <c r="EW38" s="62">
        <v>0.0</v>
      </c>
      <c r="EX38" s="62">
        <v>0.0</v>
      </c>
      <c r="EY38" s="62">
        <v>0.0</v>
      </c>
      <c r="EZ38" s="62">
        <v>0.0</v>
      </c>
      <c r="FA38" s="62">
        <v>0.0</v>
      </c>
      <c r="FB38" s="62">
        <v>0.0</v>
      </c>
      <c r="FC38" s="62">
        <v>0.0</v>
      </c>
      <c r="FD38" s="62">
        <v>0.0</v>
      </c>
      <c r="FE38" s="62">
        <v>1354663.0</v>
      </c>
      <c r="FF38" s="62">
        <v>0.0</v>
      </c>
      <c r="FG38" s="62">
        <v>0.0</v>
      </c>
      <c r="FH38" s="62">
        <v>0.0</v>
      </c>
      <c r="FI38" s="62">
        <v>0.0</v>
      </c>
      <c r="FJ38" s="62">
        <v>2667560.0</v>
      </c>
      <c r="FK38" s="62">
        <v>2.3871497E7</v>
      </c>
      <c r="FL38" s="62">
        <v>0.0</v>
      </c>
      <c r="FM38" s="62">
        <v>0.0</v>
      </c>
      <c r="FN38" s="62">
        <v>0.0</v>
      </c>
      <c r="FO38" s="62">
        <v>0.0</v>
      </c>
      <c r="FP38" s="62">
        <v>0.0</v>
      </c>
      <c r="FQ38" s="62">
        <v>0.0</v>
      </c>
      <c r="FR38" s="62">
        <v>0.0</v>
      </c>
      <c r="FS38" s="62">
        <v>0.0</v>
      </c>
      <c r="FT38" s="62">
        <v>0.0</v>
      </c>
      <c r="FU38" s="62">
        <v>0.0</v>
      </c>
      <c r="FV38" s="62">
        <v>0.0</v>
      </c>
      <c r="FW38" s="62">
        <v>366506.0</v>
      </c>
      <c r="FX38" s="62">
        <v>22915.0</v>
      </c>
      <c r="FY38" s="62">
        <v>1112439.0</v>
      </c>
      <c r="FZ38" s="62">
        <v>9096.0</v>
      </c>
      <c r="GA38" s="62">
        <v>189171.0</v>
      </c>
      <c r="GB38" s="62">
        <v>3566523.0</v>
      </c>
      <c r="GC38" s="62">
        <v>1061697.0</v>
      </c>
      <c r="GD38" s="62">
        <v>0.0</v>
      </c>
      <c r="GE38" s="62">
        <v>684665.0</v>
      </c>
      <c r="GF38" s="63">
        <v>9.2256655E7</v>
      </c>
      <c r="GG38" s="64">
        <v>2.79018291E8</v>
      </c>
      <c r="GH38" s="65">
        <v>0.0</v>
      </c>
      <c r="GI38" s="64">
        <v>0.0</v>
      </c>
      <c r="GJ38" s="64">
        <v>2822354.0</v>
      </c>
      <c r="GK38" s="64">
        <v>-1316634.0</v>
      </c>
      <c r="GL38" s="64">
        <v>4145337.0</v>
      </c>
      <c r="GM38" s="64">
        <v>0.0</v>
      </c>
      <c r="GN38" s="63">
        <v>2.84669348E8</v>
      </c>
      <c r="GO38" s="66">
        <v>3.76926003E8</v>
      </c>
      <c r="GP38" s="64">
        <v>433603.0</v>
      </c>
      <c r="GQ38" s="64">
        <v>0.0</v>
      </c>
      <c r="GR38" s="65">
        <v>0.0</v>
      </c>
      <c r="GS38" s="63">
        <v>433603.0</v>
      </c>
      <c r="GT38" s="67">
        <v>2.9450971E7</v>
      </c>
      <c r="GU38" s="67">
        <v>3.3686748E7</v>
      </c>
      <c r="GV38" s="67">
        <v>7500924.0</v>
      </c>
      <c r="GW38" s="63">
        <v>7.0638643E7</v>
      </c>
      <c r="GX38" s="63">
        <v>44759.0</v>
      </c>
      <c r="GY38" s="63">
        <v>3.05808998E8</v>
      </c>
      <c r="GZ38" s="66">
        <v>3.76926003E8</v>
      </c>
      <c r="HC38" s="107" t="s">
        <v>565</v>
      </c>
      <c r="HD38" s="107" t="s">
        <v>566</v>
      </c>
      <c r="HE38" s="109" t="s">
        <v>567</v>
      </c>
      <c r="HF38" s="113">
        <f> SUM(GZ179,GZ181)</f>
        <v>1350509739</v>
      </c>
      <c r="HH38" s="106"/>
    </row>
    <row r="39" ht="15.75" customHeight="1">
      <c r="A39" s="60">
        <v>34.0</v>
      </c>
      <c r="B39" s="111" t="s">
        <v>304</v>
      </c>
      <c r="C39" s="62">
        <v>0.0</v>
      </c>
      <c r="D39" s="62">
        <v>0.0</v>
      </c>
      <c r="E39" s="62">
        <v>0.0</v>
      </c>
      <c r="F39" s="62">
        <v>0.0</v>
      </c>
      <c r="G39" s="62">
        <v>0.0</v>
      </c>
      <c r="H39" s="62">
        <v>0.0</v>
      </c>
      <c r="I39" s="62">
        <v>0.0</v>
      </c>
      <c r="J39" s="62">
        <v>0.0</v>
      </c>
      <c r="K39" s="62">
        <v>0.0</v>
      </c>
      <c r="L39" s="62">
        <v>0.0</v>
      </c>
      <c r="M39" s="62">
        <v>0.0</v>
      </c>
      <c r="N39" s="62">
        <v>0.0</v>
      </c>
      <c r="O39" s="62">
        <v>0.0</v>
      </c>
      <c r="P39" s="62">
        <v>0.0</v>
      </c>
      <c r="Q39" s="62">
        <v>0.0</v>
      </c>
      <c r="R39" s="62">
        <v>0.0</v>
      </c>
      <c r="S39" s="62">
        <v>0.0</v>
      </c>
      <c r="T39" s="62">
        <v>0.0</v>
      </c>
      <c r="U39" s="62">
        <v>0.0</v>
      </c>
      <c r="V39" s="62">
        <v>0.0</v>
      </c>
      <c r="W39" s="62">
        <v>0.0</v>
      </c>
      <c r="X39" s="62">
        <v>0.0</v>
      </c>
      <c r="Y39" s="62">
        <v>0.0</v>
      </c>
      <c r="Z39" s="62">
        <v>0.0</v>
      </c>
      <c r="AA39" s="62">
        <v>0.0</v>
      </c>
      <c r="AB39" s="62">
        <v>0.0</v>
      </c>
      <c r="AC39" s="62">
        <v>1792.0</v>
      </c>
      <c r="AD39" s="62">
        <v>144883.0</v>
      </c>
      <c r="AE39" s="62">
        <v>0.0</v>
      </c>
      <c r="AF39" s="62">
        <v>10941.0</v>
      </c>
      <c r="AG39" s="62">
        <v>0.0</v>
      </c>
      <c r="AH39" s="62">
        <v>0.0</v>
      </c>
      <c r="AI39" s="62">
        <v>0.0</v>
      </c>
      <c r="AJ39" s="62">
        <v>2224597.0</v>
      </c>
      <c r="AK39" s="62">
        <v>23024.0</v>
      </c>
      <c r="AL39" s="62">
        <v>0.0</v>
      </c>
      <c r="AM39" s="62">
        <v>0.0</v>
      </c>
      <c r="AN39" s="62">
        <v>0.0</v>
      </c>
      <c r="AO39" s="62">
        <v>0.0</v>
      </c>
      <c r="AP39" s="62">
        <v>0.0</v>
      </c>
      <c r="AQ39" s="62">
        <v>0.0</v>
      </c>
      <c r="AR39" s="62">
        <v>0.0</v>
      </c>
      <c r="AS39" s="62">
        <v>0.0</v>
      </c>
      <c r="AT39" s="62">
        <v>0.0</v>
      </c>
      <c r="AU39" s="62">
        <v>0.0</v>
      </c>
      <c r="AV39" s="62">
        <v>0.0</v>
      </c>
      <c r="AW39" s="62">
        <v>0.0</v>
      </c>
      <c r="AX39" s="62">
        <v>0.0</v>
      </c>
      <c r="AY39" s="62">
        <v>0.0</v>
      </c>
      <c r="AZ39" s="62">
        <v>0.0</v>
      </c>
      <c r="BA39" s="62">
        <v>0.0</v>
      </c>
      <c r="BB39" s="62">
        <v>0.0</v>
      </c>
      <c r="BC39" s="62">
        <v>0.0</v>
      </c>
      <c r="BD39" s="62">
        <v>0.0</v>
      </c>
      <c r="BE39" s="62">
        <v>1283744.0</v>
      </c>
      <c r="BF39" s="62">
        <v>4031488.0</v>
      </c>
      <c r="BG39" s="62">
        <v>0.0</v>
      </c>
      <c r="BH39" s="62">
        <v>10720.0</v>
      </c>
      <c r="BI39" s="62">
        <v>0.0</v>
      </c>
      <c r="BJ39" s="62">
        <v>0.0</v>
      </c>
      <c r="BK39" s="62">
        <v>0.0</v>
      </c>
      <c r="BL39" s="62">
        <v>0.0</v>
      </c>
      <c r="BM39" s="62">
        <v>0.0</v>
      </c>
      <c r="BN39" s="62">
        <v>0.0</v>
      </c>
      <c r="BO39" s="62">
        <v>0.0</v>
      </c>
      <c r="BP39" s="62">
        <v>0.0</v>
      </c>
      <c r="BQ39" s="62">
        <v>0.0</v>
      </c>
      <c r="BR39" s="62">
        <v>0.0</v>
      </c>
      <c r="BS39" s="62">
        <v>0.0</v>
      </c>
      <c r="BT39" s="62">
        <v>0.0</v>
      </c>
      <c r="BU39" s="62">
        <v>1010303.0</v>
      </c>
      <c r="BV39" s="62">
        <v>0.0</v>
      </c>
      <c r="BW39" s="62">
        <v>0.0</v>
      </c>
      <c r="BX39" s="62">
        <v>0.0</v>
      </c>
      <c r="BY39" s="62">
        <v>0.0</v>
      </c>
      <c r="BZ39" s="62">
        <v>0.0</v>
      </c>
      <c r="CA39" s="62">
        <v>0.0</v>
      </c>
      <c r="CB39" s="62">
        <v>0.0</v>
      </c>
      <c r="CC39" s="62">
        <v>0.0</v>
      </c>
      <c r="CD39" s="62">
        <v>0.0</v>
      </c>
      <c r="CE39" s="62">
        <v>0.0</v>
      </c>
      <c r="CF39" s="62">
        <v>0.0</v>
      </c>
      <c r="CG39" s="62">
        <v>0.0</v>
      </c>
      <c r="CH39" s="62">
        <v>0.0</v>
      </c>
      <c r="CI39" s="62">
        <v>0.0</v>
      </c>
      <c r="CJ39" s="62">
        <v>0.0</v>
      </c>
      <c r="CK39" s="62">
        <v>0.0</v>
      </c>
      <c r="CL39" s="62">
        <v>0.0</v>
      </c>
      <c r="CM39" s="62">
        <v>0.0</v>
      </c>
      <c r="CN39" s="62">
        <v>0.0</v>
      </c>
      <c r="CO39" s="62">
        <v>0.0</v>
      </c>
      <c r="CP39" s="62">
        <v>0.0</v>
      </c>
      <c r="CQ39" s="62">
        <v>0.0</v>
      </c>
      <c r="CR39" s="62">
        <v>0.0</v>
      </c>
      <c r="CS39" s="62">
        <v>0.0</v>
      </c>
      <c r="CT39" s="62">
        <v>0.0</v>
      </c>
      <c r="CU39" s="62">
        <v>0.0</v>
      </c>
      <c r="CV39" s="62">
        <v>0.0</v>
      </c>
      <c r="CW39" s="62">
        <v>0.0</v>
      </c>
      <c r="CX39" s="62">
        <v>0.0</v>
      </c>
      <c r="CY39" s="62">
        <v>0.0</v>
      </c>
      <c r="CZ39" s="62">
        <v>0.0</v>
      </c>
      <c r="DA39" s="62">
        <v>0.0</v>
      </c>
      <c r="DB39" s="62">
        <v>0.0</v>
      </c>
      <c r="DC39" s="62">
        <v>0.0</v>
      </c>
      <c r="DD39" s="62">
        <v>0.0</v>
      </c>
      <c r="DE39" s="62">
        <v>0.0</v>
      </c>
      <c r="DF39" s="62">
        <v>0.0</v>
      </c>
      <c r="DG39" s="62">
        <v>0.0</v>
      </c>
      <c r="DH39" s="62">
        <v>0.0</v>
      </c>
      <c r="DI39" s="62">
        <v>0.0</v>
      </c>
      <c r="DJ39" s="62">
        <v>0.0</v>
      </c>
      <c r="DK39" s="62">
        <v>0.0</v>
      </c>
      <c r="DL39" s="62">
        <v>0.0</v>
      </c>
      <c r="DM39" s="62">
        <v>0.0</v>
      </c>
      <c r="DN39" s="62">
        <v>0.0</v>
      </c>
      <c r="DO39" s="62">
        <v>0.0</v>
      </c>
      <c r="DP39" s="62">
        <v>0.0</v>
      </c>
      <c r="DQ39" s="62">
        <v>0.0</v>
      </c>
      <c r="DR39" s="62">
        <v>0.0</v>
      </c>
      <c r="DS39" s="62">
        <v>0.0</v>
      </c>
      <c r="DT39" s="62">
        <v>0.0</v>
      </c>
      <c r="DU39" s="62">
        <v>0.0</v>
      </c>
      <c r="DV39" s="62">
        <v>0.0</v>
      </c>
      <c r="DW39" s="62">
        <v>0.0</v>
      </c>
      <c r="DX39" s="62">
        <v>0.0</v>
      </c>
      <c r="DY39" s="62">
        <v>0.0</v>
      </c>
      <c r="DZ39" s="62">
        <v>0.0</v>
      </c>
      <c r="EA39" s="62">
        <v>0.0</v>
      </c>
      <c r="EB39" s="62">
        <v>0.0</v>
      </c>
      <c r="EC39" s="62">
        <v>0.0</v>
      </c>
      <c r="ED39" s="62">
        <v>0.0</v>
      </c>
      <c r="EE39" s="62">
        <v>0.0</v>
      </c>
      <c r="EF39" s="62">
        <v>0.0</v>
      </c>
      <c r="EG39" s="62">
        <v>0.0</v>
      </c>
      <c r="EH39" s="62">
        <v>0.0</v>
      </c>
      <c r="EI39" s="62">
        <v>0.0</v>
      </c>
      <c r="EJ39" s="62">
        <v>0.0</v>
      </c>
      <c r="EK39" s="62">
        <v>0.0</v>
      </c>
      <c r="EL39" s="62">
        <v>0.0</v>
      </c>
      <c r="EM39" s="62">
        <v>0.0</v>
      </c>
      <c r="EN39" s="62">
        <v>0.0</v>
      </c>
      <c r="EO39" s="62">
        <v>0.0</v>
      </c>
      <c r="EP39" s="62">
        <v>0.0</v>
      </c>
      <c r="EQ39" s="62">
        <v>0.0</v>
      </c>
      <c r="ER39" s="62">
        <v>0.0</v>
      </c>
      <c r="ES39" s="62">
        <v>0.0</v>
      </c>
      <c r="ET39" s="62">
        <v>0.0</v>
      </c>
      <c r="EU39" s="62">
        <v>0.0</v>
      </c>
      <c r="EV39" s="62">
        <v>0.0</v>
      </c>
      <c r="EW39" s="62">
        <v>0.0</v>
      </c>
      <c r="EX39" s="62">
        <v>0.0</v>
      </c>
      <c r="EY39" s="62">
        <v>0.0</v>
      </c>
      <c r="EZ39" s="62">
        <v>0.0</v>
      </c>
      <c r="FA39" s="62">
        <v>0.0</v>
      </c>
      <c r="FB39" s="62">
        <v>0.0</v>
      </c>
      <c r="FC39" s="62">
        <v>0.0</v>
      </c>
      <c r="FD39" s="62">
        <v>0.0</v>
      </c>
      <c r="FE39" s="62">
        <v>0.0</v>
      </c>
      <c r="FF39" s="62">
        <v>0.0</v>
      </c>
      <c r="FG39" s="62">
        <v>0.0</v>
      </c>
      <c r="FH39" s="62">
        <v>0.0</v>
      </c>
      <c r="FI39" s="62">
        <v>0.0</v>
      </c>
      <c r="FJ39" s="62">
        <v>919861.0</v>
      </c>
      <c r="FK39" s="62">
        <v>1.7479219E7</v>
      </c>
      <c r="FL39" s="62">
        <v>0.0</v>
      </c>
      <c r="FM39" s="62">
        <v>0.0</v>
      </c>
      <c r="FN39" s="62">
        <v>0.0</v>
      </c>
      <c r="FO39" s="62">
        <v>0.0</v>
      </c>
      <c r="FP39" s="62">
        <v>0.0</v>
      </c>
      <c r="FQ39" s="62">
        <v>0.0</v>
      </c>
      <c r="FR39" s="62">
        <v>0.0</v>
      </c>
      <c r="FS39" s="62">
        <v>0.0</v>
      </c>
      <c r="FT39" s="62">
        <v>0.0</v>
      </c>
      <c r="FU39" s="62">
        <v>0.0</v>
      </c>
      <c r="FV39" s="62">
        <v>0.0</v>
      </c>
      <c r="FW39" s="62">
        <v>0.0</v>
      </c>
      <c r="FX39" s="62">
        <v>176307.0</v>
      </c>
      <c r="FY39" s="62">
        <v>141523.0</v>
      </c>
      <c r="FZ39" s="62">
        <v>0.0</v>
      </c>
      <c r="GA39" s="62">
        <v>41693.0</v>
      </c>
      <c r="GB39" s="62">
        <v>1266725.0</v>
      </c>
      <c r="GC39" s="62">
        <v>738244.0</v>
      </c>
      <c r="GD39" s="62">
        <v>0.0</v>
      </c>
      <c r="GE39" s="62">
        <v>57195.0</v>
      </c>
      <c r="GF39" s="63">
        <v>2.9562259E7</v>
      </c>
      <c r="GG39" s="64">
        <v>5.6540521E7</v>
      </c>
      <c r="GH39" s="65">
        <v>0.0</v>
      </c>
      <c r="GI39" s="64">
        <v>0.0</v>
      </c>
      <c r="GJ39" s="64">
        <v>286073.0</v>
      </c>
      <c r="GK39" s="64">
        <v>504285.0</v>
      </c>
      <c r="GL39" s="64">
        <v>3448310.0</v>
      </c>
      <c r="GM39" s="64">
        <v>0.0</v>
      </c>
      <c r="GN39" s="63">
        <v>6.0779189E7</v>
      </c>
      <c r="GO39" s="66">
        <v>9.0341448E7</v>
      </c>
      <c r="GP39" s="64">
        <v>91901.0</v>
      </c>
      <c r="GQ39" s="64">
        <v>0.0</v>
      </c>
      <c r="GR39" s="65">
        <v>0.0</v>
      </c>
      <c r="GS39" s="63">
        <v>91901.0</v>
      </c>
      <c r="GT39" s="67">
        <v>1.0204211E7</v>
      </c>
      <c r="GU39" s="67">
        <v>7643703.0</v>
      </c>
      <c r="GV39" s="67">
        <v>794466.0</v>
      </c>
      <c r="GW39" s="63">
        <v>1.864238E7</v>
      </c>
      <c r="GX39" s="63">
        <v>2627.0</v>
      </c>
      <c r="GY39" s="63">
        <v>7.160454E7</v>
      </c>
      <c r="GZ39" s="66">
        <v>9.0341448E7</v>
      </c>
      <c r="HC39" s="107" t="s">
        <v>568</v>
      </c>
      <c r="HD39" s="107" t="s">
        <v>569</v>
      </c>
      <c r="HE39" s="109" t="s">
        <v>445</v>
      </c>
      <c r="HF39" s="113">
        <f>GZ180</f>
        <v>571462890</v>
      </c>
      <c r="HH39" s="106"/>
    </row>
    <row r="40" ht="15.75" customHeight="1">
      <c r="A40" s="68">
        <v>35.0</v>
      </c>
      <c r="B40" s="111" t="s">
        <v>305</v>
      </c>
      <c r="C40" s="70">
        <v>0.0</v>
      </c>
      <c r="D40" s="70">
        <v>0.0</v>
      </c>
      <c r="E40" s="70">
        <v>0.0</v>
      </c>
      <c r="F40" s="70">
        <v>0.0</v>
      </c>
      <c r="G40" s="70">
        <v>0.0</v>
      </c>
      <c r="H40" s="70">
        <v>0.0</v>
      </c>
      <c r="I40" s="70">
        <v>0.0</v>
      </c>
      <c r="J40" s="70">
        <v>0.0</v>
      </c>
      <c r="K40" s="70">
        <v>0.0</v>
      </c>
      <c r="L40" s="70">
        <v>0.0</v>
      </c>
      <c r="M40" s="70">
        <v>0.0</v>
      </c>
      <c r="N40" s="70">
        <v>0.0</v>
      </c>
      <c r="O40" s="70">
        <v>0.0</v>
      </c>
      <c r="P40" s="70">
        <v>0.0</v>
      </c>
      <c r="Q40" s="70">
        <v>0.0</v>
      </c>
      <c r="R40" s="70">
        <v>0.0</v>
      </c>
      <c r="S40" s="70">
        <v>0.0</v>
      </c>
      <c r="T40" s="70">
        <v>0.0</v>
      </c>
      <c r="U40" s="70">
        <v>0.0</v>
      </c>
      <c r="V40" s="70">
        <v>0.0</v>
      </c>
      <c r="W40" s="70">
        <v>0.0</v>
      </c>
      <c r="X40" s="70">
        <v>0.0</v>
      </c>
      <c r="Y40" s="70">
        <v>0.0</v>
      </c>
      <c r="Z40" s="70">
        <v>0.0</v>
      </c>
      <c r="AA40" s="70">
        <v>0.0</v>
      </c>
      <c r="AB40" s="70">
        <v>0.0</v>
      </c>
      <c r="AC40" s="70">
        <v>0.0</v>
      </c>
      <c r="AD40" s="70">
        <v>0.0</v>
      </c>
      <c r="AE40" s="70">
        <v>0.0</v>
      </c>
      <c r="AF40" s="70">
        <v>2177.0</v>
      </c>
      <c r="AG40" s="70">
        <v>0.0</v>
      </c>
      <c r="AH40" s="70">
        <v>0.0</v>
      </c>
      <c r="AI40" s="70">
        <v>0.0</v>
      </c>
      <c r="AJ40" s="70">
        <v>150.0</v>
      </c>
      <c r="AK40" s="70">
        <v>469713.0</v>
      </c>
      <c r="AL40" s="70">
        <v>0.0</v>
      </c>
      <c r="AM40" s="70">
        <v>0.0</v>
      </c>
      <c r="AN40" s="70">
        <v>0.0</v>
      </c>
      <c r="AO40" s="70">
        <v>0.0</v>
      </c>
      <c r="AP40" s="70">
        <v>0.0</v>
      </c>
      <c r="AQ40" s="70">
        <v>0.0</v>
      </c>
      <c r="AR40" s="70">
        <v>0.0</v>
      </c>
      <c r="AS40" s="70">
        <v>0.0</v>
      </c>
      <c r="AT40" s="70">
        <v>0.0</v>
      </c>
      <c r="AU40" s="70">
        <v>0.0</v>
      </c>
      <c r="AV40" s="70">
        <v>0.0</v>
      </c>
      <c r="AW40" s="70">
        <v>0.0</v>
      </c>
      <c r="AX40" s="70">
        <v>0.0</v>
      </c>
      <c r="AY40" s="70">
        <v>0.0</v>
      </c>
      <c r="AZ40" s="70">
        <v>0.0</v>
      </c>
      <c r="BA40" s="70">
        <v>0.0</v>
      </c>
      <c r="BB40" s="70">
        <v>0.0</v>
      </c>
      <c r="BC40" s="70">
        <v>0.0</v>
      </c>
      <c r="BD40" s="70">
        <v>0.0</v>
      </c>
      <c r="BE40" s="70">
        <v>435143.0</v>
      </c>
      <c r="BF40" s="70">
        <v>968395.0</v>
      </c>
      <c r="BG40" s="70">
        <v>0.0</v>
      </c>
      <c r="BH40" s="70">
        <v>2175.0</v>
      </c>
      <c r="BI40" s="70">
        <v>0.0</v>
      </c>
      <c r="BJ40" s="70">
        <v>0.0</v>
      </c>
      <c r="BK40" s="70">
        <v>0.0</v>
      </c>
      <c r="BL40" s="70">
        <v>0.0</v>
      </c>
      <c r="BM40" s="70">
        <v>0.0</v>
      </c>
      <c r="BN40" s="70">
        <v>0.0</v>
      </c>
      <c r="BO40" s="70">
        <v>0.0</v>
      </c>
      <c r="BP40" s="70">
        <v>0.0</v>
      </c>
      <c r="BQ40" s="70">
        <v>0.0</v>
      </c>
      <c r="BR40" s="70">
        <v>0.0</v>
      </c>
      <c r="BS40" s="70">
        <v>0.0</v>
      </c>
      <c r="BT40" s="70">
        <v>0.0</v>
      </c>
      <c r="BU40" s="70">
        <v>208135.0</v>
      </c>
      <c r="BV40" s="70">
        <v>0.0</v>
      </c>
      <c r="BW40" s="70">
        <v>0.0</v>
      </c>
      <c r="BX40" s="70">
        <v>0.0</v>
      </c>
      <c r="BY40" s="70">
        <v>0.0</v>
      </c>
      <c r="BZ40" s="70">
        <v>0.0</v>
      </c>
      <c r="CA40" s="70">
        <v>0.0</v>
      </c>
      <c r="CB40" s="70">
        <v>0.0</v>
      </c>
      <c r="CC40" s="70">
        <v>0.0</v>
      </c>
      <c r="CD40" s="70">
        <v>0.0</v>
      </c>
      <c r="CE40" s="70">
        <v>0.0</v>
      </c>
      <c r="CF40" s="70">
        <v>0.0</v>
      </c>
      <c r="CG40" s="70">
        <v>0.0</v>
      </c>
      <c r="CH40" s="70">
        <v>0.0</v>
      </c>
      <c r="CI40" s="70">
        <v>0.0</v>
      </c>
      <c r="CJ40" s="70">
        <v>0.0</v>
      </c>
      <c r="CK40" s="70">
        <v>0.0</v>
      </c>
      <c r="CL40" s="70">
        <v>0.0</v>
      </c>
      <c r="CM40" s="70">
        <v>0.0</v>
      </c>
      <c r="CN40" s="70">
        <v>0.0</v>
      </c>
      <c r="CO40" s="70">
        <v>0.0</v>
      </c>
      <c r="CP40" s="70">
        <v>0.0</v>
      </c>
      <c r="CQ40" s="70">
        <v>0.0</v>
      </c>
      <c r="CR40" s="70">
        <v>0.0</v>
      </c>
      <c r="CS40" s="70">
        <v>0.0</v>
      </c>
      <c r="CT40" s="70">
        <v>0.0</v>
      </c>
      <c r="CU40" s="70">
        <v>0.0</v>
      </c>
      <c r="CV40" s="70">
        <v>0.0</v>
      </c>
      <c r="CW40" s="70">
        <v>0.0</v>
      </c>
      <c r="CX40" s="70">
        <v>0.0</v>
      </c>
      <c r="CY40" s="70">
        <v>0.0</v>
      </c>
      <c r="CZ40" s="70">
        <v>0.0</v>
      </c>
      <c r="DA40" s="70">
        <v>97.0</v>
      </c>
      <c r="DB40" s="70">
        <v>62637.0</v>
      </c>
      <c r="DC40" s="70">
        <v>0.0</v>
      </c>
      <c r="DD40" s="70">
        <v>14260.0</v>
      </c>
      <c r="DE40" s="70">
        <v>0.0</v>
      </c>
      <c r="DF40" s="70">
        <v>0.0</v>
      </c>
      <c r="DG40" s="70">
        <v>0.0</v>
      </c>
      <c r="DH40" s="70">
        <v>0.0</v>
      </c>
      <c r="DI40" s="70">
        <v>0.0</v>
      </c>
      <c r="DJ40" s="70">
        <v>0.0</v>
      </c>
      <c r="DK40" s="70">
        <v>0.0</v>
      </c>
      <c r="DL40" s="70">
        <v>0.0</v>
      </c>
      <c r="DM40" s="70">
        <v>0.0</v>
      </c>
      <c r="DN40" s="70">
        <v>0.0</v>
      </c>
      <c r="DO40" s="70">
        <v>0.0</v>
      </c>
      <c r="DP40" s="70">
        <v>0.0</v>
      </c>
      <c r="DQ40" s="70">
        <v>0.0</v>
      </c>
      <c r="DR40" s="70">
        <v>0.0</v>
      </c>
      <c r="DS40" s="70">
        <v>0.0</v>
      </c>
      <c r="DT40" s="70">
        <v>0.0</v>
      </c>
      <c r="DU40" s="70">
        <v>0.0</v>
      </c>
      <c r="DV40" s="70">
        <v>0.0</v>
      </c>
      <c r="DW40" s="70">
        <v>0.0</v>
      </c>
      <c r="DX40" s="70">
        <v>0.0</v>
      </c>
      <c r="DY40" s="70">
        <v>0.0</v>
      </c>
      <c r="DZ40" s="70">
        <v>0.0</v>
      </c>
      <c r="EA40" s="70">
        <v>0.0</v>
      </c>
      <c r="EB40" s="70">
        <v>0.0</v>
      </c>
      <c r="EC40" s="70">
        <v>0.0</v>
      </c>
      <c r="ED40" s="70">
        <v>0.0</v>
      </c>
      <c r="EE40" s="70">
        <v>0.0</v>
      </c>
      <c r="EF40" s="70">
        <v>0.0</v>
      </c>
      <c r="EG40" s="70">
        <v>0.0</v>
      </c>
      <c r="EH40" s="70">
        <v>0.0</v>
      </c>
      <c r="EI40" s="70">
        <v>0.0</v>
      </c>
      <c r="EJ40" s="70">
        <v>1633828.0</v>
      </c>
      <c r="EK40" s="70">
        <v>0.0</v>
      </c>
      <c r="EL40" s="70">
        <v>0.0</v>
      </c>
      <c r="EM40" s="70">
        <v>0.0</v>
      </c>
      <c r="EN40" s="70">
        <v>0.0</v>
      </c>
      <c r="EO40" s="70">
        <v>0.0</v>
      </c>
      <c r="EP40" s="70">
        <v>0.0</v>
      </c>
      <c r="EQ40" s="70">
        <v>0.0</v>
      </c>
      <c r="ER40" s="70">
        <v>0.0</v>
      </c>
      <c r="ES40" s="70">
        <v>0.0</v>
      </c>
      <c r="ET40" s="70">
        <v>0.0</v>
      </c>
      <c r="EU40" s="70">
        <v>0.0</v>
      </c>
      <c r="EV40" s="70">
        <v>0.0</v>
      </c>
      <c r="EW40" s="70">
        <v>0.0</v>
      </c>
      <c r="EX40" s="70">
        <v>0.0</v>
      </c>
      <c r="EY40" s="70">
        <v>0.0</v>
      </c>
      <c r="EZ40" s="70">
        <v>0.0</v>
      </c>
      <c r="FA40" s="70">
        <v>0.0</v>
      </c>
      <c r="FB40" s="70">
        <v>0.0</v>
      </c>
      <c r="FC40" s="70">
        <v>0.0</v>
      </c>
      <c r="FD40" s="70">
        <v>0.0</v>
      </c>
      <c r="FE40" s="70">
        <v>0.0</v>
      </c>
      <c r="FF40" s="70">
        <v>0.0</v>
      </c>
      <c r="FG40" s="70">
        <v>0.0</v>
      </c>
      <c r="FH40" s="70">
        <v>0.0</v>
      </c>
      <c r="FI40" s="70">
        <v>0.0</v>
      </c>
      <c r="FJ40" s="70">
        <v>89696.0</v>
      </c>
      <c r="FK40" s="70">
        <v>1495325.0</v>
      </c>
      <c r="FL40" s="70">
        <v>0.0</v>
      </c>
      <c r="FM40" s="70">
        <v>0.0</v>
      </c>
      <c r="FN40" s="70">
        <v>0.0</v>
      </c>
      <c r="FO40" s="70">
        <v>0.0</v>
      </c>
      <c r="FP40" s="70">
        <v>0.0</v>
      </c>
      <c r="FQ40" s="70">
        <v>0.0</v>
      </c>
      <c r="FR40" s="70">
        <v>0.0</v>
      </c>
      <c r="FS40" s="70">
        <v>0.0</v>
      </c>
      <c r="FT40" s="70">
        <v>0.0</v>
      </c>
      <c r="FU40" s="70">
        <v>0.0</v>
      </c>
      <c r="FV40" s="70">
        <v>0.0</v>
      </c>
      <c r="FW40" s="70">
        <v>351.0</v>
      </c>
      <c r="FX40" s="70">
        <v>16469.0</v>
      </c>
      <c r="FY40" s="70">
        <v>18540.0</v>
      </c>
      <c r="FZ40" s="70">
        <v>0.0</v>
      </c>
      <c r="GA40" s="70">
        <v>0.0</v>
      </c>
      <c r="GB40" s="70">
        <v>2714.0</v>
      </c>
      <c r="GC40" s="70">
        <v>11066.0</v>
      </c>
      <c r="GD40" s="70">
        <v>0.0</v>
      </c>
      <c r="GE40" s="70">
        <v>0.0</v>
      </c>
      <c r="GF40" s="71">
        <v>5430871.0</v>
      </c>
      <c r="GG40" s="72">
        <v>1.0496777E7</v>
      </c>
      <c r="GH40" s="73">
        <v>0.0</v>
      </c>
      <c r="GI40" s="72">
        <v>0.0</v>
      </c>
      <c r="GJ40" s="72">
        <v>0.0</v>
      </c>
      <c r="GK40" s="72">
        <v>33.0</v>
      </c>
      <c r="GL40" s="72">
        <v>764838.0</v>
      </c>
      <c r="GM40" s="72">
        <v>0.0</v>
      </c>
      <c r="GN40" s="71">
        <v>1.1261648E7</v>
      </c>
      <c r="GO40" s="74">
        <v>1.6692519E7</v>
      </c>
      <c r="GP40" s="72">
        <v>6285.0</v>
      </c>
      <c r="GQ40" s="72">
        <v>0.0</v>
      </c>
      <c r="GR40" s="73">
        <v>0.0</v>
      </c>
      <c r="GS40" s="71">
        <v>6285.0</v>
      </c>
      <c r="GT40" s="75">
        <v>1775005.0</v>
      </c>
      <c r="GU40" s="75">
        <v>1687120.0</v>
      </c>
      <c r="GV40" s="75">
        <v>41560.0</v>
      </c>
      <c r="GW40" s="71">
        <v>3503685.0</v>
      </c>
      <c r="GX40" s="71">
        <v>709.0</v>
      </c>
      <c r="GY40" s="71">
        <v>1.318184E7</v>
      </c>
      <c r="GZ40" s="74">
        <v>1.6692519E7</v>
      </c>
      <c r="HC40" s="107" t="s">
        <v>570</v>
      </c>
      <c r="HD40" s="107" t="s">
        <v>571</v>
      </c>
      <c r="HE40" s="109" t="s">
        <v>572</v>
      </c>
      <c r="HF40" s="113">
        <f t="shared" ref="HF40:HF41" si="2">SUM(GZ182,GZ185)</f>
        <v>761845407</v>
      </c>
      <c r="HH40" s="106"/>
    </row>
    <row r="41" ht="15.75" customHeight="1">
      <c r="A41" s="52">
        <v>36.0</v>
      </c>
      <c r="B41" s="111" t="s">
        <v>306</v>
      </c>
      <c r="C41" s="54">
        <v>0.0</v>
      </c>
      <c r="D41" s="54">
        <v>0.0</v>
      </c>
      <c r="E41" s="54">
        <v>0.0</v>
      </c>
      <c r="F41" s="54">
        <v>0.0</v>
      </c>
      <c r="G41" s="54">
        <v>0.0</v>
      </c>
      <c r="H41" s="54">
        <v>0.0</v>
      </c>
      <c r="I41" s="54">
        <v>0.0</v>
      </c>
      <c r="J41" s="54">
        <v>0.0</v>
      </c>
      <c r="K41" s="54">
        <v>0.0</v>
      </c>
      <c r="L41" s="54">
        <v>0.0</v>
      </c>
      <c r="M41" s="54">
        <v>0.0</v>
      </c>
      <c r="N41" s="54">
        <v>0.0</v>
      </c>
      <c r="O41" s="54">
        <v>0.0</v>
      </c>
      <c r="P41" s="54">
        <v>0.0</v>
      </c>
      <c r="Q41" s="54">
        <v>0.0</v>
      </c>
      <c r="R41" s="54">
        <v>0.0</v>
      </c>
      <c r="S41" s="54">
        <v>0.0</v>
      </c>
      <c r="T41" s="54">
        <v>0.0</v>
      </c>
      <c r="U41" s="54">
        <v>0.0</v>
      </c>
      <c r="V41" s="54">
        <v>0.0</v>
      </c>
      <c r="W41" s="54">
        <v>0.0</v>
      </c>
      <c r="X41" s="54">
        <v>0.0</v>
      </c>
      <c r="Y41" s="54">
        <v>0.0</v>
      </c>
      <c r="Z41" s="54">
        <v>0.0</v>
      </c>
      <c r="AA41" s="54">
        <v>0.0</v>
      </c>
      <c r="AB41" s="54">
        <v>0.0</v>
      </c>
      <c r="AC41" s="54">
        <v>0.0</v>
      </c>
      <c r="AD41" s="54">
        <v>0.0</v>
      </c>
      <c r="AE41" s="54">
        <v>0.0</v>
      </c>
      <c r="AF41" s="54">
        <v>64903.0</v>
      </c>
      <c r="AG41" s="54">
        <v>0.0</v>
      </c>
      <c r="AH41" s="54">
        <v>0.0</v>
      </c>
      <c r="AI41" s="54">
        <v>28461.0</v>
      </c>
      <c r="AJ41" s="54">
        <v>54544.0</v>
      </c>
      <c r="AK41" s="54">
        <v>11634.0</v>
      </c>
      <c r="AL41" s="54">
        <v>6278320.0</v>
      </c>
      <c r="AM41" s="54">
        <v>0.0</v>
      </c>
      <c r="AN41" s="54">
        <v>0.0</v>
      </c>
      <c r="AO41" s="54">
        <v>0.0</v>
      </c>
      <c r="AP41" s="54">
        <v>0.0</v>
      </c>
      <c r="AQ41" s="54">
        <v>0.0</v>
      </c>
      <c r="AR41" s="54">
        <v>0.0</v>
      </c>
      <c r="AS41" s="54">
        <v>0.0</v>
      </c>
      <c r="AT41" s="54">
        <v>0.0</v>
      </c>
      <c r="AU41" s="54">
        <v>0.0</v>
      </c>
      <c r="AV41" s="54">
        <v>0.0</v>
      </c>
      <c r="AW41" s="54">
        <v>0.0</v>
      </c>
      <c r="AX41" s="54">
        <v>0.0</v>
      </c>
      <c r="AY41" s="54">
        <v>0.0</v>
      </c>
      <c r="AZ41" s="54">
        <v>0.0</v>
      </c>
      <c r="BA41" s="54">
        <v>0.0</v>
      </c>
      <c r="BB41" s="54">
        <v>0.0</v>
      </c>
      <c r="BC41" s="54">
        <v>0.0</v>
      </c>
      <c r="BD41" s="54">
        <v>0.0</v>
      </c>
      <c r="BE41" s="54">
        <v>1.2554693E7</v>
      </c>
      <c r="BF41" s="54">
        <v>2.096505E7</v>
      </c>
      <c r="BG41" s="54">
        <v>0.0</v>
      </c>
      <c r="BH41" s="54">
        <v>85930.0</v>
      </c>
      <c r="BI41" s="54">
        <v>0.0</v>
      </c>
      <c r="BJ41" s="54">
        <v>0.0</v>
      </c>
      <c r="BK41" s="54">
        <v>0.0</v>
      </c>
      <c r="BL41" s="54">
        <v>0.0</v>
      </c>
      <c r="BM41" s="54">
        <v>0.0</v>
      </c>
      <c r="BN41" s="54">
        <v>0.0</v>
      </c>
      <c r="BO41" s="54">
        <v>0.0</v>
      </c>
      <c r="BP41" s="54">
        <v>0.0</v>
      </c>
      <c r="BQ41" s="54">
        <v>0.0</v>
      </c>
      <c r="BR41" s="54">
        <v>0.0</v>
      </c>
      <c r="BS41" s="54">
        <v>0.0</v>
      </c>
      <c r="BT41" s="54">
        <v>0.0</v>
      </c>
      <c r="BU41" s="54">
        <v>6294997.0</v>
      </c>
      <c r="BV41" s="54">
        <v>0.0</v>
      </c>
      <c r="BW41" s="54">
        <v>0.0</v>
      </c>
      <c r="BX41" s="54">
        <v>0.0</v>
      </c>
      <c r="BY41" s="54">
        <v>0.0</v>
      </c>
      <c r="BZ41" s="54">
        <v>0.0</v>
      </c>
      <c r="CA41" s="54">
        <v>0.0</v>
      </c>
      <c r="CB41" s="54">
        <v>0.0</v>
      </c>
      <c r="CC41" s="54">
        <v>0.0</v>
      </c>
      <c r="CD41" s="54">
        <v>0.0</v>
      </c>
      <c r="CE41" s="54">
        <v>0.0</v>
      </c>
      <c r="CF41" s="54">
        <v>0.0</v>
      </c>
      <c r="CG41" s="54">
        <v>0.0</v>
      </c>
      <c r="CH41" s="54">
        <v>0.0</v>
      </c>
      <c r="CI41" s="54">
        <v>0.0</v>
      </c>
      <c r="CJ41" s="54">
        <v>0.0</v>
      </c>
      <c r="CK41" s="54">
        <v>0.0</v>
      </c>
      <c r="CL41" s="54">
        <v>0.0</v>
      </c>
      <c r="CM41" s="54">
        <v>0.0</v>
      </c>
      <c r="CN41" s="54">
        <v>0.0</v>
      </c>
      <c r="CO41" s="54">
        <v>0.0</v>
      </c>
      <c r="CP41" s="54">
        <v>0.0</v>
      </c>
      <c r="CQ41" s="54">
        <v>0.0</v>
      </c>
      <c r="CR41" s="54">
        <v>0.0</v>
      </c>
      <c r="CS41" s="54">
        <v>0.0</v>
      </c>
      <c r="CT41" s="54">
        <v>0.0</v>
      </c>
      <c r="CU41" s="54">
        <v>0.0</v>
      </c>
      <c r="CV41" s="54">
        <v>266822.0</v>
      </c>
      <c r="CW41" s="54">
        <v>0.0</v>
      </c>
      <c r="CX41" s="54">
        <v>0.0</v>
      </c>
      <c r="CY41" s="54">
        <v>0.0</v>
      </c>
      <c r="CZ41" s="54">
        <v>130481.0</v>
      </c>
      <c r="DA41" s="54">
        <v>4063503.0</v>
      </c>
      <c r="DB41" s="54">
        <v>202999.0</v>
      </c>
      <c r="DC41" s="54">
        <v>0.0</v>
      </c>
      <c r="DD41" s="54">
        <v>83688.0</v>
      </c>
      <c r="DE41" s="54">
        <v>0.0</v>
      </c>
      <c r="DF41" s="54">
        <v>0.0</v>
      </c>
      <c r="DG41" s="54">
        <v>0.0</v>
      </c>
      <c r="DH41" s="54">
        <v>0.0</v>
      </c>
      <c r="DI41" s="54">
        <v>0.0</v>
      </c>
      <c r="DJ41" s="54">
        <v>0.0</v>
      </c>
      <c r="DK41" s="54">
        <v>0.0</v>
      </c>
      <c r="DL41" s="54">
        <v>0.0</v>
      </c>
      <c r="DM41" s="54">
        <v>0.0</v>
      </c>
      <c r="DN41" s="54">
        <v>0.0</v>
      </c>
      <c r="DO41" s="54">
        <v>0.0</v>
      </c>
      <c r="DP41" s="54">
        <v>0.0</v>
      </c>
      <c r="DQ41" s="54">
        <v>0.0</v>
      </c>
      <c r="DR41" s="54">
        <v>0.0</v>
      </c>
      <c r="DS41" s="54">
        <v>0.0</v>
      </c>
      <c r="DT41" s="54">
        <v>0.0</v>
      </c>
      <c r="DU41" s="54">
        <v>0.0</v>
      </c>
      <c r="DV41" s="54">
        <v>0.0</v>
      </c>
      <c r="DW41" s="54">
        <v>0.0</v>
      </c>
      <c r="DX41" s="54">
        <v>0.0</v>
      </c>
      <c r="DY41" s="54">
        <v>0.0</v>
      </c>
      <c r="DZ41" s="54">
        <v>0.0</v>
      </c>
      <c r="EA41" s="54">
        <v>0.0</v>
      </c>
      <c r="EB41" s="54">
        <v>0.0</v>
      </c>
      <c r="EC41" s="54">
        <v>0.0</v>
      </c>
      <c r="ED41" s="54">
        <v>0.0</v>
      </c>
      <c r="EE41" s="54">
        <v>0.0</v>
      </c>
      <c r="EF41" s="54">
        <v>0.0</v>
      </c>
      <c r="EG41" s="54">
        <v>0.0</v>
      </c>
      <c r="EH41" s="54">
        <v>0.0</v>
      </c>
      <c r="EI41" s="54">
        <v>0.0</v>
      </c>
      <c r="EJ41" s="54">
        <v>0.0</v>
      </c>
      <c r="EK41" s="54">
        <v>0.0</v>
      </c>
      <c r="EL41" s="54">
        <v>0.0</v>
      </c>
      <c r="EM41" s="54">
        <v>0.0</v>
      </c>
      <c r="EN41" s="54">
        <v>0.0</v>
      </c>
      <c r="EO41" s="54">
        <v>0.0</v>
      </c>
      <c r="EP41" s="54">
        <v>0.0</v>
      </c>
      <c r="EQ41" s="54">
        <v>0.0</v>
      </c>
      <c r="ER41" s="54">
        <v>0.0</v>
      </c>
      <c r="ES41" s="54">
        <v>0.0</v>
      </c>
      <c r="ET41" s="54">
        <v>0.0</v>
      </c>
      <c r="EU41" s="54">
        <v>0.0</v>
      </c>
      <c r="EV41" s="54">
        <v>0.0</v>
      </c>
      <c r="EW41" s="54">
        <v>0.0</v>
      </c>
      <c r="EX41" s="54">
        <v>0.0</v>
      </c>
      <c r="EY41" s="54">
        <v>0.0</v>
      </c>
      <c r="EZ41" s="54">
        <v>0.0</v>
      </c>
      <c r="FA41" s="54">
        <v>0.0</v>
      </c>
      <c r="FB41" s="54">
        <v>0.0</v>
      </c>
      <c r="FC41" s="54">
        <v>0.0</v>
      </c>
      <c r="FD41" s="54">
        <v>0.0</v>
      </c>
      <c r="FE41" s="54">
        <v>0.0</v>
      </c>
      <c r="FF41" s="54">
        <v>0.0</v>
      </c>
      <c r="FG41" s="54">
        <v>0.0</v>
      </c>
      <c r="FH41" s="54">
        <v>0.0</v>
      </c>
      <c r="FI41" s="54">
        <v>0.0</v>
      </c>
      <c r="FJ41" s="54">
        <v>729836.0</v>
      </c>
      <c r="FK41" s="54">
        <v>1.7022024E7</v>
      </c>
      <c r="FL41" s="54">
        <v>0.0</v>
      </c>
      <c r="FM41" s="54">
        <v>0.0</v>
      </c>
      <c r="FN41" s="54">
        <v>0.0</v>
      </c>
      <c r="FO41" s="54">
        <v>0.0</v>
      </c>
      <c r="FP41" s="54">
        <v>0.0</v>
      </c>
      <c r="FQ41" s="54">
        <v>0.0</v>
      </c>
      <c r="FR41" s="54">
        <v>0.0</v>
      </c>
      <c r="FS41" s="54">
        <v>0.0</v>
      </c>
      <c r="FT41" s="54">
        <v>0.0</v>
      </c>
      <c r="FU41" s="54">
        <v>0.0</v>
      </c>
      <c r="FV41" s="54">
        <v>0.0</v>
      </c>
      <c r="FW41" s="54">
        <v>31.0</v>
      </c>
      <c r="FX41" s="54">
        <v>2.0</v>
      </c>
      <c r="FY41" s="54">
        <v>80167.0</v>
      </c>
      <c r="FZ41" s="54">
        <v>0.0</v>
      </c>
      <c r="GA41" s="54">
        <v>0.0</v>
      </c>
      <c r="GB41" s="54">
        <v>68408.0</v>
      </c>
      <c r="GC41" s="54">
        <v>109238.0</v>
      </c>
      <c r="GD41" s="54">
        <v>0.0</v>
      </c>
      <c r="GE41" s="54">
        <v>0.0</v>
      </c>
      <c r="GF41" s="55">
        <v>6.9095731E7</v>
      </c>
      <c r="GG41" s="56">
        <v>49133.0</v>
      </c>
      <c r="GH41" s="57">
        <v>0.0</v>
      </c>
      <c r="GI41" s="56">
        <v>0.0</v>
      </c>
      <c r="GJ41" s="56">
        <v>0.0</v>
      </c>
      <c r="GK41" s="56">
        <v>175.0</v>
      </c>
      <c r="GL41" s="56">
        <v>2691360.0</v>
      </c>
      <c r="GM41" s="56">
        <v>0.0</v>
      </c>
      <c r="GN41" s="55">
        <v>2740668.0</v>
      </c>
      <c r="GO41" s="58">
        <v>7.1836399E7</v>
      </c>
      <c r="GP41" s="56">
        <v>93733.0</v>
      </c>
      <c r="GQ41" s="56">
        <v>0.0</v>
      </c>
      <c r="GR41" s="57">
        <v>0.0</v>
      </c>
      <c r="GS41" s="55">
        <v>93733.0</v>
      </c>
      <c r="GT41" s="59">
        <v>7479871.0</v>
      </c>
      <c r="GU41" s="59">
        <v>5901958.0</v>
      </c>
      <c r="GV41" s="59">
        <v>1742718.0</v>
      </c>
      <c r="GW41" s="55">
        <v>1.5124547E7</v>
      </c>
      <c r="GX41" s="55">
        <v>9231.0</v>
      </c>
      <c r="GY41" s="55">
        <v>5.6608888E7</v>
      </c>
      <c r="GZ41" s="58">
        <v>7.1836399E7</v>
      </c>
      <c r="HC41" s="107" t="s">
        <v>573</v>
      </c>
      <c r="HD41" s="107" t="s">
        <v>574</v>
      </c>
      <c r="HE41" s="109" t="s">
        <v>575</v>
      </c>
      <c r="HF41" s="113">
        <f t="shared" si="2"/>
        <v>764502316</v>
      </c>
      <c r="HH41" s="106"/>
    </row>
    <row r="42" ht="15.75" customHeight="1">
      <c r="A42" s="60">
        <v>37.0</v>
      </c>
      <c r="B42" s="111" t="s">
        <v>307</v>
      </c>
      <c r="C42" s="62">
        <v>0.0</v>
      </c>
      <c r="D42" s="62">
        <v>0.0</v>
      </c>
      <c r="E42" s="62">
        <v>0.0</v>
      </c>
      <c r="F42" s="62">
        <v>0.0</v>
      </c>
      <c r="G42" s="62">
        <v>0.0</v>
      </c>
      <c r="H42" s="62">
        <v>0.0</v>
      </c>
      <c r="I42" s="62">
        <v>0.0</v>
      </c>
      <c r="J42" s="62">
        <v>0.0</v>
      </c>
      <c r="K42" s="62">
        <v>0.0</v>
      </c>
      <c r="L42" s="62">
        <v>0.0</v>
      </c>
      <c r="M42" s="62">
        <v>0.0</v>
      </c>
      <c r="N42" s="62">
        <v>0.0</v>
      </c>
      <c r="O42" s="62">
        <v>0.0</v>
      </c>
      <c r="P42" s="62">
        <v>0.0</v>
      </c>
      <c r="Q42" s="62">
        <v>0.0</v>
      </c>
      <c r="R42" s="62">
        <v>0.0</v>
      </c>
      <c r="S42" s="62">
        <v>0.0</v>
      </c>
      <c r="T42" s="62">
        <v>0.0</v>
      </c>
      <c r="U42" s="62">
        <v>0.0</v>
      </c>
      <c r="V42" s="62">
        <v>0.0</v>
      </c>
      <c r="W42" s="62">
        <v>0.0</v>
      </c>
      <c r="X42" s="62">
        <v>0.0</v>
      </c>
      <c r="Y42" s="62">
        <v>0.0</v>
      </c>
      <c r="Z42" s="62">
        <v>0.0</v>
      </c>
      <c r="AA42" s="62">
        <v>0.0</v>
      </c>
      <c r="AB42" s="62">
        <v>0.0</v>
      </c>
      <c r="AC42" s="62">
        <v>0.0</v>
      </c>
      <c r="AD42" s="62">
        <v>0.0</v>
      </c>
      <c r="AE42" s="62">
        <v>0.0</v>
      </c>
      <c r="AF42" s="62">
        <v>0.0</v>
      </c>
      <c r="AG42" s="62">
        <v>0.0</v>
      </c>
      <c r="AH42" s="62">
        <v>0.0</v>
      </c>
      <c r="AI42" s="62">
        <v>0.0</v>
      </c>
      <c r="AJ42" s="62">
        <v>0.0</v>
      </c>
      <c r="AK42" s="62">
        <v>0.0</v>
      </c>
      <c r="AL42" s="62">
        <v>0.0</v>
      </c>
      <c r="AM42" s="62">
        <v>1.588531E7</v>
      </c>
      <c r="AN42" s="62">
        <v>1329.0</v>
      </c>
      <c r="AO42" s="62">
        <v>752.0</v>
      </c>
      <c r="AP42" s="62">
        <v>0.0</v>
      </c>
      <c r="AQ42" s="62">
        <v>0.0</v>
      </c>
      <c r="AR42" s="62">
        <v>0.0</v>
      </c>
      <c r="AS42" s="62">
        <v>0.0</v>
      </c>
      <c r="AT42" s="62">
        <v>0.0</v>
      </c>
      <c r="AU42" s="62">
        <v>0.0</v>
      </c>
      <c r="AV42" s="62">
        <v>0.0</v>
      </c>
      <c r="AW42" s="62">
        <v>0.0</v>
      </c>
      <c r="AX42" s="62">
        <v>0.0</v>
      </c>
      <c r="AY42" s="62">
        <v>0.0</v>
      </c>
      <c r="AZ42" s="62">
        <v>0.0</v>
      </c>
      <c r="BA42" s="62">
        <v>0.0</v>
      </c>
      <c r="BB42" s="62">
        <v>0.0</v>
      </c>
      <c r="BC42" s="62">
        <v>0.0</v>
      </c>
      <c r="BD42" s="62">
        <v>0.0</v>
      </c>
      <c r="BE42" s="62">
        <v>0.0</v>
      </c>
      <c r="BF42" s="62">
        <v>0.0</v>
      </c>
      <c r="BG42" s="62">
        <v>0.0</v>
      </c>
      <c r="BH42" s="62">
        <v>0.0</v>
      </c>
      <c r="BI42" s="62">
        <v>0.0</v>
      </c>
      <c r="BJ42" s="62">
        <v>0.0</v>
      </c>
      <c r="BK42" s="62">
        <v>0.0</v>
      </c>
      <c r="BL42" s="62">
        <v>0.0</v>
      </c>
      <c r="BM42" s="62">
        <v>0.0</v>
      </c>
      <c r="BN42" s="62">
        <v>0.0</v>
      </c>
      <c r="BO42" s="62">
        <v>0.0</v>
      </c>
      <c r="BP42" s="62">
        <v>0.0</v>
      </c>
      <c r="BQ42" s="62">
        <v>0.0</v>
      </c>
      <c r="BR42" s="62">
        <v>0.0</v>
      </c>
      <c r="BS42" s="62">
        <v>0.0</v>
      </c>
      <c r="BT42" s="62">
        <v>0.0</v>
      </c>
      <c r="BU42" s="62">
        <v>0.0</v>
      </c>
      <c r="BV42" s="62">
        <v>0.0</v>
      </c>
      <c r="BW42" s="62">
        <v>0.0</v>
      </c>
      <c r="BX42" s="62">
        <v>0.0</v>
      </c>
      <c r="BY42" s="62">
        <v>0.0</v>
      </c>
      <c r="BZ42" s="62">
        <v>0.0</v>
      </c>
      <c r="CA42" s="62">
        <v>633669.0</v>
      </c>
      <c r="CB42" s="62">
        <v>1199900.0</v>
      </c>
      <c r="CC42" s="62">
        <v>71740.0</v>
      </c>
      <c r="CD42" s="62">
        <v>53349.0</v>
      </c>
      <c r="CE42" s="62">
        <v>48989.0</v>
      </c>
      <c r="CF42" s="62">
        <v>5432.0</v>
      </c>
      <c r="CG42" s="62">
        <v>0.0</v>
      </c>
      <c r="CH42" s="62">
        <v>0.0</v>
      </c>
      <c r="CI42" s="62">
        <v>0.0</v>
      </c>
      <c r="CJ42" s="62">
        <v>0.0</v>
      </c>
      <c r="CK42" s="62">
        <v>0.0</v>
      </c>
      <c r="CL42" s="62">
        <v>0.0</v>
      </c>
      <c r="CM42" s="62">
        <v>26936.0</v>
      </c>
      <c r="CN42" s="62">
        <v>3032503.0</v>
      </c>
      <c r="CO42" s="62">
        <v>2280954.0</v>
      </c>
      <c r="CP42" s="62">
        <v>1941649.0</v>
      </c>
      <c r="CQ42" s="62">
        <v>0.0</v>
      </c>
      <c r="CR42" s="62">
        <v>5413637.0</v>
      </c>
      <c r="CS42" s="62">
        <v>2642087.0</v>
      </c>
      <c r="CT42" s="62">
        <v>5159433.0</v>
      </c>
      <c r="CU42" s="62">
        <v>1224915.0</v>
      </c>
      <c r="CV42" s="62">
        <v>560263.0</v>
      </c>
      <c r="CW42" s="62">
        <v>99886.0</v>
      </c>
      <c r="CX42" s="62">
        <v>129.0</v>
      </c>
      <c r="CY42" s="62">
        <v>53.0</v>
      </c>
      <c r="CZ42" s="62">
        <v>70749.0</v>
      </c>
      <c r="DA42" s="62">
        <v>16737.0</v>
      </c>
      <c r="DB42" s="62">
        <v>401251.0</v>
      </c>
      <c r="DC42" s="62">
        <v>19130.0</v>
      </c>
      <c r="DD42" s="62">
        <v>4448.0</v>
      </c>
      <c r="DE42" s="62">
        <v>174517.0</v>
      </c>
      <c r="DF42" s="62">
        <v>209545.0</v>
      </c>
      <c r="DG42" s="62">
        <v>42670.0</v>
      </c>
      <c r="DH42" s="62">
        <v>388113.0</v>
      </c>
      <c r="DI42" s="62">
        <v>0.0</v>
      </c>
      <c r="DJ42" s="62">
        <v>111545.0</v>
      </c>
      <c r="DK42" s="62">
        <v>1.0671856E7</v>
      </c>
      <c r="DL42" s="62">
        <v>4665536.0</v>
      </c>
      <c r="DM42" s="62">
        <v>811110.0</v>
      </c>
      <c r="DN42" s="62">
        <v>333893.0</v>
      </c>
      <c r="DO42" s="62">
        <v>5082774.0</v>
      </c>
      <c r="DP42" s="62">
        <v>37152.0</v>
      </c>
      <c r="DQ42" s="62">
        <v>184326.0</v>
      </c>
      <c r="DR42" s="62">
        <v>827744.0</v>
      </c>
      <c r="DS42" s="62">
        <v>0.0</v>
      </c>
      <c r="DT42" s="62">
        <v>0.0</v>
      </c>
      <c r="DU42" s="62">
        <v>0.0</v>
      </c>
      <c r="DV42" s="62">
        <v>0.0</v>
      </c>
      <c r="DW42" s="62">
        <v>0.0</v>
      </c>
      <c r="DX42" s="62">
        <v>0.0</v>
      </c>
      <c r="DY42" s="62">
        <v>0.0</v>
      </c>
      <c r="DZ42" s="62">
        <v>0.0</v>
      </c>
      <c r="EA42" s="62">
        <v>0.0</v>
      </c>
      <c r="EB42" s="62">
        <v>2486.0</v>
      </c>
      <c r="EC42" s="62">
        <v>0.0</v>
      </c>
      <c r="ED42" s="62">
        <v>0.0</v>
      </c>
      <c r="EE42" s="62">
        <v>0.0</v>
      </c>
      <c r="EF42" s="62">
        <v>0.0</v>
      </c>
      <c r="EG42" s="62">
        <v>0.0</v>
      </c>
      <c r="EH42" s="62">
        <v>0.0</v>
      </c>
      <c r="EI42" s="62">
        <v>636.0</v>
      </c>
      <c r="EJ42" s="62">
        <v>0.0</v>
      </c>
      <c r="EK42" s="62">
        <v>2891.0</v>
      </c>
      <c r="EL42" s="62">
        <v>996.0</v>
      </c>
      <c r="EM42" s="62">
        <v>0.0</v>
      </c>
      <c r="EN42" s="62">
        <v>0.0</v>
      </c>
      <c r="EO42" s="62">
        <v>0.0</v>
      </c>
      <c r="EP42" s="62">
        <v>0.0</v>
      </c>
      <c r="EQ42" s="62">
        <v>1.36010607E8</v>
      </c>
      <c r="ER42" s="62">
        <v>0.0</v>
      </c>
      <c r="ES42" s="62">
        <v>0.0</v>
      </c>
      <c r="ET42" s="62">
        <v>9243.0</v>
      </c>
      <c r="EU42" s="62">
        <v>0.0</v>
      </c>
      <c r="EV42" s="62">
        <v>0.0</v>
      </c>
      <c r="EW42" s="62">
        <v>0.0</v>
      </c>
      <c r="EX42" s="62">
        <v>0.0</v>
      </c>
      <c r="EY42" s="62">
        <v>0.0</v>
      </c>
      <c r="EZ42" s="62">
        <v>0.0</v>
      </c>
      <c r="FA42" s="62">
        <v>0.0</v>
      </c>
      <c r="FB42" s="62">
        <v>0.0</v>
      </c>
      <c r="FC42" s="62">
        <v>0.0</v>
      </c>
      <c r="FD42" s="62">
        <v>0.0</v>
      </c>
      <c r="FE42" s="62">
        <v>0.0</v>
      </c>
      <c r="FF42" s="62">
        <v>0.0</v>
      </c>
      <c r="FG42" s="62">
        <v>0.0</v>
      </c>
      <c r="FH42" s="62">
        <v>0.0</v>
      </c>
      <c r="FI42" s="62">
        <v>0.0</v>
      </c>
      <c r="FJ42" s="62">
        <v>8.0</v>
      </c>
      <c r="FK42" s="62">
        <v>0.0</v>
      </c>
      <c r="FL42" s="62">
        <v>0.0</v>
      </c>
      <c r="FM42" s="62">
        <v>0.0</v>
      </c>
      <c r="FN42" s="62">
        <v>0.0</v>
      </c>
      <c r="FO42" s="62">
        <v>0.0</v>
      </c>
      <c r="FP42" s="62">
        <v>0.0</v>
      </c>
      <c r="FQ42" s="62">
        <v>0.0</v>
      </c>
      <c r="FR42" s="62">
        <v>0.0</v>
      </c>
      <c r="FS42" s="62">
        <v>0.0</v>
      </c>
      <c r="FT42" s="62">
        <v>0.0</v>
      </c>
      <c r="FU42" s="62">
        <v>0.0</v>
      </c>
      <c r="FV42" s="62">
        <v>0.0</v>
      </c>
      <c r="FW42" s="62">
        <v>0.0</v>
      </c>
      <c r="FX42" s="62">
        <v>0.0</v>
      </c>
      <c r="FY42" s="62">
        <v>0.0</v>
      </c>
      <c r="FZ42" s="62">
        <v>0.0</v>
      </c>
      <c r="GA42" s="62">
        <v>0.0</v>
      </c>
      <c r="GB42" s="62">
        <v>0.0</v>
      </c>
      <c r="GC42" s="62">
        <v>0.0</v>
      </c>
      <c r="GD42" s="62">
        <v>0.0</v>
      </c>
      <c r="GE42" s="62">
        <v>0.0</v>
      </c>
      <c r="GF42" s="63">
        <v>2.00362878E8</v>
      </c>
      <c r="GG42" s="64">
        <v>0.0</v>
      </c>
      <c r="GH42" s="65">
        <v>0.0</v>
      </c>
      <c r="GI42" s="64">
        <v>0.0</v>
      </c>
      <c r="GJ42" s="64">
        <v>0.0</v>
      </c>
      <c r="GK42" s="64">
        <v>-3197599.0</v>
      </c>
      <c r="GL42" s="64">
        <v>2.8990454E8</v>
      </c>
      <c r="GM42" s="64">
        <v>0.0</v>
      </c>
      <c r="GN42" s="63">
        <v>2.86706941E8</v>
      </c>
      <c r="GO42" s="66">
        <v>4.87069819E8</v>
      </c>
      <c r="GP42" s="64">
        <v>1.375743E7</v>
      </c>
      <c r="GQ42" s="64">
        <v>0.0</v>
      </c>
      <c r="GR42" s="65">
        <v>0.0</v>
      </c>
      <c r="GS42" s="63">
        <v>1.375743E7</v>
      </c>
      <c r="GT42" s="67">
        <v>2.5770812E7</v>
      </c>
      <c r="GU42" s="67">
        <v>0.0</v>
      </c>
      <c r="GV42" s="67">
        <v>8994219.0</v>
      </c>
      <c r="GW42" s="63">
        <v>3.4765031E7</v>
      </c>
      <c r="GX42" s="63">
        <v>589199.0</v>
      </c>
      <c r="GY42" s="63">
        <v>4.37958159E8</v>
      </c>
      <c r="GZ42" s="66">
        <v>4.87069819E8</v>
      </c>
      <c r="HC42" s="107" t="s">
        <v>576</v>
      </c>
      <c r="HD42" s="107" t="s">
        <v>577</v>
      </c>
      <c r="HE42" s="109" t="s">
        <v>578</v>
      </c>
      <c r="HF42" s="113">
        <f> SUM(GZ184,GZ187)</f>
        <v>687206254</v>
      </c>
      <c r="HH42" s="106"/>
    </row>
    <row r="43" ht="15.75" customHeight="1">
      <c r="A43" s="60">
        <v>38.0</v>
      </c>
      <c r="B43" s="111" t="s">
        <v>308</v>
      </c>
      <c r="C43" s="62">
        <v>0.0</v>
      </c>
      <c r="D43" s="62">
        <v>0.0</v>
      </c>
      <c r="E43" s="62">
        <v>0.0</v>
      </c>
      <c r="F43" s="62">
        <v>0.0</v>
      </c>
      <c r="G43" s="62">
        <v>0.0</v>
      </c>
      <c r="H43" s="62">
        <v>0.0</v>
      </c>
      <c r="I43" s="62">
        <v>0.0</v>
      </c>
      <c r="J43" s="62">
        <v>0.0</v>
      </c>
      <c r="K43" s="62">
        <v>0.0</v>
      </c>
      <c r="L43" s="62">
        <v>0.0</v>
      </c>
      <c r="M43" s="62">
        <v>0.0</v>
      </c>
      <c r="N43" s="62">
        <v>0.0</v>
      </c>
      <c r="O43" s="62">
        <v>0.0</v>
      </c>
      <c r="P43" s="62">
        <v>0.0</v>
      </c>
      <c r="Q43" s="62">
        <v>0.0</v>
      </c>
      <c r="R43" s="62">
        <v>0.0</v>
      </c>
      <c r="S43" s="62">
        <v>0.0</v>
      </c>
      <c r="T43" s="62">
        <v>0.0</v>
      </c>
      <c r="U43" s="62">
        <v>0.0</v>
      </c>
      <c r="V43" s="62">
        <v>0.0</v>
      </c>
      <c r="W43" s="62">
        <v>0.0</v>
      </c>
      <c r="X43" s="62">
        <v>0.0</v>
      </c>
      <c r="Y43" s="62">
        <v>0.0</v>
      </c>
      <c r="Z43" s="62">
        <v>0.0</v>
      </c>
      <c r="AA43" s="62">
        <v>0.0</v>
      </c>
      <c r="AB43" s="62">
        <v>0.0</v>
      </c>
      <c r="AC43" s="62">
        <v>0.0</v>
      </c>
      <c r="AD43" s="62">
        <v>0.0</v>
      </c>
      <c r="AE43" s="62">
        <v>0.0</v>
      </c>
      <c r="AF43" s="62">
        <v>0.0</v>
      </c>
      <c r="AG43" s="62">
        <v>0.0</v>
      </c>
      <c r="AH43" s="62">
        <v>0.0</v>
      </c>
      <c r="AI43" s="62">
        <v>0.0</v>
      </c>
      <c r="AJ43" s="62">
        <v>0.0</v>
      </c>
      <c r="AK43" s="62">
        <v>0.0</v>
      </c>
      <c r="AL43" s="62">
        <v>0.0</v>
      </c>
      <c r="AM43" s="62">
        <v>0.0</v>
      </c>
      <c r="AN43" s="62">
        <v>976444.0</v>
      </c>
      <c r="AO43" s="62">
        <v>1045547.0</v>
      </c>
      <c r="AP43" s="62">
        <v>0.0</v>
      </c>
      <c r="AQ43" s="62">
        <v>0.0</v>
      </c>
      <c r="AR43" s="62">
        <v>0.0</v>
      </c>
      <c r="AS43" s="62">
        <v>0.0</v>
      </c>
      <c r="AT43" s="62">
        <v>0.0</v>
      </c>
      <c r="AU43" s="62">
        <v>0.0</v>
      </c>
      <c r="AV43" s="62">
        <v>0.0</v>
      </c>
      <c r="AW43" s="62">
        <v>0.0</v>
      </c>
      <c r="AX43" s="62">
        <v>0.0</v>
      </c>
      <c r="AY43" s="62">
        <v>0.0</v>
      </c>
      <c r="AZ43" s="62">
        <v>0.0</v>
      </c>
      <c r="BA43" s="62">
        <v>4427.0</v>
      </c>
      <c r="BB43" s="62">
        <v>0.0</v>
      </c>
      <c r="BC43" s="62">
        <v>0.0</v>
      </c>
      <c r="BD43" s="62">
        <v>0.0</v>
      </c>
      <c r="BE43" s="62">
        <v>0.0</v>
      </c>
      <c r="BF43" s="62">
        <v>0.0</v>
      </c>
      <c r="BG43" s="62">
        <v>0.0</v>
      </c>
      <c r="BH43" s="62">
        <v>0.0</v>
      </c>
      <c r="BI43" s="62">
        <v>0.0</v>
      </c>
      <c r="BJ43" s="62">
        <v>0.0</v>
      </c>
      <c r="BK43" s="62">
        <v>0.0</v>
      </c>
      <c r="BL43" s="62">
        <v>0.0</v>
      </c>
      <c r="BM43" s="62">
        <v>0.0</v>
      </c>
      <c r="BN43" s="62">
        <v>0.0</v>
      </c>
      <c r="BO43" s="62">
        <v>0.0</v>
      </c>
      <c r="BP43" s="62">
        <v>0.0</v>
      </c>
      <c r="BQ43" s="62">
        <v>0.0</v>
      </c>
      <c r="BR43" s="62">
        <v>0.0</v>
      </c>
      <c r="BS43" s="62">
        <v>0.0</v>
      </c>
      <c r="BT43" s="62">
        <v>0.0</v>
      </c>
      <c r="BU43" s="62">
        <v>0.0</v>
      </c>
      <c r="BV43" s="62">
        <v>0.0</v>
      </c>
      <c r="BW43" s="62">
        <v>0.0</v>
      </c>
      <c r="BX43" s="62">
        <v>0.0</v>
      </c>
      <c r="BY43" s="62">
        <v>0.0</v>
      </c>
      <c r="BZ43" s="62">
        <v>0.0</v>
      </c>
      <c r="CA43" s="62">
        <v>0.0</v>
      </c>
      <c r="CB43" s="62">
        <v>0.0</v>
      </c>
      <c r="CC43" s="62">
        <v>0.0</v>
      </c>
      <c r="CD43" s="62">
        <v>0.0</v>
      </c>
      <c r="CE43" s="62">
        <v>0.0</v>
      </c>
      <c r="CF43" s="62">
        <v>0.0</v>
      </c>
      <c r="CG43" s="62">
        <v>0.0</v>
      </c>
      <c r="CH43" s="62">
        <v>0.0</v>
      </c>
      <c r="CI43" s="62">
        <v>0.0</v>
      </c>
      <c r="CJ43" s="62">
        <v>0.0</v>
      </c>
      <c r="CK43" s="62">
        <v>0.0</v>
      </c>
      <c r="CL43" s="62">
        <v>0.0</v>
      </c>
      <c r="CM43" s="62">
        <v>0.0</v>
      </c>
      <c r="CN43" s="62">
        <v>0.0</v>
      </c>
      <c r="CO43" s="62">
        <v>0.0</v>
      </c>
      <c r="CP43" s="62">
        <v>0.0</v>
      </c>
      <c r="CQ43" s="62">
        <v>0.0</v>
      </c>
      <c r="CR43" s="62">
        <v>0.0</v>
      </c>
      <c r="CS43" s="62">
        <v>2.16406778E8</v>
      </c>
      <c r="CT43" s="62">
        <v>3.433338E7</v>
      </c>
      <c r="CU43" s="62">
        <v>86505.0</v>
      </c>
      <c r="CV43" s="62">
        <v>7073930.0</v>
      </c>
      <c r="CW43" s="62">
        <v>86816.0</v>
      </c>
      <c r="CX43" s="62">
        <v>0.0</v>
      </c>
      <c r="CY43" s="62">
        <v>0.0</v>
      </c>
      <c r="CZ43" s="62">
        <v>0.0</v>
      </c>
      <c r="DA43" s="62">
        <v>0.0</v>
      </c>
      <c r="DB43" s="62">
        <v>1385459.0</v>
      </c>
      <c r="DC43" s="62">
        <v>0.0</v>
      </c>
      <c r="DD43" s="62">
        <v>0.0</v>
      </c>
      <c r="DE43" s="62">
        <v>0.0</v>
      </c>
      <c r="DF43" s="62">
        <v>1922.0</v>
      </c>
      <c r="DG43" s="62">
        <v>0.0</v>
      </c>
      <c r="DH43" s="62">
        <v>0.0</v>
      </c>
      <c r="DI43" s="62">
        <v>0.0</v>
      </c>
      <c r="DJ43" s="62">
        <v>0.0</v>
      </c>
      <c r="DK43" s="62">
        <v>0.0</v>
      </c>
      <c r="DL43" s="62">
        <v>0.0</v>
      </c>
      <c r="DM43" s="62">
        <v>0.0</v>
      </c>
      <c r="DN43" s="62">
        <v>0.0</v>
      </c>
      <c r="DO43" s="62">
        <v>0.0</v>
      </c>
      <c r="DP43" s="62">
        <v>0.0</v>
      </c>
      <c r="DQ43" s="62">
        <v>0.0</v>
      </c>
      <c r="DR43" s="62">
        <v>0.0</v>
      </c>
      <c r="DS43" s="62">
        <v>0.0</v>
      </c>
      <c r="DT43" s="62">
        <v>0.0</v>
      </c>
      <c r="DU43" s="62">
        <v>0.0</v>
      </c>
      <c r="DV43" s="62">
        <v>0.0</v>
      </c>
      <c r="DW43" s="62">
        <v>0.0</v>
      </c>
      <c r="DX43" s="62">
        <v>0.0</v>
      </c>
      <c r="DY43" s="62">
        <v>0.0</v>
      </c>
      <c r="DZ43" s="62">
        <v>0.0</v>
      </c>
      <c r="EA43" s="62">
        <v>0.0</v>
      </c>
      <c r="EB43" s="62">
        <v>0.0</v>
      </c>
      <c r="EC43" s="62">
        <v>0.0</v>
      </c>
      <c r="ED43" s="62">
        <v>0.0</v>
      </c>
      <c r="EE43" s="62">
        <v>0.0</v>
      </c>
      <c r="EF43" s="62">
        <v>0.0</v>
      </c>
      <c r="EG43" s="62">
        <v>0.0</v>
      </c>
      <c r="EH43" s="62">
        <v>0.0</v>
      </c>
      <c r="EI43" s="62">
        <v>0.0</v>
      </c>
      <c r="EJ43" s="62">
        <v>0.0</v>
      </c>
      <c r="EK43" s="62">
        <v>0.0</v>
      </c>
      <c r="EL43" s="62">
        <v>0.0</v>
      </c>
      <c r="EM43" s="62">
        <v>0.0</v>
      </c>
      <c r="EN43" s="62">
        <v>0.0</v>
      </c>
      <c r="EO43" s="62">
        <v>0.0</v>
      </c>
      <c r="EP43" s="62">
        <v>0.0</v>
      </c>
      <c r="EQ43" s="62">
        <v>0.0</v>
      </c>
      <c r="ER43" s="62">
        <v>0.0</v>
      </c>
      <c r="ES43" s="62">
        <v>0.0</v>
      </c>
      <c r="ET43" s="62">
        <v>0.0</v>
      </c>
      <c r="EU43" s="62">
        <v>0.0</v>
      </c>
      <c r="EV43" s="62">
        <v>0.0</v>
      </c>
      <c r="EW43" s="62">
        <v>0.0</v>
      </c>
      <c r="EX43" s="62">
        <v>0.0</v>
      </c>
      <c r="EY43" s="62">
        <v>0.0</v>
      </c>
      <c r="EZ43" s="62">
        <v>0.0</v>
      </c>
      <c r="FA43" s="62">
        <v>0.0</v>
      </c>
      <c r="FB43" s="62">
        <v>0.0</v>
      </c>
      <c r="FC43" s="62">
        <v>0.0</v>
      </c>
      <c r="FD43" s="62">
        <v>0.0</v>
      </c>
      <c r="FE43" s="62">
        <v>0.0</v>
      </c>
      <c r="FF43" s="62">
        <v>0.0</v>
      </c>
      <c r="FG43" s="62">
        <v>0.0</v>
      </c>
      <c r="FH43" s="62">
        <v>0.0</v>
      </c>
      <c r="FI43" s="62">
        <v>0.0</v>
      </c>
      <c r="FJ43" s="62">
        <v>0.0</v>
      </c>
      <c r="FK43" s="62">
        <v>0.0</v>
      </c>
      <c r="FL43" s="62">
        <v>0.0</v>
      </c>
      <c r="FM43" s="62">
        <v>0.0</v>
      </c>
      <c r="FN43" s="62">
        <v>0.0</v>
      </c>
      <c r="FO43" s="62">
        <v>0.0</v>
      </c>
      <c r="FP43" s="62">
        <v>0.0</v>
      </c>
      <c r="FQ43" s="62">
        <v>0.0</v>
      </c>
      <c r="FR43" s="62">
        <v>0.0</v>
      </c>
      <c r="FS43" s="62">
        <v>0.0</v>
      </c>
      <c r="FT43" s="62">
        <v>0.0</v>
      </c>
      <c r="FU43" s="62">
        <v>0.0</v>
      </c>
      <c r="FV43" s="62">
        <v>0.0</v>
      </c>
      <c r="FW43" s="62">
        <v>0.0</v>
      </c>
      <c r="FX43" s="62">
        <v>0.0</v>
      </c>
      <c r="FY43" s="62">
        <v>0.0</v>
      </c>
      <c r="FZ43" s="62">
        <v>0.0</v>
      </c>
      <c r="GA43" s="62">
        <v>0.0</v>
      </c>
      <c r="GB43" s="62">
        <v>0.0</v>
      </c>
      <c r="GC43" s="62">
        <v>0.0</v>
      </c>
      <c r="GD43" s="62">
        <v>0.0</v>
      </c>
      <c r="GE43" s="62">
        <v>0.0</v>
      </c>
      <c r="GF43" s="63">
        <v>2.61401208E8</v>
      </c>
      <c r="GG43" s="64">
        <v>0.0</v>
      </c>
      <c r="GH43" s="65">
        <v>0.0</v>
      </c>
      <c r="GI43" s="64">
        <v>0.0</v>
      </c>
      <c r="GJ43" s="64">
        <v>0.0</v>
      </c>
      <c r="GK43" s="64">
        <v>-8629406.0</v>
      </c>
      <c r="GL43" s="64">
        <v>2.0097961E7</v>
      </c>
      <c r="GM43" s="64">
        <v>0.0</v>
      </c>
      <c r="GN43" s="63">
        <v>1.1468555E7</v>
      </c>
      <c r="GO43" s="66">
        <v>2.72869763E8</v>
      </c>
      <c r="GP43" s="64">
        <v>5.1369006E7</v>
      </c>
      <c r="GQ43" s="64">
        <v>0.0</v>
      </c>
      <c r="GR43" s="65">
        <v>0.0</v>
      </c>
      <c r="GS43" s="63">
        <v>5.1369006E7</v>
      </c>
      <c r="GT43" s="67">
        <v>0.0</v>
      </c>
      <c r="GU43" s="67">
        <v>0.0</v>
      </c>
      <c r="GV43" s="67">
        <v>0.0</v>
      </c>
      <c r="GW43" s="63">
        <v>0.0</v>
      </c>
      <c r="GX43" s="63">
        <v>153.0</v>
      </c>
      <c r="GY43" s="63">
        <v>2.21500604E8</v>
      </c>
      <c r="GZ43" s="66">
        <v>2.72869763E8</v>
      </c>
      <c r="HC43" s="107" t="s">
        <v>579</v>
      </c>
      <c r="HD43" s="107" t="s">
        <v>580</v>
      </c>
      <c r="HE43" s="109" t="s">
        <v>581</v>
      </c>
      <c r="HF43" s="113">
        <f>SUM(GZ188,GZ190)</f>
        <v>429128989</v>
      </c>
      <c r="HH43" s="106"/>
    </row>
    <row r="44" ht="15.75" customHeight="1">
      <c r="A44" s="60">
        <v>39.0</v>
      </c>
      <c r="B44" s="111" t="s">
        <v>582</v>
      </c>
      <c r="C44" s="62">
        <v>0.0</v>
      </c>
      <c r="D44" s="62">
        <v>0.0</v>
      </c>
      <c r="E44" s="62">
        <v>0.0</v>
      </c>
      <c r="F44" s="62">
        <v>0.0</v>
      </c>
      <c r="G44" s="62">
        <v>0.0</v>
      </c>
      <c r="H44" s="62">
        <v>0.0</v>
      </c>
      <c r="I44" s="62">
        <v>0.0</v>
      </c>
      <c r="J44" s="62">
        <v>0.0</v>
      </c>
      <c r="K44" s="62">
        <v>0.0</v>
      </c>
      <c r="L44" s="62">
        <v>0.0</v>
      </c>
      <c r="M44" s="62">
        <v>0.0</v>
      </c>
      <c r="N44" s="62">
        <v>0.0</v>
      </c>
      <c r="O44" s="62">
        <v>0.0</v>
      </c>
      <c r="P44" s="62">
        <v>0.0</v>
      </c>
      <c r="Q44" s="62">
        <v>0.0</v>
      </c>
      <c r="R44" s="62">
        <v>0.0</v>
      </c>
      <c r="S44" s="62">
        <v>0.0</v>
      </c>
      <c r="T44" s="62">
        <v>0.0</v>
      </c>
      <c r="U44" s="62">
        <v>0.0</v>
      </c>
      <c r="V44" s="62">
        <v>0.0</v>
      </c>
      <c r="W44" s="62">
        <v>0.0</v>
      </c>
      <c r="X44" s="62">
        <v>0.0</v>
      </c>
      <c r="Y44" s="62">
        <v>0.0</v>
      </c>
      <c r="Z44" s="62">
        <v>0.0</v>
      </c>
      <c r="AA44" s="62">
        <v>0.0</v>
      </c>
      <c r="AB44" s="62">
        <v>0.0</v>
      </c>
      <c r="AC44" s="62">
        <v>0.0</v>
      </c>
      <c r="AD44" s="62">
        <v>0.0</v>
      </c>
      <c r="AE44" s="62">
        <v>0.0</v>
      </c>
      <c r="AF44" s="62">
        <v>0.0</v>
      </c>
      <c r="AG44" s="62">
        <v>0.0</v>
      </c>
      <c r="AH44" s="62">
        <v>0.0</v>
      </c>
      <c r="AI44" s="62">
        <v>0.0</v>
      </c>
      <c r="AJ44" s="62">
        <v>0.0</v>
      </c>
      <c r="AK44" s="62">
        <v>0.0</v>
      </c>
      <c r="AL44" s="62">
        <v>0.0</v>
      </c>
      <c r="AM44" s="62">
        <v>312287.0</v>
      </c>
      <c r="AN44" s="62">
        <v>2472200.0</v>
      </c>
      <c r="AO44" s="62">
        <v>3.4589171E7</v>
      </c>
      <c r="AP44" s="62">
        <v>13806.0</v>
      </c>
      <c r="AQ44" s="62">
        <v>44036.0</v>
      </c>
      <c r="AR44" s="62">
        <v>28858.0</v>
      </c>
      <c r="AS44" s="62">
        <v>212604.0</v>
      </c>
      <c r="AT44" s="62">
        <v>25284.0</v>
      </c>
      <c r="AU44" s="62">
        <v>18726.0</v>
      </c>
      <c r="AV44" s="62">
        <v>350382.0</v>
      </c>
      <c r="AW44" s="62">
        <v>7270.0</v>
      </c>
      <c r="AX44" s="62">
        <v>0.0</v>
      </c>
      <c r="AY44" s="62">
        <v>176.0</v>
      </c>
      <c r="AZ44" s="62">
        <v>0.0</v>
      </c>
      <c r="BA44" s="62">
        <v>295017.0</v>
      </c>
      <c r="BB44" s="62">
        <v>112203.0</v>
      </c>
      <c r="BC44" s="62">
        <v>0.0</v>
      </c>
      <c r="BD44" s="62">
        <v>0.0</v>
      </c>
      <c r="BE44" s="62">
        <v>0.0</v>
      </c>
      <c r="BF44" s="62">
        <v>0.0</v>
      </c>
      <c r="BG44" s="62">
        <v>0.0</v>
      </c>
      <c r="BH44" s="62">
        <v>0.0</v>
      </c>
      <c r="BI44" s="62">
        <v>0.0</v>
      </c>
      <c r="BJ44" s="62">
        <v>0.0</v>
      </c>
      <c r="BK44" s="62">
        <v>0.0</v>
      </c>
      <c r="BL44" s="62">
        <v>0.0</v>
      </c>
      <c r="BM44" s="62">
        <v>0.0</v>
      </c>
      <c r="BN44" s="62">
        <v>91.0</v>
      </c>
      <c r="BO44" s="62">
        <v>0.0</v>
      </c>
      <c r="BP44" s="62">
        <v>303.0</v>
      </c>
      <c r="BQ44" s="62">
        <v>284.0</v>
      </c>
      <c r="BR44" s="62">
        <v>0.0</v>
      </c>
      <c r="BS44" s="62">
        <v>0.0</v>
      </c>
      <c r="BT44" s="62">
        <v>0.0</v>
      </c>
      <c r="BU44" s="62">
        <v>0.0</v>
      </c>
      <c r="BV44" s="62">
        <v>0.0</v>
      </c>
      <c r="BW44" s="62">
        <v>0.0</v>
      </c>
      <c r="BX44" s="62">
        <v>6644.0</v>
      </c>
      <c r="BY44" s="62">
        <v>79847.0</v>
      </c>
      <c r="BZ44" s="62">
        <v>5323.0</v>
      </c>
      <c r="CA44" s="62">
        <v>82335.0</v>
      </c>
      <c r="CB44" s="62">
        <v>131500.0</v>
      </c>
      <c r="CC44" s="62">
        <v>11543.0</v>
      </c>
      <c r="CD44" s="62">
        <v>17157.0</v>
      </c>
      <c r="CE44" s="62">
        <v>24406.0</v>
      </c>
      <c r="CF44" s="62">
        <v>133865.0</v>
      </c>
      <c r="CG44" s="62">
        <v>0.0</v>
      </c>
      <c r="CH44" s="62">
        <v>9543.0</v>
      </c>
      <c r="CI44" s="62">
        <v>129862.0</v>
      </c>
      <c r="CJ44" s="62">
        <v>38103.0</v>
      </c>
      <c r="CK44" s="62">
        <v>81126.0</v>
      </c>
      <c r="CL44" s="62">
        <v>46305.0</v>
      </c>
      <c r="CM44" s="62">
        <v>17361.0</v>
      </c>
      <c r="CN44" s="62">
        <v>73098.0</v>
      </c>
      <c r="CO44" s="62">
        <v>84945.0</v>
      </c>
      <c r="CP44" s="62">
        <v>125066.0</v>
      </c>
      <c r="CQ44" s="62">
        <v>0.0</v>
      </c>
      <c r="CR44" s="62">
        <v>665965.0</v>
      </c>
      <c r="CS44" s="62">
        <v>1.6967814E7</v>
      </c>
      <c r="CT44" s="62">
        <v>4463412.0</v>
      </c>
      <c r="CU44" s="62">
        <v>7192703.0</v>
      </c>
      <c r="CV44" s="62">
        <v>2409482.0</v>
      </c>
      <c r="CW44" s="62">
        <v>163685.0</v>
      </c>
      <c r="CX44" s="62">
        <v>59288.0</v>
      </c>
      <c r="CY44" s="62">
        <v>2532.0</v>
      </c>
      <c r="CZ44" s="62">
        <v>57558.0</v>
      </c>
      <c r="DA44" s="62">
        <v>119294.0</v>
      </c>
      <c r="DB44" s="62">
        <v>133483.0</v>
      </c>
      <c r="DC44" s="62">
        <v>86963.0</v>
      </c>
      <c r="DD44" s="62">
        <v>31985.0</v>
      </c>
      <c r="DE44" s="62">
        <v>1832.0</v>
      </c>
      <c r="DF44" s="62">
        <v>108808.0</v>
      </c>
      <c r="DG44" s="62">
        <v>0.0</v>
      </c>
      <c r="DH44" s="62">
        <v>301113.0</v>
      </c>
      <c r="DI44" s="62">
        <v>3073172.0</v>
      </c>
      <c r="DJ44" s="62">
        <v>3369251.0</v>
      </c>
      <c r="DK44" s="62">
        <v>1018923.0</v>
      </c>
      <c r="DL44" s="62">
        <v>1.0762563E7</v>
      </c>
      <c r="DM44" s="62">
        <v>1400841.0</v>
      </c>
      <c r="DN44" s="62">
        <v>333392.0</v>
      </c>
      <c r="DO44" s="62">
        <v>698423.0</v>
      </c>
      <c r="DP44" s="62">
        <v>47781.0</v>
      </c>
      <c r="DQ44" s="62">
        <v>251360.0</v>
      </c>
      <c r="DR44" s="62">
        <v>541166.0</v>
      </c>
      <c r="DS44" s="62">
        <v>0.0</v>
      </c>
      <c r="DT44" s="62">
        <v>0.0</v>
      </c>
      <c r="DU44" s="62">
        <v>0.0</v>
      </c>
      <c r="DV44" s="62">
        <v>0.0</v>
      </c>
      <c r="DW44" s="62">
        <v>0.0</v>
      </c>
      <c r="DX44" s="62">
        <v>9853.0</v>
      </c>
      <c r="DY44" s="62">
        <v>79.0</v>
      </c>
      <c r="DZ44" s="62">
        <v>3637.0</v>
      </c>
      <c r="EA44" s="62">
        <v>0.0</v>
      </c>
      <c r="EB44" s="62">
        <v>598.0</v>
      </c>
      <c r="EC44" s="62">
        <v>179228.0</v>
      </c>
      <c r="ED44" s="62">
        <v>24278.0</v>
      </c>
      <c r="EE44" s="62">
        <v>3303.0</v>
      </c>
      <c r="EF44" s="62">
        <v>0.0</v>
      </c>
      <c r="EG44" s="62">
        <v>1489.0</v>
      </c>
      <c r="EH44" s="62">
        <v>6668.0</v>
      </c>
      <c r="EI44" s="62">
        <v>1762.0</v>
      </c>
      <c r="EJ44" s="62">
        <v>0.0</v>
      </c>
      <c r="EK44" s="62">
        <v>2188.0</v>
      </c>
      <c r="EL44" s="62">
        <v>908.0</v>
      </c>
      <c r="EM44" s="62">
        <v>0.0</v>
      </c>
      <c r="EN44" s="62">
        <v>0.0</v>
      </c>
      <c r="EO44" s="62">
        <v>0.0</v>
      </c>
      <c r="EP44" s="62">
        <v>0.0</v>
      </c>
      <c r="EQ44" s="62">
        <v>5.8979054E7</v>
      </c>
      <c r="ER44" s="62">
        <v>1.1756543E7</v>
      </c>
      <c r="ES44" s="62">
        <v>168263.0</v>
      </c>
      <c r="ET44" s="62">
        <v>15829.0</v>
      </c>
      <c r="EU44" s="62">
        <v>0.0</v>
      </c>
      <c r="EV44" s="62">
        <v>0.0</v>
      </c>
      <c r="EW44" s="62">
        <v>0.0</v>
      </c>
      <c r="EX44" s="62">
        <v>0.0</v>
      </c>
      <c r="EY44" s="62">
        <v>0.0</v>
      </c>
      <c r="EZ44" s="62">
        <v>0.0</v>
      </c>
      <c r="FA44" s="62">
        <v>0.0</v>
      </c>
      <c r="FB44" s="62">
        <v>0.0</v>
      </c>
      <c r="FC44" s="62">
        <v>0.0</v>
      </c>
      <c r="FD44" s="62">
        <v>755261.0</v>
      </c>
      <c r="FE44" s="62">
        <v>1474826.0</v>
      </c>
      <c r="FF44" s="62">
        <v>185016.0</v>
      </c>
      <c r="FG44" s="62">
        <v>0.0</v>
      </c>
      <c r="FH44" s="62">
        <v>139476.0</v>
      </c>
      <c r="FI44" s="62">
        <v>0.0</v>
      </c>
      <c r="FJ44" s="62">
        <v>0.0</v>
      </c>
      <c r="FK44" s="62">
        <v>445.0</v>
      </c>
      <c r="FL44" s="62">
        <v>0.0</v>
      </c>
      <c r="FM44" s="62">
        <v>0.0</v>
      </c>
      <c r="FN44" s="62">
        <v>0.0</v>
      </c>
      <c r="FO44" s="62">
        <v>0.0</v>
      </c>
      <c r="FP44" s="62">
        <v>0.0</v>
      </c>
      <c r="FQ44" s="62">
        <v>0.0</v>
      </c>
      <c r="FR44" s="62">
        <v>0.0</v>
      </c>
      <c r="FS44" s="62">
        <v>0.0</v>
      </c>
      <c r="FT44" s="62">
        <v>0.0</v>
      </c>
      <c r="FU44" s="62">
        <v>0.0</v>
      </c>
      <c r="FV44" s="62">
        <v>0.0</v>
      </c>
      <c r="FW44" s="62">
        <v>2770898.0</v>
      </c>
      <c r="FX44" s="62">
        <v>0.0</v>
      </c>
      <c r="FY44" s="62">
        <v>53689.0</v>
      </c>
      <c r="FZ44" s="62">
        <v>0.0</v>
      </c>
      <c r="GA44" s="62">
        <v>20.0</v>
      </c>
      <c r="GB44" s="62">
        <v>0.0</v>
      </c>
      <c r="GC44" s="62">
        <v>0.0</v>
      </c>
      <c r="GD44" s="62">
        <v>0.0</v>
      </c>
      <c r="GE44" s="62">
        <v>0.0</v>
      </c>
      <c r="GF44" s="63">
        <v>1.70376827E8</v>
      </c>
      <c r="GG44" s="64">
        <v>0.0</v>
      </c>
      <c r="GH44" s="65">
        <v>0.0</v>
      </c>
      <c r="GI44" s="64">
        <v>0.0</v>
      </c>
      <c r="GJ44" s="64">
        <v>0.0</v>
      </c>
      <c r="GK44" s="64">
        <v>1331309.0</v>
      </c>
      <c r="GL44" s="64">
        <v>7.8989944E7</v>
      </c>
      <c r="GM44" s="64">
        <v>0.0</v>
      </c>
      <c r="GN44" s="63">
        <v>8.0321253E7</v>
      </c>
      <c r="GO44" s="66">
        <v>2.5069808E8</v>
      </c>
      <c r="GP44" s="64">
        <v>202.0</v>
      </c>
      <c r="GQ44" s="64">
        <v>0.0</v>
      </c>
      <c r="GR44" s="65">
        <v>0.0</v>
      </c>
      <c r="GS44" s="63">
        <v>202.0</v>
      </c>
      <c r="GT44" s="67">
        <v>0.0</v>
      </c>
      <c r="GU44" s="67">
        <v>0.0</v>
      </c>
      <c r="GV44" s="67">
        <v>0.0</v>
      </c>
      <c r="GW44" s="63">
        <v>0.0</v>
      </c>
      <c r="GX44" s="63">
        <v>194235.0</v>
      </c>
      <c r="GY44" s="63">
        <v>2.50503643E8</v>
      </c>
      <c r="GZ44" s="66">
        <v>2.5069808E8</v>
      </c>
      <c r="HC44" s="107" t="s">
        <v>583</v>
      </c>
      <c r="HD44" s="107" t="s">
        <v>584</v>
      </c>
      <c r="HE44" s="109" t="s">
        <v>585</v>
      </c>
      <c r="HF44" s="113">
        <f>GZ189</f>
        <v>41199711</v>
      </c>
      <c r="HH44" s="106"/>
    </row>
    <row r="45" ht="15.75" customHeight="1">
      <c r="A45" s="68">
        <v>40.0</v>
      </c>
      <c r="B45" s="111" t="s">
        <v>310</v>
      </c>
      <c r="C45" s="70">
        <v>0.0</v>
      </c>
      <c r="D45" s="70">
        <v>0.0</v>
      </c>
      <c r="E45" s="70">
        <v>0.0</v>
      </c>
      <c r="F45" s="70">
        <v>0.0</v>
      </c>
      <c r="G45" s="70">
        <v>0.0</v>
      </c>
      <c r="H45" s="70">
        <v>0.0</v>
      </c>
      <c r="I45" s="70">
        <v>0.0</v>
      </c>
      <c r="J45" s="70">
        <v>0.0</v>
      </c>
      <c r="K45" s="70">
        <v>0.0</v>
      </c>
      <c r="L45" s="70">
        <v>0.0</v>
      </c>
      <c r="M45" s="70">
        <v>0.0</v>
      </c>
      <c r="N45" s="70">
        <v>0.0</v>
      </c>
      <c r="O45" s="70">
        <v>0.0</v>
      </c>
      <c r="P45" s="70">
        <v>0.0</v>
      </c>
      <c r="Q45" s="70">
        <v>0.0</v>
      </c>
      <c r="R45" s="70">
        <v>0.0</v>
      </c>
      <c r="S45" s="70">
        <v>0.0</v>
      </c>
      <c r="T45" s="70">
        <v>0.0</v>
      </c>
      <c r="U45" s="70">
        <v>0.0</v>
      </c>
      <c r="V45" s="70">
        <v>0.0</v>
      </c>
      <c r="W45" s="70">
        <v>0.0</v>
      </c>
      <c r="X45" s="70">
        <v>0.0</v>
      </c>
      <c r="Y45" s="70">
        <v>0.0</v>
      </c>
      <c r="Z45" s="70">
        <v>0.0</v>
      </c>
      <c r="AA45" s="70">
        <v>0.0</v>
      </c>
      <c r="AB45" s="70">
        <v>0.0</v>
      </c>
      <c r="AC45" s="70">
        <v>0.0</v>
      </c>
      <c r="AD45" s="70">
        <v>0.0</v>
      </c>
      <c r="AE45" s="70">
        <v>0.0</v>
      </c>
      <c r="AF45" s="70">
        <v>0.0</v>
      </c>
      <c r="AG45" s="70">
        <v>0.0</v>
      </c>
      <c r="AH45" s="70">
        <v>0.0</v>
      </c>
      <c r="AI45" s="70">
        <v>0.0</v>
      </c>
      <c r="AJ45" s="70">
        <v>0.0</v>
      </c>
      <c r="AK45" s="70">
        <v>0.0</v>
      </c>
      <c r="AL45" s="70">
        <v>0.0</v>
      </c>
      <c r="AM45" s="70">
        <v>0.0</v>
      </c>
      <c r="AN45" s="70">
        <v>0.0</v>
      </c>
      <c r="AO45" s="70">
        <v>0.0</v>
      </c>
      <c r="AP45" s="70">
        <v>842.0</v>
      </c>
      <c r="AQ45" s="70">
        <v>0.0</v>
      </c>
      <c r="AR45" s="70">
        <v>0.0</v>
      </c>
      <c r="AS45" s="70">
        <v>0.0</v>
      </c>
      <c r="AT45" s="70">
        <v>0.0</v>
      </c>
      <c r="AU45" s="70">
        <v>0.0</v>
      </c>
      <c r="AV45" s="70">
        <v>0.0</v>
      </c>
      <c r="AW45" s="70">
        <v>0.0</v>
      </c>
      <c r="AX45" s="70">
        <v>0.0</v>
      </c>
      <c r="AY45" s="70">
        <v>0.0</v>
      </c>
      <c r="AZ45" s="70">
        <v>0.0</v>
      </c>
      <c r="BA45" s="70">
        <v>0.0</v>
      </c>
      <c r="BB45" s="70">
        <v>0.0</v>
      </c>
      <c r="BC45" s="70">
        <v>0.0</v>
      </c>
      <c r="BD45" s="70">
        <v>0.0</v>
      </c>
      <c r="BE45" s="70">
        <v>0.0</v>
      </c>
      <c r="BF45" s="70">
        <v>0.0</v>
      </c>
      <c r="BG45" s="70">
        <v>0.0</v>
      </c>
      <c r="BH45" s="70">
        <v>0.0</v>
      </c>
      <c r="BI45" s="70">
        <v>0.0</v>
      </c>
      <c r="BJ45" s="70">
        <v>0.0</v>
      </c>
      <c r="BK45" s="70">
        <v>0.0</v>
      </c>
      <c r="BL45" s="70">
        <v>0.0</v>
      </c>
      <c r="BM45" s="70">
        <v>0.0</v>
      </c>
      <c r="BN45" s="70">
        <v>0.0</v>
      </c>
      <c r="BO45" s="70">
        <v>0.0</v>
      </c>
      <c r="BP45" s="70">
        <v>0.0</v>
      </c>
      <c r="BQ45" s="70">
        <v>0.0</v>
      </c>
      <c r="BR45" s="70">
        <v>0.0</v>
      </c>
      <c r="BS45" s="70">
        <v>0.0</v>
      </c>
      <c r="BT45" s="70">
        <v>0.0</v>
      </c>
      <c r="BU45" s="70">
        <v>0.0</v>
      </c>
      <c r="BV45" s="70">
        <v>0.0</v>
      </c>
      <c r="BW45" s="70">
        <v>0.0</v>
      </c>
      <c r="BX45" s="70">
        <v>0.0</v>
      </c>
      <c r="BY45" s="70">
        <v>0.0</v>
      </c>
      <c r="BZ45" s="70">
        <v>0.0</v>
      </c>
      <c r="CA45" s="70">
        <v>0.0</v>
      </c>
      <c r="CB45" s="70">
        <v>0.0</v>
      </c>
      <c r="CC45" s="70">
        <v>0.0</v>
      </c>
      <c r="CD45" s="70">
        <v>0.0</v>
      </c>
      <c r="CE45" s="70">
        <v>0.0</v>
      </c>
      <c r="CF45" s="70">
        <v>0.0</v>
      </c>
      <c r="CG45" s="70">
        <v>0.0</v>
      </c>
      <c r="CH45" s="70">
        <v>0.0</v>
      </c>
      <c r="CI45" s="70">
        <v>0.0</v>
      </c>
      <c r="CJ45" s="70">
        <v>0.0</v>
      </c>
      <c r="CK45" s="70">
        <v>0.0</v>
      </c>
      <c r="CL45" s="70">
        <v>0.0</v>
      </c>
      <c r="CM45" s="70">
        <v>0.0</v>
      </c>
      <c r="CN45" s="70">
        <v>0.0</v>
      </c>
      <c r="CO45" s="70">
        <v>0.0</v>
      </c>
      <c r="CP45" s="70">
        <v>0.0</v>
      </c>
      <c r="CQ45" s="70">
        <v>0.0</v>
      </c>
      <c r="CR45" s="70">
        <v>0.0</v>
      </c>
      <c r="CS45" s="70">
        <v>0.0</v>
      </c>
      <c r="CT45" s="70">
        <v>0.0</v>
      </c>
      <c r="CU45" s="70">
        <v>0.0</v>
      </c>
      <c r="CV45" s="70">
        <v>0.0</v>
      </c>
      <c r="CW45" s="70">
        <v>0.0</v>
      </c>
      <c r="CX45" s="70">
        <v>0.0</v>
      </c>
      <c r="CY45" s="70">
        <v>0.0</v>
      </c>
      <c r="CZ45" s="70">
        <v>0.0</v>
      </c>
      <c r="DA45" s="70">
        <v>0.0</v>
      </c>
      <c r="DB45" s="70">
        <v>0.0</v>
      </c>
      <c r="DC45" s="70">
        <v>0.0</v>
      </c>
      <c r="DD45" s="70">
        <v>0.0</v>
      </c>
      <c r="DE45" s="70">
        <v>0.0</v>
      </c>
      <c r="DF45" s="70">
        <v>0.0</v>
      </c>
      <c r="DG45" s="70">
        <v>0.0</v>
      </c>
      <c r="DH45" s="70">
        <v>0.0</v>
      </c>
      <c r="DI45" s="70">
        <v>0.0</v>
      </c>
      <c r="DJ45" s="70">
        <v>0.0</v>
      </c>
      <c r="DK45" s="70">
        <v>0.0</v>
      </c>
      <c r="DL45" s="70">
        <v>1.234593E7</v>
      </c>
      <c r="DM45" s="70">
        <v>1805.0</v>
      </c>
      <c r="DN45" s="70">
        <v>250901.0</v>
      </c>
      <c r="DO45" s="70">
        <v>0.0</v>
      </c>
      <c r="DP45" s="70">
        <v>0.0</v>
      </c>
      <c r="DQ45" s="70">
        <v>0.0</v>
      </c>
      <c r="DR45" s="70">
        <v>0.0</v>
      </c>
      <c r="DS45" s="70">
        <v>0.0</v>
      </c>
      <c r="DT45" s="70">
        <v>0.0</v>
      </c>
      <c r="DU45" s="70">
        <v>0.0</v>
      </c>
      <c r="DV45" s="70">
        <v>0.0</v>
      </c>
      <c r="DW45" s="70">
        <v>0.0</v>
      </c>
      <c r="DX45" s="70">
        <v>0.0</v>
      </c>
      <c r="DY45" s="70">
        <v>0.0</v>
      </c>
      <c r="DZ45" s="70">
        <v>0.0</v>
      </c>
      <c r="EA45" s="70">
        <v>0.0</v>
      </c>
      <c r="EB45" s="70">
        <v>0.0</v>
      </c>
      <c r="EC45" s="70">
        <v>0.0</v>
      </c>
      <c r="ED45" s="70">
        <v>0.0</v>
      </c>
      <c r="EE45" s="70">
        <v>0.0</v>
      </c>
      <c r="EF45" s="70">
        <v>0.0</v>
      </c>
      <c r="EG45" s="70">
        <v>0.0</v>
      </c>
      <c r="EH45" s="70">
        <v>0.0</v>
      </c>
      <c r="EI45" s="70">
        <v>0.0</v>
      </c>
      <c r="EJ45" s="70">
        <v>0.0</v>
      </c>
      <c r="EK45" s="70">
        <v>0.0</v>
      </c>
      <c r="EL45" s="70">
        <v>0.0</v>
      </c>
      <c r="EM45" s="70">
        <v>0.0</v>
      </c>
      <c r="EN45" s="70">
        <v>0.0</v>
      </c>
      <c r="EO45" s="70">
        <v>0.0</v>
      </c>
      <c r="EP45" s="70">
        <v>0.0</v>
      </c>
      <c r="EQ45" s="70">
        <v>0.0</v>
      </c>
      <c r="ER45" s="70">
        <v>0.0</v>
      </c>
      <c r="ES45" s="70">
        <v>0.0</v>
      </c>
      <c r="ET45" s="70">
        <v>0.0</v>
      </c>
      <c r="EU45" s="70">
        <v>0.0</v>
      </c>
      <c r="EV45" s="70">
        <v>0.0</v>
      </c>
      <c r="EW45" s="70">
        <v>0.0</v>
      </c>
      <c r="EX45" s="70">
        <v>0.0</v>
      </c>
      <c r="EY45" s="70">
        <v>0.0</v>
      </c>
      <c r="EZ45" s="70">
        <v>0.0</v>
      </c>
      <c r="FA45" s="70">
        <v>0.0</v>
      </c>
      <c r="FB45" s="70">
        <v>0.0</v>
      </c>
      <c r="FC45" s="70">
        <v>0.0</v>
      </c>
      <c r="FD45" s="70">
        <v>0.0</v>
      </c>
      <c r="FE45" s="70">
        <v>0.0</v>
      </c>
      <c r="FF45" s="70">
        <v>0.0</v>
      </c>
      <c r="FG45" s="70">
        <v>0.0</v>
      </c>
      <c r="FH45" s="70">
        <v>0.0</v>
      </c>
      <c r="FI45" s="70">
        <v>0.0</v>
      </c>
      <c r="FJ45" s="70">
        <v>0.0</v>
      </c>
      <c r="FK45" s="70">
        <v>0.0</v>
      </c>
      <c r="FL45" s="70">
        <v>0.0</v>
      </c>
      <c r="FM45" s="70">
        <v>0.0</v>
      </c>
      <c r="FN45" s="70">
        <v>0.0</v>
      </c>
      <c r="FO45" s="70">
        <v>0.0</v>
      </c>
      <c r="FP45" s="70">
        <v>0.0</v>
      </c>
      <c r="FQ45" s="70">
        <v>0.0</v>
      </c>
      <c r="FR45" s="70">
        <v>0.0</v>
      </c>
      <c r="FS45" s="70">
        <v>0.0</v>
      </c>
      <c r="FT45" s="70">
        <v>0.0</v>
      </c>
      <c r="FU45" s="70">
        <v>0.0</v>
      </c>
      <c r="FV45" s="70">
        <v>0.0</v>
      </c>
      <c r="FW45" s="70">
        <v>0.0</v>
      </c>
      <c r="FX45" s="70">
        <v>0.0</v>
      </c>
      <c r="FY45" s="70">
        <v>0.0</v>
      </c>
      <c r="FZ45" s="70">
        <v>0.0</v>
      </c>
      <c r="GA45" s="70">
        <v>0.0</v>
      </c>
      <c r="GB45" s="70">
        <v>0.0</v>
      </c>
      <c r="GC45" s="70">
        <v>0.0</v>
      </c>
      <c r="GD45" s="70">
        <v>0.0</v>
      </c>
      <c r="GE45" s="70">
        <v>0.0</v>
      </c>
      <c r="GF45" s="71">
        <v>1.2599478E7</v>
      </c>
      <c r="GG45" s="72">
        <v>0.0</v>
      </c>
      <c r="GH45" s="73">
        <v>0.0</v>
      </c>
      <c r="GI45" s="72">
        <v>0.0</v>
      </c>
      <c r="GJ45" s="72">
        <v>0.0</v>
      </c>
      <c r="GK45" s="72">
        <v>408305.0</v>
      </c>
      <c r="GL45" s="72">
        <v>1418521.0</v>
      </c>
      <c r="GM45" s="72">
        <v>0.0</v>
      </c>
      <c r="GN45" s="71">
        <v>1826826.0</v>
      </c>
      <c r="GO45" s="74">
        <v>1.4426304E7</v>
      </c>
      <c r="GP45" s="72">
        <v>1.0376785E7</v>
      </c>
      <c r="GQ45" s="72">
        <v>0.0</v>
      </c>
      <c r="GR45" s="73">
        <v>0.0</v>
      </c>
      <c r="GS45" s="71">
        <v>1.0376785E7</v>
      </c>
      <c r="GT45" s="75">
        <v>448762.0</v>
      </c>
      <c r="GU45" s="75">
        <v>0.0</v>
      </c>
      <c r="GV45" s="75">
        <v>130606.0</v>
      </c>
      <c r="GW45" s="71">
        <v>579368.0</v>
      </c>
      <c r="GX45" s="71">
        <v>315966.0</v>
      </c>
      <c r="GY45" s="71">
        <v>3154185.0</v>
      </c>
      <c r="GZ45" s="74">
        <v>1.4426304E7</v>
      </c>
      <c r="HC45" s="104" t="s">
        <v>586</v>
      </c>
      <c r="HD45" s="104"/>
      <c r="HF45" s="103">
        <f>SUM(HF5:HF44)</f>
        <v>31692013648</v>
      </c>
      <c r="HH45" s="106"/>
    </row>
    <row r="46" ht="15.75" customHeight="1">
      <c r="A46" s="52">
        <v>41.0</v>
      </c>
      <c r="B46" s="111" t="s">
        <v>311</v>
      </c>
      <c r="C46" s="54">
        <v>0.0</v>
      </c>
      <c r="D46" s="54">
        <v>0.0</v>
      </c>
      <c r="E46" s="54">
        <v>0.0</v>
      </c>
      <c r="F46" s="54">
        <v>0.0</v>
      </c>
      <c r="G46" s="54">
        <v>0.0</v>
      </c>
      <c r="H46" s="54">
        <v>0.0</v>
      </c>
      <c r="I46" s="54">
        <v>0.0</v>
      </c>
      <c r="J46" s="54">
        <v>0.0</v>
      </c>
      <c r="K46" s="54">
        <v>0.0</v>
      </c>
      <c r="L46" s="54">
        <v>0.0</v>
      </c>
      <c r="M46" s="54">
        <v>0.0</v>
      </c>
      <c r="N46" s="54">
        <v>0.0</v>
      </c>
      <c r="O46" s="54">
        <v>0.0</v>
      </c>
      <c r="P46" s="54">
        <v>0.0</v>
      </c>
      <c r="Q46" s="54">
        <v>0.0</v>
      </c>
      <c r="R46" s="54">
        <v>0.0</v>
      </c>
      <c r="S46" s="54">
        <v>0.0</v>
      </c>
      <c r="T46" s="54">
        <v>0.0</v>
      </c>
      <c r="U46" s="54">
        <v>0.0</v>
      </c>
      <c r="V46" s="54">
        <v>0.0</v>
      </c>
      <c r="W46" s="54">
        <v>0.0</v>
      </c>
      <c r="X46" s="54">
        <v>0.0</v>
      </c>
      <c r="Y46" s="54">
        <v>0.0</v>
      </c>
      <c r="Z46" s="54">
        <v>0.0</v>
      </c>
      <c r="AA46" s="54">
        <v>0.0</v>
      </c>
      <c r="AB46" s="54">
        <v>0.0</v>
      </c>
      <c r="AC46" s="54">
        <v>0.0</v>
      </c>
      <c r="AD46" s="54">
        <v>0.0</v>
      </c>
      <c r="AE46" s="54">
        <v>0.0</v>
      </c>
      <c r="AF46" s="54">
        <v>0.0</v>
      </c>
      <c r="AG46" s="54">
        <v>0.0</v>
      </c>
      <c r="AH46" s="54">
        <v>0.0</v>
      </c>
      <c r="AI46" s="54">
        <v>0.0</v>
      </c>
      <c r="AJ46" s="54">
        <v>0.0</v>
      </c>
      <c r="AK46" s="54">
        <v>0.0</v>
      </c>
      <c r="AL46" s="54">
        <v>0.0</v>
      </c>
      <c r="AM46" s="54">
        <v>0.0</v>
      </c>
      <c r="AN46" s="54">
        <v>0.0</v>
      </c>
      <c r="AO46" s="54">
        <v>0.0</v>
      </c>
      <c r="AP46" s="54">
        <v>0.0</v>
      </c>
      <c r="AQ46" s="54">
        <v>84227.0</v>
      </c>
      <c r="AR46" s="54">
        <v>0.0</v>
      </c>
      <c r="AS46" s="54">
        <v>0.0</v>
      </c>
      <c r="AT46" s="54">
        <v>0.0</v>
      </c>
      <c r="AU46" s="54">
        <v>0.0</v>
      </c>
      <c r="AV46" s="54">
        <v>0.0</v>
      </c>
      <c r="AW46" s="54">
        <v>0.0</v>
      </c>
      <c r="AX46" s="54">
        <v>0.0</v>
      </c>
      <c r="AY46" s="54">
        <v>0.0</v>
      </c>
      <c r="AZ46" s="54">
        <v>0.0</v>
      </c>
      <c r="BA46" s="54">
        <v>0.0</v>
      </c>
      <c r="BB46" s="54">
        <v>0.0</v>
      </c>
      <c r="BC46" s="54">
        <v>0.0</v>
      </c>
      <c r="BD46" s="54">
        <v>0.0</v>
      </c>
      <c r="BE46" s="54">
        <v>0.0</v>
      </c>
      <c r="BF46" s="54">
        <v>0.0</v>
      </c>
      <c r="BG46" s="54">
        <v>0.0</v>
      </c>
      <c r="BH46" s="54">
        <v>0.0</v>
      </c>
      <c r="BI46" s="54">
        <v>0.0</v>
      </c>
      <c r="BJ46" s="54">
        <v>0.0</v>
      </c>
      <c r="BK46" s="54">
        <v>0.0</v>
      </c>
      <c r="BL46" s="54">
        <v>0.0</v>
      </c>
      <c r="BM46" s="54">
        <v>0.0</v>
      </c>
      <c r="BN46" s="54">
        <v>0.0</v>
      </c>
      <c r="BO46" s="54">
        <v>0.0</v>
      </c>
      <c r="BP46" s="54">
        <v>0.0</v>
      </c>
      <c r="BQ46" s="54">
        <v>0.0</v>
      </c>
      <c r="BR46" s="54">
        <v>0.0</v>
      </c>
      <c r="BS46" s="54">
        <v>0.0</v>
      </c>
      <c r="BT46" s="54">
        <v>0.0</v>
      </c>
      <c r="BU46" s="54">
        <v>0.0</v>
      </c>
      <c r="BV46" s="54">
        <v>0.0</v>
      </c>
      <c r="BW46" s="54">
        <v>0.0</v>
      </c>
      <c r="BX46" s="54">
        <v>0.0</v>
      </c>
      <c r="BY46" s="54">
        <v>0.0</v>
      </c>
      <c r="BZ46" s="54">
        <v>0.0</v>
      </c>
      <c r="CA46" s="54">
        <v>0.0</v>
      </c>
      <c r="CB46" s="54">
        <v>0.0</v>
      </c>
      <c r="CC46" s="54">
        <v>0.0</v>
      </c>
      <c r="CD46" s="54">
        <v>0.0</v>
      </c>
      <c r="CE46" s="54">
        <v>0.0</v>
      </c>
      <c r="CF46" s="54">
        <v>0.0</v>
      </c>
      <c r="CG46" s="54">
        <v>0.0</v>
      </c>
      <c r="CH46" s="54">
        <v>0.0</v>
      </c>
      <c r="CI46" s="54">
        <v>0.0</v>
      </c>
      <c r="CJ46" s="54">
        <v>0.0</v>
      </c>
      <c r="CK46" s="54">
        <v>0.0</v>
      </c>
      <c r="CL46" s="54">
        <v>0.0</v>
      </c>
      <c r="CM46" s="54">
        <v>0.0</v>
      </c>
      <c r="CN46" s="54">
        <v>0.0</v>
      </c>
      <c r="CO46" s="54">
        <v>0.0</v>
      </c>
      <c r="CP46" s="54">
        <v>0.0</v>
      </c>
      <c r="CQ46" s="54">
        <v>0.0</v>
      </c>
      <c r="CR46" s="54">
        <v>0.0</v>
      </c>
      <c r="CS46" s="54">
        <v>0.0</v>
      </c>
      <c r="CT46" s="54">
        <v>0.0</v>
      </c>
      <c r="CU46" s="54">
        <v>0.0</v>
      </c>
      <c r="CV46" s="54">
        <v>0.0</v>
      </c>
      <c r="CW46" s="54">
        <v>0.0</v>
      </c>
      <c r="CX46" s="54">
        <v>0.0</v>
      </c>
      <c r="CY46" s="54">
        <v>0.0</v>
      </c>
      <c r="CZ46" s="54">
        <v>0.0</v>
      </c>
      <c r="DA46" s="54">
        <v>0.0</v>
      </c>
      <c r="DB46" s="54">
        <v>0.0</v>
      </c>
      <c r="DC46" s="54">
        <v>0.0</v>
      </c>
      <c r="DD46" s="54">
        <v>0.0</v>
      </c>
      <c r="DE46" s="54">
        <v>0.0</v>
      </c>
      <c r="DF46" s="54">
        <v>0.0</v>
      </c>
      <c r="DG46" s="54">
        <v>0.0</v>
      </c>
      <c r="DH46" s="54">
        <v>0.0</v>
      </c>
      <c r="DI46" s="54">
        <v>0.0</v>
      </c>
      <c r="DJ46" s="54">
        <v>0.0</v>
      </c>
      <c r="DK46" s="54">
        <v>0.0</v>
      </c>
      <c r="DL46" s="54">
        <v>1.2016618E7</v>
      </c>
      <c r="DM46" s="54">
        <v>3814420.0</v>
      </c>
      <c r="DN46" s="54">
        <v>470788.0</v>
      </c>
      <c r="DO46" s="54">
        <v>0.0</v>
      </c>
      <c r="DP46" s="54">
        <v>0.0</v>
      </c>
      <c r="DQ46" s="54">
        <v>0.0</v>
      </c>
      <c r="DR46" s="54">
        <v>0.0</v>
      </c>
      <c r="DS46" s="54">
        <v>0.0</v>
      </c>
      <c r="DT46" s="54">
        <v>0.0</v>
      </c>
      <c r="DU46" s="54">
        <v>0.0</v>
      </c>
      <c r="DV46" s="54">
        <v>0.0</v>
      </c>
      <c r="DW46" s="54">
        <v>0.0</v>
      </c>
      <c r="DX46" s="54">
        <v>0.0</v>
      </c>
      <c r="DY46" s="54">
        <v>0.0</v>
      </c>
      <c r="DZ46" s="54">
        <v>0.0</v>
      </c>
      <c r="EA46" s="54">
        <v>0.0</v>
      </c>
      <c r="EB46" s="54">
        <v>0.0</v>
      </c>
      <c r="EC46" s="54">
        <v>0.0</v>
      </c>
      <c r="ED46" s="54">
        <v>0.0</v>
      </c>
      <c r="EE46" s="54">
        <v>0.0</v>
      </c>
      <c r="EF46" s="54">
        <v>0.0</v>
      </c>
      <c r="EG46" s="54">
        <v>0.0</v>
      </c>
      <c r="EH46" s="54">
        <v>0.0</v>
      </c>
      <c r="EI46" s="54">
        <v>0.0</v>
      </c>
      <c r="EJ46" s="54">
        <v>0.0</v>
      </c>
      <c r="EK46" s="54">
        <v>0.0</v>
      </c>
      <c r="EL46" s="54">
        <v>0.0</v>
      </c>
      <c r="EM46" s="54">
        <v>0.0</v>
      </c>
      <c r="EN46" s="54">
        <v>0.0</v>
      </c>
      <c r="EO46" s="54">
        <v>0.0</v>
      </c>
      <c r="EP46" s="54">
        <v>0.0</v>
      </c>
      <c r="EQ46" s="54">
        <v>0.0</v>
      </c>
      <c r="ER46" s="54">
        <v>0.0</v>
      </c>
      <c r="ES46" s="54">
        <v>0.0</v>
      </c>
      <c r="ET46" s="54">
        <v>0.0</v>
      </c>
      <c r="EU46" s="54">
        <v>0.0</v>
      </c>
      <c r="EV46" s="54">
        <v>0.0</v>
      </c>
      <c r="EW46" s="54">
        <v>0.0</v>
      </c>
      <c r="EX46" s="54">
        <v>0.0</v>
      </c>
      <c r="EY46" s="54">
        <v>0.0</v>
      </c>
      <c r="EZ46" s="54">
        <v>0.0</v>
      </c>
      <c r="FA46" s="54">
        <v>0.0</v>
      </c>
      <c r="FB46" s="54">
        <v>0.0</v>
      </c>
      <c r="FC46" s="54">
        <v>0.0</v>
      </c>
      <c r="FD46" s="54">
        <v>0.0</v>
      </c>
      <c r="FE46" s="54">
        <v>0.0</v>
      </c>
      <c r="FF46" s="54">
        <v>0.0</v>
      </c>
      <c r="FG46" s="54">
        <v>0.0</v>
      </c>
      <c r="FH46" s="54">
        <v>0.0</v>
      </c>
      <c r="FI46" s="54">
        <v>0.0</v>
      </c>
      <c r="FJ46" s="54">
        <v>0.0</v>
      </c>
      <c r="FK46" s="54">
        <v>0.0</v>
      </c>
      <c r="FL46" s="54">
        <v>0.0</v>
      </c>
      <c r="FM46" s="54">
        <v>0.0</v>
      </c>
      <c r="FN46" s="54">
        <v>0.0</v>
      </c>
      <c r="FO46" s="54">
        <v>0.0</v>
      </c>
      <c r="FP46" s="54">
        <v>0.0</v>
      </c>
      <c r="FQ46" s="54">
        <v>0.0</v>
      </c>
      <c r="FR46" s="54">
        <v>0.0</v>
      </c>
      <c r="FS46" s="54">
        <v>0.0</v>
      </c>
      <c r="FT46" s="54">
        <v>0.0</v>
      </c>
      <c r="FU46" s="54">
        <v>0.0</v>
      </c>
      <c r="FV46" s="54">
        <v>0.0</v>
      </c>
      <c r="FW46" s="54">
        <v>0.0</v>
      </c>
      <c r="FX46" s="54">
        <v>0.0</v>
      </c>
      <c r="FY46" s="54">
        <v>0.0</v>
      </c>
      <c r="FZ46" s="54">
        <v>0.0</v>
      </c>
      <c r="GA46" s="54">
        <v>0.0</v>
      </c>
      <c r="GB46" s="54">
        <v>0.0</v>
      </c>
      <c r="GC46" s="54">
        <v>0.0</v>
      </c>
      <c r="GD46" s="54">
        <v>0.0</v>
      </c>
      <c r="GE46" s="54">
        <v>0.0</v>
      </c>
      <c r="GF46" s="55">
        <v>1.6386053E7</v>
      </c>
      <c r="GG46" s="56">
        <v>0.0</v>
      </c>
      <c r="GH46" s="57">
        <v>0.0</v>
      </c>
      <c r="GI46" s="56">
        <v>0.0</v>
      </c>
      <c r="GJ46" s="56">
        <v>0.0</v>
      </c>
      <c r="GK46" s="56">
        <v>13.0</v>
      </c>
      <c r="GL46" s="56">
        <v>0.0</v>
      </c>
      <c r="GM46" s="56">
        <v>0.0</v>
      </c>
      <c r="GN46" s="55">
        <v>13.0</v>
      </c>
      <c r="GO46" s="58">
        <v>1.6386066E7</v>
      </c>
      <c r="GP46" s="56">
        <v>1195.0</v>
      </c>
      <c r="GQ46" s="56">
        <v>0.0</v>
      </c>
      <c r="GR46" s="57">
        <v>0.0</v>
      </c>
      <c r="GS46" s="55">
        <v>1195.0</v>
      </c>
      <c r="GT46" s="59">
        <v>0.0</v>
      </c>
      <c r="GU46" s="59">
        <v>0.0</v>
      </c>
      <c r="GV46" s="59">
        <v>0.0</v>
      </c>
      <c r="GW46" s="55">
        <v>0.0</v>
      </c>
      <c r="GX46" s="55">
        <v>0.0</v>
      </c>
      <c r="GY46" s="55">
        <v>1.6384871E7</v>
      </c>
      <c r="GZ46" s="58">
        <v>1.6386066E7</v>
      </c>
      <c r="HF46" s="103"/>
      <c r="HH46" s="106"/>
    </row>
    <row r="47" ht="15.75" customHeight="1">
      <c r="A47" s="60">
        <v>42.0</v>
      </c>
      <c r="B47" s="111" t="s">
        <v>312</v>
      </c>
      <c r="C47" s="62">
        <v>0.0</v>
      </c>
      <c r="D47" s="62">
        <v>0.0</v>
      </c>
      <c r="E47" s="62">
        <v>0.0</v>
      </c>
      <c r="F47" s="62">
        <v>0.0</v>
      </c>
      <c r="G47" s="62">
        <v>0.0</v>
      </c>
      <c r="H47" s="62">
        <v>0.0</v>
      </c>
      <c r="I47" s="62">
        <v>0.0</v>
      </c>
      <c r="J47" s="62">
        <v>0.0</v>
      </c>
      <c r="K47" s="62">
        <v>0.0</v>
      </c>
      <c r="L47" s="62">
        <v>0.0</v>
      </c>
      <c r="M47" s="62">
        <v>0.0</v>
      </c>
      <c r="N47" s="62">
        <v>0.0</v>
      </c>
      <c r="O47" s="62">
        <v>0.0</v>
      </c>
      <c r="P47" s="62">
        <v>0.0</v>
      </c>
      <c r="Q47" s="62">
        <v>0.0</v>
      </c>
      <c r="R47" s="62">
        <v>0.0</v>
      </c>
      <c r="S47" s="62">
        <v>0.0</v>
      </c>
      <c r="T47" s="62">
        <v>0.0</v>
      </c>
      <c r="U47" s="62">
        <v>0.0</v>
      </c>
      <c r="V47" s="62">
        <v>0.0</v>
      </c>
      <c r="W47" s="62">
        <v>0.0</v>
      </c>
      <c r="X47" s="62">
        <v>0.0</v>
      </c>
      <c r="Y47" s="62">
        <v>0.0</v>
      </c>
      <c r="Z47" s="62">
        <v>0.0</v>
      </c>
      <c r="AA47" s="62">
        <v>0.0</v>
      </c>
      <c r="AB47" s="62">
        <v>0.0</v>
      </c>
      <c r="AC47" s="62">
        <v>0.0</v>
      </c>
      <c r="AD47" s="62">
        <v>0.0</v>
      </c>
      <c r="AE47" s="62">
        <v>0.0</v>
      </c>
      <c r="AF47" s="62">
        <v>0.0</v>
      </c>
      <c r="AG47" s="62">
        <v>0.0</v>
      </c>
      <c r="AH47" s="62">
        <v>0.0</v>
      </c>
      <c r="AI47" s="62">
        <v>0.0</v>
      </c>
      <c r="AJ47" s="62">
        <v>0.0</v>
      </c>
      <c r="AK47" s="62">
        <v>0.0</v>
      </c>
      <c r="AL47" s="62">
        <v>0.0</v>
      </c>
      <c r="AM47" s="62">
        <v>0.0</v>
      </c>
      <c r="AN47" s="62">
        <v>0.0</v>
      </c>
      <c r="AO47" s="62">
        <v>0.0</v>
      </c>
      <c r="AP47" s="62">
        <v>0.0</v>
      </c>
      <c r="AQ47" s="62">
        <v>0.0</v>
      </c>
      <c r="AR47" s="62">
        <v>26482.0</v>
      </c>
      <c r="AS47" s="62">
        <v>0.0</v>
      </c>
      <c r="AT47" s="62">
        <v>0.0</v>
      </c>
      <c r="AU47" s="62">
        <v>0.0</v>
      </c>
      <c r="AV47" s="62">
        <v>0.0</v>
      </c>
      <c r="AW47" s="62">
        <v>0.0</v>
      </c>
      <c r="AX47" s="62">
        <v>0.0</v>
      </c>
      <c r="AY47" s="62">
        <v>0.0</v>
      </c>
      <c r="AZ47" s="62">
        <v>0.0</v>
      </c>
      <c r="BA47" s="62">
        <v>0.0</v>
      </c>
      <c r="BB47" s="62">
        <v>0.0</v>
      </c>
      <c r="BC47" s="62">
        <v>0.0</v>
      </c>
      <c r="BD47" s="62">
        <v>0.0</v>
      </c>
      <c r="BE47" s="62">
        <v>0.0</v>
      </c>
      <c r="BF47" s="62">
        <v>0.0</v>
      </c>
      <c r="BG47" s="62">
        <v>0.0</v>
      </c>
      <c r="BH47" s="62">
        <v>0.0</v>
      </c>
      <c r="BI47" s="62">
        <v>0.0</v>
      </c>
      <c r="BJ47" s="62">
        <v>0.0</v>
      </c>
      <c r="BK47" s="62">
        <v>0.0</v>
      </c>
      <c r="BL47" s="62">
        <v>0.0</v>
      </c>
      <c r="BM47" s="62">
        <v>0.0</v>
      </c>
      <c r="BN47" s="62">
        <v>0.0</v>
      </c>
      <c r="BO47" s="62">
        <v>0.0</v>
      </c>
      <c r="BP47" s="62">
        <v>0.0</v>
      </c>
      <c r="BQ47" s="62">
        <v>0.0</v>
      </c>
      <c r="BR47" s="62">
        <v>0.0</v>
      </c>
      <c r="BS47" s="62">
        <v>0.0</v>
      </c>
      <c r="BT47" s="62">
        <v>0.0</v>
      </c>
      <c r="BU47" s="62">
        <v>0.0</v>
      </c>
      <c r="BV47" s="62">
        <v>0.0</v>
      </c>
      <c r="BW47" s="62">
        <v>0.0</v>
      </c>
      <c r="BX47" s="62">
        <v>0.0</v>
      </c>
      <c r="BY47" s="62">
        <v>0.0</v>
      </c>
      <c r="BZ47" s="62">
        <v>0.0</v>
      </c>
      <c r="CA47" s="62">
        <v>0.0</v>
      </c>
      <c r="CB47" s="62">
        <v>0.0</v>
      </c>
      <c r="CC47" s="62">
        <v>0.0</v>
      </c>
      <c r="CD47" s="62">
        <v>0.0</v>
      </c>
      <c r="CE47" s="62">
        <v>0.0</v>
      </c>
      <c r="CF47" s="62">
        <v>0.0</v>
      </c>
      <c r="CG47" s="62">
        <v>0.0</v>
      </c>
      <c r="CH47" s="62">
        <v>0.0</v>
      </c>
      <c r="CI47" s="62">
        <v>0.0</v>
      </c>
      <c r="CJ47" s="62">
        <v>0.0</v>
      </c>
      <c r="CK47" s="62">
        <v>0.0</v>
      </c>
      <c r="CL47" s="62">
        <v>0.0</v>
      </c>
      <c r="CM47" s="62">
        <v>0.0</v>
      </c>
      <c r="CN47" s="62">
        <v>0.0</v>
      </c>
      <c r="CO47" s="62">
        <v>0.0</v>
      </c>
      <c r="CP47" s="62">
        <v>0.0</v>
      </c>
      <c r="CQ47" s="62">
        <v>0.0</v>
      </c>
      <c r="CR47" s="62">
        <v>0.0</v>
      </c>
      <c r="CS47" s="62">
        <v>0.0</v>
      </c>
      <c r="CT47" s="62">
        <v>0.0</v>
      </c>
      <c r="CU47" s="62">
        <v>0.0</v>
      </c>
      <c r="CV47" s="62">
        <v>0.0</v>
      </c>
      <c r="CW47" s="62">
        <v>0.0</v>
      </c>
      <c r="CX47" s="62">
        <v>0.0</v>
      </c>
      <c r="CY47" s="62">
        <v>0.0</v>
      </c>
      <c r="CZ47" s="62">
        <v>0.0</v>
      </c>
      <c r="DA47" s="62">
        <v>0.0</v>
      </c>
      <c r="DB47" s="62">
        <v>0.0</v>
      </c>
      <c r="DC47" s="62">
        <v>0.0</v>
      </c>
      <c r="DD47" s="62">
        <v>0.0</v>
      </c>
      <c r="DE47" s="62">
        <v>0.0</v>
      </c>
      <c r="DF47" s="62">
        <v>0.0</v>
      </c>
      <c r="DG47" s="62">
        <v>0.0</v>
      </c>
      <c r="DH47" s="62">
        <v>0.0</v>
      </c>
      <c r="DI47" s="62">
        <v>0.0</v>
      </c>
      <c r="DJ47" s="62">
        <v>0.0</v>
      </c>
      <c r="DK47" s="62">
        <v>0.0</v>
      </c>
      <c r="DL47" s="62">
        <v>778492.0</v>
      </c>
      <c r="DM47" s="62">
        <v>475899.0</v>
      </c>
      <c r="DN47" s="62">
        <v>20628.0</v>
      </c>
      <c r="DO47" s="62">
        <v>0.0</v>
      </c>
      <c r="DP47" s="62">
        <v>0.0</v>
      </c>
      <c r="DQ47" s="62">
        <v>0.0</v>
      </c>
      <c r="DR47" s="62">
        <v>0.0</v>
      </c>
      <c r="DS47" s="62">
        <v>0.0</v>
      </c>
      <c r="DT47" s="62">
        <v>0.0</v>
      </c>
      <c r="DU47" s="62">
        <v>0.0</v>
      </c>
      <c r="DV47" s="62">
        <v>0.0</v>
      </c>
      <c r="DW47" s="62">
        <v>0.0</v>
      </c>
      <c r="DX47" s="62">
        <v>0.0</v>
      </c>
      <c r="DY47" s="62">
        <v>0.0</v>
      </c>
      <c r="DZ47" s="62">
        <v>0.0</v>
      </c>
      <c r="EA47" s="62">
        <v>0.0</v>
      </c>
      <c r="EB47" s="62">
        <v>0.0</v>
      </c>
      <c r="EC47" s="62">
        <v>0.0</v>
      </c>
      <c r="ED47" s="62">
        <v>0.0</v>
      </c>
      <c r="EE47" s="62">
        <v>0.0</v>
      </c>
      <c r="EF47" s="62">
        <v>0.0</v>
      </c>
      <c r="EG47" s="62">
        <v>0.0</v>
      </c>
      <c r="EH47" s="62">
        <v>0.0</v>
      </c>
      <c r="EI47" s="62">
        <v>0.0</v>
      </c>
      <c r="EJ47" s="62">
        <v>0.0</v>
      </c>
      <c r="EK47" s="62">
        <v>0.0</v>
      </c>
      <c r="EL47" s="62">
        <v>0.0</v>
      </c>
      <c r="EM47" s="62">
        <v>0.0</v>
      </c>
      <c r="EN47" s="62">
        <v>0.0</v>
      </c>
      <c r="EO47" s="62">
        <v>0.0</v>
      </c>
      <c r="EP47" s="62">
        <v>0.0</v>
      </c>
      <c r="EQ47" s="62">
        <v>0.0</v>
      </c>
      <c r="ER47" s="62">
        <v>0.0</v>
      </c>
      <c r="ES47" s="62">
        <v>0.0</v>
      </c>
      <c r="ET47" s="62">
        <v>0.0</v>
      </c>
      <c r="EU47" s="62">
        <v>0.0</v>
      </c>
      <c r="EV47" s="62">
        <v>0.0</v>
      </c>
      <c r="EW47" s="62">
        <v>0.0</v>
      </c>
      <c r="EX47" s="62">
        <v>0.0</v>
      </c>
      <c r="EY47" s="62">
        <v>0.0</v>
      </c>
      <c r="EZ47" s="62">
        <v>0.0</v>
      </c>
      <c r="FA47" s="62">
        <v>0.0</v>
      </c>
      <c r="FB47" s="62">
        <v>0.0</v>
      </c>
      <c r="FC47" s="62">
        <v>0.0</v>
      </c>
      <c r="FD47" s="62">
        <v>0.0</v>
      </c>
      <c r="FE47" s="62">
        <v>0.0</v>
      </c>
      <c r="FF47" s="62">
        <v>0.0</v>
      </c>
      <c r="FG47" s="62">
        <v>0.0</v>
      </c>
      <c r="FH47" s="62">
        <v>0.0</v>
      </c>
      <c r="FI47" s="62">
        <v>0.0</v>
      </c>
      <c r="FJ47" s="62">
        <v>0.0</v>
      </c>
      <c r="FK47" s="62">
        <v>0.0</v>
      </c>
      <c r="FL47" s="62">
        <v>0.0</v>
      </c>
      <c r="FM47" s="62">
        <v>0.0</v>
      </c>
      <c r="FN47" s="62">
        <v>0.0</v>
      </c>
      <c r="FO47" s="62">
        <v>0.0</v>
      </c>
      <c r="FP47" s="62">
        <v>0.0</v>
      </c>
      <c r="FQ47" s="62">
        <v>0.0</v>
      </c>
      <c r="FR47" s="62">
        <v>0.0</v>
      </c>
      <c r="FS47" s="62">
        <v>0.0</v>
      </c>
      <c r="FT47" s="62">
        <v>0.0</v>
      </c>
      <c r="FU47" s="62">
        <v>0.0</v>
      </c>
      <c r="FV47" s="62">
        <v>0.0</v>
      </c>
      <c r="FW47" s="62">
        <v>0.0</v>
      </c>
      <c r="FX47" s="62">
        <v>0.0</v>
      </c>
      <c r="FY47" s="62">
        <v>0.0</v>
      </c>
      <c r="FZ47" s="62">
        <v>0.0</v>
      </c>
      <c r="GA47" s="62">
        <v>0.0</v>
      </c>
      <c r="GB47" s="62">
        <v>0.0</v>
      </c>
      <c r="GC47" s="62">
        <v>0.0</v>
      </c>
      <c r="GD47" s="62">
        <v>0.0</v>
      </c>
      <c r="GE47" s="62">
        <v>0.0</v>
      </c>
      <c r="GF47" s="63">
        <v>1301501.0</v>
      </c>
      <c r="GG47" s="64">
        <v>0.0</v>
      </c>
      <c r="GH47" s="65">
        <v>0.0</v>
      </c>
      <c r="GI47" s="64">
        <v>0.0</v>
      </c>
      <c r="GJ47" s="64">
        <v>0.0</v>
      </c>
      <c r="GK47" s="64">
        <v>48751.0</v>
      </c>
      <c r="GL47" s="64">
        <v>8132236.0</v>
      </c>
      <c r="GM47" s="64">
        <v>0.0</v>
      </c>
      <c r="GN47" s="63">
        <v>8180987.0</v>
      </c>
      <c r="GO47" s="66">
        <v>9482488.0</v>
      </c>
      <c r="GP47" s="64">
        <v>13065.0</v>
      </c>
      <c r="GQ47" s="64">
        <v>0.0</v>
      </c>
      <c r="GR47" s="65">
        <v>0.0</v>
      </c>
      <c r="GS47" s="63">
        <v>13065.0</v>
      </c>
      <c r="GT47" s="67">
        <v>0.0</v>
      </c>
      <c r="GU47" s="67">
        <v>0.0</v>
      </c>
      <c r="GV47" s="67">
        <v>0.0</v>
      </c>
      <c r="GW47" s="63">
        <v>0.0</v>
      </c>
      <c r="GX47" s="63">
        <v>1076.0</v>
      </c>
      <c r="GY47" s="63">
        <v>9468347.0</v>
      </c>
      <c r="GZ47" s="66">
        <v>9482488.0</v>
      </c>
      <c r="HF47" s="103"/>
      <c r="HH47" s="106"/>
    </row>
    <row r="48" ht="15.75" customHeight="1">
      <c r="A48" s="60">
        <v>43.0</v>
      </c>
      <c r="B48" s="111" t="s">
        <v>313</v>
      </c>
      <c r="C48" s="62">
        <v>0.0</v>
      </c>
      <c r="D48" s="62">
        <v>0.0</v>
      </c>
      <c r="E48" s="62">
        <v>0.0</v>
      </c>
      <c r="F48" s="62">
        <v>0.0</v>
      </c>
      <c r="G48" s="62">
        <v>0.0</v>
      </c>
      <c r="H48" s="62">
        <v>0.0</v>
      </c>
      <c r="I48" s="62">
        <v>0.0</v>
      </c>
      <c r="J48" s="62">
        <v>0.0</v>
      </c>
      <c r="K48" s="62">
        <v>0.0</v>
      </c>
      <c r="L48" s="62">
        <v>0.0</v>
      </c>
      <c r="M48" s="62">
        <v>0.0</v>
      </c>
      <c r="N48" s="62">
        <v>0.0</v>
      </c>
      <c r="O48" s="62">
        <v>0.0</v>
      </c>
      <c r="P48" s="62">
        <v>0.0</v>
      </c>
      <c r="Q48" s="62">
        <v>0.0</v>
      </c>
      <c r="R48" s="62">
        <v>0.0</v>
      </c>
      <c r="S48" s="62">
        <v>0.0</v>
      </c>
      <c r="T48" s="62">
        <v>0.0</v>
      </c>
      <c r="U48" s="62">
        <v>0.0</v>
      </c>
      <c r="V48" s="62">
        <v>0.0</v>
      </c>
      <c r="W48" s="62">
        <v>0.0</v>
      </c>
      <c r="X48" s="62">
        <v>0.0</v>
      </c>
      <c r="Y48" s="62">
        <v>0.0</v>
      </c>
      <c r="Z48" s="62">
        <v>0.0</v>
      </c>
      <c r="AA48" s="62">
        <v>0.0</v>
      </c>
      <c r="AB48" s="62">
        <v>0.0</v>
      </c>
      <c r="AC48" s="62">
        <v>0.0</v>
      </c>
      <c r="AD48" s="62">
        <v>0.0</v>
      </c>
      <c r="AE48" s="62">
        <v>0.0</v>
      </c>
      <c r="AF48" s="62">
        <v>0.0</v>
      </c>
      <c r="AG48" s="62">
        <v>0.0</v>
      </c>
      <c r="AH48" s="62">
        <v>0.0</v>
      </c>
      <c r="AI48" s="62">
        <v>0.0</v>
      </c>
      <c r="AJ48" s="62">
        <v>0.0</v>
      </c>
      <c r="AK48" s="62">
        <v>0.0</v>
      </c>
      <c r="AL48" s="62">
        <v>0.0</v>
      </c>
      <c r="AM48" s="62">
        <v>0.0</v>
      </c>
      <c r="AN48" s="62">
        <v>0.0</v>
      </c>
      <c r="AO48" s="62">
        <v>0.0</v>
      </c>
      <c r="AP48" s="62">
        <v>0.0</v>
      </c>
      <c r="AQ48" s="62">
        <v>0.0</v>
      </c>
      <c r="AR48" s="62">
        <v>0.0</v>
      </c>
      <c r="AS48" s="62">
        <v>288187.0</v>
      </c>
      <c r="AT48" s="62">
        <v>0.0</v>
      </c>
      <c r="AU48" s="62">
        <v>0.0</v>
      </c>
      <c r="AV48" s="62">
        <v>0.0</v>
      </c>
      <c r="AW48" s="62">
        <v>0.0</v>
      </c>
      <c r="AX48" s="62">
        <v>0.0</v>
      </c>
      <c r="AY48" s="62">
        <v>0.0</v>
      </c>
      <c r="AZ48" s="62">
        <v>0.0</v>
      </c>
      <c r="BA48" s="62">
        <v>0.0</v>
      </c>
      <c r="BB48" s="62">
        <v>0.0</v>
      </c>
      <c r="BC48" s="62">
        <v>0.0</v>
      </c>
      <c r="BD48" s="62">
        <v>0.0</v>
      </c>
      <c r="BE48" s="62">
        <v>0.0</v>
      </c>
      <c r="BF48" s="62">
        <v>0.0</v>
      </c>
      <c r="BG48" s="62">
        <v>0.0</v>
      </c>
      <c r="BH48" s="62">
        <v>0.0</v>
      </c>
      <c r="BI48" s="62">
        <v>0.0</v>
      </c>
      <c r="BJ48" s="62">
        <v>0.0</v>
      </c>
      <c r="BK48" s="62">
        <v>0.0</v>
      </c>
      <c r="BL48" s="62">
        <v>0.0</v>
      </c>
      <c r="BM48" s="62">
        <v>0.0</v>
      </c>
      <c r="BN48" s="62">
        <v>0.0</v>
      </c>
      <c r="BO48" s="62">
        <v>0.0</v>
      </c>
      <c r="BP48" s="62">
        <v>0.0</v>
      </c>
      <c r="BQ48" s="62">
        <v>0.0</v>
      </c>
      <c r="BR48" s="62">
        <v>0.0</v>
      </c>
      <c r="BS48" s="62">
        <v>0.0</v>
      </c>
      <c r="BT48" s="62">
        <v>0.0</v>
      </c>
      <c r="BU48" s="62">
        <v>0.0</v>
      </c>
      <c r="BV48" s="62">
        <v>0.0</v>
      </c>
      <c r="BW48" s="62">
        <v>0.0</v>
      </c>
      <c r="BX48" s="62">
        <v>0.0</v>
      </c>
      <c r="BY48" s="62">
        <v>0.0</v>
      </c>
      <c r="BZ48" s="62">
        <v>0.0</v>
      </c>
      <c r="CA48" s="62">
        <v>0.0</v>
      </c>
      <c r="CB48" s="62">
        <v>0.0</v>
      </c>
      <c r="CC48" s="62">
        <v>0.0</v>
      </c>
      <c r="CD48" s="62">
        <v>0.0</v>
      </c>
      <c r="CE48" s="62">
        <v>0.0</v>
      </c>
      <c r="CF48" s="62">
        <v>0.0</v>
      </c>
      <c r="CG48" s="62">
        <v>0.0</v>
      </c>
      <c r="CH48" s="62">
        <v>0.0</v>
      </c>
      <c r="CI48" s="62">
        <v>0.0</v>
      </c>
      <c r="CJ48" s="62">
        <v>0.0</v>
      </c>
      <c r="CK48" s="62">
        <v>0.0</v>
      </c>
      <c r="CL48" s="62">
        <v>0.0</v>
      </c>
      <c r="CM48" s="62">
        <v>0.0</v>
      </c>
      <c r="CN48" s="62">
        <v>0.0</v>
      </c>
      <c r="CO48" s="62">
        <v>0.0</v>
      </c>
      <c r="CP48" s="62">
        <v>0.0</v>
      </c>
      <c r="CQ48" s="62">
        <v>0.0</v>
      </c>
      <c r="CR48" s="62">
        <v>0.0</v>
      </c>
      <c r="CS48" s="62">
        <v>0.0</v>
      </c>
      <c r="CT48" s="62">
        <v>0.0</v>
      </c>
      <c r="CU48" s="62">
        <v>0.0</v>
      </c>
      <c r="CV48" s="62">
        <v>0.0</v>
      </c>
      <c r="CW48" s="62">
        <v>0.0</v>
      </c>
      <c r="CX48" s="62">
        <v>0.0</v>
      </c>
      <c r="CY48" s="62">
        <v>0.0</v>
      </c>
      <c r="CZ48" s="62">
        <v>0.0</v>
      </c>
      <c r="DA48" s="62">
        <v>0.0</v>
      </c>
      <c r="DB48" s="62">
        <v>0.0</v>
      </c>
      <c r="DC48" s="62">
        <v>0.0</v>
      </c>
      <c r="DD48" s="62">
        <v>0.0</v>
      </c>
      <c r="DE48" s="62">
        <v>0.0</v>
      </c>
      <c r="DF48" s="62">
        <v>0.0</v>
      </c>
      <c r="DG48" s="62">
        <v>0.0</v>
      </c>
      <c r="DH48" s="62">
        <v>0.0</v>
      </c>
      <c r="DI48" s="62">
        <v>0.0</v>
      </c>
      <c r="DJ48" s="62">
        <v>0.0</v>
      </c>
      <c r="DK48" s="62">
        <v>0.0</v>
      </c>
      <c r="DL48" s="62">
        <v>4450188.0</v>
      </c>
      <c r="DM48" s="62">
        <v>1.9271638E7</v>
      </c>
      <c r="DN48" s="62">
        <v>920270.0</v>
      </c>
      <c r="DO48" s="62">
        <v>0.0</v>
      </c>
      <c r="DP48" s="62">
        <v>0.0</v>
      </c>
      <c r="DQ48" s="62">
        <v>0.0</v>
      </c>
      <c r="DR48" s="62">
        <v>0.0</v>
      </c>
      <c r="DS48" s="62">
        <v>0.0</v>
      </c>
      <c r="DT48" s="62">
        <v>0.0</v>
      </c>
      <c r="DU48" s="62">
        <v>0.0</v>
      </c>
      <c r="DV48" s="62">
        <v>0.0</v>
      </c>
      <c r="DW48" s="62">
        <v>0.0</v>
      </c>
      <c r="DX48" s="62">
        <v>0.0</v>
      </c>
      <c r="DY48" s="62">
        <v>0.0</v>
      </c>
      <c r="DZ48" s="62">
        <v>0.0</v>
      </c>
      <c r="EA48" s="62">
        <v>0.0</v>
      </c>
      <c r="EB48" s="62">
        <v>0.0</v>
      </c>
      <c r="EC48" s="62">
        <v>0.0</v>
      </c>
      <c r="ED48" s="62">
        <v>0.0</v>
      </c>
      <c r="EE48" s="62">
        <v>0.0</v>
      </c>
      <c r="EF48" s="62">
        <v>0.0</v>
      </c>
      <c r="EG48" s="62">
        <v>0.0</v>
      </c>
      <c r="EH48" s="62">
        <v>0.0</v>
      </c>
      <c r="EI48" s="62">
        <v>0.0</v>
      </c>
      <c r="EJ48" s="62">
        <v>776.0</v>
      </c>
      <c r="EK48" s="62">
        <v>0.0</v>
      </c>
      <c r="EL48" s="62">
        <v>0.0</v>
      </c>
      <c r="EM48" s="62">
        <v>0.0</v>
      </c>
      <c r="EN48" s="62">
        <v>0.0</v>
      </c>
      <c r="EO48" s="62">
        <v>0.0</v>
      </c>
      <c r="EP48" s="62">
        <v>0.0</v>
      </c>
      <c r="EQ48" s="62">
        <v>0.0</v>
      </c>
      <c r="ER48" s="62">
        <v>0.0</v>
      </c>
      <c r="ES48" s="62">
        <v>0.0</v>
      </c>
      <c r="ET48" s="62">
        <v>0.0</v>
      </c>
      <c r="EU48" s="62">
        <v>0.0</v>
      </c>
      <c r="EV48" s="62">
        <v>0.0</v>
      </c>
      <c r="EW48" s="62">
        <v>0.0</v>
      </c>
      <c r="EX48" s="62">
        <v>0.0</v>
      </c>
      <c r="EY48" s="62">
        <v>0.0</v>
      </c>
      <c r="EZ48" s="62">
        <v>0.0</v>
      </c>
      <c r="FA48" s="62">
        <v>0.0</v>
      </c>
      <c r="FB48" s="62">
        <v>0.0</v>
      </c>
      <c r="FC48" s="62">
        <v>0.0</v>
      </c>
      <c r="FD48" s="62">
        <v>0.0</v>
      </c>
      <c r="FE48" s="62">
        <v>0.0</v>
      </c>
      <c r="FF48" s="62">
        <v>0.0</v>
      </c>
      <c r="FG48" s="62">
        <v>0.0</v>
      </c>
      <c r="FH48" s="62">
        <v>0.0</v>
      </c>
      <c r="FI48" s="62">
        <v>0.0</v>
      </c>
      <c r="FJ48" s="62">
        <v>0.0</v>
      </c>
      <c r="FK48" s="62">
        <v>0.0</v>
      </c>
      <c r="FL48" s="62">
        <v>0.0</v>
      </c>
      <c r="FM48" s="62">
        <v>0.0</v>
      </c>
      <c r="FN48" s="62">
        <v>0.0</v>
      </c>
      <c r="FO48" s="62">
        <v>0.0</v>
      </c>
      <c r="FP48" s="62">
        <v>0.0</v>
      </c>
      <c r="FQ48" s="62">
        <v>0.0</v>
      </c>
      <c r="FR48" s="62">
        <v>0.0</v>
      </c>
      <c r="FS48" s="62">
        <v>0.0</v>
      </c>
      <c r="FT48" s="62">
        <v>0.0</v>
      </c>
      <c r="FU48" s="62">
        <v>0.0</v>
      </c>
      <c r="FV48" s="62">
        <v>0.0</v>
      </c>
      <c r="FW48" s="62">
        <v>0.0</v>
      </c>
      <c r="FX48" s="62">
        <v>0.0</v>
      </c>
      <c r="FY48" s="62">
        <v>0.0</v>
      </c>
      <c r="FZ48" s="62">
        <v>0.0</v>
      </c>
      <c r="GA48" s="62">
        <v>0.0</v>
      </c>
      <c r="GB48" s="62">
        <v>0.0</v>
      </c>
      <c r="GC48" s="62">
        <v>0.0</v>
      </c>
      <c r="GD48" s="62">
        <v>0.0</v>
      </c>
      <c r="GE48" s="62">
        <v>0.0</v>
      </c>
      <c r="GF48" s="63">
        <v>2.4931059E7</v>
      </c>
      <c r="GG48" s="64">
        <v>0.0</v>
      </c>
      <c r="GH48" s="65">
        <v>0.0</v>
      </c>
      <c r="GI48" s="64">
        <v>0.0</v>
      </c>
      <c r="GJ48" s="64">
        <v>0.0</v>
      </c>
      <c r="GK48" s="64">
        <v>6.0</v>
      </c>
      <c r="GL48" s="64">
        <v>3.4985135E7</v>
      </c>
      <c r="GM48" s="64">
        <v>0.0</v>
      </c>
      <c r="GN48" s="63">
        <v>3.4985141E7</v>
      </c>
      <c r="GO48" s="66">
        <v>5.99162E7</v>
      </c>
      <c r="GP48" s="64">
        <v>5623.0</v>
      </c>
      <c r="GQ48" s="64">
        <v>0.0</v>
      </c>
      <c r="GR48" s="65">
        <v>0.0</v>
      </c>
      <c r="GS48" s="63">
        <v>5623.0</v>
      </c>
      <c r="GT48" s="67">
        <v>0.0</v>
      </c>
      <c r="GU48" s="67">
        <v>0.0</v>
      </c>
      <c r="GV48" s="67">
        <v>0.0</v>
      </c>
      <c r="GW48" s="63">
        <v>0.0</v>
      </c>
      <c r="GX48" s="63">
        <v>261135.0</v>
      </c>
      <c r="GY48" s="63">
        <v>5.9649442E7</v>
      </c>
      <c r="GZ48" s="66">
        <v>5.99162E7</v>
      </c>
      <c r="HH48" s="106"/>
    </row>
    <row r="49" ht="15.75" customHeight="1">
      <c r="A49" s="60">
        <v>44.0</v>
      </c>
      <c r="B49" s="111" t="s">
        <v>314</v>
      </c>
      <c r="C49" s="62">
        <v>0.0</v>
      </c>
      <c r="D49" s="62">
        <v>0.0</v>
      </c>
      <c r="E49" s="62">
        <v>0.0</v>
      </c>
      <c r="F49" s="62">
        <v>0.0</v>
      </c>
      <c r="G49" s="62">
        <v>0.0</v>
      </c>
      <c r="H49" s="62">
        <v>0.0</v>
      </c>
      <c r="I49" s="62">
        <v>0.0</v>
      </c>
      <c r="J49" s="62">
        <v>0.0</v>
      </c>
      <c r="K49" s="62">
        <v>0.0</v>
      </c>
      <c r="L49" s="62">
        <v>0.0</v>
      </c>
      <c r="M49" s="62">
        <v>0.0</v>
      </c>
      <c r="N49" s="62">
        <v>0.0</v>
      </c>
      <c r="O49" s="62">
        <v>0.0</v>
      </c>
      <c r="P49" s="62">
        <v>0.0</v>
      </c>
      <c r="Q49" s="62">
        <v>0.0</v>
      </c>
      <c r="R49" s="62">
        <v>0.0</v>
      </c>
      <c r="S49" s="62">
        <v>0.0</v>
      </c>
      <c r="T49" s="62">
        <v>0.0</v>
      </c>
      <c r="U49" s="62">
        <v>0.0</v>
      </c>
      <c r="V49" s="62">
        <v>0.0</v>
      </c>
      <c r="W49" s="62">
        <v>0.0</v>
      </c>
      <c r="X49" s="62">
        <v>0.0</v>
      </c>
      <c r="Y49" s="62">
        <v>0.0</v>
      </c>
      <c r="Z49" s="62">
        <v>0.0</v>
      </c>
      <c r="AA49" s="62">
        <v>0.0</v>
      </c>
      <c r="AB49" s="62">
        <v>0.0</v>
      </c>
      <c r="AC49" s="62">
        <v>0.0</v>
      </c>
      <c r="AD49" s="62">
        <v>0.0</v>
      </c>
      <c r="AE49" s="62">
        <v>0.0</v>
      </c>
      <c r="AF49" s="62">
        <v>0.0</v>
      </c>
      <c r="AG49" s="62">
        <v>0.0</v>
      </c>
      <c r="AH49" s="62">
        <v>0.0</v>
      </c>
      <c r="AI49" s="62">
        <v>0.0</v>
      </c>
      <c r="AJ49" s="62">
        <v>0.0</v>
      </c>
      <c r="AK49" s="62">
        <v>0.0</v>
      </c>
      <c r="AL49" s="62">
        <v>0.0</v>
      </c>
      <c r="AM49" s="62">
        <v>0.0</v>
      </c>
      <c r="AN49" s="62">
        <v>0.0</v>
      </c>
      <c r="AO49" s="62">
        <v>0.0</v>
      </c>
      <c r="AP49" s="62">
        <v>0.0</v>
      </c>
      <c r="AQ49" s="62">
        <v>0.0</v>
      </c>
      <c r="AR49" s="62">
        <v>0.0</v>
      </c>
      <c r="AS49" s="62">
        <v>0.0</v>
      </c>
      <c r="AT49" s="62">
        <v>1139.0</v>
      </c>
      <c r="AU49" s="62">
        <v>0.0</v>
      </c>
      <c r="AV49" s="62">
        <v>0.0</v>
      </c>
      <c r="AW49" s="62">
        <v>0.0</v>
      </c>
      <c r="AX49" s="62">
        <v>0.0</v>
      </c>
      <c r="AY49" s="62">
        <v>0.0</v>
      </c>
      <c r="AZ49" s="62">
        <v>0.0</v>
      </c>
      <c r="BA49" s="62">
        <v>0.0</v>
      </c>
      <c r="BB49" s="62">
        <v>0.0</v>
      </c>
      <c r="BC49" s="62">
        <v>0.0</v>
      </c>
      <c r="BD49" s="62">
        <v>0.0</v>
      </c>
      <c r="BE49" s="62">
        <v>0.0</v>
      </c>
      <c r="BF49" s="62">
        <v>0.0</v>
      </c>
      <c r="BG49" s="62">
        <v>0.0</v>
      </c>
      <c r="BH49" s="62">
        <v>0.0</v>
      </c>
      <c r="BI49" s="62">
        <v>0.0</v>
      </c>
      <c r="BJ49" s="62">
        <v>0.0</v>
      </c>
      <c r="BK49" s="62">
        <v>0.0</v>
      </c>
      <c r="BL49" s="62">
        <v>0.0</v>
      </c>
      <c r="BM49" s="62">
        <v>0.0</v>
      </c>
      <c r="BN49" s="62">
        <v>0.0</v>
      </c>
      <c r="BO49" s="62">
        <v>0.0</v>
      </c>
      <c r="BP49" s="62">
        <v>0.0</v>
      </c>
      <c r="BQ49" s="62">
        <v>0.0</v>
      </c>
      <c r="BR49" s="62">
        <v>0.0</v>
      </c>
      <c r="BS49" s="62">
        <v>0.0</v>
      </c>
      <c r="BT49" s="62">
        <v>0.0</v>
      </c>
      <c r="BU49" s="62">
        <v>0.0</v>
      </c>
      <c r="BV49" s="62">
        <v>0.0</v>
      </c>
      <c r="BW49" s="62">
        <v>0.0</v>
      </c>
      <c r="BX49" s="62">
        <v>0.0</v>
      </c>
      <c r="BY49" s="62">
        <v>0.0</v>
      </c>
      <c r="BZ49" s="62">
        <v>0.0</v>
      </c>
      <c r="CA49" s="62">
        <v>0.0</v>
      </c>
      <c r="CB49" s="62">
        <v>0.0</v>
      </c>
      <c r="CC49" s="62">
        <v>0.0</v>
      </c>
      <c r="CD49" s="62">
        <v>0.0</v>
      </c>
      <c r="CE49" s="62">
        <v>0.0</v>
      </c>
      <c r="CF49" s="62">
        <v>0.0</v>
      </c>
      <c r="CG49" s="62">
        <v>0.0</v>
      </c>
      <c r="CH49" s="62">
        <v>0.0</v>
      </c>
      <c r="CI49" s="62">
        <v>0.0</v>
      </c>
      <c r="CJ49" s="62">
        <v>0.0</v>
      </c>
      <c r="CK49" s="62">
        <v>0.0</v>
      </c>
      <c r="CL49" s="62">
        <v>0.0</v>
      </c>
      <c r="CM49" s="62">
        <v>0.0</v>
      </c>
      <c r="CN49" s="62">
        <v>0.0</v>
      </c>
      <c r="CO49" s="62">
        <v>0.0</v>
      </c>
      <c r="CP49" s="62">
        <v>0.0</v>
      </c>
      <c r="CQ49" s="62">
        <v>0.0</v>
      </c>
      <c r="CR49" s="62">
        <v>0.0</v>
      </c>
      <c r="CS49" s="62">
        <v>0.0</v>
      </c>
      <c r="CT49" s="62">
        <v>0.0</v>
      </c>
      <c r="CU49" s="62">
        <v>0.0</v>
      </c>
      <c r="CV49" s="62">
        <v>0.0</v>
      </c>
      <c r="CW49" s="62">
        <v>0.0</v>
      </c>
      <c r="CX49" s="62">
        <v>0.0</v>
      </c>
      <c r="CY49" s="62">
        <v>0.0</v>
      </c>
      <c r="CZ49" s="62">
        <v>0.0</v>
      </c>
      <c r="DA49" s="62">
        <v>0.0</v>
      </c>
      <c r="DB49" s="62">
        <v>0.0</v>
      </c>
      <c r="DC49" s="62">
        <v>0.0</v>
      </c>
      <c r="DD49" s="62">
        <v>0.0</v>
      </c>
      <c r="DE49" s="62">
        <v>0.0</v>
      </c>
      <c r="DF49" s="62">
        <v>0.0</v>
      </c>
      <c r="DG49" s="62">
        <v>0.0</v>
      </c>
      <c r="DH49" s="62">
        <v>0.0</v>
      </c>
      <c r="DI49" s="62">
        <v>0.0</v>
      </c>
      <c r="DJ49" s="62">
        <v>0.0</v>
      </c>
      <c r="DK49" s="62">
        <v>0.0</v>
      </c>
      <c r="DL49" s="62">
        <v>3823749.0</v>
      </c>
      <c r="DM49" s="62">
        <v>2534696.0</v>
      </c>
      <c r="DN49" s="62">
        <v>95389.0</v>
      </c>
      <c r="DO49" s="62">
        <v>0.0</v>
      </c>
      <c r="DP49" s="62">
        <v>0.0</v>
      </c>
      <c r="DQ49" s="62">
        <v>0.0</v>
      </c>
      <c r="DR49" s="62">
        <v>0.0</v>
      </c>
      <c r="DS49" s="62">
        <v>0.0</v>
      </c>
      <c r="DT49" s="62">
        <v>0.0</v>
      </c>
      <c r="DU49" s="62">
        <v>0.0</v>
      </c>
      <c r="DV49" s="62">
        <v>0.0</v>
      </c>
      <c r="DW49" s="62">
        <v>0.0</v>
      </c>
      <c r="DX49" s="62">
        <v>0.0</v>
      </c>
      <c r="DY49" s="62">
        <v>0.0</v>
      </c>
      <c r="DZ49" s="62">
        <v>0.0</v>
      </c>
      <c r="EA49" s="62">
        <v>0.0</v>
      </c>
      <c r="EB49" s="62">
        <v>0.0</v>
      </c>
      <c r="EC49" s="62">
        <v>0.0</v>
      </c>
      <c r="ED49" s="62">
        <v>0.0</v>
      </c>
      <c r="EE49" s="62">
        <v>0.0</v>
      </c>
      <c r="EF49" s="62">
        <v>0.0</v>
      </c>
      <c r="EG49" s="62">
        <v>0.0</v>
      </c>
      <c r="EH49" s="62">
        <v>0.0</v>
      </c>
      <c r="EI49" s="62">
        <v>0.0</v>
      </c>
      <c r="EJ49" s="62">
        <v>0.0</v>
      </c>
      <c r="EK49" s="62">
        <v>0.0</v>
      </c>
      <c r="EL49" s="62">
        <v>0.0</v>
      </c>
      <c r="EM49" s="62">
        <v>0.0</v>
      </c>
      <c r="EN49" s="62">
        <v>0.0</v>
      </c>
      <c r="EO49" s="62">
        <v>0.0</v>
      </c>
      <c r="EP49" s="62">
        <v>0.0</v>
      </c>
      <c r="EQ49" s="62">
        <v>0.0</v>
      </c>
      <c r="ER49" s="62">
        <v>0.0</v>
      </c>
      <c r="ES49" s="62">
        <v>0.0</v>
      </c>
      <c r="ET49" s="62">
        <v>0.0</v>
      </c>
      <c r="EU49" s="62">
        <v>0.0</v>
      </c>
      <c r="EV49" s="62">
        <v>0.0</v>
      </c>
      <c r="EW49" s="62">
        <v>0.0</v>
      </c>
      <c r="EX49" s="62">
        <v>0.0</v>
      </c>
      <c r="EY49" s="62">
        <v>0.0</v>
      </c>
      <c r="EZ49" s="62">
        <v>0.0</v>
      </c>
      <c r="FA49" s="62">
        <v>0.0</v>
      </c>
      <c r="FB49" s="62">
        <v>0.0</v>
      </c>
      <c r="FC49" s="62">
        <v>0.0</v>
      </c>
      <c r="FD49" s="62">
        <v>0.0</v>
      </c>
      <c r="FE49" s="62">
        <v>0.0</v>
      </c>
      <c r="FF49" s="62">
        <v>0.0</v>
      </c>
      <c r="FG49" s="62">
        <v>0.0</v>
      </c>
      <c r="FH49" s="62">
        <v>0.0</v>
      </c>
      <c r="FI49" s="62">
        <v>0.0</v>
      </c>
      <c r="FJ49" s="62">
        <v>0.0</v>
      </c>
      <c r="FK49" s="62">
        <v>0.0</v>
      </c>
      <c r="FL49" s="62">
        <v>0.0</v>
      </c>
      <c r="FM49" s="62">
        <v>0.0</v>
      </c>
      <c r="FN49" s="62">
        <v>0.0</v>
      </c>
      <c r="FO49" s="62">
        <v>0.0</v>
      </c>
      <c r="FP49" s="62">
        <v>0.0</v>
      </c>
      <c r="FQ49" s="62">
        <v>0.0</v>
      </c>
      <c r="FR49" s="62">
        <v>0.0</v>
      </c>
      <c r="FS49" s="62">
        <v>0.0</v>
      </c>
      <c r="FT49" s="62">
        <v>0.0</v>
      </c>
      <c r="FU49" s="62">
        <v>0.0</v>
      </c>
      <c r="FV49" s="62">
        <v>0.0</v>
      </c>
      <c r="FW49" s="62">
        <v>0.0</v>
      </c>
      <c r="FX49" s="62">
        <v>0.0</v>
      </c>
      <c r="FY49" s="62">
        <v>0.0</v>
      </c>
      <c r="FZ49" s="62">
        <v>0.0</v>
      </c>
      <c r="GA49" s="62">
        <v>0.0</v>
      </c>
      <c r="GB49" s="62">
        <v>0.0</v>
      </c>
      <c r="GC49" s="62">
        <v>0.0</v>
      </c>
      <c r="GD49" s="62">
        <v>0.0</v>
      </c>
      <c r="GE49" s="62">
        <v>0.0</v>
      </c>
      <c r="GF49" s="63">
        <v>6454973.0</v>
      </c>
      <c r="GG49" s="64">
        <v>0.0</v>
      </c>
      <c r="GH49" s="65">
        <v>0.0</v>
      </c>
      <c r="GI49" s="64">
        <v>0.0</v>
      </c>
      <c r="GJ49" s="64">
        <v>0.0</v>
      </c>
      <c r="GK49" s="64">
        <v>-21.0</v>
      </c>
      <c r="GL49" s="64">
        <v>2.0</v>
      </c>
      <c r="GM49" s="64">
        <v>0.0</v>
      </c>
      <c r="GN49" s="63">
        <v>-19.0</v>
      </c>
      <c r="GO49" s="66">
        <v>6454954.0</v>
      </c>
      <c r="GP49" s="64">
        <v>348.0</v>
      </c>
      <c r="GQ49" s="64">
        <v>0.0</v>
      </c>
      <c r="GR49" s="65">
        <v>0.0</v>
      </c>
      <c r="GS49" s="63">
        <v>348.0</v>
      </c>
      <c r="GT49" s="67">
        <v>0.0</v>
      </c>
      <c r="GU49" s="67">
        <v>0.0</v>
      </c>
      <c r="GV49" s="67">
        <v>0.0</v>
      </c>
      <c r="GW49" s="63">
        <v>0.0</v>
      </c>
      <c r="GX49" s="63">
        <v>0.0</v>
      </c>
      <c r="GY49" s="63">
        <v>6454606.0</v>
      </c>
      <c r="GZ49" s="66">
        <v>6454954.0</v>
      </c>
      <c r="HF49" s="116"/>
      <c r="HH49" s="106"/>
    </row>
    <row r="50" ht="15.75" customHeight="1">
      <c r="A50" s="68">
        <v>45.0</v>
      </c>
      <c r="B50" s="111" t="s">
        <v>587</v>
      </c>
      <c r="C50" s="70">
        <v>0.0</v>
      </c>
      <c r="D50" s="70">
        <v>0.0</v>
      </c>
      <c r="E50" s="70">
        <v>0.0</v>
      </c>
      <c r="F50" s="70">
        <v>0.0</v>
      </c>
      <c r="G50" s="70">
        <v>0.0</v>
      </c>
      <c r="H50" s="70">
        <v>0.0</v>
      </c>
      <c r="I50" s="70">
        <v>0.0</v>
      </c>
      <c r="J50" s="70">
        <v>0.0</v>
      </c>
      <c r="K50" s="70">
        <v>0.0</v>
      </c>
      <c r="L50" s="70">
        <v>0.0</v>
      </c>
      <c r="M50" s="70">
        <v>0.0</v>
      </c>
      <c r="N50" s="70">
        <v>0.0</v>
      </c>
      <c r="O50" s="70">
        <v>0.0</v>
      </c>
      <c r="P50" s="70">
        <v>0.0</v>
      </c>
      <c r="Q50" s="70">
        <v>0.0</v>
      </c>
      <c r="R50" s="70">
        <v>0.0</v>
      </c>
      <c r="S50" s="70">
        <v>0.0</v>
      </c>
      <c r="T50" s="70">
        <v>0.0</v>
      </c>
      <c r="U50" s="70">
        <v>0.0</v>
      </c>
      <c r="V50" s="70">
        <v>0.0</v>
      </c>
      <c r="W50" s="70">
        <v>0.0</v>
      </c>
      <c r="X50" s="70">
        <v>0.0</v>
      </c>
      <c r="Y50" s="70">
        <v>0.0</v>
      </c>
      <c r="Z50" s="70">
        <v>0.0</v>
      </c>
      <c r="AA50" s="70">
        <v>0.0</v>
      </c>
      <c r="AB50" s="70">
        <v>0.0</v>
      </c>
      <c r="AC50" s="70">
        <v>0.0</v>
      </c>
      <c r="AD50" s="70">
        <v>0.0</v>
      </c>
      <c r="AE50" s="70">
        <v>0.0</v>
      </c>
      <c r="AF50" s="70">
        <v>0.0</v>
      </c>
      <c r="AG50" s="70">
        <v>0.0</v>
      </c>
      <c r="AH50" s="70">
        <v>0.0</v>
      </c>
      <c r="AI50" s="70">
        <v>0.0</v>
      </c>
      <c r="AJ50" s="70">
        <v>0.0</v>
      </c>
      <c r="AK50" s="70">
        <v>0.0</v>
      </c>
      <c r="AL50" s="70">
        <v>0.0</v>
      </c>
      <c r="AM50" s="70">
        <v>0.0</v>
      </c>
      <c r="AN50" s="70">
        <v>0.0</v>
      </c>
      <c r="AO50" s="70">
        <v>0.0</v>
      </c>
      <c r="AP50" s="70">
        <v>0.0</v>
      </c>
      <c r="AQ50" s="70">
        <v>0.0</v>
      </c>
      <c r="AR50" s="70">
        <v>0.0</v>
      </c>
      <c r="AS50" s="70">
        <v>0.0</v>
      </c>
      <c r="AT50" s="70">
        <v>0.0</v>
      </c>
      <c r="AU50" s="70">
        <v>8890.0</v>
      </c>
      <c r="AV50" s="70">
        <v>0.0</v>
      </c>
      <c r="AW50" s="70">
        <v>0.0</v>
      </c>
      <c r="AX50" s="70">
        <v>0.0</v>
      </c>
      <c r="AY50" s="70">
        <v>0.0</v>
      </c>
      <c r="AZ50" s="70">
        <v>0.0</v>
      </c>
      <c r="BA50" s="70">
        <v>0.0</v>
      </c>
      <c r="BB50" s="70">
        <v>0.0</v>
      </c>
      <c r="BC50" s="70">
        <v>0.0</v>
      </c>
      <c r="BD50" s="70">
        <v>0.0</v>
      </c>
      <c r="BE50" s="70">
        <v>0.0</v>
      </c>
      <c r="BF50" s="70">
        <v>0.0</v>
      </c>
      <c r="BG50" s="70">
        <v>0.0</v>
      </c>
      <c r="BH50" s="70">
        <v>0.0</v>
      </c>
      <c r="BI50" s="70">
        <v>0.0</v>
      </c>
      <c r="BJ50" s="70">
        <v>0.0</v>
      </c>
      <c r="BK50" s="70">
        <v>0.0</v>
      </c>
      <c r="BL50" s="70">
        <v>0.0</v>
      </c>
      <c r="BM50" s="70">
        <v>0.0</v>
      </c>
      <c r="BN50" s="70">
        <v>0.0</v>
      </c>
      <c r="BO50" s="70">
        <v>0.0</v>
      </c>
      <c r="BP50" s="70">
        <v>0.0</v>
      </c>
      <c r="BQ50" s="70">
        <v>0.0</v>
      </c>
      <c r="BR50" s="70">
        <v>0.0</v>
      </c>
      <c r="BS50" s="70">
        <v>0.0</v>
      </c>
      <c r="BT50" s="70">
        <v>0.0</v>
      </c>
      <c r="BU50" s="70">
        <v>0.0</v>
      </c>
      <c r="BV50" s="70">
        <v>0.0</v>
      </c>
      <c r="BW50" s="70">
        <v>0.0</v>
      </c>
      <c r="BX50" s="70">
        <v>0.0</v>
      </c>
      <c r="BY50" s="70">
        <v>0.0</v>
      </c>
      <c r="BZ50" s="70">
        <v>0.0</v>
      </c>
      <c r="CA50" s="70">
        <v>0.0</v>
      </c>
      <c r="CB50" s="70">
        <v>0.0</v>
      </c>
      <c r="CC50" s="70">
        <v>0.0</v>
      </c>
      <c r="CD50" s="70">
        <v>0.0</v>
      </c>
      <c r="CE50" s="70">
        <v>0.0</v>
      </c>
      <c r="CF50" s="70">
        <v>0.0</v>
      </c>
      <c r="CG50" s="70">
        <v>0.0</v>
      </c>
      <c r="CH50" s="70">
        <v>0.0</v>
      </c>
      <c r="CI50" s="70">
        <v>0.0</v>
      </c>
      <c r="CJ50" s="70">
        <v>0.0</v>
      </c>
      <c r="CK50" s="70">
        <v>0.0</v>
      </c>
      <c r="CL50" s="70">
        <v>0.0</v>
      </c>
      <c r="CM50" s="70">
        <v>0.0</v>
      </c>
      <c r="CN50" s="70">
        <v>0.0</v>
      </c>
      <c r="CO50" s="70">
        <v>0.0</v>
      </c>
      <c r="CP50" s="70">
        <v>0.0</v>
      </c>
      <c r="CQ50" s="70">
        <v>0.0</v>
      </c>
      <c r="CR50" s="70">
        <v>0.0</v>
      </c>
      <c r="CS50" s="70">
        <v>367.0</v>
      </c>
      <c r="CT50" s="70">
        <v>0.0</v>
      </c>
      <c r="CU50" s="70">
        <v>0.0</v>
      </c>
      <c r="CV50" s="70">
        <v>0.0</v>
      </c>
      <c r="CW50" s="70">
        <v>0.0</v>
      </c>
      <c r="CX50" s="70">
        <v>0.0</v>
      </c>
      <c r="CY50" s="70">
        <v>0.0</v>
      </c>
      <c r="CZ50" s="70">
        <v>0.0</v>
      </c>
      <c r="DA50" s="70">
        <v>0.0</v>
      </c>
      <c r="DB50" s="70">
        <v>0.0</v>
      </c>
      <c r="DC50" s="70">
        <v>0.0</v>
      </c>
      <c r="DD50" s="70">
        <v>0.0</v>
      </c>
      <c r="DE50" s="70">
        <v>0.0</v>
      </c>
      <c r="DF50" s="70">
        <v>0.0</v>
      </c>
      <c r="DG50" s="70">
        <v>0.0</v>
      </c>
      <c r="DH50" s="70">
        <v>0.0</v>
      </c>
      <c r="DI50" s="70">
        <v>0.0</v>
      </c>
      <c r="DJ50" s="70">
        <v>0.0</v>
      </c>
      <c r="DK50" s="70">
        <v>0.0</v>
      </c>
      <c r="DL50" s="70">
        <v>2698836.0</v>
      </c>
      <c r="DM50" s="70">
        <v>3098154.0</v>
      </c>
      <c r="DN50" s="70">
        <v>277559.0</v>
      </c>
      <c r="DO50" s="70">
        <v>0.0</v>
      </c>
      <c r="DP50" s="70">
        <v>0.0</v>
      </c>
      <c r="DQ50" s="70">
        <v>0.0</v>
      </c>
      <c r="DR50" s="70">
        <v>0.0</v>
      </c>
      <c r="DS50" s="70">
        <v>0.0</v>
      </c>
      <c r="DT50" s="70">
        <v>0.0</v>
      </c>
      <c r="DU50" s="70">
        <v>0.0</v>
      </c>
      <c r="DV50" s="70">
        <v>0.0</v>
      </c>
      <c r="DW50" s="70">
        <v>0.0</v>
      </c>
      <c r="DX50" s="70">
        <v>0.0</v>
      </c>
      <c r="DY50" s="70">
        <v>0.0</v>
      </c>
      <c r="DZ50" s="70">
        <v>0.0</v>
      </c>
      <c r="EA50" s="70">
        <v>0.0</v>
      </c>
      <c r="EB50" s="70">
        <v>0.0</v>
      </c>
      <c r="EC50" s="70">
        <v>0.0</v>
      </c>
      <c r="ED50" s="70">
        <v>0.0</v>
      </c>
      <c r="EE50" s="70">
        <v>0.0</v>
      </c>
      <c r="EF50" s="70">
        <v>0.0</v>
      </c>
      <c r="EG50" s="70">
        <v>0.0</v>
      </c>
      <c r="EH50" s="70">
        <v>0.0</v>
      </c>
      <c r="EI50" s="70">
        <v>0.0</v>
      </c>
      <c r="EJ50" s="70">
        <v>0.0</v>
      </c>
      <c r="EK50" s="70">
        <v>0.0</v>
      </c>
      <c r="EL50" s="70">
        <v>0.0</v>
      </c>
      <c r="EM50" s="70">
        <v>0.0</v>
      </c>
      <c r="EN50" s="70">
        <v>0.0</v>
      </c>
      <c r="EO50" s="70">
        <v>0.0</v>
      </c>
      <c r="EP50" s="70">
        <v>0.0</v>
      </c>
      <c r="EQ50" s="70">
        <v>0.0</v>
      </c>
      <c r="ER50" s="70">
        <v>0.0</v>
      </c>
      <c r="ES50" s="70">
        <v>0.0</v>
      </c>
      <c r="ET50" s="70">
        <v>0.0</v>
      </c>
      <c r="EU50" s="70">
        <v>0.0</v>
      </c>
      <c r="EV50" s="70">
        <v>0.0</v>
      </c>
      <c r="EW50" s="70">
        <v>0.0</v>
      </c>
      <c r="EX50" s="70">
        <v>0.0</v>
      </c>
      <c r="EY50" s="70">
        <v>0.0</v>
      </c>
      <c r="EZ50" s="70">
        <v>0.0</v>
      </c>
      <c r="FA50" s="70">
        <v>0.0</v>
      </c>
      <c r="FB50" s="70">
        <v>0.0</v>
      </c>
      <c r="FC50" s="70">
        <v>0.0</v>
      </c>
      <c r="FD50" s="70">
        <v>0.0</v>
      </c>
      <c r="FE50" s="70">
        <v>0.0</v>
      </c>
      <c r="FF50" s="70">
        <v>0.0</v>
      </c>
      <c r="FG50" s="70">
        <v>0.0</v>
      </c>
      <c r="FH50" s="70">
        <v>0.0</v>
      </c>
      <c r="FI50" s="70">
        <v>0.0</v>
      </c>
      <c r="FJ50" s="70">
        <v>0.0</v>
      </c>
      <c r="FK50" s="70">
        <v>0.0</v>
      </c>
      <c r="FL50" s="70">
        <v>0.0</v>
      </c>
      <c r="FM50" s="70">
        <v>0.0</v>
      </c>
      <c r="FN50" s="70">
        <v>0.0</v>
      </c>
      <c r="FO50" s="70">
        <v>0.0</v>
      </c>
      <c r="FP50" s="70">
        <v>0.0</v>
      </c>
      <c r="FQ50" s="70">
        <v>0.0</v>
      </c>
      <c r="FR50" s="70">
        <v>0.0</v>
      </c>
      <c r="FS50" s="70">
        <v>0.0</v>
      </c>
      <c r="FT50" s="70">
        <v>0.0</v>
      </c>
      <c r="FU50" s="70">
        <v>0.0</v>
      </c>
      <c r="FV50" s="70">
        <v>0.0</v>
      </c>
      <c r="FW50" s="70">
        <v>0.0</v>
      </c>
      <c r="FX50" s="70">
        <v>0.0</v>
      </c>
      <c r="FY50" s="70">
        <v>0.0</v>
      </c>
      <c r="FZ50" s="70">
        <v>0.0</v>
      </c>
      <c r="GA50" s="70">
        <v>0.0</v>
      </c>
      <c r="GB50" s="70">
        <v>0.0</v>
      </c>
      <c r="GC50" s="70">
        <v>0.0</v>
      </c>
      <c r="GD50" s="70">
        <v>0.0</v>
      </c>
      <c r="GE50" s="70">
        <v>0.0</v>
      </c>
      <c r="GF50" s="71">
        <v>6083806.0</v>
      </c>
      <c r="GG50" s="72">
        <v>0.0</v>
      </c>
      <c r="GH50" s="73">
        <v>0.0</v>
      </c>
      <c r="GI50" s="72">
        <v>0.0</v>
      </c>
      <c r="GJ50" s="72">
        <v>0.0</v>
      </c>
      <c r="GK50" s="72">
        <v>103496.0</v>
      </c>
      <c r="GL50" s="72">
        <v>1852525.0</v>
      </c>
      <c r="GM50" s="72">
        <v>0.0</v>
      </c>
      <c r="GN50" s="71">
        <v>1956021.0</v>
      </c>
      <c r="GO50" s="74">
        <v>8039827.0</v>
      </c>
      <c r="GP50" s="72">
        <v>1435723.0</v>
      </c>
      <c r="GQ50" s="72">
        <v>0.0</v>
      </c>
      <c r="GR50" s="73">
        <v>0.0</v>
      </c>
      <c r="GS50" s="71">
        <v>1435723.0</v>
      </c>
      <c r="GT50" s="75">
        <v>0.0</v>
      </c>
      <c r="GU50" s="75">
        <v>0.0</v>
      </c>
      <c r="GV50" s="75">
        <v>0.0</v>
      </c>
      <c r="GW50" s="71">
        <v>0.0</v>
      </c>
      <c r="GX50" s="71">
        <v>42372.0</v>
      </c>
      <c r="GY50" s="71">
        <v>6561732.0</v>
      </c>
      <c r="GZ50" s="74">
        <v>8039827.0</v>
      </c>
      <c r="HH50" s="106"/>
    </row>
    <row r="51" ht="15.75" customHeight="1">
      <c r="A51" s="52">
        <v>46.0</v>
      </c>
      <c r="B51" s="111" t="s">
        <v>316</v>
      </c>
      <c r="C51" s="54">
        <v>0.0</v>
      </c>
      <c r="D51" s="54">
        <v>0.0</v>
      </c>
      <c r="E51" s="54">
        <v>0.0</v>
      </c>
      <c r="F51" s="54">
        <v>0.0</v>
      </c>
      <c r="G51" s="54">
        <v>0.0</v>
      </c>
      <c r="H51" s="54">
        <v>0.0</v>
      </c>
      <c r="I51" s="54">
        <v>0.0</v>
      </c>
      <c r="J51" s="54">
        <v>0.0</v>
      </c>
      <c r="K51" s="54">
        <v>0.0</v>
      </c>
      <c r="L51" s="54">
        <v>0.0</v>
      </c>
      <c r="M51" s="54">
        <v>0.0</v>
      </c>
      <c r="N51" s="54">
        <v>0.0</v>
      </c>
      <c r="O51" s="54">
        <v>0.0</v>
      </c>
      <c r="P51" s="54">
        <v>0.0</v>
      </c>
      <c r="Q51" s="54">
        <v>0.0</v>
      </c>
      <c r="R51" s="54">
        <v>0.0</v>
      </c>
      <c r="S51" s="54">
        <v>0.0</v>
      </c>
      <c r="T51" s="54">
        <v>0.0</v>
      </c>
      <c r="U51" s="54">
        <v>0.0</v>
      </c>
      <c r="V51" s="54">
        <v>0.0</v>
      </c>
      <c r="W51" s="54">
        <v>0.0</v>
      </c>
      <c r="X51" s="54">
        <v>0.0</v>
      </c>
      <c r="Y51" s="54">
        <v>0.0</v>
      </c>
      <c r="Z51" s="54">
        <v>0.0</v>
      </c>
      <c r="AA51" s="54">
        <v>0.0</v>
      </c>
      <c r="AB51" s="54">
        <v>0.0</v>
      </c>
      <c r="AC51" s="54">
        <v>0.0</v>
      </c>
      <c r="AD51" s="54">
        <v>0.0</v>
      </c>
      <c r="AE51" s="54">
        <v>0.0</v>
      </c>
      <c r="AF51" s="54">
        <v>0.0</v>
      </c>
      <c r="AG51" s="54">
        <v>0.0</v>
      </c>
      <c r="AH51" s="54">
        <v>0.0</v>
      </c>
      <c r="AI51" s="54">
        <v>0.0</v>
      </c>
      <c r="AJ51" s="54">
        <v>0.0</v>
      </c>
      <c r="AK51" s="54">
        <v>0.0</v>
      </c>
      <c r="AL51" s="54">
        <v>0.0</v>
      </c>
      <c r="AM51" s="54">
        <v>0.0</v>
      </c>
      <c r="AN51" s="54">
        <v>0.0</v>
      </c>
      <c r="AO51" s="54">
        <v>0.0</v>
      </c>
      <c r="AP51" s="54">
        <v>0.0</v>
      </c>
      <c r="AQ51" s="54">
        <v>0.0</v>
      </c>
      <c r="AR51" s="54">
        <v>0.0</v>
      </c>
      <c r="AS51" s="54">
        <v>0.0</v>
      </c>
      <c r="AT51" s="54">
        <v>0.0</v>
      </c>
      <c r="AU51" s="54">
        <v>0.0</v>
      </c>
      <c r="AV51" s="54">
        <v>802100.0</v>
      </c>
      <c r="AW51" s="54">
        <v>0.0</v>
      </c>
      <c r="AX51" s="54">
        <v>0.0</v>
      </c>
      <c r="AY51" s="54">
        <v>0.0</v>
      </c>
      <c r="AZ51" s="54">
        <v>0.0</v>
      </c>
      <c r="BA51" s="54">
        <v>0.0</v>
      </c>
      <c r="BB51" s="54">
        <v>0.0</v>
      </c>
      <c r="BC51" s="54">
        <v>0.0</v>
      </c>
      <c r="BD51" s="54">
        <v>0.0</v>
      </c>
      <c r="BE51" s="54">
        <v>0.0</v>
      </c>
      <c r="BF51" s="54">
        <v>0.0</v>
      </c>
      <c r="BG51" s="54">
        <v>0.0</v>
      </c>
      <c r="BH51" s="54">
        <v>0.0</v>
      </c>
      <c r="BI51" s="54">
        <v>0.0</v>
      </c>
      <c r="BJ51" s="54">
        <v>0.0</v>
      </c>
      <c r="BK51" s="54">
        <v>0.0</v>
      </c>
      <c r="BL51" s="54">
        <v>0.0</v>
      </c>
      <c r="BM51" s="54">
        <v>0.0</v>
      </c>
      <c r="BN51" s="54">
        <v>0.0</v>
      </c>
      <c r="BO51" s="54">
        <v>0.0</v>
      </c>
      <c r="BP51" s="54">
        <v>0.0</v>
      </c>
      <c r="BQ51" s="54">
        <v>0.0</v>
      </c>
      <c r="BR51" s="54">
        <v>0.0</v>
      </c>
      <c r="BS51" s="54">
        <v>0.0</v>
      </c>
      <c r="BT51" s="54">
        <v>0.0</v>
      </c>
      <c r="BU51" s="54">
        <v>0.0</v>
      </c>
      <c r="BV51" s="54">
        <v>0.0</v>
      </c>
      <c r="BW51" s="54">
        <v>0.0</v>
      </c>
      <c r="BX51" s="54">
        <v>0.0</v>
      </c>
      <c r="BY51" s="54">
        <v>0.0</v>
      </c>
      <c r="BZ51" s="54">
        <v>0.0</v>
      </c>
      <c r="CA51" s="54">
        <v>0.0</v>
      </c>
      <c r="CB51" s="54">
        <v>0.0</v>
      </c>
      <c r="CC51" s="54">
        <v>0.0</v>
      </c>
      <c r="CD51" s="54">
        <v>0.0</v>
      </c>
      <c r="CE51" s="54">
        <v>0.0</v>
      </c>
      <c r="CF51" s="54">
        <v>0.0</v>
      </c>
      <c r="CG51" s="54">
        <v>0.0</v>
      </c>
      <c r="CH51" s="54">
        <v>0.0</v>
      </c>
      <c r="CI51" s="54">
        <v>0.0</v>
      </c>
      <c r="CJ51" s="54">
        <v>0.0</v>
      </c>
      <c r="CK51" s="54">
        <v>0.0</v>
      </c>
      <c r="CL51" s="54">
        <v>0.0</v>
      </c>
      <c r="CM51" s="54">
        <v>0.0</v>
      </c>
      <c r="CN51" s="54">
        <v>0.0</v>
      </c>
      <c r="CO51" s="54">
        <v>0.0</v>
      </c>
      <c r="CP51" s="54">
        <v>0.0</v>
      </c>
      <c r="CQ51" s="54">
        <v>0.0</v>
      </c>
      <c r="CR51" s="54">
        <v>0.0</v>
      </c>
      <c r="CS51" s="54">
        <v>0.0</v>
      </c>
      <c r="CT51" s="54">
        <v>0.0</v>
      </c>
      <c r="CU51" s="54">
        <v>0.0</v>
      </c>
      <c r="CV51" s="54">
        <v>0.0</v>
      </c>
      <c r="CW51" s="54">
        <v>0.0</v>
      </c>
      <c r="CX51" s="54">
        <v>0.0</v>
      </c>
      <c r="CY51" s="54">
        <v>0.0</v>
      </c>
      <c r="CZ51" s="54">
        <v>0.0</v>
      </c>
      <c r="DA51" s="54">
        <v>0.0</v>
      </c>
      <c r="DB51" s="54">
        <v>0.0</v>
      </c>
      <c r="DC51" s="54">
        <v>0.0</v>
      </c>
      <c r="DD51" s="54">
        <v>0.0</v>
      </c>
      <c r="DE51" s="54">
        <v>0.0</v>
      </c>
      <c r="DF51" s="54">
        <v>0.0</v>
      </c>
      <c r="DG51" s="54">
        <v>0.0</v>
      </c>
      <c r="DH51" s="54">
        <v>0.0</v>
      </c>
      <c r="DI51" s="54">
        <v>0.0</v>
      </c>
      <c r="DJ51" s="54">
        <v>0.0</v>
      </c>
      <c r="DK51" s="54">
        <v>0.0</v>
      </c>
      <c r="DL51" s="54">
        <v>7055741.0</v>
      </c>
      <c r="DM51" s="54">
        <v>7.5145589E7</v>
      </c>
      <c r="DN51" s="54">
        <v>268442.0</v>
      </c>
      <c r="DO51" s="54">
        <v>0.0</v>
      </c>
      <c r="DP51" s="54">
        <v>0.0</v>
      </c>
      <c r="DQ51" s="54">
        <v>0.0</v>
      </c>
      <c r="DR51" s="54">
        <v>0.0</v>
      </c>
      <c r="DS51" s="54">
        <v>0.0</v>
      </c>
      <c r="DT51" s="54">
        <v>0.0</v>
      </c>
      <c r="DU51" s="54">
        <v>0.0</v>
      </c>
      <c r="DV51" s="54">
        <v>0.0</v>
      </c>
      <c r="DW51" s="54">
        <v>0.0</v>
      </c>
      <c r="DX51" s="54">
        <v>0.0</v>
      </c>
      <c r="DY51" s="54">
        <v>0.0</v>
      </c>
      <c r="DZ51" s="54">
        <v>0.0</v>
      </c>
      <c r="EA51" s="54">
        <v>0.0</v>
      </c>
      <c r="EB51" s="54">
        <v>0.0</v>
      </c>
      <c r="EC51" s="54">
        <v>0.0</v>
      </c>
      <c r="ED51" s="54">
        <v>0.0</v>
      </c>
      <c r="EE51" s="54">
        <v>0.0</v>
      </c>
      <c r="EF51" s="54">
        <v>0.0</v>
      </c>
      <c r="EG51" s="54">
        <v>0.0</v>
      </c>
      <c r="EH51" s="54">
        <v>0.0</v>
      </c>
      <c r="EI51" s="54">
        <v>0.0</v>
      </c>
      <c r="EJ51" s="54">
        <v>2862284.0</v>
      </c>
      <c r="EK51" s="54">
        <v>0.0</v>
      </c>
      <c r="EL51" s="54">
        <v>0.0</v>
      </c>
      <c r="EM51" s="54">
        <v>0.0</v>
      </c>
      <c r="EN51" s="54">
        <v>0.0</v>
      </c>
      <c r="EO51" s="54">
        <v>0.0</v>
      </c>
      <c r="EP51" s="54">
        <v>0.0</v>
      </c>
      <c r="EQ51" s="54">
        <v>0.0</v>
      </c>
      <c r="ER51" s="54">
        <v>0.0</v>
      </c>
      <c r="ES51" s="54">
        <v>0.0</v>
      </c>
      <c r="ET51" s="54">
        <v>0.0</v>
      </c>
      <c r="EU51" s="54">
        <v>0.0</v>
      </c>
      <c r="EV51" s="54">
        <v>0.0</v>
      </c>
      <c r="EW51" s="54">
        <v>0.0</v>
      </c>
      <c r="EX51" s="54">
        <v>0.0</v>
      </c>
      <c r="EY51" s="54">
        <v>0.0</v>
      </c>
      <c r="EZ51" s="54">
        <v>0.0</v>
      </c>
      <c r="FA51" s="54">
        <v>0.0</v>
      </c>
      <c r="FB51" s="54">
        <v>0.0</v>
      </c>
      <c r="FC51" s="54">
        <v>0.0</v>
      </c>
      <c r="FD51" s="54">
        <v>0.0</v>
      </c>
      <c r="FE51" s="54">
        <v>0.0</v>
      </c>
      <c r="FF51" s="54">
        <v>0.0</v>
      </c>
      <c r="FG51" s="54">
        <v>0.0</v>
      </c>
      <c r="FH51" s="54">
        <v>0.0</v>
      </c>
      <c r="FI51" s="54">
        <v>0.0</v>
      </c>
      <c r="FJ51" s="54">
        <v>0.0</v>
      </c>
      <c r="FK51" s="54">
        <v>0.0</v>
      </c>
      <c r="FL51" s="54">
        <v>0.0</v>
      </c>
      <c r="FM51" s="54">
        <v>0.0</v>
      </c>
      <c r="FN51" s="54">
        <v>0.0</v>
      </c>
      <c r="FO51" s="54">
        <v>0.0</v>
      </c>
      <c r="FP51" s="54">
        <v>0.0</v>
      </c>
      <c r="FQ51" s="54">
        <v>0.0</v>
      </c>
      <c r="FR51" s="54">
        <v>0.0</v>
      </c>
      <c r="FS51" s="54">
        <v>0.0</v>
      </c>
      <c r="FT51" s="54">
        <v>0.0</v>
      </c>
      <c r="FU51" s="54">
        <v>0.0</v>
      </c>
      <c r="FV51" s="54">
        <v>0.0</v>
      </c>
      <c r="FW51" s="54">
        <v>0.0</v>
      </c>
      <c r="FX51" s="54">
        <v>0.0</v>
      </c>
      <c r="FY51" s="54">
        <v>0.0</v>
      </c>
      <c r="FZ51" s="54">
        <v>0.0</v>
      </c>
      <c r="GA51" s="54">
        <v>0.0</v>
      </c>
      <c r="GB51" s="54">
        <v>0.0</v>
      </c>
      <c r="GC51" s="54">
        <v>0.0</v>
      </c>
      <c r="GD51" s="54">
        <v>0.0</v>
      </c>
      <c r="GE51" s="54">
        <v>0.0</v>
      </c>
      <c r="GF51" s="55">
        <v>8.6134156E7</v>
      </c>
      <c r="GG51" s="56">
        <v>0.0</v>
      </c>
      <c r="GH51" s="57">
        <v>0.0</v>
      </c>
      <c r="GI51" s="56">
        <v>0.0</v>
      </c>
      <c r="GJ51" s="56">
        <v>0.0</v>
      </c>
      <c r="GK51" s="56">
        <v>10.0</v>
      </c>
      <c r="GL51" s="56">
        <v>73.0</v>
      </c>
      <c r="GM51" s="56">
        <v>0.0</v>
      </c>
      <c r="GN51" s="55">
        <v>83.0</v>
      </c>
      <c r="GO51" s="58">
        <v>8.6134239E7</v>
      </c>
      <c r="GP51" s="56">
        <v>53.0</v>
      </c>
      <c r="GQ51" s="56">
        <v>0.0</v>
      </c>
      <c r="GR51" s="57">
        <v>0.0</v>
      </c>
      <c r="GS51" s="55">
        <v>53.0</v>
      </c>
      <c r="GT51" s="59">
        <v>87618.0</v>
      </c>
      <c r="GU51" s="59">
        <v>0.0</v>
      </c>
      <c r="GV51" s="59">
        <v>26751.0</v>
      </c>
      <c r="GW51" s="55">
        <v>114369.0</v>
      </c>
      <c r="GX51" s="55">
        <v>2.0</v>
      </c>
      <c r="GY51" s="55">
        <v>8.6019815E7</v>
      </c>
      <c r="GZ51" s="58">
        <v>8.6134239E7</v>
      </c>
      <c r="HH51" s="106"/>
    </row>
    <row r="52" ht="15.75" customHeight="1">
      <c r="A52" s="60">
        <v>47.0</v>
      </c>
      <c r="B52" s="111" t="s">
        <v>317</v>
      </c>
      <c r="C52" s="62">
        <v>0.0</v>
      </c>
      <c r="D52" s="62">
        <v>0.0</v>
      </c>
      <c r="E52" s="62">
        <v>0.0</v>
      </c>
      <c r="F52" s="62">
        <v>0.0</v>
      </c>
      <c r="G52" s="62">
        <v>0.0</v>
      </c>
      <c r="H52" s="62">
        <v>0.0</v>
      </c>
      <c r="I52" s="62">
        <v>0.0</v>
      </c>
      <c r="J52" s="62">
        <v>0.0</v>
      </c>
      <c r="K52" s="62">
        <v>0.0</v>
      </c>
      <c r="L52" s="62">
        <v>0.0</v>
      </c>
      <c r="M52" s="62">
        <v>0.0</v>
      </c>
      <c r="N52" s="62">
        <v>0.0</v>
      </c>
      <c r="O52" s="62">
        <v>0.0</v>
      </c>
      <c r="P52" s="62">
        <v>0.0</v>
      </c>
      <c r="Q52" s="62">
        <v>0.0</v>
      </c>
      <c r="R52" s="62">
        <v>0.0</v>
      </c>
      <c r="S52" s="62">
        <v>0.0</v>
      </c>
      <c r="T52" s="62">
        <v>0.0</v>
      </c>
      <c r="U52" s="62">
        <v>0.0</v>
      </c>
      <c r="V52" s="62">
        <v>0.0</v>
      </c>
      <c r="W52" s="62">
        <v>0.0</v>
      </c>
      <c r="X52" s="62">
        <v>0.0</v>
      </c>
      <c r="Y52" s="62">
        <v>0.0</v>
      </c>
      <c r="Z52" s="62">
        <v>0.0</v>
      </c>
      <c r="AA52" s="62">
        <v>0.0</v>
      </c>
      <c r="AB52" s="62">
        <v>0.0</v>
      </c>
      <c r="AC52" s="62">
        <v>0.0</v>
      </c>
      <c r="AD52" s="62">
        <v>0.0</v>
      </c>
      <c r="AE52" s="62">
        <v>0.0</v>
      </c>
      <c r="AF52" s="62">
        <v>0.0</v>
      </c>
      <c r="AG52" s="62">
        <v>0.0</v>
      </c>
      <c r="AH52" s="62">
        <v>0.0</v>
      </c>
      <c r="AI52" s="62">
        <v>0.0</v>
      </c>
      <c r="AJ52" s="62">
        <v>0.0</v>
      </c>
      <c r="AK52" s="62">
        <v>0.0</v>
      </c>
      <c r="AL52" s="62">
        <v>0.0</v>
      </c>
      <c r="AM52" s="62">
        <v>0.0</v>
      </c>
      <c r="AN52" s="62">
        <v>0.0</v>
      </c>
      <c r="AO52" s="62">
        <v>0.0</v>
      </c>
      <c r="AP52" s="62">
        <v>0.0</v>
      </c>
      <c r="AQ52" s="62">
        <v>0.0</v>
      </c>
      <c r="AR52" s="62">
        <v>0.0</v>
      </c>
      <c r="AS52" s="62">
        <v>0.0</v>
      </c>
      <c r="AT52" s="62">
        <v>0.0</v>
      </c>
      <c r="AU52" s="62">
        <v>0.0</v>
      </c>
      <c r="AV52" s="62">
        <v>0.0</v>
      </c>
      <c r="AW52" s="62">
        <v>3597.0</v>
      </c>
      <c r="AX52" s="62">
        <v>0.0</v>
      </c>
      <c r="AY52" s="62">
        <v>0.0</v>
      </c>
      <c r="AZ52" s="62">
        <v>0.0</v>
      </c>
      <c r="BA52" s="62">
        <v>0.0</v>
      </c>
      <c r="BB52" s="62">
        <v>0.0</v>
      </c>
      <c r="BC52" s="62">
        <v>0.0</v>
      </c>
      <c r="BD52" s="62">
        <v>0.0</v>
      </c>
      <c r="BE52" s="62">
        <v>0.0</v>
      </c>
      <c r="BF52" s="62">
        <v>0.0</v>
      </c>
      <c r="BG52" s="62">
        <v>0.0</v>
      </c>
      <c r="BH52" s="62">
        <v>0.0</v>
      </c>
      <c r="BI52" s="62">
        <v>0.0</v>
      </c>
      <c r="BJ52" s="62">
        <v>0.0</v>
      </c>
      <c r="BK52" s="62">
        <v>0.0</v>
      </c>
      <c r="BL52" s="62">
        <v>0.0</v>
      </c>
      <c r="BM52" s="62">
        <v>0.0</v>
      </c>
      <c r="BN52" s="62">
        <v>0.0</v>
      </c>
      <c r="BO52" s="62">
        <v>0.0</v>
      </c>
      <c r="BP52" s="62">
        <v>0.0</v>
      </c>
      <c r="BQ52" s="62">
        <v>0.0</v>
      </c>
      <c r="BR52" s="62">
        <v>0.0</v>
      </c>
      <c r="BS52" s="62">
        <v>0.0</v>
      </c>
      <c r="BT52" s="62">
        <v>0.0</v>
      </c>
      <c r="BU52" s="62">
        <v>0.0</v>
      </c>
      <c r="BV52" s="62">
        <v>0.0</v>
      </c>
      <c r="BW52" s="62">
        <v>0.0</v>
      </c>
      <c r="BX52" s="62">
        <v>0.0</v>
      </c>
      <c r="BY52" s="62">
        <v>0.0</v>
      </c>
      <c r="BZ52" s="62">
        <v>0.0</v>
      </c>
      <c r="CA52" s="62">
        <v>0.0</v>
      </c>
      <c r="CB52" s="62">
        <v>0.0</v>
      </c>
      <c r="CC52" s="62">
        <v>0.0</v>
      </c>
      <c r="CD52" s="62">
        <v>0.0</v>
      </c>
      <c r="CE52" s="62">
        <v>0.0</v>
      </c>
      <c r="CF52" s="62">
        <v>0.0</v>
      </c>
      <c r="CG52" s="62">
        <v>0.0</v>
      </c>
      <c r="CH52" s="62">
        <v>0.0</v>
      </c>
      <c r="CI52" s="62">
        <v>0.0</v>
      </c>
      <c r="CJ52" s="62">
        <v>0.0</v>
      </c>
      <c r="CK52" s="62">
        <v>0.0</v>
      </c>
      <c r="CL52" s="62">
        <v>0.0</v>
      </c>
      <c r="CM52" s="62">
        <v>0.0</v>
      </c>
      <c r="CN52" s="62">
        <v>0.0</v>
      </c>
      <c r="CO52" s="62">
        <v>0.0</v>
      </c>
      <c r="CP52" s="62">
        <v>0.0</v>
      </c>
      <c r="CQ52" s="62">
        <v>0.0</v>
      </c>
      <c r="CR52" s="62">
        <v>0.0</v>
      </c>
      <c r="CS52" s="62">
        <v>0.0</v>
      </c>
      <c r="CT52" s="62">
        <v>0.0</v>
      </c>
      <c r="CU52" s="62">
        <v>0.0</v>
      </c>
      <c r="CV52" s="62">
        <v>0.0</v>
      </c>
      <c r="CW52" s="62">
        <v>0.0</v>
      </c>
      <c r="CX52" s="62">
        <v>0.0</v>
      </c>
      <c r="CY52" s="62">
        <v>0.0</v>
      </c>
      <c r="CZ52" s="62">
        <v>0.0</v>
      </c>
      <c r="DA52" s="62">
        <v>0.0</v>
      </c>
      <c r="DB52" s="62">
        <v>0.0</v>
      </c>
      <c r="DC52" s="62">
        <v>0.0</v>
      </c>
      <c r="DD52" s="62">
        <v>0.0</v>
      </c>
      <c r="DE52" s="62">
        <v>0.0</v>
      </c>
      <c r="DF52" s="62">
        <v>0.0</v>
      </c>
      <c r="DG52" s="62">
        <v>0.0</v>
      </c>
      <c r="DH52" s="62">
        <v>0.0</v>
      </c>
      <c r="DI52" s="62">
        <v>0.0</v>
      </c>
      <c r="DJ52" s="62">
        <v>0.0</v>
      </c>
      <c r="DK52" s="62">
        <v>0.0</v>
      </c>
      <c r="DL52" s="62">
        <v>202733.0</v>
      </c>
      <c r="DM52" s="62">
        <v>1239750.0</v>
      </c>
      <c r="DN52" s="62">
        <v>126313.0</v>
      </c>
      <c r="DO52" s="62">
        <v>0.0</v>
      </c>
      <c r="DP52" s="62">
        <v>0.0</v>
      </c>
      <c r="DQ52" s="62">
        <v>0.0</v>
      </c>
      <c r="DR52" s="62">
        <v>0.0</v>
      </c>
      <c r="DS52" s="62">
        <v>0.0</v>
      </c>
      <c r="DT52" s="62">
        <v>0.0</v>
      </c>
      <c r="DU52" s="62">
        <v>0.0</v>
      </c>
      <c r="DV52" s="62">
        <v>0.0</v>
      </c>
      <c r="DW52" s="62">
        <v>0.0</v>
      </c>
      <c r="DX52" s="62">
        <v>0.0</v>
      </c>
      <c r="DY52" s="62">
        <v>0.0</v>
      </c>
      <c r="DZ52" s="62">
        <v>0.0</v>
      </c>
      <c r="EA52" s="62">
        <v>0.0</v>
      </c>
      <c r="EB52" s="62">
        <v>0.0</v>
      </c>
      <c r="EC52" s="62">
        <v>0.0</v>
      </c>
      <c r="ED52" s="62">
        <v>0.0</v>
      </c>
      <c r="EE52" s="62">
        <v>0.0</v>
      </c>
      <c r="EF52" s="62">
        <v>0.0</v>
      </c>
      <c r="EG52" s="62">
        <v>0.0</v>
      </c>
      <c r="EH52" s="62">
        <v>0.0</v>
      </c>
      <c r="EI52" s="62">
        <v>0.0</v>
      </c>
      <c r="EJ52" s="62">
        <v>568985.0</v>
      </c>
      <c r="EK52" s="62">
        <v>0.0</v>
      </c>
      <c r="EL52" s="62">
        <v>0.0</v>
      </c>
      <c r="EM52" s="62">
        <v>0.0</v>
      </c>
      <c r="EN52" s="62">
        <v>0.0</v>
      </c>
      <c r="EO52" s="62">
        <v>0.0</v>
      </c>
      <c r="EP52" s="62">
        <v>0.0</v>
      </c>
      <c r="EQ52" s="62">
        <v>0.0</v>
      </c>
      <c r="ER52" s="62">
        <v>0.0</v>
      </c>
      <c r="ES52" s="62">
        <v>0.0</v>
      </c>
      <c r="ET52" s="62">
        <v>0.0</v>
      </c>
      <c r="EU52" s="62">
        <v>0.0</v>
      </c>
      <c r="EV52" s="62">
        <v>0.0</v>
      </c>
      <c r="EW52" s="62">
        <v>0.0</v>
      </c>
      <c r="EX52" s="62">
        <v>0.0</v>
      </c>
      <c r="EY52" s="62">
        <v>0.0</v>
      </c>
      <c r="EZ52" s="62">
        <v>0.0</v>
      </c>
      <c r="FA52" s="62">
        <v>0.0</v>
      </c>
      <c r="FB52" s="62">
        <v>0.0</v>
      </c>
      <c r="FC52" s="62">
        <v>0.0</v>
      </c>
      <c r="FD52" s="62">
        <v>0.0</v>
      </c>
      <c r="FE52" s="62">
        <v>0.0</v>
      </c>
      <c r="FF52" s="62">
        <v>0.0</v>
      </c>
      <c r="FG52" s="62">
        <v>0.0</v>
      </c>
      <c r="FH52" s="62">
        <v>0.0</v>
      </c>
      <c r="FI52" s="62">
        <v>0.0</v>
      </c>
      <c r="FJ52" s="62">
        <v>0.0</v>
      </c>
      <c r="FK52" s="62">
        <v>0.0</v>
      </c>
      <c r="FL52" s="62">
        <v>0.0</v>
      </c>
      <c r="FM52" s="62">
        <v>0.0</v>
      </c>
      <c r="FN52" s="62">
        <v>0.0</v>
      </c>
      <c r="FO52" s="62">
        <v>0.0</v>
      </c>
      <c r="FP52" s="62">
        <v>0.0</v>
      </c>
      <c r="FQ52" s="62">
        <v>0.0</v>
      </c>
      <c r="FR52" s="62">
        <v>0.0</v>
      </c>
      <c r="FS52" s="62">
        <v>0.0</v>
      </c>
      <c r="FT52" s="62">
        <v>0.0</v>
      </c>
      <c r="FU52" s="62">
        <v>0.0</v>
      </c>
      <c r="FV52" s="62">
        <v>0.0</v>
      </c>
      <c r="FW52" s="62">
        <v>0.0</v>
      </c>
      <c r="FX52" s="62">
        <v>0.0</v>
      </c>
      <c r="FY52" s="62">
        <v>0.0</v>
      </c>
      <c r="FZ52" s="62">
        <v>0.0</v>
      </c>
      <c r="GA52" s="62">
        <v>0.0</v>
      </c>
      <c r="GB52" s="62">
        <v>0.0</v>
      </c>
      <c r="GC52" s="62">
        <v>0.0</v>
      </c>
      <c r="GD52" s="62">
        <v>0.0</v>
      </c>
      <c r="GE52" s="62">
        <v>0.0</v>
      </c>
      <c r="GF52" s="63">
        <v>2141378.0</v>
      </c>
      <c r="GG52" s="64">
        <v>0.0</v>
      </c>
      <c r="GH52" s="65">
        <v>0.0</v>
      </c>
      <c r="GI52" s="64">
        <v>0.0</v>
      </c>
      <c r="GJ52" s="64">
        <v>0.0</v>
      </c>
      <c r="GK52" s="64">
        <v>21.0</v>
      </c>
      <c r="GL52" s="64">
        <v>0.0</v>
      </c>
      <c r="GM52" s="64">
        <v>0.0</v>
      </c>
      <c r="GN52" s="63">
        <v>21.0</v>
      </c>
      <c r="GO52" s="66">
        <v>2141399.0</v>
      </c>
      <c r="GP52" s="64">
        <v>1895.0</v>
      </c>
      <c r="GQ52" s="64">
        <v>0.0</v>
      </c>
      <c r="GR52" s="65">
        <v>0.0</v>
      </c>
      <c r="GS52" s="63">
        <v>1895.0</v>
      </c>
      <c r="GT52" s="67">
        <v>309153.0</v>
      </c>
      <c r="GU52" s="67">
        <v>0.0</v>
      </c>
      <c r="GV52" s="67">
        <v>481.0</v>
      </c>
      <c r="GW52" s="63">
        <v>309634.0</v>
      </c>
      <c r="GX52" s="63">
        <v>0.0</v>
      </c>
      <c r="GY52" s="63">
        <v>1829870.0</v>
      </c>
      <c r="GZ52" s="66">
        <v>2141399.0</v>
      </c>
      <c r="HH52" s="106"/>
    </row>
    <row r="53" ht="15.75" customHeight="1">
      <c r="A53" s="60">
        <v>48.0</v>
      </c>
      <c r="B53" s="111" t="s">
        <v>588</v>
      </c>
      <c r="C53" s="62">
        <v>0.0</v>
      </c>
      <c r="D53" s="62">
        <v>0.0</v>
      </c>
      <c r="E53" s="62">
        <v>0.0</v>
      </c>
      <c r="F53" s="62">
        <v>0.0</v>
      </c>
      <c r="G53" s="62">
        <v>0.0</v>
      </c>
      <c r="H53" s="62">
        <v>0.0</v>
      </c>
      <c r="I53" s="62">
        <v>0.0</v>
      </c>
      <c r="J53" s="62">
        <v>0.0</v>
      </c>
      <c r="K53" s="62">
        <v>0.0</v>
      </c>
      <c r="L53" s="62">
        <v>0.0</v>
      </c>
      <c r="M53" s="62">
        <v>0.0</v>
      </c>
      <c r="N53" s="62">
        <v>0.0</v>
      </c>
      <c r="O53" s="62">
        <v>0.0</v>
      </c>
      <c r="P53" s="62">
        <v>0.0</v>
      </c>
      <c r="Q53" s="62">
        <v>122.0</v>
      </c>
      <c r="R53" s="62">
        <v>0.0</v>
      </c>
      <c r="S53" s="62">
        <v>0.0</v>
      </c>
      <c r="T53" s="62">
        <v>72615.0</v>
      </c>
      <c r="U53" s="62">
        <v>219.0</v>
      </c>
      <c r="V53" s="62">
        <v>2778.0</v>
      </c>
      <c r="W53" s="62">
        <v>40.0</v>
      </c>
      <c r="X53" s="62">
        <v>147.0</v>
      </c>
      <c r="Y53" s="62">
        <v>104.0</v>
      </c>
      <c r="Z53" s="62">
        <v>149.0</v>
      </c>
      <c r="AA53" s="62">
        <v>281.0</v>
      </c>
      <c r="AB53" s="62">
        <v>0.0</v>
      </c>
      <c r="AC53" s="62">
        <v>0.0</v>
      </c>
      <c r="AD53" s="62">
        <v>0.0</v>
      </c>
      <c r="AE53" s="62">
        <v>0.0</v>
      </c>
      <c r="AF53" s="62">
        <v>0.0</v>
      </c>
      <c r="AG53" s="62">
        <v>0.0</v>
      </c>
      <c r="AH53" s="62">
        <v>0.0</v>
      </c>
      <c r="AI53" s="62">
        <v>8390.0</v>
      </c>
      <c r="AJ53" s="62">
        <v>0.0</v>
      </c>
      <c r="AK53" s="62">
        <v>0.0</v>
      </c>
      <c r="AL53" s="62">
        <v>0.0</v>
      </c>
      <c r="AM53" s="62">
        <v>0.0</v>
      </c>
      <c r="AN53" s="62">
        <v>0.0</v>
      </c>
      <c r="AO53" s="62">
        <v>0.0</v>
      </c>
      <c r="AP53" s="62">
        <v>0.0</v>
      </c>
      <c r="AQ53" s="62">
        <v>0.0</v>
      </c>
      <c r="AR53" s="62">
        <v>0.0</v>
      </c>
      <c r="AS53" s="62">
        <v>0.0</v>
      </c>
      <c r="AT53" s="62">
        <v>0.0</v>
      </c>
      <c r="AU53" s="62">
        <v>0.0</v>
      </c>
      <c r="AV53" s="62">
        <v>0.0</v>
      </c>
      <c r="AW53" s="62">
        <v>0.0</v>
      </c>
      <c r="AX53" s="62">
        <v>1564930.0</v>
      </c>
      <c r="AY53" s="62">
        <v>0.0</v>
      </c>
      <c r="AZ53" s="62">
        <v>0.0</v>
      </c>
      <c r="BA53" s="62">
        <v>0.0</v>
      </c>
      <c r="BB53" s="62">
        <v>0.0</v>
      </c>
      <c r="BC53" s="62">
        <v>0.0</v>
      </c>
      <c r="BD53" s="62">
        <v>0.0</v>
      </c>
      <c r="BE53" s="62">
        <v>0.0</v>
      </c>
      <c r="BF53" s="62">
        <v>0.0</v>
      </c>
      <c r="BG53" s="62">
        <v>0.0</v>
      </c>
      <c r="BH53" s="62">
        <v>0.0</v>
      </c>
      <c r="BI53" s="62">
        <v>0.0</v>
      </c>
      <c r="BJ53" s="62">
        <v>0.0</v>
      </c>
      <c r="BK53" s="62">
        <v>0.0</v>
      </c>
      <c r="BL53" s="62">
        <v>0.0</v>
      </c>
      <c r="BM53" s="62">
        <v>0.0</v>
      </c>
      <c r="BN53" s="62">
        <v>0.0</v>
      </c>
      <c r="BO53" s="62">
        <v>0.0</v>
      </c>
      <c r="BP53" s="62">
        <v>0.0</v>
      </c>
      <c r="BQ53" s="62">
        <v>0.0</v>
      </c>
      <c r="BR53" s="62">
        <v>0.0</v>
      </c>
      <c r="BS53" s="62">
        <v>0.0</v>
      </c>
      <c r="BT53" s="62">
        <v>0.0</v>
      </c>
      <c r="BU53" s="62">
        <v>0.0</v>
      </c>
      <c r="BV53" s="62">
        <v>0.0</v>
      </c>
      <c r="BW53" s="62">
        <v>0.0</v>
      </c>
      <c r="BX53" s="62">
        <v>0.0</v>
      </c>
      <c r="BY53" s="62">
        <v>0.0</v>
      </c>
      <c r="BZ53" s="62">
        <v>0.0</v>
      </c>
      <c r="CA53" s="62">
        <v>0.0</v>
      </c>
      <c r="CB53" s="62">
        <v>0.0</v>
      </c>
      <c r="CC53" s="62">
        <v>0.0</v>
      </c>
      <c r="CD53" s="62">
        <v>0.0</v>
      </c>
      <c r="CE53" s="62">
        <v>0.0</v>
      </c>
      <c r="CF53" s="62">
        <v>0.0</v>
      </c>
      <c r="CG53" s="62">
        <v>0.0</v>
      </c>
      <c r="CH53" s="62">
        <v>0.0</v>
      </c>
      <c r="CI53" s="62">
        <v>0.0</v>
      </c>
      <c r="CJ53" s="62">
        <v>0.0</v>
      </c>
      <c r="CK53" s="62">
        <v>0.0</v>
      </c>
      <c r="CL53" s="62">
        <v>0.0</v>
      </c>
      <c r="CM53" s="62">
        <v>0.0</v>
      </c>
      <c r="CN53" s="62">
        <v>0.0</v>
      </c>
      <c r="CO53" s="62">
        <v>0.0</v>
      </c>
      <c r="CP53" s="62">
        <v>0.0</v>
      </c>
      <c r="CQ53" s="62">
        <v>0.0</v>
      </c>
      <c r="CR53" s="62">
        <v>1.8902224E7</v>
      </c>
      <c r="CS53" s="62">
        <v>2277.0</v>
      </c>
      <c r="CT53" s="62">
        <v>16603.0</v>
      </c>
      <c r="CU53" s="62">
        <v>1699663.0</v>
      </c>
      <c r="CV53" s="62">
        <v>1334.0</v>
      </c>
      <c r="CW53" s="62">
        <v>20983.0</v>
      </c>
      <c r="CX53" s="62">
        <v>4987.0</v>
      </c>
      <c r="CY53" s="62">
        <v>145.0</v>
      </c>
      <c r="CZ53" s="62">
        <v>0.0</v>
      </c>
      <c r="DA53" s="62">
        <v>0.0</v>
      </c>
      <c r="DB53" s="62">
        <v>295.0</v>
      </c>
      <c r="DC53" s="62">
        <v>0.0</v>
      </c>
      <c r="DD53" s="62">
        <v>0.0</v>
      </c>
      <c r="DE53" s="62">
        <v>0.0</v>
      </c>
      <c r="DF53" s="62">
        <v>0.0</v>
      </c>
      <c r="DG53" s="62">
        <v>0.0</v>
      </c>
      <c r="DH53" s="62">
        <v>0.0</v>
      </c>
      <c r="DI53" s="62">
        <v>7694503.0</v>
      </c>
      <c r="DJ53" s="62">
        <v>9232385.0</v>
      </c>
      <c r="DK53" s="62">
        <v>8885940.0</v>
      </c>
      <c r="DL53" s="62">
        <v>1539457.0</v>
      </c>
      <c r="DM53" s="62">
        <v>3986.0</v>
      </c>
      <c r="DN53" s="62">
        <v>119161.0</v>
      </c>
      <c r="DO53" s="62">
        <v>167936.0</v>
      </c>
      <c r="DP53" s="62">
        <v>16166.0</v>
      </c>
      <c r="DQ53" s="62">
        <v>64603.0</v>
      </c>
      <c r="DR53" s="62">
        <v>253831.0</v>
      </c>
      <c r="DS53" s="62">
        <v>0.0</v>
      </c>
      <c r="DT53" s="62">
        <v>0.0</v>
      </c>
      <c r="DU53" s="62">
        <v>0.0</v>
      </c>
      <c r="DV53" s="62">
        <v>0.0</v>
      </c>
      <c r="DW53" s="62">
        <v>0.0</v>
      </c>
      <c r="DX53" s="62">
        <v>0.0</v>
      </c>
      <c r="DY53" s="62">
        <v>0.0</v>
      </c>
      <c r="DZ53" s="62">
        <v>2266.0</v>
      </c>
      <c r="EA53" s="62">
        <v>0.0</v>
      </c>
      <c r="EB53" s="62">
        <v>0.0</v>
      </c>
      <c r="EC53" s="62">
        <v>0.0</v>
      </c>
      <c r="ED53" s="62">
        <v>0.0</v>
      </c>
      <c r="EE53" s="62">
        <v>0.0</v>
      </c>
      <c r="EF53" s="62">
        <v>0.0</v>
      </c>
      <c r="EG53" s="62">
        <v>0.0</v>
      </c>
      <c r="EH53" s="62">
        <v>0.0</v>
      </c>
      <c r="EI53" s="62">
        <v>1395.0</v>
      </c>
      <c r="EJ53" s="62">
        <v>3408934.0</v>
      </c>
      <c r="EK53" s="62">
        <v>0.0</v>
      </c>
      <c r="EL53" s="62">
        <v>0.0</v>
      </c>
      <c r="EM53" s="62">
        <v>0.0</v>
      </c>
      <c r="EN53" s="62">
        <v>0.0</v>
      </c>
      <c r="EO53" s="62">
        <v>0.0</v>
      </c>
      <c r="EP53" s="62">
        <v>0.0</v>
      </c>
      <c r="EQ53" s="62">
        <v>0.0</v>
      </c>
      <c r="ER53" s="62">
        <v>0.0</v>
      </c>
      <c r="ES53" s="62">
        <v>0.0</v>
      </c>
      <c r="ET53" s="62">
        <v>315.0</v>
      </c>
      <c r="EU53" s="62">
        <v>1.7382471E8</v>
      </c>
      <c r="EV53" s="62">
        <v>1.0174654E7</v>
      </c>
      <c r="EW53" s="62">
        <v>4091681.0</v>
      </c>
      <c r="EX53" s="62">
        <v>2.0103042E7</v>
      </c>
      <c r="EY53" s="62">
        <v>7.3245642E7</v>
      </c>
      <c r="EZ53" s="62">
        <v>0.0</v>
      </c>
      <c r="FA53" s="62">
        <v>0.0</v>
      </c>
      <c r="FB53" s="62">
        <v>0.0</v>
      </c>
      <c r="FC53" s="62">
        <v>0.0</v>
      </c>
      <c r="FD53" s="62">
        <v>0.0</v>
      </c>
      <c r="FE53" s="62">
        <v>0.0</v>
      </c>
      <c r="FF53" s="62">
        <v>0.0</v>
      </c>
      <c r="FG53" s="62">
        <v>0.0</v>
      </c>
      <c r="FH53" s="62">
        <v>0.0</v>
      </c>
      <c r="FI53" s="62">
        <v>0.0</v>
      </c>
      <c r="FJ53" s="62">
        <v>0.0</v>
      </c>
      <c r="FK53" s="62">
        <v>0.0</v>
      </c>
      <c r="FL53" s="62">
        <v>0.0</v>
      </c>
      <c r="FM53" s="62">
        <v>0.0</v>
      </c>
      <c r="FN53" s="62">
        <v>0.0</v>
      </c>
      <c r="FO53" s="62">
        <v>0.0</v>
      </c>
      <c r="FP53" s="62">
        <v>0.0</v>
      </c>
      <c r="FQ53" s="62">
        <v>0.0</v>
      </c>
      <c r="FR53" s="62">
        <v>0.0</v>
      </c>
      <c r="FS53" s="62">
        <v>0.0</v>
      </c>
      <c r="FT53" s="62">
        <v>0.0</v>
      </c>
      <c r="FU53" s="62">
        <v>0.0</v>
      </c>
      <c r="FV53" s="62">
        <v>7176.0</v>
      </c>
      <c r="FW53" s="62">
        <v>0.0</v>
      </c>
      <c r="FX53" s="62">
        <v>0.0</v>
      </c>
      <c r="FY53" s="62">
        <v>0.0</v>
      </c>
      <c r="FZ53" s="62">
        <v>0.0</v>
      </c>
      <c r="GA53" s="62">
        <v>132.0</v>
      </c>
      <c r="GB53" s="62">
        <v>0.0</v>
      </c>
      <c r="GC53" s="62">
        <v>0.0</v>
      </c>
      <c r="GD53" s="62">
        <v>0.0</v>
      </c>
      <c r="GE53" s="62">
        <v>0.0</v>
      </c>
      <c r="GF53" s="63">
        <v>3.35136201E8</v>
      </c>
      <c r="GG53" s="64">
        <v>565549.0</v>
      </c>
      <c r="GH53" s="65">
        <v>0.0</v>
      </c>
      <c r="GI53" s="64">
        <v>0.0</v>
      </c>
      <c r="GJ53" s="64">
        <v>0.0</v>
      </c>
      <c r="GK53" s="64">
        <v>4.0236949E7</v>
      </c>
      <c r="GL53" s="64">
        <v>1114983.0</v>
      </c>
      <c r="GM53" s="64">
        <v>0.0</v>
      </c>
      <c r="GN53" s="63">
        <v>4.1917481E7</v>
      </c>
      <c r="GO53" s="66">
        <v>3.77053682E8</v>
      </c>
      <c r="GP53" s="64">
        <v>5317468.0</v>
      </c>
      <c r="GQ53" s="64">
        <v>0.0</v>
      </c>
      <c r="GR53" s="65">
        <v>0.0</v>
      </c>
      <c r="GS53" s="63">
        <v>5317468.0</v>
      </c>
      <c r="GT53" s="67">
        <v>3.5557983E7</v>
      </c>
      <c r="GU53" s="67">
        <v>1.4132744E7</v>
      </c>
      <c r="GV53" s="67">
        <v>1.0077336E7</v>
      </c>
      <c r="GW53" s="63">
        <v>5.9768063E7</v>
      </c>
      <c r="GX53" s="63">
        <v>2047697.0</v>
      </c>
      <c r="GY53" s="63">
        <v>3.09920454E8</v>
      </c>
      <c r="GZ53" s="66">
        <v>3.77053682E8</v>
      </c>
      <c r="HH53" s="106"/>
    </row>
    <row r="54" ht="15.75" customHeight="1">
      <c r="A54" s="60">
        <v>49.0</v>
      </c>
      <c r="B54" s="111" t="s">
        <v>589</v>
      </c>
      <c r="C54" s="62">
        <v>0.0</v>
      </c>
      <c r="D54" s="62">
        <v>0.0</v>
      </c>
      <c r="E54" s="62">
        <v>0.0</v>
      </c>
      <c r="F54" s="62">
        <v>0.0</v>
      </c>
      <c r="G54" s="62">
        <v>0.0</v>
      </c>
      <c r="H54" s="62">
        <v>0.0</v>
      </c>
      <c r="I54" s="62">
        <v>0.0</v>
      </c>
      <c r="J54" s="62">
        <v>0.0</v>
      </c>
      <c r="K54" s="62">
        <v>0.0</v>
      </c>
      <c r="L54" s="62">
        <v>0.0</v>
      </c>
      <c r="M54" s="62">
        <v>0.0</v>
      </c>
      <c r="N54" s="62">
        <v>0.0</v>
      </c>
      <c r="O54" s="62">
        <v>0.0</v>
      </c>
      <c r="P54" s="62">
        <v>0.0</v>
      </c>
      <c r="Q54" s="62">
        <v>0.0</v>
      </c>
      <c r="R54" s="62">
        <v>0.0</v>
      </c>
      <c r="S54" s="62">
        <v>0.0</v>
      </c>
      <c r="T54" s="62">
        <v>0.0</v>
      </c>
      <c r="U54" s="62">
        <v>0.0</v>
      </c>
      <c r="V54" s="62">
        <v>0.0</v>
      </c>
      <c r="W54" s="62">
        <v>0.0</v>
      </c>
      <c r="X54" s="62">
        <v>0.0</v>
      </c>
      <c r="Y54" s="62">
        <v>0.0</v>
      </c>
      <c r="Z54" s="62">
        <v>0.0</v>
      </c>
      <c r="AA54" s="62">
        <v>0.0</v>
      </c>
      <c r="AB54" s="62">
        <v>0.0</v>
      </c>
      <c r="AC54" s="62">
        <v>0.0</v>
      </c>
      <c r="AD54" s="62">
        <v>0.0</v>
      </c>
      <c r="AE54" s="62">
        <v>0.0</v>
      </c>
      <c r="AF54" s="62">
        <v>0.0</v>
      </c>
      <c r="AG54" s="62">
        <v>0.0</v>
      </c>
      <c r="AH54" s="62">
        <v>0.0</v>
      </c>
      <c r="AI54" s="62">
        <v>0.0</v>
      </c>
      <c r="AJ54" s="62">
        <v>0.0</v>
      </c>
      <c r="AK54" s="62">
        <v>0.0</v>
      </c>
      <c r="AL54" s="62">
        <v>0.0</v>
      </c>
      <c r="AM54" s="62">
        <v>0.0</v>
      </c>
      <c r="AN54" s="62">
        <v>0.0</v>
      </c>
      <c r="AO54" s="62">
        <v>0.0</v>
      </c>
      <c r="AP54" s="62">
        <v>0.0</v>
      </c>
      <c r="AQ54" s="62">
        <v>0.0</v>
      </c>
      <c r="AR54" s="62">
        <v>0.0</v>
      </c>
      <c r="AS54" s="62">
        <v>0.0</v>
      </c>
      <c r="AT54" s="62">
        <v>0.0</v>
      </c>
      <c r="AU54" s="62">
        <v>0.0</v>
      </c>
      <c r="AV54" s="62">
        <v>0.0</v>
      </c>
      <c r="AW54" s="62">
        <v>0.0</v>
      </c>
      <c r="AX54" s="62">
        <v>0.0</v>
      </c>
      <c r="AY54" s="62">
        <v>117.0</v>
      </c>
      <c r="AZ54" s="62">
        <v>0.0</v>
      </c>
      <c r="BA54" s="62">
        <v>0.0</v>
      </c>
      <c r="BB54" s="62">
        <v>0.0</v>
      </c>
      <c r="BC54" s="62">
        <v>0.0</v>
      </c>
      <c r="BD54" s="62">
        <v>0.0</v>
      </c>
      <c r="BE54" s="62">
        <v>0.0</v>
      </c>
      <c r="BF54" s="62">
        <v>0.0</v>
      </c>
      <c r="BG54" s="62">
        <v>0.0</v>
      </c>
      <c r="BH54" s="62">
        <v>0.0</v>
      </c>
      <c r="BI54" s="62">
        <v>0.0</v>
      </c>
      <c r="BJ54" s="62">
        <v>0.0</v>
      </c>
      <c r="BK54" s="62">
        <v>0.0</v>
      </c>
      <c r="BL54" s="62">
        <v>0.0</v>
      </c>
      <c r="BM54" s="62">
        <v>0.0</v>
      </c>
      <c r="BN54" s="62">
        <v>0.0</v>
      </c>
      <c r="BO54" s="62">
        <v>0.0</v>
      </c>
      <c r="BP54" s="62">
        <v>0.0</v>
      </c>
      <c r="BQ54" s="62">
        <v>0.0</v>
      </c>
      <c r="BR54" s="62">
        <v>0.0</v>
      </c>
      <c r="BS54" s="62">
        <v>0.0</v>
      </c>
      <c r="BT54" s="62">
        <v>0.0</v>
      </c>
      <c r="BU54" s="62">
        <v>0.0</v>
      </c>
      <c r="BV54" s="62">
        <v>0.0</v>
      </c>
      <c r="BW54" s="62">
        <v>0.0</v>
      </c>
      <c r="BX54" s="62">
        <v>0.0</v>
      </c>
      <c r="BY54" s="62">
        <v>0.0</v>
      </c>
      <c r="BZ54" s="62">
        <v>0.0</v>
      </c>
      <c r="CA54" s="62">
        <v>0.0</v>
      </c>
      <c r="CB54" s="62">
        <v>0.0</v>
      </c>
      <c r="CC54" s="62">
        <v>0.0</v>
      </c>
      <c r="CD54" s="62">
        <v>0.0</v>
      </c>
      <c r="CE54" s="62">
        <v>0.0</v>
      </c>
      <c r="CF54" s="62">
        <v>0.0</v>
      </c>
      <c r="CG54" s="62">
        <v>0.0</v>
      </c>
      <c r="CH54" s="62">
        <v>0.0</v>
      </c>
      <c r="CI54" s="62">
        <v>0.0</v>
      </c>
      <c r="CJ54" s="62">
        <v>0.0</v>
      </c>
      <c r="CK54" s="62">
        <v>0.0</v>
      </c>
      <c r="CL54" s="62">
        <v>0.0</v>
      </c>
      <c r="CM54" s="62">
        <v>0.0</v>
      </c>
      <c r="CN54" s="62">
        <v>0.0</v>
      </c>
      <c r="CO54" s="62">
        <v>0.0</v>
      </c>
      <c r="CP54" s="62">
        <v>0.0</v>
      </c>
      <c r="CQ54" s="62">
        <v>0.0</v>
      </c>
      <c r="CR54" s="62">
        <v>17757.0</v>
      </c>
      <c r="CS54" s="62">
        <v>118805.0</v>
      </c>
      <c r="CT54" s="62">
        <v>1.3423765E7</v>
      </c>
      <c r="CU54" s="62">
        <v>1.6961462E7</v>
      </c>
      <c r="CV54" s="62">
        <v>3518492.0</v>
      </c>
      <c r="CW54" s="62">
        <v>130663.0</v>
      </c>
      <c r="CX54" s="62">
        <v>0.0</v>
      </c>
      <c r="CY54" s="62">
        <v>0.0</v>
      </c>
      <c r="CZ54" s="62">
        <v>0.0</v>
      </c>
      <c r="DA54" s="62">
        <v>806.0</v>
      </c>
      <c r="DB54" s="62">
        <v>1577155.0</v>
      </c>
      <c r="DC54" s="62">
        <v>278631.0</v>
      </c>
      <c r="DD54" s="62">
        <v>28.0</v>
      </c>
      <c r="DE54" s="62">
        <v>0.0</v>
      </c>
      <c r="DF54" s="62">
        <v>0.0</v>
      </c>
      <c r="DG54" s="62">
        <v>0.0</v>
      </c>
      <c r="DH54" s="62">
        <v>0.0</v>
      </c>
      <c r="DI54" s="62">
        <v>0.0</v>
      </c>
      <c r="DJ54" s="62">
        <v>282077.0</v>
      </c>
      <c r="DK54" s="62">
        <v>35777.0</v>
      </c>
      <c r="DL54" s="62">
        <v>736972.0</v>
      </c>
      <c r="DM54" s="62">
        <v>4764.0</v>
      </c>
      <c r="DN54" s="62">
        <v>15041.0</v>
      </c>
      <c r="DO54" s="62">
        <v>16140.0</v>
      </c>
      <c r="DP54" s="62">
        <v>244.0</v>
      </c>
      <c r="DQ54" s="62">
        <v>25497.0</v>
      </c>
      <c r="DR54" s="62">
        <v>10514.0</v>
      </c>
      <c r="DS54" s="62">
        <v>0.0</v>
      </c>
      <c r="DT54" s="62">
        <v>0.0</v>
      </c>
      <c r="DU54" s="62">
        <v>0.0</v>
      </c>
      <c r="DV54" s="62">
        <v>0.0</v>
      </c>
      <c r="DW54" s="62">
        <v>0.0</v>
      </c>
      <c r="DX54" s="62">
        <v>0.0</v>
      </c>
      <c r="DY54" s="62">
        <v>0.0</v>
      </c>
      <c r="DZ54" s="62">
        <v>0.0</v>
      </c>
      <c r="EA54" s="62">
        <v>0.0</v>
      </c>
      <c r="EB54" s="62">
        <v>0.0</v>
      </c>
      <c r="EC54" s="62">
        <v>0.0</v>
      </c>
      <c r="ED54" s="62">
        <v>0.0</v>
      </c>
      <c r="EE54" s="62">
        <v>0.0</v>
      </c>
      <c r="EF54" s="62">
        <v>0.0</v>
      </c>
      <c r="EG54" s="62">
        <v>0.0</v>
      </c>
      <c r="EH54" s="62">
        <v>0.0</v>
      </c>
      <c r="EI54" s="62">
        <v>0.0</v>
      </c>
      <c r="EJ54" s="62">
        <v>0.0</v>
      </c>
      <c r="EK54" s="62">
        <v>0.0</v>
      </c>
      <c r="EL54" s="62">
        <v>0.0</v>
      </c>
      <c r="EM54" s="62">
        <v>0.0</v>
      </c>
      <c r="EN54" s="62">
        <v>0.0</v>
      </c>
      <c r="EO54" s="62">
        <v>0.0</v>
      </c>
      <c r="EP54" s="62">
        <v>0.0</v>
      </c>
      <c r="EQ54" s="62">
        <v>0.0</v>
      </c>
      <c r="ER54" s="62">
        <v>0.0</v>
      </c>
      <c r="ES54" s="62">
        <v>0.0</v>
      </c>
      <c r="ET54" s="62">
        <v>0.0</v>
      </c>
      <c r="EU54" s="62">
        <v>0.0</v>
      </c>
      <c r="EV54" s="62">
        <v>0.0</v>
      </c>
      <c r="EW54" s="62">
        <v>0.0</v>
      </c>
      <c r="EX54" s="62">
        <v>0.0</v>
      </c>
      <c r="EY54" s="62">
        <v>0.0</v>
      </c>
      <c r="EZ54" s="62">
        <v>0.0</v>
      </c>
      <c r="FA54" s="62">
        <v>0.0</v>
      </c>
      <c r="FB54" s="62">
        <v>0.0</v>
      </c>
      <c r="FC54" s="62">
        <v>0.0</v>
      </c>
      <c r="FD54" s="62">
        <v>0.0</v>
      </c>
      <c r="FE54" s="62">
        <v>0.0</v>
      </c>
      <c r="FF54" s="62">
        <v>0.0</v>
      </c>
      <c r="FG54" s="62">
        <v>0.0</v>
      </c>
      <c r="FH54" s="62">
        <v>0.0</v>
      </c>
      <c r="FI54" s="62">
        <v>0.0</v>
      </c>
      <c r="FJ54" s="62">
        <v>0.0</v>
      </c>
      <c r="FK54" s="62">
        <v>0.0</v>
      </c>
      <c r="FL54" s="62">
        <v>0.0</v>
      </c>
      <c r="FM54" s="62">
        <v>0.0</v>
      </c>
      <c r="FN54" s="62">
        <v>0.0</v>
      </c>
      <c r="FO54" s="62">
        <v>0.0</v>
      </c>
      <c r="FP54" s="62">
        <v>0.0</v>
      </c>
      <c r="FQ54" s="62">
        <v>0.0</v>
      </c>
      <c r="FR54" s="62">
        <v>0.0</v>
      </c>
      <c r="FS54" s="62">
        <v>0.0</v>
      </c>
      <c r="FT54" s="62">
        <v>0.0</v>
      </c>
      <c r="FU54" s="62">
        <v>0.0</v>
      </c>
      <c r="FV54" s="62">
        <v>0.0</v>
      </c>
      <c r="FW54" s="62">
        <v>0.0</v>
      </c>
      <c r="FX54" s="62">
        <v>0.0</v>
      </c>
      <c r="FY54" s="62">
        <v>0.0</v>
      </c>
      <c r="FZ54" s="62">
        <v>0.0</v>
      </c>
      <c r="GA54" s="62">
        <v>0.0</v>
      </c>
      <c r="GB54" s="62">
        <v>0.0</v>
      </c>
      <c r="GC54" s="62">
        <v>0.0</v>
      </c>
      <c r="GD54" s="62">
        <v>0.0</v>
      </c>
      <c r="GE54" s="62">
        <v>0.0</v>
      </c>
      <c r="GF54" s="63">
        <v>3.7154707E7</v>
      </c>
      <c r="GG54" s="64">
        <v>0.0</v>
      </c>
      <c r="GH54" s="65">
        <v>0.0</v>
      </c>
      <c r="GI54" s="64">
        <v>0.0</v>
      </c>
      <c r="GJ54" s="64">
        <v>0.0</v>
      </c>
      <c r="GK54" s="64">
        <v>300464.0</v>
      </c>
      <c r="GL54" s="64">
        <v>113252.0</v>
      </c>
      <c r="GM54" s="64">
        <v>0.0</v>
      </c>
      <c r="GN54" s="63">
        <v>413716.0</v>
      </c>
      <c r="GO54" s="66">
        <v>3.7568423E7</v>
      </c>
      <c r="GP54" s="64">
        <v>3774451.0</v>
      </c>
      <c r="GQ54" s="64">
        <v>0.0</v>
      </c>
      <c r="GR54" s="65">
        <v>0.0</v>
      </c>
      <c r="GS54" s="63">
        <v>3774451.0</v>
      </c>
      <c r="GT54" s="67">
        <v>1427979.0</v>
      </c>
      <c r="GU54" s="67">
        <v>0.0</v>
      </c>
      <c r="GV54" s="67">
        <v>869460.0</v>
      </c>
      <c r="GW54" s="63">
        <v>2297439.0</v>
      </c>
      <c r="GX54" s="63">
        <v>376756.0</v>
      </c>
      <c r="GY54" s="63">
        <v>3.1119777E7</v>
      </c>
      <c r="GZ54" s="66">
        <v>3.7568423E7</v>
      </c>
      <c r="HH54" s="106"/>
    </row>
    <row r="55" ht="15.75" customHeight="1">
      <c r="A55" s="68">
        <v>50.0</v>
      </c>
      <c r="B55" s="111" t="s">
        <v>320</v>
      </c>
      <c r="C55" s="70">
        <v>0.0</v>
      </c>
      <c r="D55" s="70">
        <v>0.0</v>
      </c>
      <c r="E55" s="70">
        <v>0.0</v>
      </c>
      <c r="F55" s="70">
        <v>0.0</v>
      </c>
      <c r="G55" s="70">
        <v>0.0</v>
      </c>
      <c r="H55" s="70">
        <v>0.0</v>
      </c>
      <c r="I55" s="70">
        <v>0.0</v>
      </c>
      <c r="J55" s="70">
        <v>0.0</v>
      </c>
      <c r="K55" s="70">
        <v>0.0</v>
      </c>
      <c r="L55" s="70">
        <v>0.0</v>
      </c>
      <c r="M55" s="70">
        <v>0.0</v>
      </c>
      <c r="N55" s="70">
        <v>0.0</v>
      </c>
      <c r="O55" s="70">
        <v>0.0</v>
      </c>
      <c r="P55" s="70">
        <v>0.0</v>
      </c>
      <c r="Q55" s="70">
        <v>0.0</v>
      </c>
      <c r="R55" s="70">
        <v>0.0</v>
      </c>
      <c r="S55" s="70">
        <v>0.0</v>
      </c>
      <c r="T55" s="70">
        <v>0.0</v>
      </c>
      <c r="U55" s="70">
        <v>0.0</v>
      </c>
      <c r="V55" s="70">
        <v>0.0</v>
      </c>
      <c r="W55" s="70">
        <v>0.0</v>
      </c>
      <c r="X55" s="70">
        <v>0.0</v>
      </c>
      <c r="Y55" s="70">
        <v>0.0</v>
      </c>
      <c r="Z55" s="70">
        <v>0.0</v>
      </c>
      <c r="AA55" s="70">
        <v>0.0</v>
      </c>
      <c r="AB55" s="70">
        <v>0.0</v>
      </c>
      <c r="AC55" s="70">
        <v>0.0</v>
      </c>
      <c r="AD55" s="70">
        <v>0.0</v>
      </c>
      <c r="AE55" s="70">
        <v>0.0</v>
      </c>
      <c r="AF55" s="70">
        <v>0.0</v>
      </c>
      <c r="AG55" s="70">
        <v>0.0</v>
      </c>
      <c r="AH55" s="70">
        <v>0.0</v>
      </c>
      <c r="AI55" s="70">
        <v>53323.0</v>
      </c>
      <c r="AJ55" s="70">
        <v>0.0</v>
      </c>
      <c r="AK55" s="70">
        <v>0.0</v>
      </c>
      <c r="AL55" s="70">
        <v>0.0</v>
      </c>
      <c r="AM55" s="70">
        <v>0.0</v>
      </c>
      <c r="AN55" s="70">
        <v>0.0</v>
      </c>
      <c r="AO55" s="70">
        <v>0.0</v>
      </c>
      <c r="AP55" s="70">
        <v>0.0</v>
      </c>
      <c r="AQ55" s="70">
        <v>0.0</v>
      </c>
      <c r="AR55" s="70">
        <v>0.0</v>
      </c>
      <c r="AS55" s="70">
        <v>0.0</v>
      </c>
      <c r="AT55" s="70">
        <v>0.0</v>
      </c>
      <c r="AU55" s="70">
        <v>0.0</v>
      </c>
      <c r="AV55" s="70">
        <v>0.0</v>
      </c>
      <c r="AW55" s="70">
        <v>0.0</v>
      </c>
      <c r="AX55" s="70">
        <v>0.0</v>
      </c>
      <c r="AY55" s="70">
        <v>0.0</v>
      </c>
      <c r="AZ55" s="70">
        <v>55199.0</v>
      </c>
      <c r="BA55" s="70">
        <v>0.0</v>
      </c>
      <c r="BB55" s="70">
        <v>0.0</v>
      </c>
      <c r="BC55" s="70">
        <v>0.0</v>
      </c>
      <c r="BD55" s="70">
        <v>0.0</v>
      </c>
      <c r="BE55" s="70">
        <v>1785102.0</v>
      </c>
      <c r="BF55" s="70">
        <v>238891.0</v>
      </c>
      <c r="BG55" s="70">
        <v>0.0</v>
      </c>
      <c r="BH55" s="70">
        <v>363.0</v>
      </c>
      <c r="BI55" s="70">
        <v>813.0</v>
      </c>
      <c r="BJ55" s="70">
        <v>0.0</v>
      </c>
      <c r="BK55" s="70">
        <v>0.0</v>
      </c>
      <c r="BL55" s="70">
        <v>0.0</v>
      </c>
      <c r="BM55" s="70">
        <v>0.0</v>
      </c>
      <c r="BN55" s="70">
        <v>0.0</v>
      </c>
      <c r="BO55" s="70">
        <v>0.0</v>
      </c>
      <c r="BP55" s="70">
        <v>0.0</v>
      </c>
      <c r="BQ55" s="70">
        <v>0.0</v>
      </c>
      <c r="BR55" s="70">
        <v>0.0</v>
      </c>
      <c r="BS55" s="70">
        <v>0.0</v>
      </c>
      <c r="BT55" s="70">
        <v>0.0</v>
      </c>
      <c r="BU55" s="70">
        <v>0.0</v>
      </c>
      <c r="BV55" s="70">
        <v>0.0</v>
      </c>
      <c r="BW55" s="70">
        <v>0.0</v>
      </c>
      <c r="BX55" s="70">
        <v>0.0</v>
      </c>
      <c r="BY55" s="70">
        <v>0.0</v>
      </c>
      <c r="BZ55" s="70">
        <v>0.0</v>
      </c>
      <c r="CA55" s="70">
        <v>0.0</v>
      </c>
      <c r="CB55" s="70">
        <v>0.0</v>
      </c>
      <c r="CC55" s="70">
        <v>0.0</v>
      </c>
      <c r="CD55" s="70">
        <v>0.0</v>
      </c>
      <c r="CE55" s="70">
        <v>0.0</v>
      </c>
      <c r="CF55" s="70">
        <v>0.0</v>
      </c>
      <c r="CG55" s="70">
        <v>0.0</v>
      </c>
      <c r="CH55" s="70">
        <v>0.0</v>
      </c>
      <c r="CI55" s="70">
        <v>0.0</v>
      </c>
      <c r="CJ55" s="70">
        <v>0.0</v>
      </c>
      <c r="CK55" s="70">
        <v>0.0</v>
      </c>
      <c r="CL55" s="70">
        <v>0.0</v>
      </c>
      <c r="CM55" s="70">
        <v>0.0</v>
      </c>
      <c r="CN55" s="70">
        <v>34347.0</v>
      </c>
      <c r="CO55" s="70">
        <v>0.0</v>
      </c>
      <c r="CP55" s="70">
        <v>0.0</v>
      </c>
      <c r="CQ55" s="70">
        <v>0.0</v>
      </c>
      <c r="CR55" s="70">
        <v>0.0</v>
      </c>
      <c r="CS55" s="70">
        <v>0.0</v>
      </c>
      <c r="CT55" s="70">
        <v>2172254.0</v>
      </c>
      <c r="CU55" s="70">
        <v>2385.0</v>
      </c>
      <c r="CV55" s="70">
        <v>0.0</v>
      </c>
      <c r="CW55" s="70">
        <v>0.0</v>
      </c>
      <c r="CX55" s="70">
        <v>0.0</v>
      </c>
      <c r="CY55" s="70">
        <v>0.0</v>
      </c>
      <c r="CZ55" s="70">
        <v>0.0</v>
      </c>
      <c r="DA55" s="70">
        <v>184898.0</v>
      </c>
      <c r="DB55" s="70">
        <v>0.0</v>
      </c>
      <c r="DC55" s="70">
        <v>0.0</v>
      </c>
      <c r="DD55" s="70">
        <v>74997.0</v>
      </c>
      <c r="DE55" s="70">
        <v>0.0</v>
      </c>
      <c r="DF55" s="70">
        <v>0.0</v>
      </c>
      <c r="DG55" s="70">
        <v>0.0</v>
      </c>
      <c r="DH55" s="70">
        <v>0.0</v>
      </c>
      <c r="DI55" s="70">
        <v>0.0</v>
      </c>
      <c r="DJ55" s="70">
        <v>0.0</v>
      </c>
      <c r="DK55" s="70">
        <v>0.0</v>
      </c>
      <c r="DL55" s="70">
        <v>0.0</v>
      </c>
      <c r="DM55" s="70">
        <v>0.0</v>
      </c>
      <c r="DN55" s="70">
        <v>0.0</v>
      </c>
      <c r="DO55" s="70">
        <v>0.0</v>
      </c>
      <c r="DP55" s="70">
        <v>0.0</v>
      </c>
      <c r="DQ55" s="70">
        <v>0.0</v>
      </c>
      <c r="DR55" s="70">
        <v>0.0</v>
      </c>
      <c r="DS55" s="70">
        <v>0.0</v>
      </c>
      <c r="DT55" s="70">
        <v>0.0</v>
      </c>
      <c r="DU55" s="70">
        <v>0.0</v>
      </c>
      <c r="DV55" s="70">
        <v>0.0</v>
      </c>
      <c r="DW55" s="70">
        <v>0.0</v>
      </c>
      <c r="DX55" s="70">
        <v>0.0</v>
      </c>
      <c r="DY55" s="70">
        <v>0.0</v>
      </c>
      <c r="DZ55" s="70">
        <v>0.0</v>
      </c>
      <c r="EA55" s="70">
        <v>0.0</v>
      </c>
      <c r="EB55" s="70">
        <v>0.0</v>
      </c>
      <c r="EC55" s="70">
        <v>0.0</v>
      </c>
      <c r="ED55" s="70">
        <v>0.0</v>
      </c>
      <c r="EE55" s="70">
        <v>0.0</v>
      </c>
      <c r="EF55" s="70">
        <v>0.0</v>
      </c>
      <c r="EG55" s="70">
        <v>0.0</v>
      </c>
      <c r="EH55" s="70">
        <v>0.0</v>
      </c>
      <c r="EI55" s="70">
        <v>0.0</v>
      </c>
      <c r="EJ55" s="70">
        <v>0.0</v>
      </c>
      <c r="EK55" s="70">
        <v>0.0</v>
      </c>
      <c r="EL55" s="70">
        <v>0.0</v>
      </c>
      <c r="EM55" s="70">
        <v>0.0</v>
      </c>
      <c r="EN55" s="70">
        <v>0.0</v>
      </c>
      <c r="EO55" s="70">
        <v>0.0</v>
      </c>
      <c r="EP55" s="70">
        <v>0.0</v>
      </c>
      <c r="EQ55" s="70">
        <v>0.0</v>
      </c>
      <c r="ER55" s="70">
        <v>0.0</v>
      </c>
      <c r="ES55" s="70">
        <v>0.0</v>
      </c>
      <c r="ET55" s="70">
        <v>0.0</v>
      </c>
      <c r="EU55" s="70">
        <v>0.0</v>
      </c>
      <c r="EV55" s="70">
        <v>0.0</v>
      </c>
      <c r="EW55" s="70">
        <v>0.0</v>
      </c>
      <c r="EX55" s="70">
        <v>0.0</v>
      </c>
      <c r="EY55" s="70">
        <v>0.0</v>
      </c>
      <c r="EZ55" s="70">
        <v>0.0</v>
      </c>
      <c r="FA55" s="70">
        <v>0.0</v>
      </c>
      <c r="FB55" s="70">
        <v>60310.0</v>
      </c>
      <c r="FC55" s="70">
        <v>0.0</v>
      </c>
      <c r="FD55" s="70">
        <v>0.0</v>
      </c>
      <c r="FE55" s="70">
        <v>0.0</v>
      </c>
      <c r="FF55" s="70">
        <v>0.0</v>
      </c>
      <c r="FG55" s="70">
        <v>0.0</v>
      </c>
      <c r="FH55" s="70">
        <v>0.0</v>
      </c>
      <c r="FI55" s="70">
        <v>0.0</v>
      </c>
      <c r="FJ55" s="70">
        <v>0.0</v>
      </c>
      <c r="FK55" s="70">
        <v>0.0</v>
      </c>
      <c r="FL55" s="70">
        <v>0.0</v>
      </c>
      <c r="FM55" s="70">
        <v>0.0</v>
      </c>
      <c r="FN55" s="70">
        <v>0.0</v>
      </c>
      <c r="FO55" s="70">
        <v>0.0</v>
      </c>
      <c r="FP55" s="70">
        <v>0.0</v>
      </c>
      <c r="FQ55" s="70">
        <v>0.0</v>
      </c>
      <c r="FR55" s="70">
        <v>0.0</v>
      </c>
      <c r="FS55" s="70">
        <v>0.0</v>
      </c>
      <c r="FT55" s="70">
        <v>0.0</v>
      </c>
      <c r="FU55" s="70">
        <v>0.0</v>
      </c>
      <c r="FV55" s="70">
        <v>0.0</v>
      </c>
      <c r="FW55" s="70">
        <v>3731.0</v>
      </c>
      <c r="FX55" s="70">
        <v>0.0</v>
      </c>
      <c r="FY55" s="70">
        <v>19969.0</v>
      </c>
      <c r="FZ55" s="70">
        <v>0.0</v>
      </c>
      <c r="GA55" s="70">
        <v>370.0</v>
      </c>
      <c r="GB55" s="70">
        <v>1577.0</v>
      </c>
      <c r="GC55" s="70">
        <v>0.0</v>
      </c>
      <c r="GD55" s="70">
        <v>0.0</v>
      </c>
      <c r="GE55" s="70">
        <v>0.0</v>
      </c>
      <c r="GF55" s="71">
        <v>4688529.0</v>
      </c>
      <c r="GG55" s="72">
        <v>0.0</v>
      </c>
      <c r="GH55" s="73">
        <v>0.0</v>
      </c>
      <c r="GI55" s="72">
        <v>0.0</v>
      </c>
      <c r="GJ55" s="72">
        <v>0.0</v>
      </c>
      <c r="GK55" s="72">
        <v>201.0</v>
      </c>
      <c r="GL55" s="72">
        <v>365.0</v>
      </c>
      <c r="GM55" s="72">
        <v>0.0</v>
      </c>
      <c r="GN55" s="71">
        <v>566.0</v>
      </c>
      <c r="GO55" s="74">
        <v>4689095.0</v>
      </c>
      <c r="GP55" s="72">
        <v>1456122.0</v>
      </c>
      <c r="GQ55" s="72">
        <v>0.0</v>
      </c>
      <c r="GR55" s="73">
        <v>0.0</v>
      </c>
      <c r="GS55" s="71">
        <v>1456122.0</v>
      </c>
      <c r="GT55" s="75">
        <v>256152.0</v>
      </c>
      <c r="GU55" s="75">
        <v>0.0</v>
      </c>
      <c r="GV55" s="75">
        <v>210295.0</v>
      </c>
      <c r="GW55" s="71">
        <v>466447.0</v>
      </c>
      <c r="GX55" s="71">
        <v>122556.0</v>
      </c>
      <c r="GY55" s="71">
        <v>2643970.0</v>
      </c>
      <c r="GZ55" s="74">
        <v>4689095.0</v>
      </c>
      <c r="HH55" s="106"/>
    </row>
    <row r="56" ht="15.75" customHeight="1">
      <c r="A56" s="52">
        <v>51.0</v>
      </c>
      <c r="B56" s="111" t="s">
        <v>321</v>
      </c>
      <c r="C56" s="54">
        <v>0.0</v>
      </c>
      <c r="D56" s="54">
        <v>0.0</v>
      </c>
      <c r="E56" s="54">
        <v>0.0</v>
      </c>
      <c r="F56" s="54">
        <v>0.0</v>
      </c>
      <c r="G56" s="54">
        <v>0.0</v>
      </c>
      <c r="H56" s="54">
        <v>0.0</v>
      </c>
      <c r="I56" s="54">
        <v>0.0</v>
      </c>
      <c r="J56" s="54">
        <v>0.0</v>
      </c>
      <c r="K56" s="54">
        <v>0.0</v>
      </c>
      <c r="L56" s="54">
        <v>0.0</v>
      </c>
      <c r="M56" s="54">
        <v>0.0</v>
      </c>
      <c r="N56" s="54">
        <v>0.0</v>
      </c>
      <c r="O56" s="54">
        <v>0.0</v>
      </c>
      <c r="P56" s="54">
        <v>0.0</v>
      </c>
      <c r="Q56" s="54">
        <v>0.0</v>
      </c>
      <c r="R56" s="54">
        <v>0.0</v>
      </c>
      <c r="S56" s="54">
        <v>0.0</v>
      </c>
      <c r="T56" s="54">
        <v>0.0</v>
      </c>
      <c r="U56" s="54">
        <v>0.0</v>
      </c>
      <c r="V56" s="54">
        <v>0.0</v>
      </c>
      <c r="W56" s="54">
        <v>0.0</v>
      </c>
      <c r="X56" s="54">
        <v>0.0</v>
      </c>
      <c r="Y56" s="54">
        <v>0.0</v>
      </c>
      <c r="Z56" s="54">
        <v>0.0</v>
      </c>
      <c r="AA56" s="54">
        <v>0.0</v>
      </c>
      <c r="AB56" s="54">
        <v>0.0</v>
      </c>
      <c r="AC56" s="54">
        <v>0.0</v>
      </c>
      <c r="AD56" s="54">
        <v>0.0</v>
      </c>
      <c r="AE56" s="54">
        <v>0.0</v>
      </c>
      <c r="AF56" s="54">
        <v>0.0</v>
      </c>
      <c r="AG56" s="54">
        <v>0.0</v>
      </c>
      <c r="AH56" s="54">
        <v>0.0</v>
      </c>
      <c r="AI56" s="54">
        <v>0.0</v>
      </c>
      <c r="AJ56" s="54">
        <v>0.0</v>
      </c>
      <c r="AK56" s="54">
        <v>0.0</v>
      </c>
      <c r="AL56" s="54">
        <v>0.0</v>
      </c>
      <c r="AM56" s="54">
        <v>0.0</v>
      </c>
      <c r="AN56" s="54">
        <v>1.8983097E7</v>
      </c>
      <c r="AO56" s="54">
        <v>1.5501223E7</v>
      </c>
      <c r="AP56" s="54">
        <v>0.0</v>
      </c>
      <c r="AQ56" s="54">
        <v>0.0</v>
      </c>
      <c r="AR56" s="54">
        <v>0.0</v>
      </c>
      <c r="AS56" s="54">
        <v>0.0</v>
      </c>
      <c r="AT56" s="54">
        <v>0.0</v>
      </c>
      <c r="AU56" s="54">
        <v>0.0</v>
      </c>
      <c r="AV56" s="54">
        <v>0.0</v>
      </c>
      <c r="AW56" s="54">
        <v>0.0</v>
      </c>
      <c r="AX56" s="54">
        <v>0.0</v>
      </c>
      <c r="AY56" s="54">
        <v>0.0</v>
      </c>
      <c r="AZ56" s="54">
        <v>0.0</v>
      </c>
      <c r="BA56" s="54">
        <v>176910.0</v>
      </c>
      <c r="BB56" s="54">
        <v>0.0</v>
      </c>
      <c r="BC56" s="54">
        <v>0.0</v>
      </c>
      <c r="BD56" s="54">
        <v>0.0</v>
      </c>
      <c r="BE56" s="54">
        <v>0.0</v>
      </c>
      <c r="BF56" s="54">
        <v>0.0</v>
      </c>
      <c r="BG56" s="54">
        <v>0.0</v>
      </c>
      <c r="BH56" s="54">
        <v>0.0</v>
      </c>
      <c r="BI56" s="54">
        <v>0.0</v>
      </c>
      <c r="BJ56" s="54">
        <v>0.0</v>
      </c>
      <c r="BK56" s="54">
        <v>0.0</v>
      </c>
      <c r="BL56" s="54">
        <v>0.0</v>
      </c>
      <c r="BM56" s="54">
        <v>0.0</v>
      </c>
      <c r="BN56" s="54">
        <v>0.0</v>
      </c>
      <c r="BO56" s="54">
        <v>0.0</v>
      </c>
      <c r="BP56" s="54">
        <v>0.0</v>
      </c>
      <c r="BQ56" s="54">
        <v>0.0</v>
      </c>
      <c r="BR56" s="54">
        <v>0.0</v>
      </c>
      <c r="BS56" s="54">
        <v>0.0</v>
      </c>
      <c r="BT56" s="54">
        <v>0.0</v>
      </c>
      <c r="BU56" s="54">
        <v>0.0</v>
      </c>
      <c r="BV56" s="54">
        <v>0.0</v>
      </c>
      <c r="BW56" s="54">
        <v>0.0</v>
      </c>
      <c r="BX56" s="54">
        <v>0.0</v>
      </c>
      <c r="BY56" s="54">
        <v>0.0</v>
      </c>
      <c r="BZ56" s="54">
        <v>0.0</v>
      </c>
      <c r="CA56" s="54">
        <v>0.0</v>
      </c>
      <c r="CB56" s="54">
        <v>0.0</v>
      </c>
      <c r="CC56" s="54">
        <v>0.0</v>
      </c>
      <c r="CD56" s="54">
        <v>0.0</v>
      </c>
      <c r="CE56" s="54">
        <v>0.0</v>
      </c>
      <c r="CF56" s="54">
        <v>0.0</v>
      </c>
      <c r="CG56" s="54">
        <v>0.0</v>
      </c>
      <c r="CH56" s="54">
        <v>0.0</v>
      </c>
      <c r="CI56" s="54">
        <v>0.0</v>
      </c>
      <c r="CJ56" s="54">
        <v>0.0</v>
      </c>
      <c r="CK56" s="54">
        <v>0.0</v>
      </c>
      <c r="CL56" s="54">
        <v>0.0</v>
      </c>
      <c r="CM56" s="54">
        <v>0.0</v>
      </c>
      <c r="CN56" s="54">
        <v>0.0</v>
      </c>
      <c r="CO56" s="54">
        <v>0.0</v>
      </c>
      <c r="CP56" s="54">
        <v>0.0</v>
      </c>
      <c r="CQ56" s="54">
        <v>0.0</v>
      </c>
      <c r="CR56" s="54">
        <v>0.0</v>
      </c>
      <c r="CS56" s="54">
        <v>0.0</v>
      </c>
      <c r="CT56" s="54">
        <v>0.0</v>
      </c>
      <c r="CU56" s="54">
        <v>0.0</v>
      </c>
      <c r="CV56" s="54">
        <v>0.0</v>
      </c>
      <c r="CW56" s="54">
        <v>0.0</v>
      </c>
      <c r="CX56" s="54">
        <v>0.0</v>
      </c>
      <c r="CY56" s="54">
        <v>0.0</v>
      </c>
      <c r="CZ56" s="54">
        <v>0.0</v>
      </c>
      <c r="DA56" s="54">
        <v>0.0</v>
      </c>
      <c r="DB56" s="54">
        <v>0.0</v>
      </c>
      <c r="DC56" s="54">
        <v>0.0</v>
      </c>
      <c r="DD56" s="54">
        <v>0.0</v>
      </c>
      <c r="DE56" s="54">
        <v>0.0</v>
      </c>
      <c r="DF56" s="54">
        <v>0.0</v>
      </c>
      <c r="DG56" s="54">
        <v>0.0</v>
      </c>
      <c r="DH56" s="54">
        <v>0.0</v>
      </c>
      <c r="DI56" s="54">
        <v>0.0</v>
      </c>
      <c r="DJ56" s="54">
        <v>0.0</v>
      </c>
      <c r="DK56" s="54">
        <v>0.0</v>
      </c>
      <c r="DL56" s="54">
        <v>0.0</v>
      </c>
      <c r="DM56" s="54">
        <v>0.0</v>
      </c>
      <c r="DN56" s="54">
        <v>0.0</v>
      </c>
      <c r="DO56" s="54">
        <v>0.0</v>
      </c>
      <c r="DP56" s="54">
        <v>0.0</v>
      </c>
      <c r="DQ56" s="54">
        <v>0.0</v>
      </c>
      <c r="DR56" s="54">
        <v>0.0</v>
      </c>
      <c r="DS56" s="54">
        <v>0.0</v>
      </c>
      <c r="DT56" s="54">
        <v>0.0</v>
      </c>
      <c r="DU56" s="54">
        <v>0.0</v>
      </c>
      <c r="DV56" s="54">
        <v>0.0</v>
      </c>
      <c r="DW56" s="54">
        <v>0.0</v>
      </c>
      <c r="DX56" s="54">
        <v>0.0</v>
      </c>
      <c r="DY56" s="54">
        <v>0.0</v>
      </c>
      <c r="DZ56" s="54">
        <v>0.0</v>
      </c>
      <c r="EA56" s="54">
        <v>0.0</v>
      </c>
      <c r="EB56" s="54">
        <v>0.0</v>
      </c>
      <c r="EC56" s="54">
        <v>0.0</v>
      </c>
      <c r="ED56" s="54">
        <v>0.0</v>
      </c>
      <c r="EE56" s="54">
        <v>0.0</v>
      </c>
      <c r="EF56" s="54">
        <v>0.0</v>
      </c>
      <c r="EG56" s="54">
        <v>0.0</v>
      </c>
      <c r="EH56" s="54">
        <v>0.0</v>
      </c>
      <c r="EI56" s="54">
        <v>0.0</v>
      </c>
      <c r="EJ56" s="54">
        <v>0.0</v>
      </c>
      <c r="EK56" s="54">
        <v>0.0</v>
      </c>
      <c r="EL56" s="54">
        <v>0.0</v>
      </c>
      <c r="EM56" s="54">
        <v>0.0</v>
      </c>
      <c r="EN56" s="54">
        <v>0.0</v>
      </c>
      <c r="EO56" s="54">
        <v>0.0</v>
      </c>
      <c r="EP56" s="54">
        <v>0.0</v>
      </c>
      <c r="EQ56" s="54">
        <v>0.0</v>
      </c>
      <c r="ER56" s="54">
        <v>0.0</v>
      </c>
      <c r="ES56" s="54">
        <v>0.0</v>
      </c>
      <c r="ET56" s="54">
        <v>0.0</v>
      </c>
      <c r="EU56" s="54">
        <v>0.0</v>
      </c>
      <c r="EV56" s="54">
        <v>0.0</v>
      </c>
      <c r="EW56" s="54">
        <v>0.0</v>
      </c>
      <c r="EX56" s="54">
        <v>0.0</v>
      </c>
      <c r="EY56" s="54">
        <v>0.0</v>
      </c>
      <c r="EZ56" s="54">
        <v>0.0</v>
      </c>
      <c r="FA56" s="54">
        <v>0.0</v>
      </c>
      <c r="FB56" s="54">
        <v>0.0</v>
      </c>
      <c r="FC56" s="54">
        <v>0.0</v>
      </c>
      <c r="FD56" s="54">
        <v>0.0</v>
      </c>
      <c r="FE56" s="54">
        <v>0.0</v>
      </c>
      <c r="FF56" s="54">
        <v>0.0</v>
      </c>
      <c r="FG56" s="54">
        <v>0.0</v>
      </c>
      <c r="FH56" s="54">
        <v>0.0</v>
      </c>
      <c r="FI56" s="54">
        <v>0.0</v>
      </c>
      <c r="FJ56" s="54">
        <v>0.0</v>
      </c>
      <c r="FK56" s="54">
        <v>0.0</v>
      </c>
      <c r="FL56" s="54">
        <v>0.0</v>
      </c>
      <c r="FM56" s="54">
        <v>0.0</v>
      </c>
      <c r="FN56" s="54">
        <v>0.0</v>
      </c>
      <c r="FO56" s="54">
        <v>0.0</v>
      </c>
      <c r="FP56" s="54">
        <v>0.0</v>
      </c>
      <c r="FQ56" s="54">
        <v>0.0</v>
      </c>
      <c r="FR56" s="54">
        <v>0.0</v>
      </c>
      <c r="FS56" s="54">
        <v>0.0</v>
      </c>
      <c r="FT56" s="54">
        <v>0.0</v>
      </c>
      <c r="FU56" s="54">
        <v>0.0</v>
      </c>
      <c r="FV56" s="54">
        <v>0.0</v>
      </c>
      <c r="FW56" s="54">
        <v>0.0</v>
      </c>
      <c r="FX56" s="54">
        <v>0.0</v>
      </c>
      <c r="FY56" s="54">
        <v>0.0</v>
      </c>
      <c r="FZ56" s="54">
        <v>0.0</v>
      </c>
      <c r="GA56" s="54">
        <v>0.0</v>
      </c>
      <c r="GB56" s="54">
        <v>0.0</v>
      </c>
      <c r="GC56" s="54">
        <v>0.0</v>
      </c>
      <c r="GD56" s="54">
        <v>0.0</v>
      </c>
      <c r="GE56" s="54">
        <v>0.0</v>
      </c>
      <c r="GF56" s="55">
        <v>3.466123E7</v>
      </c>
      <c r="GG56" s="56">
        <v>0.0</v>
      </c>
      <c r="GH56" s="57">
        <v>0.0</v>
      </c>
      <c r="GI56" s="56">
        <v>0.0</v>
      </c>
      <c r="GJ56" s="56">
        <v>8231844.0</v>
      </c>
      <c r="GK56" s="56">
        <v>0.0</v>
      </c>
      <c r="GL56" s="56">
        <v>0.0</v>
      </c>
      <c r="GM56" s="56">
        <v>0.0</v>
      </c>
      <c r="GN56" s="55">
        <v>8231844.0</v>
      </c>
      <c r="GO56" s="58">
        <v>4.2893074E7</v>
      </c>
      <c r="GP56" s="56">
        <v>0.0</v>
      </c>
      <c r="GQ56" s="56">
        <v>0.0</v>
      </c>
      <c r="GR56" s="57">
        <v>0.0</v>
      </c>
      <c r="GS56" s="55">
        <v>0.0</v>
      </c>
      <c r="GT56" s="59">
        <v>0.0</v>
      </c>
      <c r="GU56" s="59">
        <v>0.0</v>
      </c>
      <c r="GV56" s="59">
        <v>0.0</v>
      </c>
      <c r="GW56" s="55">
        <v>0.0</v>
      </c>
      <c r="GX56" s="55">
        <v>334765.0</v>
      </c>
      <c r="GY56" s="55">
        <v>4.2558309E7</v>
      </c>
      <c r="GZ56" s="58">
        <v>4.2893074E7</v>
      </c>
      <c r="HH56" s="106"/>
    </row>
    <row r="57" ht="15.75" customHeight="1">
      <c r="A57" s="60">
        <v>52.0</v>
      </c>
      <c r="B57" s="111" t="s">
        <v>322</v>
      </c>
      <c r="C57" s="62">
        <v>0.0</v>
      </c>
      <c r="D57" s="62">
        <v>0.0</v>
      </c>
      <c r="E57" s="62">
        <v>0.0</v>
      </c>
      <c r="F57" s="62">
        <v>0.0</v>
      </c>
      <c r="G57" s="62">
        <v>0.0</v>
      </c>
      <c r="H57" s="62">
        <v>0.0</v>
      </c>
      <c r="I57" s="62">
        <v>0.0</v>
      </c>
      <c r="J57" s="62">
        <v>0.0</v>
      </c>
      <c r="K57" s="62">
        <v>0.0</v>
      </c>
      <c r="L57" s="62">
        <v>0.0</v>
      </c>
      <c r="M57" s="62">
        <v>0.0</v>
      </c>
      <c r="N57" s="62">
        <v>0.0</v>
      </c>
      <c r="O57" s="62">
        <v>0.0</v>
      </c>
      <c r="P57" s="62">
        <v>0.0</v>
      </c>
      <c r="Q57" s="62">
        <v>0.0</v>
      </c>
      <c r="R57" s="62">
        <v>0.0</v>
      </c>
      <c r="S57" s="62">
        <v>0.0</v>
      </c>
      <c r="T57" s="62">
        <v>0.0</v>
      </c>
      <c r="U57" s="62">
        <v>0.0</v>
      </c>
      <c r="V57" s="62">
        <v>0.0</v>
      </c>
      <c r="W57" s="62">
        <v>0.0</v>
      </c>
      <c r="X57" s="62">
        <v>0.0</v>
      </c>
      <c r="Y57" s="62">
        <v>0.0</v>
      </c>
      <c r="Z57" s="62">
        <v>0.0</v>
      </c>
      <c r="AA57" s="62">
        <v>0.0</v>
      </c>
      <c r="AB57" s="62">
        <v>0.0</v>
      </c>
      <c r="AC57" s="62">
        <v>0.0</v>
      </c>
      <c r="AD57" s="62">
        <v>0.0</v>
      </c>
      <c r="AE57" s="62">
        <v>0.0</v>
      </c>
      <c r="AF57" s="62">
        <v>0.0</v>
      </c>
      <c r="AG57" s="62">
        <v>0.0</v>
      </c>
      <c r="AH57" s="62">
        <v>0.0</v>
      </c>
      <c r="AI57" s="62">
        <v>0.0</v>
      </c>
      <c r="AJ57" s="62">
        <v>0.0</v>
      </c>
      <c r="AK57" s="62">
        <v>0.0</v>
      </c>
      <c r="AL57" s="62">
        <v>0.0</v>
      </c>
      <c r="AM57" s="62">
        <v>3.196876E7</v>
      </c>
      <c r="AN57" s="62">
        <v>0.0</v>
      </c>
      <c r="AO57" s="62">
        <v>79525.0</v>
      </c>
      <c r="AP57" s="62">
        <v>573839.0</v>
      </c>
      <c r="AQ57" s="62">
        <v>1244299.0</v>
      </c>
      <c r="AR57" s="62">
        <v>1129382.0</v>
      </c>
      <c r="AS57" s="62">
        <v>1937908.0</v>
      </c>
      <c r="AT57" s="62">
        <v>429055.0</v>
      </c>
      <c r="AU57" s="62">
        <v>217547.0</v>
      </c>
      <c r="AV57" s="62">
        <v>2558436.0</v>
      </c>
      <c r="AW57" s="62">
        <v>81072.0</v>
      </c>
      <c r="AX57" s="62">
        <v>3749205.0</v>
      </c>
      <c r="AY57" s="62">
        <v>1838269.0</v>
      </c>
      <c r="AZ57" s="62">
        <v>208503.0</v>
      </c>
      <c r="BA57" s="62">
        <v>0.0</v>
      </c>
      <c r="BB57" s="62">
        <v>312209.0</v>
      </c>
      <c r="BC57" s="62">
        <v>0.0</v>
      </c>
      <c r="BD57" s="62">
        <v>0.0</v>
      </c>
      <c r="BE57" s="62">
        <v>0.0</v>
      </c>
      <c r="BF57" s="62">
        <v>0.0</v>
      </c>
      <c r="BG57" s="62">
        <v>0.0</v>
      </c>
      <c r="BH57" s="62">
        <v>0.0</v>
      </c>
      <c r="BI57" s="62">
        <v>0.0</v>
      </c>
      <c r="BJ57" s="62">
        <v>0.0</v>
      </c>
      <c r="BK57" s="62">
        <v>0.0</v>
      </c>
      <c r="BL57" s="62">
        <v>0.0</v>
      </c>
      <c r="BM57" s="62">
        <v>0.0</v>
      </c>
      <c r="BN57" s="62">
        <v>0.0</v>
      </c>
      <c r="BO57" s="62">
        <v>0.0</v>
      </c>
      <c r="BP57" s="62">
        <v>0.0</v>
      </c>
      <c r="BQ57" s="62">
        <v>0.0</v>
      </c>
      <c r="BR57" s="62">
        <v>0.0</v>
      </c>
      <c r="BS57" s="62">
        <v>0.0</v>
      </c>
      <c r="BT57" s="62">
        <v>0.0</v>
      </c>
      <c r="BU57" s="62">
        <v>0.0</v>
      </c>
      <c r="BV57" s="62">
        <v>0.0</v>
      </c>
      <c r="BW57" s="62">
        <v>0.0</v>
      </c>
      <c r="BX57" s="62">
        <v>0.0</v>
      </c>
      <c r="BY57" s="62">
        <v>0.0</v>
      </c>
      <c r="BZ57" s="62">
        <v>0.0</v>
      </c>
      <c r="CA57" s="62">
        <v>0.0</v>
      </c>
      <c r="CB57" s="62">
        <v>0.0</v>
      </c>
      <c r="CC57" s="62">
        <v>0.0</v>
      </c>
      <c r="CD57" s="62">
        <v>0.0</v>
      </c>
      <c r="CE57" s="62">
        <v>0.0</v>
      </c>
      <c r="CF57" s="62">
        <v>0.0</v>
      </c>
      <c r="CG57" s="62">
        <v>0.0</v>
      </c>
      <c r="CH57" s="62">
        <v>0.0</v>
      </c>
      <c r="CI57" s="62">
        <v>0.0</v>
      </c>
      <c r="CJ57" s="62">
        <v>0.0</v>
      </c>
      <c r="CK57" s="62">
        <v>0.0</v>
      </c>
      <c r="CL57" s="62">
        <v>0.0</v>
      </c>
      <c r="CM57" s="62">
        <v>0.0</v>
      </c>
      <c r="CN57" s="62">
        <v>0.0</v>
      </c>
      <c r="CO57" s="62">
        <v>0.0</v>
      </c>
      <c r="CP57" s="62">
        <v>0.0</v>
      </c>
      <c r="CQ57" s="62">
        <v>0.0</v>
      </c>
      <c r="CR57" s="62">
        <v>0.0</v>
      </c>
      <c r="CS57" s="62">
        <v>0.0</v>
      </c>
      <c r="CT57" s="62">
        <v>0.0</v>
      </c>
      <c r="CU57" s="62">
        <v>0.0</v>
      </c>
      <c r="CV57" s="62">
        <v>0.0</v>
      </c>
      <c r="CW57" s="62">
        <v>0.0</v>
      </c>
      <c r="CX57" s="62">
        <v>0.0</v>
      </c>
      <c r="CY57" s="62">
        <v>0.0</v>
      </c>
      <c r="CZ57" s="62">
        <v>0.0</v>
      </c>
      <c r="DA57" s="62">
        <v>0.0</v>
      </c>
      <c r="DB57" s="62">
        <v>0.0</v>
      </c>
      <c r="DC57" s="62">
        <v>0.0</v>
      </c>
      <c r="DD57" s="62">
        <v>0.0</v>
      </c>
      <c r="DE57" s="62">
        <v>0.0</v>
      </c>
      <c r="DF57" s="62">
        <v>0.0</v>
      </c>
      <c r="DG57" s="62">
        <v>0.0</v>
      </c>
      <c r="DH57" s="62">
        <v>0.0</v>
      </c>
      <c r="DI57" s="62">
        <v>0.0</v>
      </c>
      <c r="DJ57" s="62">
        <v>0.0</v>
      </c>
      <c r="DK57" s="62">
        <v>0.0</v>
      </c>
      <c r="DL57" s="62">
        <v>0.0</v>
      </c>
      <c r="DM57" s="62">
        <v>0.0</v>
      </c>
      <c r="DN57" s="62">
        <v>0.0</v>
      </c>
      <c r="DO57" s="62">
        <v>0.0</v>
      </c>
      <c r="DP57" s="62">
        <v>0.0</v>
      </c>
      <c r="DQ57" s="62">
        <v>0.0</v>
      </c>
      <c r="DR57" s="62">
        <v>0.0</v>
      </c>
      <c r="DS57" s="62">
        <v>0.0</v>
      </c>
      <c r="DT57" s="62">
        <v>0.0</v>
      </c>
      <c r="DU57" s="62">
        <v>0.0</v>
      </c>
      <c r="DV57" s="62">
        <v>0.0</v>
      </c>
      <c r="DW57" s="62">
        <v>0.0</v>
      </c>
      <c r="DX57" s="62">
        <v>0.0</v>
      </c>
      <c r="DY57" s="62">
        <v>0.0</v>
      </c>
      <c r="DZ57" s="62">
        <v>0.0</v>
      </c>
      <c r="EA57" s="62">
        <v>0.0</v>
      </c>
      <c r="EB57" s="62">
        <v>0.0</v>
      </c>
      <c r="EC57" s="62">
        <v>0.0</v>
      </c>
      <c r="ED57" s="62">
        <v>0.0</v>
      </c>
      <c r="EE57" s="62">
        <v>0.0</v>
      </c>
      <c r="EF57" s="62">
        <v>0.0</v>
      </c>
      <c r="EG57" s="62">
        <v>0.0</v>
      </c>
      <c r="EH57" s="62">
        <v>0.0</v>
      </c>
      <c r="EI57" s="62">
        <v>0.0</v>
      </c>
      <c r="EJ57" s="62">
        <v>0.0</v>
      </c>
      <c r="EK57" s="62">
        <v>0.0</v>
      </c>
      <c r="EL57" s="62">
        <v>0.0</v>
      </c>
      <c r="EM57" s="62">
        <v>0.0</v>
      </c>
      <c r="EN57" s="62">
        <v>0.0</v>
      </c>
      <c r="EO57" s="62">
        <v>0.0</v>
      </c>
      <c r="EP57" s="62">
        <v>0.0</v>
      </c>
      <c r="EQ57" s="62">
        <v>0.0</v>
      </c>
      <c r="ER57" s="62">
        <v>0.0</v>
      </c>
      <c r="ES57" s="62">
        <v>0.0</v>
      </c>
      <c r="ET57" s="62">
        <v>0.0</v>
      </c>
      <c r="EU57" s="62">
        <v>0.0</v>
      </c>
      <c r="EV57" s="62">
        <v>0.0</v>
      </c>
      <c r="EW57" s="62">
        <v>0.0</v>
      </c>
      <c r="EX57" s="62">
        <v>0.0</v>
      </c>
      <c r="EY57" s="62">
        <v>0.0</v>
      </c>
      <c r="EZ57" s="62">
        <v>0.0</v>
      </c>
      <c r="FA57" s="62">
        <v>0.0</v>
      </c>
      <c r="FB57" s="62">
        <v>0.0</v>
      </c>
      <c r="FC57" s="62">
        <v>0.0</v>
      </c>
      <c r="FD57" s="62">
        <v>0.0</v>
      </c>
      <c r="FE57" s="62">
        <v>0.0</v>
      </c>
      <c r="FF57" s="62">
        <v>0.0</v>
      </c>
      <c r="FG57" s="62">
        <v>0.0</v>
      </c>
      <c r="FH57" s="62">
        <v>0.0</v>
      </c>
      <c r="FI57" s="62">
        <v>0.0</v>
      </c>
      <c r="FJ57" s="62">
        <v>0.0</v>
      </c>
      <c r="FK57" s="62">
        <v>0.0</v>
      </c>
      <c r="FL57" s="62">
        <v>0.0</v>
      </c>
      <c r="FM57" s="62">
        <v>0.0</v>
      </c>
      <c r="FN57" s="62">
        <v>0.0</v>
      </c>
      <c r="FO57" s="62">
        <v>0.0</v>
      </c>
      <c r="FP57" s="62">
        <v>0.0</v>
      </c>
      <c r="FQ57" s="62">
        <v>0.0</v>
      </c>
      <c r="FR57" s="62">
        <v>0.0</v>
      </c>
      <c r="FS57" s="62">
        <v>0.0</v>
      </c>
      <c r="FT57" s="62">
        <v>0.0</v>
      </c>
      <c r="FU57" s="62">
        <v>0.0</v>
      </c>
      <c r="FV57" s="62">
        <v>0.0</v>
      </c>
      <c r="FW57" s="62">
        <v>0.0</v>
      </c>
      <c r="FX57" s="62">
        <v>0.0</v>
      </c>
      <c r="FY57" s="62">
        <v>0.0</v>
      </c>
      <c r="FZ57" s="62">
        <v>0.0</v>
      </c>
      <c r="GA57" s="62">
        <v>0.0</v>
      </c>
      <c r="GB57" s="62">
        <v>0.0</v>
      </c>
      <c r="GC57" s="62">
        <v>0.0</v>
      </c>
      <c r="GD57" s="62">
        <v>0.0</v>
      </c>
      <c r="GE57" s="62">
        <v>0.0</v>
      </c>
      <c r="GF57" s="63">
        <v>4.6328009E7</v>
      </c>
      <c r="GG57" s="64">
        <v>0.0</v>
      </c>
      <c r="GH57" s="65">
        <v>0.0</v>
      </c>
      <c r="GI57" s="64">
        <v>0.0</v>
      </c>
      <c r="GJ57" s="64">
        <v>8527816.0</v>
      </c>
      <c r="GK57" s="64">
        <v>0.0</v>
      </c>
      <c r="GL57" s="64">
        <v>0.0</v>
      </c>
      <c r="GM57" s="64">
        <v>0.0</v>
      </c>
      <c r="GN57" s="63">
        <v>8527816.0</v>
      </c>
      <c r="GO57" s="66">
        <v>5.4855825E7</v>
      </c>
      <c r="GP57" s="64">
        <v>0.0</v>
      </c>
      <c r="GQ57" s="64">
        <v>0.0</v>
      </c>
      <c r="GR57" s="65">
        <v>0.0</v>
      </c>
      <c r="GS57" s="63">
        <v>0.0</v>
      </c>
      <c r="GT57" s="67">
        <v>0.0</v>
      </c>
      <c r="GU57" s="67">
        <v>0.0</v>
      </c>
      <c r="GV57" s="67">
        <v>0.0</v>
      </c>
      <c r="GW57" s="63">
        <v>0.0</v>
      </c>
      <c r="GX57" s="63">
        <v>346801.0</v>
      </c>
      <c r="GY57" s="63">
        <v>5.4509024E7</v>
      </c>
      <c r="GZ57" s="66">
        <v>5.4855825E7</v>
      </c>
      <c r="HH57" s="106"/>
    </row>
    <row r="58" ht="15.75" customHeight="1">
      <c r="A58" s="60">
        <v>53.0</v>
      </c>
      <c r="B58" s="111" t="s">
        <v>323</v>
      </c>
      <c r="C58" s="62">
        <v>0.0</v>
      </c>
      <c r="D58" s="62">
        <v>0.0</v>
      </c>
      <c r="E58" s="62">
        <v>0.0</v>
      </c>
      <c r="F58" s="62">
        <v>0.0</v>
      </c>
      <c r="G58" s="62">
        <v>0.0</v>
      </c>
      <c r="H58" s="62">
        <v>0.0</v>
      </c>
      <c r="I58" s="62">
        <v>0.0</v>
      </c>
      <c r="J58" s="62">
        <v>0.0</v>
      </c>
      <c r="K58" s="62">
        <v>0.0</v>
      </c>
      <c r="L58" s="62">
        <v>0.0</v>
      </c>
      <c r="M58" s="62">
        <v>0.0</v>
      </c>
      <c r="N58" s="62">
        <v>0.0</v>
      </c>
      <c r="O58" s="62">
        <v>0.0</v>
      </c>
      <c r="P58" s="62">
        <v>0.0</v>
      </c>
      <c r="Q58" s="62">
        <v>0.0</v>
      </c>
      <c r="R58" s="62">
        <v>0.0</v>
      </c>
      <c r="S58" s="62">
        <v>0.0</v>
      </c>
      <c r="T58" s="62">
        <v>0.0</v>
      </c>
      <c r="U58" s="62">
        <v>0.0</v>
      </c>
      <c r="V58" s="62">
        <v>0.0</v>
      </c>
      <c r="W58" s="62">
        <v>0.0</v>
      </c>
      <c r="X58" s="62">
        <v>0.0</v>
      </c>
      <c r="Y58" s="62">
        <v>0.0</v>
      </c>
      <c r="Z58" s="62">
        <v>0.0</v>
      </c>
      <c r="AA58" s="62">
        <v>0.0</v>
      </c>
      <c r="AB58" s="62">
        <v>0.0</v>
      </c>
      <c r="AC58" s="62">
        <v>0.0</v>
      </c>
      <c r="AD58" s="62">
        <v>0.0</v>
      </c>
      <c r="AE58" s="62">
        <v>0.0</v>
      </c>
      <c r="AF58" s="62">
        <v>0.0</v>
      </c>
      <c r="AG58" s="62">
        <v>0.0</v>
      </c>
      <c r="AH58" s="62">
        <v>0.0</v>
      </c>
      <c r="AI58" s="62">
        <v>0.0</v>
      </c>
      <c r="AJ58" s="62">
        <v>0.0</v>
      </c>
      <c r="AK58" s="62">
        <v>0.0</v>
      </c>
      <c r="AL58" s="62">
        <v>0.0</v>
      </c>
      <c r="AM58" s="62">
        <v>0.0</v>
      </c>
      <c r="AN58" s="62">
        <v>0.0</v>
      </c>
      <c r="AO58" s="62">
        <v>0.0</v>
      </c>
      <c r="AP58" s="62">
        <v>0.0</v>
      </c>
      <c r="AQ58" s="62">
        <v>0.0</v>
      </c>
      <c r="AR58" s="62">
        <v>0.0</v>
      </c>
      <c r="AS58" s="62">
        <v>0.0</v>
      </c>
      <c r="AT58" s="62">
        <v>0.0</v>
      </c>
      <c r="AU58" s="62">
        <v>0.0</v>
      </c>
      <c r="AV58" s="62">
        <v>0.0</v>
      </c>
      <c r="AW58" s="62">
        <v>0.0</v>
      </c>
      <c r="AX58" s="62">
        <v>0.0</v>
      </c>
      <c r="AY58" s="62">
        <v>0.0</v>
      </c>
      <c r="AZ58" s="62">
        <v>0.0</v>
      </c>
      <c r="BA58" s="62">
        <v>0.0</v>
      </c>
      <c r="BB58" s="62">
        <v>0.0</v>
      </c>
      <c r="BC58" s="62">
        <v>2665889.0</v>
      </c>
      <c r="BD58" s="62">
        <v>3.3715969E7</v>
      </c>
      <c r="BE58" s="62">
        <v>0.0</v>
      </c>
      <c r="BF58" s="62">
        <v>0.0</v>
      </c>
      <c r="BG58" s="62">
        <v>0.0</v>
      </c>
      <c r="BH58" s="62">
        <v>0.0</v>
      </c>
      <c r="BI58" s="62">
        <v>0.0</v>
      </c>
      <c r="BJ58" s="62">
        <v>0.0</v>
      </c>
      <c r="BK58" s="62">
        <v>0.0</v>
      </c>
      <c r="BL58" s="62">
        <v>0.0</v>
      </c>
      <c r="BM58" s="62">
        <v>0.0</v>
      </c>
      <c r="BN58" s="62">
        <v>0.0</v>
      </c>
      <c r="BO58" s="62">
        <v>0.0</v>
      </c>
      <c r="BP58" s="62">
        <v>0.0</v>
      </c>
      <c r="BQ58" s="62">
        <v>3746.0</v>
      </c>
      <c r="BR58" s="62">
        <v>0.0</v>
      </c>
      <c r="BS58" s="62">
        <v>0.0</v>
      </c>
      <c r="BT58" s="62">
        <v>0.0</v>
      </c>
      <c r="BU58" s="62">
        <v>8983327.0</v>
      </c>
      <c r="BV58" s="62">
        <v>253043.0</v>
      </c>
      <c r="BW58" s="62">
        <v>0.0</v>
      </c>
      <c r="BX58" s="62">
        <v>0.0</v>
      </c>
      <c r="BY58" s="62">
        <v>0.0</v>
      </c>
      <c r="BZ58" s="62">
        <v>0.0</v>
      </c>
      <c r="CA58" s="62">
        <v>0.0</v>
      </c>
      <c r="CB58" s="62">
        <v>0.0</v>
      </c>
      <c r="CC58" s="62">
        <v>0.0</v>
      </c>
      <c r="CD58" s="62">
        <v>0.0</v>
      </c>
      <c r="CE58" s="62">
        <v>0.0</v>
      </c>
      <c r="CF58" s="62">
        <v>0.0</v>
      </c>
      <c r="CG58" s="62">
        <v>5014553.0</v>
      </c>
      <c r="CH58" s="62">
        <v>752347.0</v>
      </c>
      <c r="CI58" s="62">
        <v>366397.0</v>
      </c>
      <c r="CJ58" s="62">
        <v>0.0</v>
      </c>
      <c r="CK58" s="62">
        <v>0.0</v>
      </c>
      <c r="CL58" s="62">
        <v>0.0</v>
      </c>
      <c r="CM58" s="62">
        <v>0.0</v>
      </c>
      <c r="CN58" s="62">
        <v>0.0</v>
      </c>
      <c r="CO58" s="62">
        <v>0.0</v>
      </c>
      <c r="CP58" s="62">
        <v>0.0</v>
      </c>
      <c r="CQ58" s="62">
        <v>0.0</v>
      </c>
      <c r="CR58" s="62">
        <v>0.0</v>
      </c>
      <c r="CS58" s="62">
        <v>0.0</v>
      </c>
      <c r="CT58" s="62">
        <v>0.0</v>
      </c>
      <c r="CU58" s="62">
        <v>0.0</v>
      </c>
      <c r="CV58" s="62">
        <v>0.0</v>
      </c>
      <c r="CW58" s="62">
        <v>0.0</v>
      </c>
      <c r="CX58" s="62">
        <v>0.0</v>
      </c>
      <c r="CY58" s="62">
        <v>0.0</v>
      </c>
      <c r="CZ58" s="62">
        <v>0.0</v>
      </c>
      <c r="DA58" s="62">
        <v>0.0</v>
      </c>
      <c r="DB58" s="62">
        <v>0.0</v>
      </c>
      <c r="DC58" s="62">
        <v>0.0</v>
      </c>
      <c r="DD58" s="62">
        <v>0.0</v>
      </c>
      <c r="DE58" s="62">
        <v>0.0</v>
      </c>
      <c r="DF58" s="62">
        <v>0.0</v>
      </c>
      <c r="DG58" s="62">
        <v>0.0</v>
      </c>
      <c r="DH58" s="62">
        <v>0.0</v>
      </c>
      <c r="DI58" s="62">
        <v>0.0</v>
      </c>
      <c r="DJ58" s="62">
        <v>0.0</v>
      </c>
      <c r="DK58" s="62">
        <v>0.0</v>
      </c>
      <c r="DL58" s="62">
        <v>0.0</v>
      </c>
      <c r="DM58" s="62">
        <v>0.0</v>
      </c>
      <c r="DN58" s="62">
        <v>0.0</v>
      </c>
      <c r="DO58" s="62">
        <v>0.0</v>
      </c>
      <c r="DP58" s="62">
        <v>0.0</v>
      </c>
      <c r="DQ58" s="62">
        <v>0.0</v>
      </c>
      <c r="DR58" s="62">
        <v>0.0</v>
      </c>
      <c r="DS58" s="62">
        <v>0.0</v>
      </c>
      <c r="DT58" s="62">
        <v>0.0</v>
      </c>
      <c r="DU58" s="62">
        <v>0.0</v>
      </c>
      <c r="DV58" s="62">
        <v>0.0</v>
      </c>
      <c r="DW58" s="62">
        <v>0.0</v>
      </c>
      <c r="DX58" s="62">
        <v>0.0</v>
      </c>
      <c r="DY58" s="62">
        <v>0.0</v>
      </c>
      <c r="DZ58" s="62">
        <v>0.0</v>
      </c>
      <c r="EA58" s="62">
        <v>0.0</v>
      </c>
      <c r="EB58" s="62">
        <v>0.0</v>
      </c>
      <c r="EC58" s="62">
        <v>0.0</v>
      </c>
      <c r="ED58" s="62">
        <v>0.0</v>
      </c>
      <c r="EE58" s="62">
        <v>0.0</v>
      </c>
      <c r="EF58" s="62">
        <v>0.0</v>
      </c>
      <c r="EG58" s="62">
        <v>0.0</v>
      </c>
      <c r="EH58" s="62">
        <v>0.0</v>
      </c>
      <c r="EI58" s="62">
        <v>0.0</v>
      </c>
      <c r="EJ58" s="62">
        <v>0.0</v>
      </c>
      <c r="EK58" s="62">
        <v>0.0</v>
      </c>
      <c r="EL58" s="62">
        <v>0.0</v>
      </c>
      <c r="EM58" s="62">
        <v>0.0</v>
      </c>
      <c r="EN58" s="62">
        <v>0.0</v>
      </c>
      <c r="EO58" s="62">
        <v>0.0</v>
      </c>
      <c r="EP58" s="62">
        <v>0.0</v>
      </c>
      <c r="EQ58" s="62">
        <v>0.0</v>
      </c>
      <c r="ER58" s="62">
        <v>0.0</v>
      </c>
      <c r="ES58" s="62">
        <v>0.0</v>
      </c>
      <c r="ET58" s="62">
        <v>0.0</v>
      </c>
      <c r="EU58" s="62">
        <v>0.0</v>
      </c>
      <c r="EV58" s="62">
        <v>0.0</v>
      </c>
      <c r="EW58" s="62">
        <v>0.0</v>
      </c>
      <c r="EX58" s="62">
        <v>0.0</v>
      </c>
      <c r="EY58" s="62">
        <v>0.0</v>
      </c>
      <c r="EZ58" s="62">
        <v>0.0</v>
      </c>
      <c r="FA58" s="62">
        <v>0.0</v>
      </c>
      <c r="FB58" s="62">
        <v>0.0</v>
      </c>
      <c r="FC58" s="62">
        <v>0.0</v>
      </c>
      <c r="FD58" s="62">
        <v>0.0</v>
      </c>
      <c r="FE58" s="62">
        <v>579209.0</v>
      </c>
      <c r="FF58" s="62">
        <v>0.0</v>
      </c>
      <c r="FG58" s="62">
        <v>0.0</v>
      </c>
      <c r="FH58" s="62">
        <v>0.0</v>
      </c>
      <c r="FI58" s="62">
        <v>0.0</v>
      </c>
      <c r="FJ58" s="62">
        <v>5444216.0</v>
      </c>
      <c r="FK58" s="62">
        <v>6.9167681E7</v>
      </c>
      <c r="FL58" s="62">
        <v>0.0</v>
      </c>
      <c r="FM58" s="62">
        <v>0.0</v>
      </c>
      <c r="FN58" s="62">
        <v>0.0</v>
      </c>
      <c r="FO58" s="62">
        <v>0.0</v>
      </c>
      <c r="FP58" s="62">
        <v>0.0</v>
      </c>
      <c r="FQ58" s="62">
        <v>0.0</v>
      </c>
      <c r="FR58" s="62">
        <v>0.0</v>
      </c>
      <c r="FS58" s="62">
        <v>0.0</v>
      </c>
      <c r="FT58" s="62">
        <v>0.0</v>
      </c>
      <c r="FU58" s="62">
        <v>0.0</v>
      </c>
      <c r="FV58" s="62">
        <v>0.0</v>
      </c>
      <c r="FW58" s="62">
        <v>64958.0</v>
      </c>
      <c r="FX58" s="62">
        <v>12489.0</v>
      </c>
      <c r="FY58" s="62">
        <v>938020.0</v>
      </c>
      <c r="FZ58" s="62">
        <v>0.0</v>
      </c>
      <c r="GA58" s="62">
        <v>1855636.0</v>
      </c>
      <c r="GB58" s="62">
        <v>9694527.0</v>
      </c>
      <c r="GC58" s="62">
        <v>919000.0</v>
      </c>
      <c r="GD58" s="62">
        <v>0.0</v>
      </c>
      <c r="GE58" s="62">
        <v>1.1393711E7</v>
      </c>
      <c r="GF58" s="63">
        <v>1.51824718E8</v>
      </c>
      <c r="GG58" s="64">
        <v>2.20242878E8</v>
      </c>
      <c r="GH58" s="65">
        <v>0.0</v>
      </c>
      <c r="GI58" s="64">
        <v>0.0</v>
      </c>
      <c r="GJ58" s="64">
        <v>0.0</v>
      </c>
      <c r="GK58" s="64">
        <v>-2547949.0</v>
      </c>
      <c r="GL58" s="64">
        <v>268129.0</v>
      </c>
      <c r="GM58" s="64">
        <v>0.0</v>
      </c>
      <c r="GN58" s="63">
        <v>2.17963058E8</v>
      </c>
      <c r="GO58" s="66">
        <v>3.69787776E8</v>
      </c>
      <c r="GP58" s="64">
        <v>7966087.0</v>
      </c>
      <c r="GQ58" s="64">
        <v>0.0</v>
      </c>
      <c r="GR58" s="65">
        <v>0.0</v>
      </c>
      <c r="GS58" s="63">
        <v>7966087.0</v>
      </c>
      <c r="GT58" s="67">
        <v>4.5044848E7</v>
      </c>
      <c r="GU58" s="67">
        <v>4.4132654E7</v>
      </c>
      <c r="GV58" s="67">
        <v>1.4073383E7</v>
      </c>
      <c r="GW58" s="63">
        <v>1.03250885E8</v>
      </c>
      <c r="GX58" s="63">
        <v>1024771.0</v>
      </c>
      <c r="GY58" s="63">
        <v>2.57546033E8</v>
      </c>
      <c r="GZ58" s="66">
        <v>3.69787776E8</v>
      </c>
      <c r="HH58" s="106"/>
    </row>
    <row r="59" ht="15.75" customHeight="1">
      <c r="A59" s="60">
        <v>54.0</v>
      </c>
      <c r="B59" s="111" t="s">
        <v>324</v>
      </c>
      <c r="C59" s="62">
        <v>0.0</v>
      </c>
      <c r="D59" s="62">
        <v>0.0</v>
      </c>
      <c r="E59" s="62">
        <v>0.0</v>
      </c>
      <c r="F59" s="62">
        <v>0.0</v>
      </c>
      <c r="G59" s="62">
        <v>0.0</v>
      </c>
      <c r="H59" s="62">
        <v>0.0</v>
      </c>
      <c r="I59" s="62">
        <v>0.0</v>
      </c>
      <c r="J59" s="62">
        <v>0.0</v>
      </c>
      <c r="K59" s="62">
        <v>0.0</v>
      </c>
      <c r="L59" s="62">
        <v>0.0</v>
      </c>
      <c r="M59" s="62">
        <v>0.0</v>
      </c>
      <c r="N59" s="62">
        <v>0.0</v>
      </c>
      <c r="O59" s="62">
        <v>0.0</v>
      </c>
      <c r="P59" s="62">
        <v>0.0</v>
      </c>
      <c r="Q59" s="62">
        <v>0.0</v>
      </c>
      <c r="R59" s="62">
        <v>0.0</v>
      </c>
      <c r="S59" s="62">
        <v>0.0</v>
      </c>
      <c r="T59" s="62">
        <v>0.0</v>
      </c>
      <c r="U59" s="62">
        <v>0.0</v>
      </c>
      <c r="V59" s="62">
        <v>0.0</v>
      </c>
      <c r="W59" s="62">
        <v>0.0</v>
      </c>
      <c r="X59" s="62">
        <v>0.0</v>
      </c>
      <c r="Y59" s="62">
        <v>0.0</v>
      </c>
      <c r="Z59" s="62">
        <v>0.0</v>
      </c>
      <c r="AA59" s="62">
        <v>0.0</v>
      </c>
      <c r="AB59" s="62">
        <v>0.0</v>
      </c>
      <c r="AC59" s="62">
        <v>0.0</v>
      </c>
      <c r="AD59" s="62">
        <v>0.0</v>
      </c>
      <c r="AE59" s="62">
        <v>0.0</v>
      </c>
      <c r="AF59" s="62">
        <v>0.0</v>
      </c>
      <c r="AG59" s="62">
        <v>0.0</v>
      </c>
      <c r="AH59" s="62">
        <v>0.0</v>
      </c>
      <c r="AI59" s="62">
        <v>0.0</v>
      </c>
      <c r="AJ59" s="62">
        <v>0.0</v>
      </c>
      <c r="AK59" s="62">
        <v>0.0</v>
      </c>
      <c r="AL59" s="62">
        <v>0.0</v>
      </c>
      <c r="AM59" s="62">
        <v>0.0</v>
      </c>
      <c r="AN59" s="62">
        <v>0.0</v>
      </c>
      <c r="AO59" s="62">
        <v>0.0</v>
      </c>
      <c r="AP59" s="62">
        <v>0.0</v>
      </c>
      <c r="AQ59" s="62">
        <v>0.0</v>
      </c>
      <c r="AR59" s="62">
        <v>0.0</v>
      </c>
      <c r="AS59" s="62">
        <v>0.0</v>
      </c>
      <c r="AT59" s="62">
        <v>0.0</v>
      </c>
      <c r="AU59" s="62">
        <v>0.0</v>
      </c>
      <c r="AV59" s="62">
        <v>0.0</v>
      </c>
      <c r="AW59" s="62">
        <v>0.0</v>
      </c>
      <c r="AX59" s="62">
        <v>0.0</v>
      </c>
      <c r="AY59" s="62">
        <v>0.0</v>
      </c>
      <c r="AZ59" s="62">
        <v>0.0</v>
      </c>
      <c r="BA59" s="62">
        <v>0.0</v>
      </c>
      <c r="BB59" s="62">
        <v>0.0</v>
      </c>
      <c r="BC59" s="62">
        <v>3254.0</v>
      </c>
      <c r="BD59" s="62">
        <v>1755.0</v>
      </c>
      <c r="BE59" s="62">
        <v>0.0</v>
      </c>
      <c r="BF59" s="62">
        <v>0.0</v>
      </c>
      <c r="BG59" s="62">
        <v>0.0</v>
      </c>
      <c r="BH59" s="62">
        <v>0.0</v>
      </c>
      <c r="BI59" s="62">
        <v>0.0</v>
      </c>
      <c r="BJ59" s="62">
        <v>0.0</v>
      </c>
      <c r="BK59" s="62">
        <v>0.0</v>
      </c>
      <c r="BL59" s="62">
        <v>0.0</v>
      </c>
      <c r="BM59" s="62">
        <v>0.0</v>
      </c>
      <c r="BN59" s="62">
        <v>0.0</v>
      </c>
      <c r="BO59" s="62">
        <v>0.0</v>
      </c>
      <c r="BP59" s="62">
        <v>0.0</v>
      </c>
      <c r="BQ59" s="62">
        <v>1876.0</v>
      </c>
      <c r="BR59" s="62">
        <v>0.0</v>
      </c>
      <c r="BS59" s="62">
        <v>0.0</v>
      </c>
      <c r="BT59" s="62">
        <v>0.0</v>
      </c>
      <c r="BU59" s="62">
        <v>67865.0</v>
      </c>
      <c r="BV59" s="62">
        <v>8849.0</v>
      </c>
      <c r="BW59" s="62">
        <v>0.0</v>
      </c>
      <c r="BX59" s="62">
        <v>0.0</v>
      </c>
      <c r="BY59" s="62">
        <v>0.0</v>
      </c>
      <c r="BZ59" s="62">
        <v>0.0</v>
      </c>
      <c r="CA59" s="62">
        <v>0.0</v>
      </c>
      <c r="CB59" s="62">
        <v>0.0</v>
      </c>
      <c r="CC59" s="62">
        <v>0.0</v>
      </c>
      <c r="CD59" s="62">
        <v>0.0</v>
      </c>
      <c r="CE59" s="62">
        <v>0.0</v>
      </c>
      <c r="CF59" s="62">
        <v>0.0</v>
      </c>
      <c r="CG59" s="62">
        <v>0.0</v>
      </c>
      <c r="CH59" s="62">
        <v>0.0</v>
      </c>
      <c r="CI59" s="62">
        <v>0.0</v>
      </c>
      <c r="CJ59" s="62">
        <v>0.0</v>
      </c>
      <c r="CK59" s="62">
        <v>0.0</v>
      </c>
      <c r="CL59" s="62">
        <v>0.0</v>
      </c>
      <c r="CM59" s="62">
        <v>0.0</v>
      </c>
      <c r="CN59" s="62">
        <v>0.0</v>
      </c>
      <c r="CO59" s="62">
        <v>0.0</v>
      </c>
      <c r="CP59" s="62">
        <v>0.0</v>
      </c>
      <c r="CQ59" s="62">
        <v>0.0</v>
      </c>
      <c r="CR59" s="62">
        <v>0.0</v>
      </c>
      <c r="CS59" s="62">
        <v>0.0</v>
      </c>
      <c r="CT59" s="62">
        <v>0.0</v>
      </c>
      <c r="CU59" s="62">
        <v>0.0</v>
      </c>
      <c r="CV59" s="62">
        <v>0.0</v>
      </c>
      <c r="CW59" s="62">
        <v>0.0</v>
      </c>
      <c r="CX59" s="62">
        <v>0.0</v>
      </c>
      <c r="CY59" s="62">
        <v>0.0</v>
      </c>
      <c r="CZ59" s="62">
        <v>0.0</v>
      </c>
      <c r="DA59" s="62">
        <v>0.0</v>
      </c>
      <c r="DB59" s="62">
        <v>0.0</v>
      </c>
      <c r="DC59" s="62">
        <v>0.0</v>
      </c>
      <c r="DD59" s="62">
        <v>0.0</v>
      </c>
      <c r="DE59" s="62">
        <v>0.0</v>
      </c>
      <c r="DF59" s="62">
        <v>0.0</v>
      </c>
      <c r="DG59" s="62">
        <v>0.0</v>
      </c>
      <c r="DH59" s="62">
        <v>0.0</v>
      </c>
      <c r="DI59" s="62">
        <v>0.0</v>
      </c>
      <c r="DJ59" s="62">
        <v>0.0</v>
      </c>
      <c r="DK59" s="62">
        <v>0.0</v>
      </c>
      <c r="DL59" s="62">
        <v>0.0</v>
      </c>
      <c r="DM59" s="62">
        <v>0.0</v>
      </c>
      <c r="DN59" s="62">
        <v>0.0</v>
      </c>
      <c r="DO59" s="62">
        <v>0.0</v>
      </c>
      <c r="DP59" s="62">
        <v>0.0</v>
      </c>
      <c r="DQ59" s="62">
        <v>0.0</v>
      </c>
      <c r="DR59" s="62">
        <v>0.0</v>
      </c>
      <c r="DS59" s="62">
        <v>0.0</v>
      </c>
      <c r="DT59" s="62">
        <v>0.0</v>
      </c>
      <c r="DU59" s="62">
        <v>0.0</v>
      </c>
      <c r="DV59" s="62">
        <v>0.0</v>
      </c>
      <c r="DW59" s="62">
        <v>0.0</v>
      </c>
      <c r="DX59" s="62">
        <v>0.0</v>
      </c>
      <c r="DY59" s="62">
        <v>0.0</v>
      </c>
      <c r="DZ59" s="62">
        <v>0.0</v>
      </c>
      <c r="EA59" s="62">
        <v>0.0</v>
      </c>
      <c r="EB59" s="62">
        <v>0.0</v>
      </c>
      <c r="EC59" s="62">
        <v>0.0</v>
      </c>
      <c r="ED59" s="62">
        <v>0.0</v>
      </c>
      <c r="EE59" s="62">
        <v>0.0</v>
      </c>
      <c r="EF59" s="62">
        <v>0.0</v>
      </c>
      <c r="EG59" s="62">
        <v>0.0</v>
      </c>
      <c r="EH59" s="62">
        <v>0.0</v>
      </c>
      <c r="EI59" s="62">
        <v>0.0</v>
      </c>
      <c r="EJ59" s="62">
        <v>0.0</v>
      </c>
      <c r="EK59" s="62">
        <v>0.0</v>
      </c>
      <c r="EL59" s="62">
        <v>0.0</v>
      </c>
      <c r="EM59" s="62">
        <v>0.0</v>
      </c>
      <c r="EN59" s="62">
        <v>0.0</v>
      </c>
      <c r="EO59" s="62">
        <v>0.0</v>
      </c>
      <c r="EP59" s="62">
        <v>0.0</v>
      </c>
      <c r="EQ59" s="62">
        <v>0.0</v>
      </c>
      <c r="ER59" s="62">
        <v>0.0</v>
      </c>
      <c r="ES59" s="62">
        <v>0.0</v>
      </c>
      <c r="ET59" s="62">
        <v>0.0</v>
      </c>
      <c r="EU59" s="62">
        <v>0.0</v>
      </c>
      <c r="EV59" s="62">
        <v>0.0</v>
      </c>
      <c r="EW59" s="62">
        <v>0.0</v>
      </c>
      <c r="EX59" s="62">
        <v>0.0</v>
      </c>
      <c r="EY59" s="62">
        <v>0.0</v>
      </c>
      <c r="EZ59" s="62">
        <v>0.0</v>
      </c>
      <c r="FA59" s="62">
        <v>0.0</v>
      </c>
      <c r="FB59" s="62">
        <v>0.0</v>
      </c>
      <c r="FC59" s="62">
        <v>0.0</v>
      </c>
      <c r="FD59" s="62">
        <v>0.0</v>
      </c>
      <c r="FE59" s="62">
        <v>269546.0</v>
      </c>
      <c r="FF59" s="62">
        <v>0.0</v>
      </c>
      <c r="FG59" s="62">
        <v>0.0</v>
      </c>
      <c r="FH59" s="62">
        <v>0.0</v>
      </c>
      <c r="FI59" s="62">
        <v>0.0</v>
      </c>
      <c r="FJ59" s="62">
        <v>1702660.0</v>
      </c>
      <c r="FK59" s="62">
        <v>5497137.0</v>
      </c>
      <c r="FL59" s="62">
        <v>0.0</v>
      </c>
      <c r="FM59" s="62">
        <v>0.0</v>
      </c>
      <c r="FN59" s="62">
        <v>0.0</v>
      </c>
      <c r="FO59" s="62">
        <v>0.0</v>
      </c>
      <c r="FP59" s="62">
        <v>0.0</v>
      </c>
      <c r="FQ59" s="62">
        <v>0.0</v>
      </c>
      <c r="FR59" s="62">
        <v>0.0</v>
      </c>
      <c r="FS59" s="62">
        <v>0.0</v>
      </c>
      <c r="FT59" s="62">
        <v>0.0</v>
      </c>
      <c r="FU59" s="62">
        <v>0.0</v>
      </c>
      <c r="FV59" s="62">
        <v>0.0</v>
      </c>
      <c r="FW59" s="62">
        <v>10043.0</v>
      </c>
      <c r="FX59" s="62">
        <v>83097.0</v>
      </c>
      <c r="FY59" s="62">
        <v>8917468.0</v>
      </c>
      <c r="FZ59" s="62">
        <v>17642.0</v>
      </c>
      <c r="GA59" s="62">
        <v>261290.0</v>
      </c>
      <c r="GB59" s="62">
        <v>2888129.0</v>
      </c>
      <c r="GC59" s="62">
        <v>302309.0</v>
      </c>
      <c r="GD59" s="62">
        <v>0.0</v>
      </c>
      <c r="GE59" s="62">
        <v>1348724.0</v>
      </c>
      <c r="GF59" s="63">
        <v>2.1381644E7</v>
      </c>
      <c r="GG59" s="64">
        <v>6.3044111E7</v>
      </c>
      <c r="GH59" s="65">
        <v>0.0</v>
      </c>
      <c r="GI59" s="64">
        <v>0.0</v>
      </c>
      <c r="GJ59" s="64">
        <v>0.0</v>
      </c>
      <c r="GK59" s="64">
        <v>-684544.0</v>
      </c>
      <c r="GL59" s="64">
        <v>0.0</v>
      </c>
      <c r="GM59" s="64">
        <v>0.0</v>
      </c>
      <c r="GN59" s="63">
        <v>6.2359567E7</v>
      </c>
      <c r="GO59" s="66">
        <v>8.3741211E7</v>
      </c>
      <c r="GP59" s="64">
        <v>8673115.0</v>
      </c>
      <c r="GQ59" s="64">
        <v>0.0</v>
      </c>
      <c r="GR59" s="65">
        <v>0.0</v>
      </c>
      <c r="GS59" s="63">
        <v>8673115.0</v>
      </c>
      <c r="GT59" s="67">
        <v>6073625.0</v>
      </c>
      <c r="GU59" s="67">
        <v>4113959.0</v>
      </c>
      <c r="GV59" s="67">
        <v>1653204.0</v>
      </c>
      <c r="GW59" s="63">
        <v>1.1840788E7</v>
      </c>
      <c r="GX59" s="63">
        <v>344020.0</v>
      </c>
      <c r="GY59" s="63">
        <v>6.2883288E7</v>
      </c>
      <c r="GZ59" s="66">
        <v>8.3741211E7</v>
      </c>
      <c r="HH59" s="106"/>
    </row>
    <row r="60" ht="15.75" customHeight="1">
      <c r="A60" s="68">
        <v>55.0</v>
      </c>
      <c r="B60" s="111" t="s">
        <v>325</v>
      </c>
      <c r="C60" s="70">
        <v>0.0</v>
      </c>
      <c r="D60" s="70">
        <v>0.0</v>
      </c>
      <c r="E60" s="70">
        <v>0.0</v>
      </c>
      <c r="F60" s="70">
        <v>0.0</v>
      </c>
      <c r="G60" s="70">
        <v>0.0</v>
      </c>
      <c r="H60" s="70">
        <v>0.0</v>
      </c>
      <c r="I60" s="70">
        <v>0.0</v>
      </c>
      <c r="J60" s="70">
        <v>0.0</v>
      </c>
      <c r="K60" s="70">
        <v>0.0</v>
      </c>
      <c r="L60" s="70">
        <v>0.0</v>
      </c>
      <c r="M60" s="70">
        <v>0.0</v>
      </c>
      <c r="N60" s="70">
        <v>0.0</v>
      </c>
      <c r="O60" s="70">
        <v>0.0</v>
      </c>
      <c r="P60" s="70">
        <v>0.0</v>
      </c>
      <c r="Q60" s="70">
        <v>0.0</v>
      </c>
      <c r="R60" s="70">
        <v>0.0</v>
      </c>
      <c r="S60" s="70">
        <v>0.0</v>
      </c>
      <c r="T60" s="70">
        <v>0.0</v>
      </c>
      <c r="U60" s="70">
        <v>0.0</v>
      </c>
      <c r="V60" s="70">
        <v>0.0</v>
      </c>
      <c r="W60" s="70">
        <v>0.0</v>
      </c>
      <c r="X60" s="70">
        <v>0.0</v>
      </c>
      <c r="Y60" s="70">
        <v>0.0</v>
      </c>
      <c r="Z60" s="70">
        <v>0.0</v>
      </c>
      <c r="AA60" s="70">
        <v>0.0</v>
      </c>
      <c r="AB60" s="70">
        <v>0.0</v>
      </c>
      <c r="AC60" s="70">
        <v>0.0</v>
      </c>
      <c r="AD60" s="70">
        <v>0.0</v>
      </c>
      <c r="AE60" s="70">
        <v>0.0</v>
      </c>
      <c r="AF60" s="70">
        <v>0.0</v>
      </c>
      <c r="AG60" s="70">
        <v>0.0</v>
      </c>
      <c r="AH60" s="70">
        <v>0.0</v>
      </c>
      <c r="AI60" s="70">
        <v>0.0</v>
      </c>
      <c r="AJ60" s="70">
        <v>0.0</v>
      </c>
      <c r="AK60" s="70">
        <v>0.0</v>
      </c>
      <c r="AL60" s="70">
        <v>0.0</v>
      </c>
      <c r="AM60" s="70">
        <v>0.0</v>
      </c>
      <c r="AN60" s="70">
        <v>0.0</v>
      </c>
      <c r="AO60" s="70">
        <v>0.0</v>
      </c>
      <c r="AP60" s="70">
        <v>0.0</v>
      </c>
      <c r="AQ60" s="70">
        <v>0.0</v>
      </c>
      <c r="AR60" s="70">
        <v>0.0</v>
      </c>
      <c r="AS60" s="70">
        <v>0.0</v>
      </c>
      <c r="AT60" s="70">
        <v>0.0</v>
      </c>
      <c r="AU60" s="70">
        <v>0.0</v>
      </c>
      <c r="AV60" s="70">
        <v>0.0</v>
      </c>
      <c r="AW60" s="70">
        <v>0.0</v>
      </c>
      <c r="AX60" s="70">
        <v>0.0</v>
      </c>
      <c r="AY60" s="70">
        <v>0.0</v>
      </c>
      <c r="AZ60" s="70">
        <v>0.0</v>
      </c>
      <c r="BA60" s="70">
        <v>0.0</v>
      </c>
      <c r="BB60" s="70">
        <v>0.0</v>
      </c>
      <c r="BC60" s="70">
        <v>0.0</v>
      </c>
      <c r="BD60" s="70">
        <v>0.0</v>
      </c>
      <c r="BE60" s="70">
        <v>39245.0</v>
      </c>
      <c r="BF60" s="70">
        <v>7868.0</v>
      </c>
      <c r="BG60" s="70">
        <v>0.0</v>
      </c>
      <c r="BH60" s="70">
        <v>0.0</v>
      </c>
      <c r="BI60" s="70">
        <v>0.0</v>
      </c>
      <c r="BJ60" s="70">
        <v>0.0</v>
      </c>
      <c r="BK60" s="70">
        <v>0.0</v>
      </c>
      <c r="BL60" s="70">
        <v>0.0</v>
      </c>
      <c r="BM60" s="70">
        <v>0.0</v>
      </c>
      <c r="BN60" s="70">
        <v>0.0</v>
      </c>
      <c r="BO60" s="70">
        <v>0.0</v>
      </c>
      <c r="BP60" s="70">
        <v>0.0</v>
      </c>
      <c r="BQ60" s="70">
        <v>0.0</v>
      </c>
      <c r="BR60" s="70">
        <v>0.0</v>
      </c>
      <c r="BS60" s="70">
        <v>0.0</v>
      </c>
      <c r="BT60" s="70">
        <v>0.0</v>
      </c>
      <c r="BU60" s="70">
        <v>18618.0</v>
      </c>
      <c r="BV60" s="70">
        <v>0.0</v>
      </c>
      <c r="BW60" s="70">
        <v>0.0</v>
      </c>
      <c r="BX60" s="70">
        <v>0.0</v>
      </c>
      <c r="BY60" s="70">
        <v>0.0</v>
      </c>
      <c r="BZ60" s="70">
        <v>0.0</v>
      </c>
      <c r="CA60" s="70">
        <v>0.0</v>
      </c>
      <c r="CB60" s="70">
        <v>0.0</v>
      </c>
      <c r="CC60" s="70">
        <v>0.0</v>
      </c>
      <c r="CD60" s="70">
        <v>0.0</v>
      </c>
      <c r="CE60" s="70">
        <v>0.0</v>
      </c>
      <c r="CF60" s="70">
        <v>0.0</v>
      </c>
      <c r="CG60" s="70">
        <v>0.0</v>
      </c>
      <c r="CH60" s="70">
        <v>0.0</v>
      </c>
      <c r="CI60" s="70">
        <v>0.0</v>
      </c>
      <c r="CJ60" s="70">
        <v>0.0</v>
      </c>
      <c r="CK60" s="70">
        <v>0.0</v>
      </c>
      <c r="CL60" s="70">
        <v>0.0</v>
      </c>
      <c r="CM60" s="70">
        <v>0.0</v>
      </c>
      <c r="CN60" s="70">
        <v>0.0</v>
      </c>
      <c r="CO60" s="70">
        <v>0.0</v>
      </c>
      <c r="CP60" s="70">
        <v>0.0</v>
      </c>
      <c r="CQ60" s="70">
        <v>0.0</v>
      </c>
      <c r="CR60" s="70">
        <v>0.0</v>
      </c>
      <c r="CS60" s="70">
        <v>0.0</v>
      </c>
      <c r="CT60" s="70">
        <v>0.0</v>
      </c>
      <c r="CU60" s="70">
        <v>0.0</v>
      </c>
      <c r="CV60" s="70">
        <v>0.0</v>
      </c>
      <c r="CW60" s="70">
        <v>0.0</v>
      </c>
      <c r="CX60" s="70">
        <v>0.0</v>
      </c>
      <c r="CY60" s="70">
        <v>0.0</v>
      </c>
      <c r="CZ60" s="70">
        <v>0.0</v>
      </c>
      <c r="DA60" s="70">
        <v>0.0</v>
      </c>
      <c r="DB60" s="70">
        <v>0.0</v>
      </c>
      <c r="DC60" s="70">
        <v>0.0</v>
      </c>
      <c r="DD60" s="70">
        <v>0.0</v>
      </c>
      <c r="DE60" s="70">
        <v>0.0</v>
      </c>
      <c r="DF60" s="70">
        <v>0.0</v>
      </c>
      <c r="DG60" s="70">
        <v>0.0</v>
      </c>
      <c r="DH60" s="70">
        <v>0.0</v>
      </c>
      <c r="DI60" s="70">
        <v>0.0</v>
      </c>
      <c r="DJ60" s="70">
        <v>0.0</v>
      </c>
      <c r="DK60" s="70">
        <v>0.0</v>
      </c>
      <c r="DL60" s="70">
        <v>0.0</v>
      </c>
      <c r="DM60" s="70">
        <v>0.0</v>
      </c>
      <c r="DN60" s="70">
        <v>0.0</v>
      </c>
      <c r="DO60" s="70">
        <v>0.0</v>
      </c>
      <c r="DP60" s="70">
        <v>0.0</v>
      </c>
      <c r="DQ60" s="70">
        <v>0.0</v>
      </c>
      <c r="DR60" s="70">
        <v>0.0</v>
      </c>
      <c r="DS60" s="70">
        <v>0.0</v>
      </c>
      <c r="DT60" s="70">
        <v>0.0</v>
      </c>
      <c r="DU60" s="70">
        <v>0.0</v>
      </c>
      <c r="DV60" s="70">
        <v>0.0</v>
      </c>
      <c r="DW60" s="70">
        <v>0.0</v>
      </c>
      <c r="DX60" s="70">
        <v>0.0</v>
      </c>
      <c r="DY60" s="70">
        <v>0.0</v>
      </c>
      <c r="DZ60" s="70">
        <v>0.0</v>
      </c>
      <c r="EA60" s="70">
        <v>0.0</v>
      </c>
      <c r="EB60" s="70">
        <v>0.0</v>
      </c>
      <c r="EC60" s="70">
        <v>0.0</v>
      </c>
      <c r="ED60" s="70">
        <v>0.0</v>
      </c>
      <c r="EE60" s="70">
        <v>0.0</v>
      </c>
      <c r="EF60" s="70">
        <v>0.0</v>
      </c>
      <c r="EG60" s="70">
        <v>0.0</v>
      </c>
      <c r="EH60" s="70">
        <v>0.0</v>
      </c>
      <c r="EI60" s="70">
        <v>0.0</v>
      </c>
      <c r="EJ60" s="70">
        <v>0.0</v>
      </c>
      <c r="EK60" s="70">
        <v>0.0</v>
      </c>
      <c r="EL60" s="70">
        <v>0.0</v>
      </c>
      <c r="EM60" s="70">
        <v>0.0</v>
      </c>
      <c r="EN60" s="70">
        <v>0.0</v>
      </c>
      <c r="EO60" s="70">
        <v>0.0</v>
      </c>
      <c r="EP60" s="70">
        <v>0.0</v>
      </c>
      <c r="EQ60" s="70">
        <v>0.0</v>
      </c>
      <c r="ER60" s="70">
        <v>0.0</v>
      </c>
      <c r="ES60" s="70">
        <v>0.0</v>
      </c>
      <c r="ET60" s="70">
        <v>0.0</v>
      </c>
      <c r="EU60" s="70">
        <v>0.0</v>
      </c>
      <c r="EV60" s="70">
        <v>0.0</v>
      </c>
      <c r="EW60" s="70">
        <v>0.0</v>
      </c>
      <c r="EX60" s="70">
        <v>0.0</v>
      </c>
      <c r="EY60" s="70">
        <v>0.0</v>
      </c>
      <c r="EZ60" s="70">
        <v>0.0</v>
      </c>
      <c r="FA60" s="70">
        <v>0.0</v>
      </c>
      <c r="FB60" s="70">
        <v>0.0</v>
      </c>
      <c r="FC60" s="70">
        <v>0.0</v>
      </c>
      <c r="FD60" s="70">
        <v>0.0</v>
      </c>
      <c r="FE60" s="70">
        <v>212871.0</v>
      </c>
      <c r="FF60" s="70">
        <v>0.0</v>
      </c>
      <c r="FG60" s="70">
        <v>0.0</v>
      </c>
      <c r="FH60" s="70">
        <v>0.0</v>
      </c>
      <c r="FI60" s="70">
        <v>0.0</v>
      </c>
      <c r="FJ60" s="70">
        <v>391904.0</v>
      </c>
      <c r="FK60" s="70">
        <v>6138704.0</v>
      </c>
      <c r="FL60" s="70">
        <v>0.0</v>
      </c>
      <c r="FM60" s="70">
        <v>0.0</v>
      </c>
      <c r="FN60" s="70">
        <v>0.0</v>
      </c>
      <c r="FO60" s="70">
        <v>0.0</v>
      </c>
      <c r="FP60" s="70">
        <v>0.0</v>
      </c>
      <c r="FQ60" s="70">
        <v>0.0</v>
      </c>
      <c r="FR60" s="70">
        <v>0.0</v>
      </c>
      <c r="FS60" s="70">
        <v>0.0</v>
      </c>
      <c r="FT60" s="70">
        <v>0.0</v>
      </c>
      <c r="FU60" s="70">
        <v>0.0</v>
      </c>
      <c r="FV60" s="70">
        <v>0.0</v>
      </c>
      <c r="FW60" s="70">
        <v>185.0</v>
      </c>
      <c r="FX60" s="70">
        <v>10.0</v>
      </c>
      <c r="FY60" s="70">
        <v>1901.0</v>
      </c>
      <c r="FZ60" s="70">
        <v>0.0</v>
      </c>
      <c r="GA60" s="70">
        <v>11061.0</v>
      </c>
      <c r="GB60" s="70">
        <v>35100.0</v>
      </c>
      <c r="GC60" s="70">
        <v>40312.0</v>
      </c>
      <c r="GD60" s="70">
        <v>0.0</v>
      </c>
      <c r="GE60" s="70">
        <v>25476.0</v>
      </c>
      <c r="GF60" s="71">
        <v>6923255.0</v>
      </c>
      <c r="GG60" s="72">
        <v>3.478086E7</v>
      </c>
      <c r="GH60" s="73">
        <v>0.0</v>
      </c>
      <c r="GI60" s="72">
        <v>0.0</v>
      </c>
      <c r="GJ60" s="72">
        <v>0.0</v>
      </c>
      <c r="GK60" s="72">
        <v>39399.0</v>
      </c>
      <c r="GL60" s="72">
        <v>1.4469078E7</v>
      </c>
      <c r="GM60" s="72">
        <v>0.0</v>
      </c>
      <c r="GN60" s="71">
        <v>4.9289337E7</v>
      </c>
      <c r="GO60" s="74">
        <v>5.6212592E7</v>
      </c>
      <c r="GP60" s="72">
        <v>89492.0</v>
      </c>
      <c r="GQ60" s="72">
        <v>0.0</v>
      </c>
      <c r="GR60" s="73">
        <v>0.0</v>
      </c>
      <c r="GS60" s="71">
        <v>89492.0</v>
      </c>
      <c r="GT60" s="75">
        <v>2497542.0</v>
      </c>
      <c r="GU60" s="75">
        <v>2244083.0</v>
      </c>
      <c r="GV60" s="75">
        <v>667458.0</v>
      </c>
      <c r="GW60" s="71">
        <v>5409083.0</v>
      </c>
      <c r="GX60" s="71">
        <v>4357.0</v>
      </c>
      <c r="GY60" s="71">
        <v>5.070966E7</v>
      </c>
      <c r="GZ60" s="74">
        <v>5.6212592E7</v>
      </c>
      <c r="HH60" s="106"/>
    </row>
    <row r="61" ht="15.75" customHeight="1">
      <c r="A61" s="52">
        <v>56.0</v>
      </c>
      <c r="B61" s="111" t="s">
        <v>326</v>
      </c>
      <c r="C61" s="54">
        <v>0.0</v>
      </c>
      <c r="D61" s="54">
        <v>0.0</v>
      </c>
      <c r="E61" s="54">
        <v>0.0</v>
      </c>
      <c r="F61" s="54">
        <v>0.0</v>
      </c>
      <c r="G61" s="54">
        <v>0.0</v>
      </c>
      <c r="H61" s="54">
        <v>0.0</v>
      </c>
      <c r="I61" s="54">
        <v>0.0</v>
      </c>
      <c r="J61" s="54">
        <v>0.0</v>
      </c>
      <c r="K61" s="54">
        <v>0.0</v>
      </c>
      <c r="L61" s="54">
        <v>0.0</v>
      </c>
      <c r="M61" s="54">
        <v>0.0</v>
      </c>
      <c r="N61" s="54">
        <v>0.0</v>
      </c>
      <c r="O61" s="54">
        <v>0.0</v>
      </c>
      <c r="P61" s="54">
        <v>0.0</v>
      </c>
      <c r="Q61" s="54">
        <v>0.0</v>
      </c>
      <c r="R61" s="54">
        <v>0.0</v>
      </c>
      <c r="S61" s="54">
        <v>0.0</v>
      </c>
      <c r="T61" s="54">
        <v>0.0</v>
      </c>
      <c r="U61" s="54">
        <v>0.0</v>
      </c>
      <c r="V61" s="54">
        <v>0.0</v>
      </c>
      <c r="W61" s="54">
        <v>0.0</v>
      </c>
      <c r="X61" s="54">
        <v>0.0</v>
      </c>
      <c r="Y61" s="54">
        <v>0.0</v>
      </c>
      <c r="Z61" s="54">
        <v>0.0</v>
      </c>
      <c r="AA61" s="54">
        <v>0.0</v>
      </c>
      <c r="AB61" s="54">
        <v>0.0</v>
      </c>
      <c r="AC61" s="54">
        <v>0.0</v>
      </c>
      <c r="AD61" s="54">
        <v>0.0</v>
      </c>
      <c r="AE61" s="54">
        <v>0.0</v>
      </c>
      <c r="AF61" s="54">
        <v>0.0</v>
      </c>
      <c r="AG61" s="54">
        <v>0.0</v>
      </c>
      <c r="AH61" s="54">
        <v>0.0</v>
      </c>
      <c r="AI61" s="54">
        <v>0.0</v>
      </c>
      <c r="AJ61" s="54">
        <v>0.0</v>
      </c>
      <c r="AK61" s="54">
        <v>0.0</v>
      </c>
      <c r="AL61" s="54">
        <v>0.0</v>
      </c>
      <c r="AM61" s="54">
        <v>0.0</v>
      </c>
      <c r="AN61" s="54">
        <v>0.0</v>
      </c>
      <c r="AO61" s="54">
        <v>0.0</v>
      </c>
      <c r="AP61" s="54">
        <v>0.0</v>
      </c>
      <c r="AQ61" s="54">
        <v>0.0</v>
      </c>
      <c r="AR61" s="54">
        <v>0.0</v>
      </c>
      <c r="AS61" s="54">
        <v>0.0</v>
      </c>
      <c r="AT61" s="54">
        <v>0.0</v>
      </c>
      <c r="AU61" s="54">
        <v>0.0</v>
      </c>
      <c r="AV61" s="54">
        <v>0.0</v>
      </c>
      <c r="AW61" s="54">
        <v>0.0</v>
      </c>
      <c r="AX61" s="54">
        <v>0.0</v>
      </c>
      <c r="AY61" s="54">
        <v>0.0</v>
      </c>
      <c r="AZ61" s="54">
        <v>0.0</v>
      </c>
      <c r="BA61" s="54">
        <v>0.0</v>
      </c>
      <c r="BB61" s="54">
        <v>0.0</v>
      </c>
      <c r="BC61" s="54">
        <v>0.0</v>
      </c>
      <c r="BD61" s="54">
        <v>0.0</v>
      </c>
      <c r="BE61" s="54">
        <v>190602.0</v>
      </c>
      <c r="BF61" s="54">
        <v>738285.0</v>
      </c>
      <c r="BG61" s="54">
        <v>0.0</v>
      </c>
      <c r="BH61" s="54">
        <v>3503596.0</v>
      </c>
      <c r="BI61" s="54">
        <v>0.0</v>
      </c>
      <c r="BJ61" s="54">
        <v>0.0</v>
      </c>
      <c r="BK61" s="54">
        <v>0.0</v>
      </c>
      <c r="BL61" s="54">
        <v>0.0</v>
      </c>
      <c r="BM61" s="54">
        <v>0.0</v>
      </c>
      <c r="BN61" s="54">
        <v>0.0</v>
      </c>
      <c r="BO61" s="54">
        <v>0.0</v>
      </c>
      <c r="BP61" s="54">
        <v>0.0</v>
      </c>
      <c r="BQ61" s="54">
        <v>199.0</v>
      </c>
      <c r="BR61" s="54">
        <v>0.0</v>
      </c>
      <c r="BS61" s="54">
        <v>0.0</v>
      </c>
      <c r="BT61" s="54">
        <v>0.0</v>
      </c>
      <c r="BU61" s="54">
        <v>188620.0</v>
      </c>
      <c r="BV61" s="54">
        <v>0.0</v>
      </c>
      <c r="BW61" s="54">
        <v>0.0</v>
      </c>
      <c r="BX61" s="54">
        <v>0.0</v>
      </c>
      <c r="BY61" s="54">
        <v>0.0</v>
      </c>
      <c r="BZ61" s="54">
        <v>0.0</v>
      </c>
      <c r="CA61" s="54">
        <v>0.0</v>
      </c>
      <c r="CB61" s="54">
        <v>0.0</v>
      </c>
      <c r="CC61" s="54">
        <v>0.0</v>
      </c>
      <c r="CD61" s="54">
        <v>0.0</v>
      </c>
      <c r="CE61" s="54">
        <v>0.0</v>
      </c>
      <c r="CF61" s="54">
        <v>0.0</v>
      </c>
      <c r="CG61" s="54">
        <v>0.0</v>
      </c>
      <c r="CH61" s="54">
        <v>0.0</v>
      </c>
      <c r="CI61" s="54">
        <v>0.0</v>
      </c>
      <c r="CJ61" s="54">
        <v>0.0</v>
      </c>
      <c r="CK61" s="54">
        <v>0.0</v>
      </c>
      <c r="CL61" s="54">
        <v>0.0</v>
      </c>
      <c r="CM61" s="54">
        <v>0.0</v>
      </c>
      <c r="CN61" s="54">
        <v>0.0</v>
      </c>
      <c r="CO61" s="54">
        <v>0.0</v>
      </c>
      <c r="CP61" s="54">
        <v>0.0</v>
      </c>
      <c r="CQ61" s="54">
        <v>0.0</v>
      </c>
      <c r="CR61" s="54">
        <v>0.0</v>
      </c>
      <c r="CS61" s="54">
        <v>0.0</v>
      </c>
      <c r="CT61" s="54">
        <v>0.0</v>
      </c>
      <c r="CU61" s="54">
        <v>0.0</v>
      </c>
      <c r="CV61" s="54">
        <v>0.0</v>
      </c>
      <c r="CW61" s="54">
        <v>0.0</v>
      </c>
      <c r="CX61" s="54">
        <v>0.0</v>
      </c>
      <c r="CY61" s="54">
        <v>0.0</v>
      </c>
      <c r="CZ61" s="54">
        <v>0.0</v>
      </c>
      <c r="DA61" s="54">
        <v>0.0</v>
      </c>
      <c r="DB61" s="54">
        <v>0.0</v>
      </c>
      <c r="DC61" s="54">
        <v>0.0</v>
      </c>
      <c r="DD61" s="54">
        <v>0.0</v>
      </c>
      <c r="DE61" s="54">
        <v>0.0</v>
      </c>
      <c r="DF61" s="54">
        <v>0.0</v>
      </c>
      <c r="DG61" s="54">
        <v>0.0</v>
      </c>
      <c r="DH61" s="54">
        <v>0.0</v>
      </c>
      <c r="DI61" s="54">
        <v>0.0</v>
      </c>
      <c r="DJ61" s="54">
        <v>0.0</v>
      </c>
      <c r="DK61" s="54">
        <v>0.0</v>
      </c>
      <c r="DL61" s="54">
        <v>0.0</v>
      </c>
      <c r="DM61" s="54">
        <v>0.0</v>
      </c>
      <c r="DN61" s="54">
        <v>0.0</v>
      </c>
      <c r="DO61" s="54">
        <v>0.0</v>
      </c>
      <c r="DP61" s="54">
        <v>0.0</v>
      </c>
      <c r="DQ61" s="54">
        <v>0.0</v>
      </c>
      <c r="DR61" s="54">
        <v>0.0</v>
      </c>
      <c r="DS61" s="54">
        <v>0.0</v>
      </c>
      <c r="DT61" s="54">
        <v>0.0</v>
      </c>
      <c r="DU61" s="54">
        <v>0.0</v>
      </c>
      <c r="DV61" s="54">
        <v>0.0</v>
      </c>
      <c r="DW61" s="54">
        <v>0.0</v>
      </c>
      <c r="DX61" s="54">
        <v>0.0</v>
      </c>
      <c r="DY61" s="54">
        <v>0.0</v>
      </c>
      <c r="DZ61" s="54">
        <v>0.0</v>
      </c>
      <c r="EA61" s="54">
        <v>0.0</v>
      </c>
      <c r="EB61" s="54">
        <v>0.0</v>
      </c>
      <c r="EC61" s="54">
        <v>0.0</v>
      </c>
      <c r="ED61" s="54">
        <v>0.0</v>
      </c>
      <c r="EE61" s="54">
        <v>0.0</v>
      </c>
      <c r="EF61" s="54">
        <v>0.0</v>
      </c>
      <c r="EG61" s="54">
        <v>0.0</v>
      </c>
      <c r="EH61" s="54">
        <v>0.0</v>
      </c>
      <c r="EI61" s="54">
        <v>0.0</v>
      </c>
      <c r="EJ61" s="54">
        <v>0.0</v>
      </c>
      <c r="EK61" s="54">
        <v>0.0</v>
      </c>
      <c r="EL61" s="54">
        <v>0.0</v>
      </c>
      <c r="EM61" s="54">
        <v>0.0</v>
      </c>
      <c r="EN61" s="54">
        <v>0.0</v>
      </c>
      <c r="EO61" s="54">
        <v>0.0</v>
      </c>
      <c r="EP61" s="54">
        <v>0.0</v>
      </c>
      <c r="EQ61" s="54">
        <v>0.0</v>
      </c>
      <c r="ER61" s="54">
        <v>0.0</v>
      </c>
      <c r="ES61" s="54">
        <v>0.0</v>
      </c>
      <c r="ET61" s="54">
        <v>0.0</v>
      </c>
      <c r="EU61" s="54">
        <v>0.0</v>
      </c>
      <c r="EV61" s="54">
        <v>0.0</v>
      </c>
      <c r="EW61" s="54">
        <v>0.0</v>
      </c>
      <c r="EX61" s="54">
        <v>0.0</v>
      </c>
      <c r="EY61" s="54">
        <v>0.0</v>
      </c>
      <c r="EZ61" s="54">
        <v>0.0</v>
      </c>
      <c r="FA61" s="54">
        <v>0.0</v>
      </c>
      <c r="FB61" s="54">
        <v>0.0</v>
      </c>
      <c r="FC61" s="54">
        <v>0.0</v>
      </c>
      <c r="FD61" s="54">
        <v>0.0</v>
      </c>
      <c r="FE61" s="54">
        <v>259329.0</v>
      </c>
      <c r="FF61" s="54">
        <v>0.0</v>
      </c>
      <c r="FG61" s="54">
        <v>0.0</v>
      </c>
      <c r="FH61" s="54">
        <v>0.0</v>
      </c>
      <c r="FI61" s="54">
        <v>0.0</v>
      </c>
      <c r="FJ61" s="54">
        <v>2399156.0</v>
      </c>
      <c r="FK61" s="54">
        <v>2.3045264E7</v>
      </c>
      <c r="FL61" s="54">
        <v>0.0</v>
      </c>
      <c r="FM61" s="54">
        <v>0.0</v>
      </c>
      <c r="FN61" s="54">
        <v>0.0</v>
      </c>
      <c r="FO61" s="54">
        <v>0.0</v>
      </c>
      <c r="FP61" s="54">
        <v>0.0</v>
      </c>
      <c r="FQ61" s="54">
        <v>0.0</v>
      </c>
      <c r="FR61" s="54">
        <v>0.0</v>
      </c>
      <c r="FS61" s="54">
        <v>0.0</v>
      </c>
      <c r="FT61" s="54">
        <v>0.0</v>
      </c>
      <c r="FU61" s="54">
        <v>0.0</v>
      </c>
      <c r="FV61" s="54">
        <v>0.0</v>
      </c>
      <c r="FW61" s="54">
        <v>41212.0</v>
      </c>
      <c r="FX61" s="54">
        <v>2163.0</v>
      </c>
      <c r="FY61" s="54">
        <v>1965.0</v>
      </c>
      <c r="FZ61" s="54">
        <v>0.0</v>
      </c>
      <c r="GA61" s="54">
        <v>47246.0</v>
      </c>
      <c r="GB61" s="54">
        <v>16524.0</v>
      </c>
      <c r="GC61" s="54">
        <v>314800.0</v>
      </c>
      <c r="GD61" s="54">
        <v>0.0</v>
      </c>
      <c r="GE61" s="54">
        <v>14176.0</v>
      </c>
      <c r="GF61" s="55">
        <v>3.0763137E7</v>
      </c>
      <c r="GG61" s="56">
        <v>3.8246023E7</v>
      </c>
      <c r="GH61" s="57">
        <v>0.0</v>
      </c>
      <c r="GI61" s="56">
        <v>0.0</v>
      </c>
      <c r="GJ61" s="56">
        <v>0.0</v>
      </c>
      <c r="GK61" s="56">
        <v>-960912.0</v>
      </c>
      <c r="GL61" s="56">
        <v>6.4892098E7</v>
      </c>
      <c r="GM61" s="56">
        <v>0.0</v>
      </c>
      <c r="GN61" s="55">
        <v>1.02177209E8</v>
      </c>
      <c r="GO61" s="58">
        <v>1.32940346E8</v>
      </c>
      <c r="GP61" s="56">
        <v>4928302.0</v>
      </c>
      <c r="GQ61" s="56">
        <v>0.0</v>
      </c>
      <c r="GR61" s="57">
        <v>0.0</v>
      </c>
      <c r="GS61" s="55">
        <v>4928302.0</v>
      </c>
      <c r="GT61" s="59">
        <v>1.0308007E7</v>
      </c>
      <c r="GU61" s="59">
        <v>1.9918109E7</v>
      </c>
      <c r="GV61" s="59">
        <v>2873305.0</v>
      </c>
      <c r="GW61" s="55">
        <v>3.3099421E7</v>
      </c>
      <c r="GX61" s="55">
        <v>201423.0</v>
      </c>
      <c r="GY61" s="55">
        <v>9.47112E7</v>
      </c>
      <c r="GZ61" s="58">
        <v>1.32940346E8</v>
      </c>
      <c r="HH61" s="106"/>
    </row>
    <row r="62" ht="15.75" customHeight="1">
      <c r="A62" s="60">
        <v>57.0</v>
      </c>
      <c r="B62" s="111" t="s">
        <v>590</v>
      </c>
      <c r="C62" s="62">
        <v>0.0</v>
      </c>
      <c r="D62" s="62">
        <v>0.0</v>
      </c>
      <c r="E62" s="62">
        <v>0.0</v>
      </c>
      <c r="F62" s="62">
        <v>0.0</v>
      </c>
      <c r="G62" s="62">
        <v>0.0</v>
      </c>
      <c r="H62" s="62">
        <v>0.0</v>
      </c>
      <c r="I62" s="62">
        <v>0.0</v>
      </c>
      <c r="J62" s="62">
        <v>0.0</v>
      </c>
      <c r="K62" s="62">
        <v>0.0</v>
      </c>
      <c r="L62" s="62">
        <v>0.0</v>
      </c>
      <c r="M62" s="62">
        <v>0.0</v>
      </c>
      <c r="N62" s="62">
        <v>0.0</v>
      </c>
      <c r="O62" s="62">
        <v>0.0</v>
      </c>
      <c r="P62" s="62">
        <v>0.0</v>
      </c>
      <c r="Q62" s="62">
        <v>0.0</v>
      </c>
      <c r="R62" s="62">
        <v>0.0</v>
      </c>
      <c r="S62" s="62">
        <v>0.0</v>
      </c>
      <c r="T62" s="62">
        <v>0.0</v>
      </c>
      <c r="U62" s="62">
        <v>0.0</v>
      </c>
      <c r="V62" s="62">
        <v>0.0</v>
      </c>
      <c r="W62" s="62">
        <v>0.0</v>
      </c>
      <c r="X62" s="62">
        <v>0.0</v>
      </c>
      <c r="Y62" s="62">
        <v>0.0</v>
      </c>
      <c r="Z62" s="62">
        <v>0.0</v>
      </c>
      <c r="AA62" s="62">
        <v>0.0</v>
      </c>
      <c r="AB62" s="62">
        <v>0.0</v>
      </c>
      <c r="AC62" s="62">
        <v>0.0</v>
      </c>
      <c r="AD62" s="62">
        <v>0.0</v>
      </c>
      <c r="AE62" s="62">
        <v>0.0</v>
      </c>
      <c r="AF62" s="62">
        <v>0.0</v>
      </c>
      <c r="AG62" s="62">
        <v>0.0</v>
      </c>
      <c r="AH62" s="62">
        <v>0.0</v>
      </c>
      <c r="AI62" s="62">
        <v>0.0</v>
      </c>
      <c r="AJ62" s="62">
        <v>0.0</v>
      </c>
      <c r="AK62" s="62">
        <v>0.0</v>
      </c>
      <c r="AL62" s="62">
        <v>0.0</v>
      </c>
      <c r="AM62" s="62">
        <v>0.0</v>
      </c>
      <c r="AN62" s="62">
        <v>0.0</v>
      </c>
      <c r="AO62" s="62">
        <v>0.0</v>
      </c>
      <c r="AP62" s="62">
        <v>0.0</v>
      </c>
      <c r="AQ62" s="62">
        <v>0.0</v>
      </c>
      <c r="AR62" s="62">
        <v>0.0</v>
      </c>
      <c r="AS62" s="62">
        <v>0.0</v>
      </c>
      <c r="AT62" s="62">
        <v>0.0</v>
      </c>
      <c r="AU62" s="62">
        <v>0.0</v>
      </c>
      <c r="AV62" s="62">
        <v>0.0</v>
      </c>
      <c r="AW62" s="62">
        <v>0.0</v>
      </c>
      <c r="AX62" s="62">
        <v>0.0</v>
      </c>
      <c r="AY62" s="62">
        <v>0.0</v>
      </c>
      <c r="AZ62" s="62">
        <v>0.0</v>
      </c>
      <c r="BA62" s="62">
        <v>0.0</v>
      </c>
      <c r="BB62" s="62">
        <v>0.0</v>
      </c>
      <c r="BC62" s="62">
        <v>0.0</v>
      </c>
      <c r="BD62" s="62">
        <v>0.0</v>
      </c>
      <c r="BE62" s="62">
        <v>0.0</v>
      </c>
      <c r="BF62" s="62">
        <v>0.0</v>
      </c>
      <c r="BG62" s="62">
        <v>436964.0</v>
      </c>
      <c r="BH62" s="62">
        <v>1054187.0</v>
      </c>
      <c r="BI62" s="62">
        <v>0.0</v>
      </c>
      <c r="BJ62" s="62">
        <v>871338.0</v>
      </c>
      <c r="BK62" s="62">
        <v>15264.0</v>
      </c>
      <c r="BL62" s="62">
        <v>0.0</v>
      </c>
      <c r="BM62" s="62">
        <v>0.0</v>
      </c>
      <c r="BN62" s="62">
        <v>0.0</v>
      </c>
      <c r="BO62" s="62">
        <v>0.0</v>
      </c>
      <c r="BP62" s="62">
        <v>6558.0</v>
      </c>
      <c r="BQ62" s="62">
        <v>42651.0</v>
      </c>
      <c r="BR62" s="62">
        <v>0.0</v>
      </c>
      <c r="BS62" s="62">
        <v>0.0</v>
      </c>
      <c r="BT62" s="62">
        <v>7181581.0</v>
      </c>
      <c r="BU62" s="62">
        <v>183898.0</v>
      </c>
      <c r="BV62" s="62">
        <v>0.0</v>
      </c>
      <c r="BW62" s="62">
        <v>0.0</v>
      </c>
      <c r="BX62" s="62">
        <v>11328.0</v>
      </c>
      <c r="BY62" s="62">
        <v>0.0</v>
      </c>
      <c r="BZ62" s="62">
        <v>0.0</v>
      </c>
      <c r="CA62" s="62">
        <v>0.0</v>
      </c>
      <c r="CB62" s="62">
        <v>0.0</v>
      </c>
      <c r="CC62" s="62">
        <v>0.0</v>
      </c>
      <c r="CD62" s="62">
        <v>0.0</v>
      </c>
      <c r="CE62" s="62">
        <v>0.0</v>
      </c>
      <c r="CF62" s="62">
        <v>0.0</v>
      </c>
      <c r="CG62" s="62">
        <v>0.0</v>
      </c>
      <c r="CH62" s="62">
        <v>0.0</v>
      </c>
      <c r="CI62" s="62">
        <v>0.0</v>
      </c>
      <c r="CJ62" s="62">
        <v>0.0</v>
      </c>
      <c r="CK62" s="62">
        <v>0.0</v>
      </c>
      <c r="CL62" s="62">
        <v>0.0</v>
      </c>
      <c r="CM62" s="62">
        <v>0.0</v>
      </c>
      <c r="CN62" s="62">
        <v>0.0</v>
      </c>
      <c r="CO62" s="62">
        <v>0.0</v>
      </c>
      <c r="CP62" s="62">
        <v>0.0</v>
      </c>
      <c r="CQ62" s="62">
        <v>0.0</v>
      </c>
      <c r="CR62" s="62">
        <v>0.0</v>
      </c>
      <c r="CS62" s="62">
        <v>0.0</v>
      </c>
      <c r="CT62" s="62">
        <v>0.0</v>
      </c>
      <c r="CU62" s="62">
        <v>0.0</v>
      </c>
      <c r="CV62" s="62">
        <v>0.0</v>
      </c>
      <c r="CW62" s="62">
        <v>0.0</v>
      </c>
      <c r="CX62" s="62">
        <v>0.0</v>
      </c>
      <c r="CY62" s="62">
        <v>0.0</v>
      </c>
      <c r="CZ62" s="62">
        <v>0.0</v>
      </c>
      <c r="DA62" s="62">
        <v>0.0</v>
      </c>
      <c r="DB62" s="62">
        <v>0.0</v>
      </c>
      <c r="DC62" s="62">
        <v>23788.0</v>
      </c>
      <c r="DD62" s="62">
        <v>0.0</v>
      </c>
      <c r="DE62" s="62">
        <v>0.0</v>
      </c>
      <c r="DF62" s="62">
        <v>0.0</v>
      </c>
      <c r="DG62" s="62">
        <v>0.0</v>
      </c>
      <c r="DH62" s="62">
        <v>0.0</v>
      </c>
      <c r="DI62" s="62">
        <v>0.0</v>
      </c>
      <c r="DJ62" s="62">
        <v>0.0</v>
      </c>
      <c r="DK62" s="62">
        <v>0.0</v>
      </c>
      <c r="DL62" s="62">
        <v>0.0</v>
      </c>
      <c r="DM62" s="62">
        <v>0.0</v>
      </c>
      <c r="DN62" s="62">
        <v>0.0</v>
      </c>
      <c r="DO62" s="62">
        <v>0.0</v>
      </c>
      <c r="DP62" s="62">
        <v>0.0</v>
      </c>
      <c r="DQ62" s="62">
        <v>0.0</v>
      </c>
      <c r="DR62" s="62">
        <v>0.0</v>
      </c>
      <c r="DS62" s="62">
        <v>0.0</v>
      </c>
      <c r="DT62" s="62">
        <v>0.0</v>
      </c>
      <c r="DU62" s="62">
        <v>0.0</v>
      </c>
      <c r="DV62" s="62">
        <v>0.0</v>
      </c>
      <c r="DW62" s="62">
        <v>0.0</v>
      </c>
      <c r="DX62" s="62">
        <v>0.0</v>
      </c>
      <c r="DY62" s="62">
        <v>0.0</v>
      </c>
      <c r="DZ62" s="62">
        <v>0.0</v>
      </c>
      <c r="EA62" s="62">
        <v>0.0</v>
      </c>
      <c r="EB62" s="62">
        <v>0.0</v>
      </c>
      <c r="EC62" s="62">
        <v>0.0</v>
      </c>
      <c r="ED62" s="62">
        <v>0.0</v>
      </c>
      <c r="EE62" s="62">
        <v>0.0</v>
      </c>
      <c r="EF62" s="62">
        <v>0.0</v>
      </c>
      <c r="EG62" s="62">
        <v>0.0</v>
      </c>
      <c r="EH62" s="62">
        <v>0.0</v>
      </c>
      <c r="EI62" s="62">
        <v>0.0</v>
      </c>
      <c r="EJ62" s="62">
        <v>0.0</v>
      </c>
      <c r="EK62" s="62">
        <v>0.0</v>
      </c>
      <c r="EL62" s="62">
        <v>0.0</v>
      </c>
      <c r="EM62" s="62">
        <v>0.0</v>
      </c>
      <c r="EN62" s="62">
        <v>0.0</v>
      </c>
      <c r="EO62" s="62">
        <v>0.0</v>
      </c>
      <c r="EP62" s="62">
        <v>0.0</v>
      </c>
      <c r="EQ62" s="62">
        <v>0.0</v>
      </c>
      <c r="ER62" s="62">
        <v>0.0</v>
      </c>
      <c r="ES62" s="62">
        <v>0.0</v>
      </c>
      <c r="ET62" s="62">
        <v>0.0</v>
      </c>
      <c r="EU62" s="62">
        <v>0.0</v>
      </c>
      <c r="EV62" s="62">
        <v>0.0</v>
      </c>
      <c r="EW62" s="62">
        <v>0.0</v>
      </c>
      <c r="EX62" s="62">
        <v>0.0</v>
      </c>
      <c r="EY62" s="62">
        <v>0.0</v>
      </c>
      <c r="EZ62" s="62">
        <v>0.0</v>
      </c>
      <c r="FA62" s="62">
        <v>0.0</v>
      </c>
      <c r="FB62" s="62">
        <v>0.0</v>
      </c>
      <c r="FC62" s="62">
        <v>0.0</v>
      </c>
      <c r="FD62" s="62">
        <v>0.0</v>
      </c>
      <c r="FE62" s="62">
        <v>34982.0</v>
      </c>
      <c r="FF62" s="62">
        <v>0.0</v>
      </c>
      <c r="FG62" s="62">
        <v>0.0</v>
      </c>
      <c r="FH62" s="62">
        <v>0.0</v>
      </c>
      <c r="FI62" s="62">
        <v>0.0</v>
      </c>
      <c r="FJ62" s="62">
        <v>591625.0</v>
      </c>
      <c r="FK62" s="62">
        <v>7941935.0</v>
      </c>
      <c r="FL62" s="62">
        <v>0.0</v>
      </c>
      <c r="FM62" s="62">
        <v>0.0</v>
      </c>
      <c r="FN62" s="62">
        <v>0.0</v>
      </c>
      <c r="FO62" s="62">
        <v>0.0</v>
      </c>
      <c r="FP62" s="62">
        <v>0.0</v>
      </c>
      <c r="FQ62" s="62">
        <v>0.0</v>
      </c>
      <c r="FR62" s="62">
        <v>0.0</v>
      </c>
      <c r="FS62" s="62">
        <v>0.0</v>
      </c>
      <c r="FT62" s="62">
        <v>0.0</v>
      </c>
      <c r="FU62" s="62">
        <v>0.0</v>
      </c>
      <c r="FV62" s="62">
        <v>0.0</v>
      </c>
      <c r="FW62" s="62">
        <v>4055.0</v>
      </c>
      <c r="FX62" s="62">
        <v>213.0</v>
      </c>
      <c r="FY62" s="62">
        <v>88037.0</v>
      </c>
      <c r="FZ62" s="62">
        <v>0.0</v>
      </c>
      <c r="GA62" s="62">
        <v>82736.0</v>
      </c>
      <c r="GB62" s="62">
        <v>226929.0</v>
      </c>
      <c r="GC62" s="62">
        <v>61445.0</v>
      </c>
      <c r="GD62" s="62">
        <v>0.0</v>
      </c>
      <c r="GE62" s="62">
        <v>303902.0</v>
      </c>
      <c r="GF62" s="63">
        <v>1.9163416E7</v>
      </c>
      <c r="GG62" s="64">
        <v>2.61379E7</v>
      </c>
      <c r="GH62" s="65">
        <v>0.0</v>
      </c>
      <c r="GI62" s="64">
        <v>0.0</v>
      </c>
      <c r="GJ62" s="64">
        <v>0.0</v>
      </c>
      <c r="GK62" s="64">
        <v>-364488.0</v>
      </c>
      <c r="GL62" s="64">
        <v>1.0666312E7</v>
      </c>
      <c r="GM62" s="64">
        <v>0.0</v>
      </c>
      <c r="GN62" s="63">
        <v>3.6439724E7</v>
      </c>
      <c r="GO62" s="66">
        <v>5.560314E7</v>
      </c>
      <c r="GP62" s="64">
        <v>1.0739308E7</v>
      </c>
      <c r="GQ62" s="64">
        <v>0.0</v>
      </c>
      <c r="GR62" s="65">
        <v>0.0</v>
      </c>
      <c r="GS62" s="63">
        <v>1.0739308E7</v>
      </c>
      <c r="GT62" s="67">
        <v>3995811.0</v>
      </c>
      <c r="GU62" s="67">
        <v>6317328.0</v>
      </c>
      <c r="GV62" s="67">
        <v>655308.0</v>
      </c>
      <c r="GW62" s="63">
        <v>1.0968447E7</v>
      </c>
      <c r="GX62" s="63">
        <v>1730809.0</v>
      </c>
      <c r="GY62" s="63">
        <v>3.2164576E7</v>
      </c>
      <c r="GZ62" s="66">
        <v>5.560314E7</v>
      </c>
      <c r="HH62" s="106"/>
    </row>
    <row r="63" ht="15.75" customHeight="1">
      <c r="A63" s="60">
        <v>58.0</v>
      </c>
      <c r="B63" s="111" t="s">
        <v>328</v>
      </c>
      <c r="C63" s="62">
        <v>0.0</v>
      </c>
      <c r="D63" s="62">
        <v>0.0</v>
      </c>
      <c r="E63" s="62">
        <v>0.0</v>
      </c>
      <c r="F63" s="62">
        <v>0.0</v>
      </c>
      <c r="G63" s="62">
        <v>0.0</v>
      </c>
      <c r="H63" s="62">
        <v>0.0</v>
      </c>
      <c r="I63" s="62">
        <v>0.0</v>
      </c>
      <c r="J63" s="62">
        <v>0.0</v>
      </c>
      <c r="K63" s="62">
        <v>0.0</v>
      </c>
      <c r="L63" s="62">
        <v>0.0</v>
      </c>
      <c r="M63" s="62">
        <v>0.0</v>
      </c>
      <c r="N63" s="62">
        <v>0.0</v>
      </c>
      <c r="O63" s="62">
        <v>0.0</v>
      </c>
      <c r="P63" s="62">
        <v>0.0</v>
      </c>
      <c r="Q63" s="62">
        <v>0.0</v>
      </c>
      <c r="R63" s="62">
        <v>0.0</v>
      </c>
      <c r="S63" s="62">
        <v>0.0</v>
      </c>
      <c r="T63" s="62">
        <v>0.0</v>
      </c>
      <c r="U63" s="62">
        <v>0.0</v>
      </c>
      <c r="V63" s="62">
        <v>0.0</v>
      </c>
      <c r="W63" s="62">
        <v>0.0</v>
      </c>
      <c r="X63" s="62">
        <v>0.0</v>
      </c>
      <c r="Y63" s="62">
        <v>0.0</v>
      </c>
      <c r="Z63" s="62">
        <v>0.0</v>
      </c>
      <c r="AA63" s="62">
        <v>0.0</v>
      </c>
      <c r="AB63" s="62">
        <v>0.0</v>
      </c>
      <c r="AC63" s="62">
        <v>0.0</v>
      </c>
      <c r="AD63" s="62">
        <v>0.0</v>
      </c>
      <c r="AE63" s="62">
        <v>0.0</v>
      </c>
      <c r="AF63" s="62">
        <v>0.0</v>
      </c>
      <c r="AG63" s="62">
        <v>0.0</v>
      </c>
      <c r="AH63" s="62">
        <v>0.0</v>
      </c>
      <c r="AI63" s="62">
        <v>0.0</v>
      </c>
      <c r="AJ63" s="62">
        <v>0.0</v>
      </c>
      <c r="AK63" s="62">
        <v>0.0</v>
      </c>
      <c r="AL63" s="62">
        <v>0.0</v>
      </c>
      <c r="AM63" s="62">
        <v>0.0</v>
      </c>
      <c r="AN63" s="62">
        <v>0.0</v>
      </c>
      <c r="AO63" s="62">
        <v>0.0</v>
      </c>
      <c r="AP63" s="62">
        <v>0.0</v>
      </c>
      <c r="AQ63" s="62">
        <v>0.0</v>
      </c>
      <c r="AR63" s="62">
        <v>0.0</v>
      </c>
      <c r="AS63" s="62">
        <v>0.0</v>
      </c>
      <c r="AT63" s="62">
        <v>0.0</v>
      </c>
      <c r="AU63" s="62">
        <v>0.0</v>
      </c>
      <c r="AV63" s="62">
        <v>0.0</v>
      </c>
      <c r="AW63" s="62">
        <v>0.0</v>
      </c>
      <c r="AX63" s="62">
        <v>0.0</v>
      </c>
      <c r="AY63" s="62">
        <v>0.0</v>
      </c>
      <c r="AZ63" s="62">
        <v>0.0</v>
      </c>
      <c r="BA63" s="62">
        <v>0.0</v>
      </c>
      <c r="BB63" s="62">
        <v>0.0</v>
      </c>
      <c r="BC63" s="62">
        <v>61742.0</v>
      </c>
      <c r="BD63" s="62">
        <v>202314.0</v>
      </c>
      <c r="BE63" s="62">
        <v>0.0</v>
      </c>
      <c r="BF63" s="62">
        <v>0.0</v>
      </c>
      <c r="BG63" s="62">
        <v>75552.0</v>
      </c>
      <c r="BH63" s="62">
        <v>1.18684133E8</v>
      </c>
      <c r="BI63" s="62">
        <v>0.0</v>
      </c>
      <c r="BJ63" s="62">
        <v>8006788.0</v>
      </c>
      <c r="BK63" s="62">
        <v>0.0</v>
      </c>
      <c r="BL63" s="62">
        <v>0.0</v>
      </c>
      <c r="BM63" s="62">
        <v>0.0</v>
      </c>
      <c r="BN63" s="62">
        <v>1.194411E7</v>
      </c>
      <c r="BO63" s="62">
        <v>0.0</v>
      </c>
      <c r="BP63" s="62">
        <v>645941.0</v>
      </c>
      <c r="BQ63" s="62">
        <v>5306999.0</v>
      </c>
      <c r="BR63" s="62">
        <v>0.0</v>
      </c>
      <c r="BS63" s="62">
        <v>0.0</v>
      </c>
      <c r="BT63" s="62">
        <v>1097103.0</v>
      </c>
      <c r="BU63" s="62">
        <v>2144936.0</v>
      </c>
      <c r="BV63" s="62">
        <v>0.0</v>
      </c>
      <c r="BW63" s="62">
        <v>0.0</v>
      </c>
      <c r="BX63" s="62">
        <v>3915.0</v>
      </c>
      <c r="BY63" s="62">
        <v>0.0</v>
      </c>
      <c r="BZ63" s="62">
        <v>0.0</v>
      </c>
      <c r="CA63" s="62">
        <v>0.0</v>
      </c>
      <c r="CB63" s="62">
        <v>0.0</v>
      </c>
      <c r="CC63" s="62">
        <v>0.0</v>
      </c>
      <c r="CD63" s="62">
        <v>0.0</v>
      </c>
      <c r="CE63" s="62">
        <v>0.0</v>
      </c>
      <c r="CF63" s="62">
        <v>0.0</v>
      </c>
      <c r="CG63" s="62">
        <v>0.0</v>
      </c>
      <c r="CH63" s="62">
        <v>0.0</v>
      </c>
      <c r="CI63" s="62">
        <v>0.0</v>
      </c>
      <c r="CJ63" s="62">
        <v>0.0</v>
      </c>
      <c r="CK63" s="62">
        <v>0.0</v>
      </c>
      <c r="CL63" s="62">
        <v>0.0</v>
      </c>
      <c r="CM63" s="62">
        <v>0.0</v>
      </c>
      <c r="CN63" s="62">
        <v>0.0</v>
      </c>
      <c r="CO63" s="62">
        <v>0.0</v>
      </c>
      <c r="CP63" s="62">
        <v>0.0</v>
      </c>
      <c r="CQ63" s="62">
        <v>0.0</v>
      </c>
      <c r="CR63" s="62">
        <v>0.0</v>
      </c>
      <c r="CS63" s="62">
        <v>0.0</v>
      </c>
      <c r="CT63" s="62">
        <v>4.8731964E7</v>
      </c>
      <c r="CU63" s="62">
        <v>104517.0</v>
      </c>
      <c r="CV63" s="62">
        <v>69615.0</v>
      </c>
      <c r="CW63" s="62">
        <v>26621.0</v>
      </c>
      <c r="CX63" s="62">
        <v>7769752.0</v>
      </c>
      <c r="CY63" s="62">
        <v>662017.0</v>
      </c>
      <c r="CZ63" s="62">
        <v>3.1501328E7</v>
      </c>
      <c r="DA63" s="62">
        <v>1.5162192E7</v>
      </c>
      <c r="DB63" s="62">
        <v>2175806.0</v>
      </c>
      <c r="DC63" s="62">
        <v>806397.0</v>
      </c>
      <c r="DD63" s="62">
        <v>596989.0</v>
      </c>
      <c r="DE63" s="62">
        <v>0.0</v>
      </c>
      <c r="DF63" s="62">
        <v>0.0</v>
      </c>
      <c r="DG63" s="62">
        <v>0.0</v>
      </c>
      <c r="DH63" s="62">
        <v>0.0</v>
      </c>
      <c r="DI63" s="62">
        <v>0.0</v>
      </c>
      <c r="DJ63" s="62">
        <v>0.0</v>
      </c>
      <c r="DK63" s="62">
        <v>0.0</v>
      </c>
      <c r="DL63" s="62">
        <v>0.0</v>
      </c>
      <c r="DM63" s="62">
        <v>0.0</v>
      </c>
      <c r="DN63" s="62">
        <v>0.0</v>
      </c>
      <c r="DO63" s="62">
        <v>0.0</v>
      </c>
      <c r="DP63" s="62">
        <v>0.0</v>
      </c>
      <c r="DQ63" s="62">
        <v>0.0</v>
      </c>
      <c r="DR63" s="62">
        <v>0.0</v>
      </c>
      <c r="DS63" s="62">
        <v>0.0</v>
      </c>
      <c r="DT63" s="62">
        <v>0.0</v>
      </c>
      <c r="DU63" s="62">
        <v>0.0</v>
      </c>
      <c r="DV63" s="62">
        <v>0.0</v>
      </c>
      <c r="DW63" s="62">
        <v>0.0</v>
      </c>
      <c r="DX63" s="62">
        <v>0.0</v>
      </c>
      <c r="DY63" s="62">
        <v>0.0</v>
      </c>
      <c r="DZ63" s="62">
        <v>391.0</v>
      </c>
      <c r="EA63" s="62">
        <v>0.0</v>
      </c>
      <c r="EB63" s="62">
        <v>4.0</v>
      </c>
      <c r="EC63" s="62">
        <v>0.0</v>
      </c>
      <c r="ED63" s="62">
        <v>0.0</v>
      </c>
      <c r="EE63" s="62">
        <v>0.0</v>
      </c>
      <c r="EF63" s="62">
        <v>0.0</v>
      </c>
      <c r="EG63" s="62">
        <v>0.0</v>
      </c>
      <c r="EH63" s="62">
        <v>0.0</v>
      </c>
      <c r="EI63" s="62">
        <v>0.0</v>
      </c>
      <c r="EJ63" s="62">
        <v>0.0</v>
      </c>
      <c r="EK63" s="62">
        <v>0.0</v>
      </c>
      <c r="EL63" s="62">
        <v>0.0</v>
      </c>
      <c r="EM63" s="62">
        <v>0.0</v>
      </c>
      <c r="EN63" s="62">
        <v>0.0</v>
      </c>
      <c r="EO63" s="62">
        <v>0.0</v>
      </c>
      <c r="EP63" s="62">
        <v>0.0</v>
      </c>
      <c r="EQ63" s="62">
        <v>0.0</v>
      </c>
      <c r="ER63" s="62">
        <v>0.0</v>
      </c>
      <c r="ES63" s="62">
        <v>0.0</v>
      </c>
      <c r="ET63" s="62">
        <v>0.0</v>
      </c>
      <c r="EU63" s="62">
        <v>0.0</v>
      </c>
      <c r="EV63" s="62">
        <v>0.0</v>
      </c>
      <c r="EW63" s="62">
        <v>0.0</v>
      </c>
      <c r="EX63" s="62">
        <v>0.0</v>
      </c>
      <c r="EY63" s="62">
        <v>0.0</v>
      </c>
      <c r="EZ63" s="62">
        <v>0.0</v>
      </c>
      <c r="FA63" s="62">
        <v>0.0</v>
      </c>
      <c r="FB63" s="62">
        <v>0.0</v>
      </c>
      <c r="FC63" s="62">
        <v>0.0</v>
      </c>
      <c r="FD63" s="62">
        <v>0.0</v>
      </c>
      <c r="FE63" s="62">
        <v>765962.0</v>
      </c>
      <c r="FF63" s="62">
        <v>0.0</v>
      </c>
      <c r="FG63" s="62">
        <v>0.0</v>
      </c>
      <c r="FH63" s="62">
        <v>0.0</v>
      </c>
      <c r="FI63" s="62">
        <v>0.0</v>
      </c>
      <c r="FJ63" s="62">
        <v>3452388.0</v>
      </c>
      <c r="FK63" s="62">
        <v>5.8728127E7</v>
      </c>
      <c r="FL63" s="62">
        <v>0.0</v>
      </c>
      <c r="FM63" s="62">
        <v>0.0</v>
      </c>
      <c r="FN63" s="62">
        <v>0.0</v>
      </c>
      <c r="FO63" s="62">
        <v>0.0</v>
      </c>
      <c r="FP63" s="62">
        <v>0.0</v>
      </c>
      <c r="FQ63" s="62">
        <v>0.0</v>
      </c>
      <c r="FR63" s="62">
        <v>0.0</v>
      </c>
      <c r="FS63" s="62">
        <v>0.0</v>
      </c>
      <c r="FT63" s="62">
        <v>0.0</v>
      </c>
      <c r="FU63" s="62">
        <v>0.0</v>
      </c>
      <c r="FV63" s="62">
        <v>0.0</v>
      </c>
      <c r="FW63" s="62">
        <v>2043.0</v>
      </c>
      <c r="FX63" s="62">
        <v>5108.0</v>
      </c>
      <c r="FY63" s="62">
        <v>177316.0</v>
      </c>
      <c r="FZ63" s="62">
        <v>0.0</v>
      </c>
      <c r="GA63" s="62">
        <v>1358662.0</v>
      </c>
      <c r="GB63" s="62">
        <v>1071570.0</v>
      </c>
      <c r="GC63" s="62">
        <v>77506.0</v>
      </c>
      <c r="GD63" s="62">
        <v>0.0</v>
      </c>
      <c r="GE63" s="62">
        <v>232737.0</v>
      </c>
      <c r="GF63" s="63">
        <v>3.21652545E8</v>
      </c>
      <c r="GG63" s="64">
        <v>1.0222876E8</v>
      </c>
      <c r="GH63" s="65">
        <v>0.0</v>
      </c>
      <c r="GI63" s="64">
        <v>0.0</v>
      </c>
      <c r="GJ63" s="64">
        <v>0.0</v>
      </c>
      <c r="GK63" s="64">
        <v>1849592.0</v>
      </c>
      <c r="GL63" s="64">
        <v>3.03672343E8</v>
      </c>
      <c r="GM63" s="64">
        <v>0.0</v>
      </c>
      <c r="GN63" s="63">
        <v>4.07750695E8</v>
      </c>
      <c r="GO63" s="66">
        <v>7.2940324E8</v>
      </c>
      <c r="GP63" s="64">
        <v>3.2243773E7</v>
      </c>
      <c r="GQ63" s="64">
        <v>0.0</v>
      </c>
      <c r="GR63" s="65">
        <v>0.0</v>
      </c>
      <c r="GS63" s="63">
        <v>3.2243773E7</v>
      </c>
      <c r="GT63" s="67">
        <v>2.0253869E7</v>
      </c>
      <c r="GU63" s="67">
        <v>2.2159245E7</v>
      </c>
      <c r="GV63" s="67">
        <v>4719212.0</v>
      </c>
      <c r="GW63" s="63">
        <v>4.7132326E7</v>
      </c>
      <c r="GX63" s="63">
        <v>7344921.0</v>
      </c>
      <c r="GY63" s="63">
        <v>6.4268222E8</v>
      </c>
      <c r="GZ63" s="66">
        <v>7.2940324E8</v>
      </c>
      <c r="HH63" s="106"/>
    </row>
    <row r="64" ht="15.75" customHeight="1">
      <c r="A64" s="60">
        <v>59.0</v>
      </c>
      <c r="B64" s="111" t="s">
        <v>329</v>
      </c>
      <c r="C64" s="62">
        <v>0.0</v>
      </c>
      <c r="D64" s="62">
        <v>0.0</v>
      </c>
      <c r="E64" s="62">
        <v>0.0</v>
      </c>
      <c r="F64" s="62">
        <v>0.0</v>
      </c>
      <c r="G64" s="62">
        <v>0.0</v>
      </c>
      <c r="H64" s="62">
        <v>0.0</v>
      </c>
      <c r="I64" s="62">
        <v>0.0</v>
      </c>
      <c r="J64" s="62">
        <v>0.0</v>
      </c>
      <c r="K64" s="62">
        <v>0.0</v>
      </c>
      <c r="L64" s="62">
        <v>0.0</v>
      </c>
      <c r="M64" s="62">
        <v>0.0</v>
      </c>
      <c r="N64" s="62">
        <v>0.0</v>
      </c>
      <c r="O64" s="62">
        <v>0.0</v>
      </c>
      <c r="P64" s="62">
        <v>0.0</v>
      </c>
      <c r="Q64" s="62">
        <v>0.0</v>
      </c>
      <c r="R64" s="62">
        <v>0.0</v>
      </c>
      <c r="S64" s="62">
        <v>0.0</v>
      </c>
      <c r="T64" s="62">
        <v>0.0</v>
      </c>
      <c r="U64" s="62">
        <v>0.0</v>
      </c>
      <c r="V64" s="62">
        <v>0.0</v>
      </c>
      <c r="W64" s="62">
        <v>0.0</v>
      </c>
      <c r="X64" s="62">
        <v>0.0</v>
      </c>
      <c r="Y64" s="62">
        <v>0.0</v>
      </c>
      <c r="Z64" s="62">
        <v>0.0</v>
      </c>
      <c r="AA64" s="62">
        <v>0.0</v>
      </c>
      <c r="AB64" s="62">
        <v>540699.0</v>
      </c>
      <c r="AC64" s="62">
        <v>43176.0</v>
      </c>
      <c r="AD64" s="62">
        <v>37158.0</v>
      </c>
      <c r="AE64" s="62">
        <v>343.0</v>
      </c>
      <c r="AF64" s="62">
        <v>0.0</v>
      </c>
      <c r="AG64" s="62">
        <v>0.0</v>
      </c>
      <c r="AH64" s="62">
        <v>0.0</v>
      </c>
      <c r="AI64" s="62">
        <v>0.0</v>
      </c>
      <c r="AJ64" s="62">
        <v>0.0</v>
      </c>
      <c r="AK64" s="62">
        <v>0.0</v>
      </c>
      <c r="AL64" s="62">
        <v>0.0</v>
      </c>
      <c r="AM64" s="62">
        <v>0.0</v>
      </c>
      <c r="AN64" s="62">
        <v>0.0</v>
      </c>
      <c r="AO64" s="62">
        <v>0.0</v>
      </c>
      <c r="AP64" s="62">
        <v>0.0</v>
      </c>
      <c r="AQ64" s="62">
        <v>0.0</v>
      </c>
      <c r="AR64" s="62">
        <v>0.0</v>
      </c>
      <c r="AS64" s="62">
        <v>0.0</v>
      </c>
      <c r="AT64" s="62">
        <v>0.0</v>
      </c>
      <c r="AU64" s="62">
        <v>0.0</v>
      </c>
      <c r="AV64" s="62">
        <v>0.0</v>
      </c>
      <c r="AW64" s="62">
        <v>0.0</v>
      </c>
      <c r="AX64" s="62">
        <v>0.0</v>
      </c>
      <c r="AY64" s="62">
        <v>0.0</v>
      </c>
      <c r="AZ64" s="62">
        <v>0.0</v>
      </c>
      <c r="BA64" s="62">
        <v>0.0</v>
      </c>
      <c r="BB64" s="62">
        <v>0.0</v>
      </c>
      <c r="BC64" s="62">
        <v>9250.0</v>
      </c>
      <c r="BD64" s="62">
        <v>13343.0</v>
      </c>
      <c r="BE64" s="62">
        <v>0.0</v>
      </c>
      <c r="BF64" s="62">
        <v>14758.0</v>
      </c>
      <c r="BG64" s="62">
        <v>312.0</v>
      </c>
      <c r="BH64" s="62">
        <v>8190965.0</v>
      </c>
      <c r="BI64" s="62">
        <v>2861930.0</v>
      </c>
      <c r="BJ64" s="62">
        <v>0.0</v>
      </c>
      <c r="BK64" s="62">
        <v>0.0</v>
      </c>
      <c r="BL64" s="62">
        <v>0.0</v>
      </c>
      <c r="BM64" s="62">
        <v>0.0</v>
      </c>
      <c r="BN64" s="62">
        <v>29239.0</v>
      </c>
      <c r="BO64" s="62">
        <v>0.0</v>
      </c>
      <c r="BP64" s="62">
        <v>125.0</v>
      </c>
      <c r="BQ64" s="62">
        <v>0.0</v>
      </c>
      <c r="BR64" s="62">
        <v>0.0</v>
      </c>
      <c r="BS64" s="62">
        <v>0.0</v>
      </c>
      <c r="BT64" s="62">
        <v>4102.0</v>
      </c>
      <c r="BU64" s="62">
        <v>109414.0</v>
      </c>
      <c r="BV64" s="62">
        <v>0.0</v>
      </c>
      <c r="BW64" s="62">
        <v>0.0</v>
      </c>
      <c r="BX64" s="62">
        <v>3865.0</v>
      </c>
      <c r="BY64" s="62">
        <v>0.0</v>
      </c>
      <c r="BZ64" s="62">
        <v>0.0</v>
      </c>
      <c r="CA64" s="62">
        <v>0.0</v>
      </c>
      <c r="CB64" s="62">
        <v>0.0</v>
      </c>
      <c r="CC64" s="62">
        <v>0.0</v>
      </c>
      <c r="CD64" s="62">
        <v>0.0</v>
      </c>
      <c r="CE64" s="62">
        <v>0.0</v>
      </c>
      <c r="CF64" s="62">
        <v>0.0</v>
      </c>
      <c r="CG64" s="62">
        <v>7141.0</v>
      </c>
      <c r="CH64" s="62">
        <v>0.0</v>
      </c>
      <c r="CI64" s="62">
        <v>0.0</v>
      </c>
      <c r="CJ64" s="62">
        <v>0.0</v>
      </c>
      <c r="CK64" s="62">
        <v>0.0</v>
      </c>
      <c r="CL64" s="62">
        <v>0.0</v>
      </c>
      <c r="CM64" s="62">
        <v>0.0</v>
      </c>
      <c r="CN64" s="62">
        <v>0.0</v>
      </c>
      <c r="CO64" s="62">
        <v>0.0</v>
      </c>
      <c r="CP64" s="62">
        <v>0.0</v>
      </c>
      <c r="CQ64" s="62">
        <v>0.0</v>
      </c>
      <c r="CR64" s="62">
        <v>0.0</v>
      </c>
      <c r="CS64" s="62">
        <v>0.0</v>
      </c>
      <c r="CT64" s="62">
        <v>259.0</v>
      </c>
      <c r="CU64" s="62">
        <v>3532.0</v>
      </c>
      <c r="CV64" s="62">
        <v>0.0</v>
      </c>
      <c r="CW64" s="62">
        <v>0.0</v>
      </c>
      <c r="CX64" s="62">
        <v>765334.0</v>
      </c>
      <c r="CY64" s="62">
        <v>0.0</v>
      </c>
      <c r="CZ64" s="62">
        <v>203857.0</v>
      </c>
      <c r="DA64" s="62">
        <v>4910.0</v>
      </c>
      <c r="DB64" s="62">
        <v>12314.0</v>
      </c>
      <c r="DC64" s="62">
        <v>31413.0</v>
      </c>
      <c r="DD64" s="62">
        <v>44.0</v>
      </c>
      <c r="DE64" s="62">
        <v>0.0</v>
      </c>
      <c r="DF64" s="62">
        <v>0.0</v>
      </c>
      <c r="DG64" s="62">
        <v>0.0</v>
      </c>
      <c r="DH64" s="62">
        <v>0.0</v>
      </c>
      <c r="DI64" s="62">
        <v>0.0</v>
      </c>
      <c r="DJ64" s="62">
        <v>0.0</v>
      </c>
      <c r="DK64" s="62">
        <v>0.0</v>
      </c>
      <c r="DL64" s="62">
        <v>0.0</v>
      </c>
      <c r="DM64" s="62">
        <v>0.0</v>
      </c>
      <c r="DN64" s="62">
        <v>0.0</v>
      </c>
      <c r="DO64" s="62">
        <v>0.0</v>
      </c>
      <c r="DP64" s="62">
        <v>0.0</v>
      </c>
      <c r="DQ64" s="62">
        <v>0.0</v>
      </c>
      <c r="DR64" s="62">
        <v>0.0</v>
      </c>
      <c r="DS64" s="62">
        <v>0.0</v>
      </c>
      <c r="DT64" s="62">
        <v>0.0</v>
      </c>
      <c r="DU64" s="62">
        <v>0.0</v>
      </c>
      <c r="DV64" s="62">
        <v>0.0</v>
      </c>
      <c r="DW64" s="62">
        <v>0.0</v>
      </c>
      <c r="DX64" s="62">
        <v>0.0</v>
      </c>
      <c r="DY64" s="62">
        <v>0.0</v>
      </c>
      <c r="DZ64" s="62">
        <v>0.0</v>
      </c>
      <c r="EA64" s="62">
        <v>0.0</v>
      </c>
      <c r="EB64" s="62">
        <v>0.0</v>
      </c>
      <c r="EC64" s="62">
        <v>0.0</v>
      </c>
      <c r="ED64" s="62">
        <v>0.0</v>
      </c>
      <c r="EE64" s="62">
        <v>0.0</v>
      </c>
      <c r="EF64" s="62">
        <v>0.0</v>
      </c>
      <c r="EG64" s="62">
        <v>0.0</v>
      </c>
      <c r="EH64" s="62">
        <v>0.0</v>
      </c>
      <c r="EI64" s="62">
        <v>0.0</v>
      </c>
      <c r="EJ64" s="62">
        <v>0.0</v>
      </c>
      <c r="EK64" s="62">
        <v>0.0</v>
      </c>
      <c r="EL64" s="62">
        <v>0.0</v>
      </c>
      <c r="EM64" s="62">
        <v>0.0</v>
      </c>
      <c r="EN64" s="62">
        <v>0.0</v>
      </c>
      <c r="EO64" s="62">
        <v>0.0</v>
      </c>
      <c r="EP64" s="62">
        <v>0.0</v>
      </c>
      <c r="EQ64" s="62">
        <v>0.0</v>
      </c>
      <c r="ER64" s="62">
        <v>0.0</v>
      </c>
      <c r="ES64" s="62">
        <v>0.0</v>
      </c>
      <c r="ET64" s="62">
        <v>0.0</v>
      </c>
      <c r="EU64" s="62">
        <v>0.0</v>
      </c>
      <c r="EV64" s="62">
        <v>0.0</v>
      </c>
      <c r="EW64" s="62">
        <v>0.0</v>
      </c>
      <c r="EX64" s="62">
        <v>0.0</v>
      </c>
      <c r="EY64" s="62">
        <v>0.0</v>
      </c>
      <c r="EZ64" s="62">
        <v>0.0</v>
      </c>
      <c r="FA64" s="62">
        <v>0.0</v>
      </c>
      <c r="FB64" s="62">
        <v>0.0</v>
      </c>
      <c r="FC64" s="62">
        <v>0.0</v>
      </c>
      <c r="FD64" s="62">
        <v>0.0</v>
      </c>
      <c r="FE64" s="62">
        <v>0.0</v>
      </c>
      <c r="FF64" s="62">
        <v>0.0</v>
      </c>
      <c r="FG64" s="62">
        <v>0.0</v>
      </c>
      <c r="FH64" s="62">
        <v>0.0</v>
      </c>
      <c r="FI64" s="62">
        <v>0.0</v>
      </c>
      <c r="FJ64" s="62">
        <v>1037662.0</v>
      </c>
      <c r="FK64" s="62">
        <v>1.0545784E7</v>
      </c>
      <c r="FL64" s="62">
        <v>0.0</v>
      </c>
      <c r="FM64" s="62">
        <v>0.0</v>
      </c>
      <c r="FN64" s="62">
        <v>0.0</v>
      </c>
      <c r="FO64" s="62">
        <v>0.0</v>
      </c>
      <c r="FP64" s="62">
        <v>0.0</v>
      </c>
      <c r="FQ64" s="62">
        <v>0.0</v>
      </c>
      <c r="FR64" s="62">
        <v>0.0</v>
      </c>
      <c r="FS64" s="62">
        <v>0.0</v>
      </c>
      <c r="FT64" s="62">
        <v>0.0</v>
      </c>
      <c r="FU64" s="62">
        <v>0.0</v>
      </c>
      <c r="FV64" s="62">
        <v>0.0</v>
      </c>
      <c r="FW64" s="62">
        <v>2592.0</v>
      </c>
      <c r="FX64" s="62">
        <v>210.0</v>
      </c>
      <c r="FY64" s="62">
        <v>38029.0</v>
      </c>
      <c r="FZ64" s="62">
        <v>0.0</v>
      </c>
      <c r="GA64" s="62">
        <v>42143.0</v>
      </c>
      <c r="GB64" s="62">
        <v>138611.0</v>
      </c>
      <c r="GC64" s="62">
        <v>93542.0</v>
      </c>
      <c r="GD64" s="62">
        <v>0.0</v>
      </c>
      <c r="GE64" s="62">
        <v>110069.0</v>
      </c>
      <c r="GF64" s="63">
        <v>2.4896125E7</v>
      </c>
      <c r="GG64" s="64">
        <v>179319.0</v>
      </c>
      <c r="GH64" s="65">
        <v>0.0</v>
      </c>
      <c r="GI64" s="64">
        <v>0.0</v>
      </c>
      <c r="GJ64" s="64">
        <v>0.0</v>
      </c>
      <c r="GK64" s="64">
        <v>-471.0</v>
      </c>
      <c r="GL64" s="64">
        <v>8386567.0</v>
      </c>
      <c r="GM64" s="64">
        <v>0.0</v>
      </c>
      <c r="GN64" s="63">
        <v>8565415.0</v>
      </c>
      <c r="GO64" s="66">
        <v>3.346154E7</v>
      </c>
      <c r="GP64" s="64">
        <v>637342.0</v>
      </c>
      <c r="GQ64" s="64">
        <v>0.0</v>
      </c>
      <c r="GR64" s="65">
        <v>0.0</v>
      </c>
      <c r="GS64" s="63">
        <v>637342.0</v>
      </c>
      <c r="GT64" s="67">
        <v>4046990.0</v>
      </c>
      <c r="GU64" s="67">
        <v>3060655.0</v>
      </c>
      <c r="GV64" s="67">
        <v>804873.0</v>
      </c>
      <c r="GW64" s="63">
        <v>7912518.0</v>
      </c>
      <c r="GX64" s="63">
        <v>11418.0</v>
      </c>
      <c r="GY64" s="63">
        <v>2.4900262E7</v>
      </c>
      <c r="GZ64" s="66">
        <v>3.346154E7</v>
      </c>
      <c r="HH64" s="106"/>
    </row>
    <row r="65" ht="15.75" customHeight="1">
      <c r="A65" s="68">
        <v>60.0</v>
      </c>
      <c r="B65" s="111" t="s">
        <v>330</v>
      </c>
      <c r="C65" s="70">
        <v>0.0</v>
      </c>
      <c r="D65" s="70">
        <v>0.0</v>
      </c>
      <c r="E65" s="70">
        <v>0.0</v>
      </c>
      <c r="F65" s="70">
        <v>0.0</v>
      </c>
      <c r="G65" s="70">
        <v>0.0</v>
      </c>
      <c r="H65" s="70">
        <v>0.0</v>
      </c>
      <c r="I65" s="70">
        <v>0.0</v>
      </c>
      <c r="J65" s="70">
        <v>0.0</v>
      </c>
      <c r="K65" s="70">
        <v>0.0</v>
      </c>
      <c r="L65" s="70">
        <v>0.0</v>
      </c>
      <c r="M65" s="70">
        <v>0.0</v>
      </c>
      <c r="N65" s="70">
        <v>0.0</v>
      </c>
      <c r="O65" s="70">
        <v>0.0</v>
      </c>
      <c r="P65" s="70">
        <v>0.0</v>
      </c>
      <c r="Q65" s="70">
        <v>0.0</v>
      </c>
      <c r="R65" s="70">
        <v>0.0</v>
      </c>
      <c r="S65" s="70">
        <v>0.0</v>
      </c>
      <c r="T65" s="70">
        <v>0.0</v>
      </c>
      <c r="U65" s="70">
        <v>0.0</v>
      </c>
      <c r="V65" s="70">
        <v>0.0</v>
      </c>
      <c r="W65" s="70">
        <v>0.0</v>
      </c>
      <c r="X65" s="70">
        <v>0.0</v>
      </c>
      <c r="Y65" s="70">
        <v>0.0</v>
      </c>
      <c r="Z65" s="70">
        <v>0.0</v>
      </c>
      <c r="AA65" s="70">
        <v>0.0</v>
      </c>
      <c r="AB65" s="70">
        <v>0.0</v>
      </c>
      <c r="AC65" s="70">
        <v>0.0</v>
      </c>
      <c r="AD65" s="70">
        <v>0.0</v>
      </c>
      <c r="AE65" s="70">
        <v>0.0</v>
      </c>
      <c r="AF65" s="70">
        <v>0.0</v>
      </c>
      <c r="AG65" s="70">
        <v>0.0</v>
      </c>
      <c r="AH65" s="70">
        <v>0.0</v>
      </c>
      <c r="AI65" s="70">
        <v>0.0</v>
      </c>
      <c r="AJ65" s="70">
        <v>0.0</v>
      </c>
      <c r="AK65" s="70">
        <v>0.0</v>
      </c>
      <c r="AL65" s="70">
        <v>0.0</v>
      </c>
      <c r="AM65" s="70">
        <v>0.0</v>
      </c>
      <c r="AN65" s="70">
        <v>0.0</v>
      </c>
      <c r="AO65" s="70">
        <v>0.0</v>
      </c>
      <c r="AP65" s="70">
        <v>0.0</v>
      </c>
      <c r="AQ65" s="70">
        <v>0.0</v>
      </c>
      <c r="AR65" s="70">
        <v>0.0</v>
      </c>
      <c r="AS65" s="70">
        <v>0.0</v>
      </c>
      <c r="AT65" s="70">
        <v>0.0</v>
      </c>
      <c r="AU65" s="70">
        <v>0.0</v>
      </c>
      <c r="AV65" s="70">
        <v>0.0</v>
      </c>
      <c r="AW65" s="70">
        <v>0.0</v>
      </c>
      <c r="AX65" s="70">
        <v>0.0</v>
      </c>
      <c r="AY65" s="70">
        <v>0.0</v>
      </c>
      <c r="AZ65" s="70">
        <v>0.0</v>
      </c>
      <c r="BA65" s="70">
        <v>0.0</v>
      </c>
      <c r="BB65" s="70">
        <v>0.0</v>
      </c>
      <c r="BC65" s="70">
        <v>14317.0</v>
      </c>
      <c r="BD65" s="70">
        <v>0.0</v>
      </c>
      <c r="BE65" s="70">
        <v>0.0</v>
      </c>
      <c r="BF65" s="70">
        <v>0.0</v>
      </c>
      <c r="BG65" s="70">
        <v>1813.0</v>
      </c>
      <c r="BH65" s="70">
        <v>0.0</v>
      </c>
      <c r="BI65" s="70">
        <v>0.0</v>
      </c>
      <c r="BJ65" s="70">
        <v>1.3809933E7</v>
      </c>
      <c r="BK65" s="70">
        <v>228232.0</v>
      </c>
      <c r="BL65" s="70">
        <v>0.0</v>
      </c>
      <c r="BM65" s="70">
        <v>0.0</v>
      </c>
      <c r="BN65" s="70">
        <v>274712.0</v>
      </c>
      <c r="BO65" s="70">
        <v>0.0</v>
      </c>
      <c r="BP65" s="70">
        <v>515395.0</v>
      </c>
      <c r="BQ65" s="70">
        <v>2449318.0</v>
      </c>
      <c r="BR65" s="70">
        <v>10305.0</v>
      </c>
      <c r="BS65" s="70">
        <v>1258.0</v>
      </c>
      <c r="BT65" s="70">
        <v>0.0</v>
      </c>
      <c r="BU65" s="70">
        <v>600056.0</v>
      </c>
      <c r="BV65" s="70">
        <v>174683.0</v>
      </c>
      <c r="BW65" s="70">
        <v>223.0</v>
      </c>
      <c r="BX65" s="70">
        <v>2498.0</v>
      </c>
      <c r="BY65" s="70">
        <v>0.0</v>
      </c>
      <c r="BZ65" s="70">
        <v>0.0</v>
      </c>
      <c r="CA65" s="70">
        <v>0.0</v>
      </c>
      <c r="CB65" s="70">
        <v>0.0</v>
      </c>
      <c r="CC65" s="70">
        <v>0.0</v>
      </c>
      <c r="CD65" s="70">
        <v>0.0</v>
      </c>
      <c r="CE65" s="70">
        <v>0.0</v>
      </c>
      <c r="CF65" s="70">
        <v>0.0</v>
      </c>
      <c r="CG65" s="70">
        <v>0.0</v>
      </c>
      <c r="CH65" s="70">
        <v>0.0</v>
      </c>
      <c r="CI65" s="70">
        <v>0.0</v>
      </c>
      <c r="CJ65" s="70">
        <v>0.0</v>
      </c>
      <c r="CK65" s="70">
        <v>0.0</v>
      </c>
      <c r="CL65" s="70">
        <v>0.0</v>
      </c>
      <c r="CM65" s="70">
        <v>0.0</v>
      </c>
      <c r="CN65" s="70">
        <v>0.0</v>
      </c>
      <c r="CO65" s="70">
        <v>0.0</v>
      </c>
      <c r="CP65" s="70">
        <v>0.0</v>
      </c>
      <c r="CQ65" s="70">
        <v>0.0</v>
      </c>
      <c r="CR65" s="70">
        <v>0.0</v>
      </c>
      <c r="CS65" s="70">
        <v>0.0</v>
      </c>
      <c r="CT65" s="70">
        <v>0.0</v>
      </c>
      <c r="CU65" s="70">
        <v>0.0</v>
      </c>
      <c r="CV65" s="70">
        <v>0.0</v>
      </c>
      <c r="CW65" s="70">
        <v>0.0</v>
      </c>
      <c r="CX65" s="70">
        <v>0.0</v>
      </c>
      <c r="CY65" s="70">
        <v>0.0</v>
      </c>
      <c r="CZ65" s="70">
        <v>0.0</v>
      </c>
      <c r="DA65" s="70">
        <v>0.0</v>
      </c>
      <c r="DB65" s="70">
        <v>0.0</v>
      </c>
      <c r="DC65" s="70">
        <v>16459.0</v>
      </c>
      <c r="DD65" s="70">
        <v>22382.0</v>
      </c>
      <c r="DE65" s="70">
        <v>0.0</v>
      </c>
      <c r="DF65" s="70">
        <v>0.0</v>
      </c>
      <c r="DG65" s="70">
        <v>0.0</v>
      </c>
      <c r="DH65" s="70">
        <v>0.0</v>
      </c>
      <c r="DI65" s="70">
        <v>0.0</v>
      </c>
      <c r="DJ65" s="70">
        <v>0.0</v>
      </c>
      <c r="DK65" s="70">
        <v>0.0</v>
      </c>
      <c r="DL65" s="70">
        <v>0.0</v>
      </c>
      <c r="DM65" s="70">
        <v>0.0</v>
      </c>
      <c r="DN65" s="70">
        <v>0.0</v>
      </c>
      <c r="DO65" s="70">
        <v>0.0</v>
      </c>
      <c r="DP65" s="70">
        <v>0.0</v>
      </c>
      <c r="DQ65" s="70">
        <v>0.0</v>
      </c>
      <c r="DR65" s="70">
        <v>0.0</v>
      </c>
      <c r="DS65" s="70">
        <v>0.0</v>
      </c>
      <c r="DT65" s="70">
        <v>0.0</v>
      </c>
      <c r="DU65" s="70">
        <v>0.0</v>
      </c>
      <c r="DV65" s="70">
        <v>0.0</v>
      </c>
      <c r="DW65" s="70">
        <v>0.0</v>
      </c>
      <c r="DX65" s="70">
        <v>0.0</v>
      </c>
      <c r="DY65" s="70">
        <v>0.0</v>
      </c>
      <c r="DZ65" s="70">
        <v>0.0</v>
      </c>
      <c r="EA65" s="70">
        <v>0.0</v>
      </c>
      <c r="EB65" s="70">
        <v>0.0</v>
      </c>
      <c r="EC65" s="70">
        <v>0.0</v>
      </c>
      <c r="ED65" s="70">
        <v>0.0</v>
      </c>
      <c r="EE65" s="70">
        <v>0.0</v>
      </c>
      <c r="EF65" s="70">
        <v>0.0</v>
      </c>
      <c r="EG65" s="70">
        <v>0.0</v>
      </c>
      <c r="EH65" s="70">
        <v>0.0</v>
      </c>
      <c r="EI65" s="70">
        <v>0.0</v>
      </c>
      <c r="EJ65" s="70">
        <v>0.0</v>
      </c>
      <c r="EK65" s="70">
        <v>0.0</v>
      </c>
      <c r="EL65" s="70">
        <v>0.0</v>
      </c>
      <c r="EM65" s="70">
        <v>0.0</v>
      </c>
      <c r="EN65" s="70">
        <v>0.0</v>
      </c>
      <c r="EO65" s="70">
        <v>0.0</v>
      </c>
      <c r="EP65" s="70">
        <v>0.0</v>
      </c>
      <c r="EQ65" s="70">
        <v>0.0</v>
      </c>
      <c r="ER65" s="70">
        <v>0.0</v>
      </c>
      <c r="ES65" s="70">
        <v>0.0</v>
      </c>
      <c r="ET65" s="70">
        <v>0.0</v>
      </c>
      <c r="EU65" s="70">
        <v>0.0</v>
      </c>
      <c r="EV65" s="70">
        <v>0.0</v>
      </c>
      <c r="EW65" s="70">
        <v>0.0</v>
      </c>
      <c r="EX65" s="70">
        <v>0.0</v>
      </c>
      <c r="EY65" s="70">
        <v>0.0</v>
      </c>
      <c r="EZ65" s="70">
        <v>0.0</v>
      </c>
      <c r="FA65" s="70">
        <v>0.0</v>
      </c>
      <c r="FB65" s="70">
        <v>0.0</v>
      </c>
      <c r="FC65" s="70">
        <v>0.0</v>
      </c>
      <c r="FD65" s="70">
        <v>0.0</v>
      </c>
      <c r="FE65" s="70">
        <v>99973.0</v>
      </c>
      <c r="FF65" s="70">
        <v>0.0</v>
      </c>
      <c r="FG65" s="70">
        <v>0.0</v>
      </c>
      <c r="FH65" s="70">
        <v>0.0</v>
      </c>
      <c r="FI65" s="70">
        <v>0.0</v>
      </c>
      <c r="FJ65" s="70">
        <v>609119.0</v>
      </c>
      <c r="FK65" s="70">
        <v>5489281.0</v>
      </c>
      <c r="FL65" s="70">
        <v>0.0</v>
      </c>
      <c r="FM65" s="70">
        <v>0.0</v>
      </c>
      <c r="FN65" s="70">
        <v>0.0</v>
      </c>
      <c r="FO65" s="70">
        <v>0.0</v>
      </c>
      <c r="FP65" s="70">
        <v>0.0</v>
      </c>
      <c r="FQ65" s="70">
        <v>0.0</v>
      </c>
      <c r="FR65" s="70">
        <v>0.0</v>
      </c>
      <c r="FS65" s="70">
        <v>0.0</v>
      </c>
      <c r="FT65" s="70">
        <v>0.0</v>
      </c>
      <c r="FU65" s="70">
        <v>0.0</v>
      </c>
      <c r="FV65" s="70">
        <v>0.0</v>
      </c>
      <c r="FW65" s="70">
        <v>16701.0</v>
      </c>
      <c r="FX65" s="70">
        <v>877.0</v>
      </c>
      <c r="FY65" s="70">
        <v>404768.0</v>
      </c>
      <c r="FZ65" s="70">
        <v>0.0</v>
      </c>
      <c r="GA65" s="70">
        <v>228705.0</v>
      </c>
      <c r="GB65" s="70">
        <v>1586546.0</v>
      </c>
      <c r="GC65" s="70">
        <v>27301.0</v>
      </c>
      <c r="GD65" s="70">
        <v>0.0</v>
      </c>
      <c r="GE65" s="70">
        <v>1074251.0</v>
      </c>
      <c r="GF65" s="71">
        <v>2.7659106E7</v>
      </c>
      <c r="GG65" s="72">
        <v>1.36607359E8</v>
      </c>
      <c r="GH65" s="73">
        <v>0.0</v>
      </c>
      <c r="GI65" s="72">
        <v>0.0</v>
      </c>
      <c r="GJ65" s="72">
        <v>0.0</v>
      </c>
      <c r="GK65" s="72">
        <v>1443640.0</v>
      </c>
      <c r="GL65" s="72">
        <v>1033228.0</v>
      </c>
      <c r="GM65" s="72">
        <v>0.0</v>
      </c>
      <c r="GN65" s="71">
        <v>1.39084227E8</v>
      </c>
      <c r="GO65" s="74">
        <v>1.66743333E8</v>
      </c>
      <c r="GP65" s="72">
        <v>1.7774637E7</v>
      </c>
      <c r="GQ65" s="72">
        <v>0.0</v>
      </c>
      <c r="GR65" s="73">
        <v>0.0</v>
      </c>
      <c r="GS65" s="71">
        <v>1.7774637E7</v>
      </c>
      <c r="GT65" s="75">
        <v>1.0471795E7</v>
      </c>
      <c r="GU65" s="75">
        <v>1.1834406E7</v>
      </c>
      <c r="GV65" s="75">
        <v>1890555.0</v>
      </c>
      <c r="GW65" s="71">
        <v>2.4196756E7</v>
      </c>
      <c r="GX65" s="71">
        <v>4706703.0</v>
      </c>
      <c r="GY65" s="71">
        <v>1.20065237E8</v>
      </c>
      <c r="GZ65" s="74">
        <v>1.66743333E8</v>
      </c>
      <c r="HH65" s="106"/>
    </row>
    <row r="66" ht="15.75" customHeight="1">
      <c r="A66" s="52">
        <v>61.0</v>
      </c>
      <c r="B66" s="111" t="s">
        <v>331</v>
      </c>
      <c r="C66" s="54">
        <v>0.0</v>
      </c>
      <c r="D66" s="54">
        <v>0.0</v>
      </c>
      <c r="E66" s="54">
        <v>0.0</v>
      </c>
      <c r="F66" s="54">
        <v>0.0</v>
      </c>
      <c r="G66" s="54">
        <v>0.0</v>
      </c>
      <c r="H66" s="54">
        <v>0.0</v>
      </c>
      <c r="I66" s="54">
        <v>0.0</v>
      </c>
      <c r="J66" s="54">
        <v>0.0</v>
      </c>
      <c r="K66" s="54">
        <v>0.0</v>
      </c>
      <c r="L66" s="54">
        <v>0.0</v>
      </c>
      <c r="M66" s="54">
        <v>0.0</v>
      </c>
      <c r="N66" s="54">
        <v>0.0</v>
      </c>
      <c r="O66" s="54">
        <v>0.0</v>
      </c>
      <c r="P66" s="54">
        <v>0.0</v>
      </c>
      <c r="Q66" s="54">
        <v>0.0</v>
      </c>
      <c r="R66" s="54">
        <v>0.0</v>
      </c>
      <c r="S66" s="54">
        <v>0.0</v>
      </c>
      <c r="T66" s="54">
        <v>0.0</v>
      </c>
      <c r="U66" s="54">
        <v>0.0</v>
      </c>
      <c r="V66" s="54">
        <v>0.0</v>
      </c>
      <c r="W66" s="54">
        <v>0.0</v>
      </c>
      <c r="X66" s="54">
        <v>0.0</v>
      </c>
      <c r="Y66" s="54">
        <v>0.0</v>
      </c>
      <c r="Z66" s="54">
        <v>0.0</v>
      </c>
      <c r="AA66" s="54">
        <v>0.0</v>
      </c>
      <c r="AB66" s="54">
        <v>0.0</v>
      </c>
      <c r="AC66" s="54">
        <v>0.0</v>
      </c>
      <c r="AD66" s="54">
        <v>0.0</v>
      </c>
      <c r="AE66" s="54">
        <v>0.0</v>
      </c>
      <c r="AF66" s="54">
        <v>0.0</v>
      </c>
      <c r="AG66" s="54">
        <v>0.0</v>
      </c>
      <c r="AH66" s="54">
        <v>0.0</v>
      </c>
      <c r="AI66" s="54">
        <v>0.0</v>
      </c>
      <c r="AJ66" s="54">
        <v>0.0</v>
      </c>
      <c r="AK66" s="54">
        <v>0.0</v>
      </c>
      <c r="AL66" s="54">
        <v>0.0</v>
      </c>
      <c r="AM66" s="54">
        <v>0.0</v>
      </c>
      <c r="AN66" s="54">
        <v>0.0</v>
      </c>
      <c r="AO66" s="54">
        <v>0.0</v>
      </c>
      <c r="AP66" s="54">
        <v>0.0</v>
      </c>
      <c r="AQ66" s="54">
        <v>0.0</v>
      </c>
      <c r="AR66" s="54">
        <v>0.0</v>
      </c>
      <c r="AS66" s="54">
        <v>0.0</v>
      </c>
      <c r="AT66" s="54">
        <v>0.0</v>
      </c>
      <c r="AU66" s="54">
        <v>0.0</v>
      </c>
      <c r="AV66" s="54">
        <v>0.0</v>
      </c>
      <c r="AW66" s="54">
        <v>0.0</v>
      </c>
      <c r="AX66" s="54">
        <v>0.0</v>
      </c>
      <c r="AY66" s="54">
        <v>0.0</v>
      </c>
      <c r="AZ66" s="54">
        <v>0.0</v>
      </c>
      <c r="BA66" s="54">
        <v>0.0</v>
      </c>
      <c r="BB66" s="54">
        <v>0.0</v>
      </c>
      <c r="BC66" s="54">
        <v>135959.0</v>
      </c>
      <c r="BD66" s="54">
        <v>0.0</v>
      </c>
      <c r="BE66" s="54">
        <v>0.0</v>
      </c>
      <c r="BF66" s="54">
        <v>30625.0</v>
      </c>
      <c r="BG66" s="54">
        <v>201214.0</v>
      </c>
      <c r="BH66" s="54">
        <v>408972.0</v>
      </c>
      <c r="BI66" s="54">
        <v>0.0</v>
      </c>
      <c r="BJ66" s="54">
        <v>1110251.0</v>
      </c>
      <c r="BK66" s="54">
        <v>537522.0</v>
      </c>
      <c r="BL66" s="54">
        <v>20816.0</v>
      </c>
      <c r="BM66" s="54">
        <v>0.0</v>
      </c>
      <c r="BN66" s="54">
        <v>6905851.0</v>
      </c>
      <c r="BO66" s="54">
        <v>754104.0</v>
      </c>
      <c r="BP66" s="54">
        <v>210803.0</v>
      </c>
      <c r="BQ66" s="54">
        <v>1.2217533E7</v>
      </c>
      <c r="BR66" s="54">
        <v>0.0</v>
      </c>
      <c r="BS66" s="54">
        <v>0.0</v>
      </c>
      <c r="BT66" s="54">
        <v>435307.0</v>
      </c>
      <c r="BU66" s="54">
        <v>1927120.0</v>
      </c>
      <c r="BV66" s="54">
        <v>2265641.0</v>
      </c>
      <c r="BW66" s="54">
        <v>2882.0</v>
      </c>
      <c r="BX66" s="54">
        <v>18724.0</v>
      </c>
      <c r="BY66" s="54">
        <v>0.0</v>
      </c>
      <c r="BZ66" s="54">
        <v>0.0</v>
      </c>
      <c r="CA66" s="54">
        <v>0.0</v>
      </c>
      <c r="CB66" s="54">
        <v>0.0</v>
      </c>
      <c r="CC66" s="54">
        <v>0.0</v>
      </c>
      <c r="CD66" s="54">
        <v>0.0</v>
      </c>
      <c r="CE66" s="54">
        <v>0.0</v>
      </c>
      <c r="CF66" s="54">
        <v>0.0</v>
      </c>
      <c r="CG66" s="54">
        <v>1632.0</v>
      </c>
      <c r="CH66" s="54">
        <v>40227.0</v>
      </c>
      <c r="CI66" s="54">
        <v>496070.0</v>
      </c>
      <c r="CJ66" s="54">
        <v>28211.0</v>
      </c>
      <c r="CK66" s="54">
        <v>21554.0</v>
      </c>
      <c r="CL66" s="54">
        <v>455328.0</v>
      </c>
      <c r="CM66" s="54">
        <v>13557.0</v>
      </c>
      <c r="CN66" s="54">
        <v>0.0</v>
      </c>
      <c r="CO66" s="54">
        <v>0.0</v>
      </c>
      <c r="CP66" s="54">
        <v>595.0</v>
      </c>
      <c r="CQ66" s="54">
        <v>0.0</v>
      </c>
      <c r="CR66" s="54">
        <v>0.0</v>
      </c>
      <c r="CS66" s="54">
        <v>5601.0</v>
      </c>
      <c r="CT66" s="54">
        <v>0.0</v>
      </c>
      <c r="CU66" s="54">
        <v>0.0</v>
      </c>
      <c r="CV66" s="54">
        <v>0.0</v>
      </c>
      <c r="CW66" s="54">
        <v>0.0</v>
      </c>
      <c r="CX66" s="54">
        <v>0.0</v>
      </c>
      <c r="CY66" s="54">
        <v>0.0</v>
      </c>
      <c r="CZ66" s="54">
        <v>0.0</v>
      </c>
      <c r="DA66" s="54">
        <v>223472.0</v>
      </c>
      <c r="DB66" s="54">
        <v>0.0</v>
      </c>
      <c r="DC66" s="54">
        <v>110513.0</v>
      </c>
      <c r="DD66" s="54">
        <v>27903.0</v>
      </c>
      <c r="DE66" s="54">
        <v>0.0</v>
      </c>
      <c r="DF66" s="54">
        <v>0.0</v>
      </c>
      <c r="DG66" s="54">
        <v>0.0</v>
      </c>
      <c r="DH66" s="54">
        <v>0.0</v>
      </c>
      <c r="DI66" s="54">
        <v>0.0</v>
      </c>
      <c r="DJ66" s="54">
        <v>0.0</v>
      </c>
      <c r="DK66" s="54">
        <v>0.0</v>
      </c>
      <c r="DL66" s="54">
        <v>0.0</v>
      </c>
      <c r="DM66" s="54">
        <v>0.0</v>
      </c>
      <c r="DN66" s="54">
        <v>0.0</v>
      </c>
      <c r="DO66" s="54">
        <v>0.0</v>
      </c>
      <c r="DP66" s="54">
        <v>0.0</v>
      </c>
      <c r="DQ66" s="54">
        <v>0.0</v>
      </c>
      <c r="DR66" s="54">
        <v>0.0</v>
      </c>
      <c r="DS66" s="54">
        <v>0.0</v>
      </c>
      <c r="DT66" s="54">
        <v>0.0</v>
      </c>
      <c r="DU66" s="54">
        <v>0.0</v>
      </c>
      <c r="DV66" s="54">
        <v>0.0</v>
      </c>
      <c r="DW66" s="54">
        <v>0.0</v>
      </c>
      <c r="DX66" s="54">
        <v>0.0</v>
      </c>
      <c r="DY66" s="54">
        <v>0.0</v>
      </c>
      <c r="DZ66" s="54">
        <v>0.0</v>
      </c>
      <c r="EA66" s="54">
        <v>0.0</v>
      </c>
      <c r="EB66" s="54">
        <v>0.0</v>
      </c>
      <c r="EC66" s="54">
        <v>0.0</v>
      </c>
      <c r="ED66" s="54">
        <v>0.0</v>
      </c>
      <c r="EE66" s="54">
        <v>0.0</v>
      </c>
      <c r="EF66" s="54">
        <v>0.0</v>
      </c>
      <c r="EG66" s="54">
        <v>0.0</v>
      </c>
      <c r="EH66" s="54">
        <v>0.0</v>
      </c>
      <c r="EI66" s="54">
        <v>0.0</v>
      </c>
      <c r="EJ66" s="54">
        <v>0.0</v>
      </c>
      <c r="EK66" s="54">
        <v>0.0</v>
      </c>
      <c r="EL66" s="54">
        <v>0.0</v>
      </c>
      <c r="EM66" s="54">
        <v>18732.0</v>
      </c>
      <c r="EN66" s="54">
        <v>0.0</v>
      </c>
      <c r="EO66" s="54">
        <v>0.0</v>
      </c>
      <c r="EP66" s="54">
        <v>0.0</v>
      </c>
      <c r="EQ66" s="54">
        <v>0.0</v>
      </c>
      <c r="ER66" s="54">
        <v>0.0</v>
      </c>
      <c r="ES66" s="54">
        <v>0.0</v>
      </c>
      <c r="ET66" s="54">
        <v>0.0</v>
      </c>
      <c r="EU66" s="54">
        <v>0.0</v>
      </c>
      <c r="EV66" s="54">
        <v>0.0</v>
      </c>
      <c r="EW66" s="54">
        <v>0.0</v>
      </c>
      <c r="EX66" s="54">
        <v>0.0</v>
      </c>
      <c r="EY66" s="54">
        <v>0.0</v>
      </c>
      <c r="EZ66" s="54">
        <v>0.0</v>
      </c>
      <c r="FA66" s="54">
        <v>0.0</v>
      </c>
      <c r="FB66" s="54">
        <v>0.0</v>
      </c>
      <c r="FC66" s="54">
        <v>0.0</v>
      </c>
      <c r="FD66" s="54">
        <v>0.0</v>
      </c>
      <c r="FE66" s="54">
        <v>0.0</v>
      </c>
      <c r="FF66" s="54">
        <v>0.0</v>
      </c>
      <c r="FG66" s="54">
        <v>0.0</v>
      </c>
      <c r="FH66" s="54">
        <v>0.0</v>
      </c>
      <c r="FI66" s="54">
        <v>0.0</v>
      </c>
      <c r="FJ66" s="54">
        <v>1341344.0</v>
      </c>
      <c r="FK66" s="54">
        <v>1.8837795E7</v>
      </c>
      <c r="FL66" s="54">
        <v>0.0</v>
      </c>
      <c r="FM66" s="54">
        <v>0.0</v>
      </c>
      <c r="FN66" s="54">
        <v>0.0</v>
      </c>
      <c r="FO66" s="54">
        <v>0.0</v>
      </c>
      <c r="FP66" s="54">
        <v>0.0</v>
      </c>
      <c r="FQ66" s="54">
        <v>0.0</v>
      </c>
      <c r="FR66" s="54">
        <v>0.0</v>
      </c>
      <c r="FS66" s="54">
        <v>0.0</v>
      </c>
      <c r="FT66" s="54">
        <v>0.0</v>
      </c>
      <c r="FU66" s="54">
        <v>0.0</v>
      </c>
      <c r="FV66" s="54">
        <v>0.0</v>
      </c>
      <c r="FW66" s="54">
        <v>9194.0</v>
      </c>
      <c r="FX66" s="54">
        <v>491.0</v>
      </c>
      <c r="FY66" s="54">
        <v>142059.0</v>
      </c>
      <c r="FZ66" s="54">
        <v>0.0</v>
      </c>
      <c r="GA66" s="54">
        <v>112405.0</v>
      </c>
      <c r="GB66" s="54">
        <v>1112082.0</v>
      </c>
      <c r="GC66" s="54">
        <v>6597.0</v>
      </c>
      <c r="GD66" s="54">
        <v>0.0</v>
      </c>
      <c r="GE66" s="54">
        <v>257926.0</v>
      </c>
      <c r="GF66" s="55">
        <v>5.0446612E7</v>
      </c>
      <c r="GG66" s="56">
        <v>5444715.0</v>
      </c>
      <c r="GH66" s="57">
        <v>0.0</v>
      </c>
      <c r="GI66" s="56">
        <v>0.0</v>
      </c>
      <c r="GJ66" s="56">
        <v>0.0</v>
      </c>
      <c r="GK66" s="56">
        <v>2405420.0</v>
      </c>
      <c r="GL66" s="56">
        <v>2976724.0</v>
      </c>
      <c r="GM66" s="56">
        <v>0.0</v>
      </c>
      <c r="GN66" s="55">
        <v>1.0826859E7</v>
      </c>
      <c r="GO66" s="58">
        <v>6.1273471E7</v>
      </c>
      <c r="GP66" s="56">
        <v>1.2397759E7</v>
      </c>
      <c r="GQ66" s="56">
        <v>0.0</v>
      </c>
      <c r="GR66" s="57">
        <v>0.0</v>
      </c>
      <c r="GS66" s="55">
        <v>1.2397759E7</v>
      </c>
      <c r="GT66" s="59">
        <v>3301267.0</v>
      </c>
      <c r="GU66" s="59">
        <v>3814720.0</v>
      </c>
      <c r="GV66" s="59">
        <v>463895.0</v>
      </c>
      <c r="GW66" s="55">
        <v>7579882.0</v>
      </c>
      <c r="GX66" s="55">
        <v>1262242.0</v>
      </c>
      <c r="GY66" s="55">
        <v>4.0033588E7</v>
      </c>
      <c r="GZ66" s="58">
        <v>6.1273471E7</v>
      </c>
      <c r="HH66" s="106"/>
    </row>
    <row r="67" ht="15.75" customHeight="1">
      <c r="A67" s="60">
        <v>62.0</v>
      </c>
      <c r="B67" s="111" t="s">
        <v>332</v>
      </c>
      <c r="C67" s="62">
        <v>0.0</v>
      </c>
      <c r="D67" s="62">
        <v>0.0</v>
      </c>
      <c r="E67" s="62">
        <v>0.0</v>
      </c>
      <c r="F67" s="62">
        <v>0.0</v>
      </c>
      <c r="G67" s="62">
        <v>0.0</v>
      </c>
      <c r="H67" s="62">
        <v>0.0</v>
      </c>
      <c r="I67" s="62">
        <v>0.0</v>
      </c>
      <c r="J67" s="62">
        <v>0.0</v>
      </c>
      <c r="K67" s="62">
        <v>0.0</v>
      </c>
      <c r="L67" s="62">
        <v>0.0</v>
      </c>
      <c r="M67" s="62">
        <v>0.0</v>
      </c>
      <c r="N67" s="62">
        <v>0.0</v>
      </c>
      <c r="O67" s="62">
        <v>0.0</v>
      </c>
      <c r="P67" s="62">
        <v>0.0</v>
      </c>
      <c r="Q67" s="62">
        <v>0.0</v>
      </c>
      <c r="R67" s="62">
        <v>0.0</v>
      </c>
      <c r="S67" s="62">
        <v>0.0</v>
      </c>
      <c r="T67" s="62">
        <v>0.0</v>
      </c>
      <c r="U67" s="62">
        <v>0.0</v>
      </c>
      <c r="V67" s="62">
        <v>0.0</v>
      </c>
      <c r="W67" s="62">
        <v>0.0</v>
      </c>
      <c r="X67" s="62">
        <v>0.0</v>
      </c>
      <c r="Y67" s="62">
        <v>0.0</v>
      </c>
      <c r="Z67" s="62">
        <v>0.0</v>
      </c>
      <c r="AA67" s="62">
        <v>0.0</v>
      </c>
      <c r="AB67" s="62">
        <v>0.0</v>
      </c>
      <c r="AC67" s="62">
        <v>0.0</v>
      </c>
      <c r="AD67" s="62">
        <v>0.0</v>
      </c>
      <c r="AE67" s="62">
        <v>0.0</v>
      </c>
      <c r="AF67" s="62">
        <v>0.0</v>
      </c>
      <c r="AG67" s="62">
        <v>0.0</v>
      </c>
      <c r="AH67" s="62">
        <v>0.0</v>
      </c>
      <c r="AI67" s="62">
        <v>0.0</v>
      </c>
      <c r="AJ67" s="62">
        <v>0.0</v>
      </c>
      <c r="AK67" s="62">
        <v>0.0</v>
      </c>
      <c r="AL67" s="62">
        <v>0.0</v>
      </c>
      <c r="AM67" s="62">
        <v>0.0</v>
      </c>
      <c r="AN67" s="62">
        <v>0.0</v>
      </c>
      <c r="AO67" s="62">
        <v>0.0</v>
      </c>
      <c r="AP67" s="62">
        <v>0.0</v>
      </c>
      <c r="AQ67" s="62">
        <v>0.0</v>
      </c>
      <c r="AR67" s="62">
        <v>0.0</v>
      </c>
      <c r="AS67" s="62">
        <v>0.0</v>
      </c>
      <c r="AT67" s="62">
        <v>0.0</v>
      </c>
      <c r="AU67" s="62">
        <v>0.0</v>
      </c>
      <c r="AV67" s="62">
        <v>0.0</v>
      </c>
      <c r="AW67" s="62">
        <v>0.0</v>
      </c>
      <c r="AX67" s="62">
        <v>0.0</v>
      </c>
      <c r="AY67" s="62">
        <v>0.0</v>
      </c>
      <c r="AZ67" s="62">
        <v>0.0</v>
      </c>
      <c r="BA67" s="62">
        <v>0.0</v>
      </c>
      <c r="BB67" s="62">
        <v>0.0</v>
      </c>
      <c r="BC67" s="62">
        <v>58696.0</v>
      </c>
      <c r="BD67" s="62">
        <v>0.0</v>
      </c>
      <c r="BE67" s="62">
        <v>0.0</v>
      </c>
      <c r="BF67" s="62">
        <v>63468.0</v>
      </c>
      <c r="BG67" s="62">
        <v>452.0</v>
      </c>
      <c r="BH67" s="62">
        <v>0.0</v>
      </c>
      <c r="BI67" s="62">
        <v>0.0</v>
      </c>
      <c r="BJ67" s="62">
        <v>2119.0</v>
      </c>
      <c r="BK67" s="62">
        <v>11006.0</v>
      </c>
      <c r="BL67" s="62">
        <v>258426.0</v>
      </c>
      <c r="BM67" s="62">
        <v>0.0</v>
      </c>
      <c r="BN67" s="62">
        <v>8805078.0</v>
      </c>
      <c r="BO67" s="62">
        <v>0.0</v>
      </c>
      <c r="BP67" s="62">
        <v>8227.0</v>
      </c>
      <c r="BQ67" s="62">
        <v>4555737.0</v>
      </c>
      <c r="BR67" s="62">
        <v>0.0</v>
      </c>
      <c r="BS67" s="62">
        <v>0.0</v>
      </c>
      <c r="BT67" s="62">
        <v>1561783.0</v>
      </c>
      <c r="BU67" s="62">
        <v>901603.0</v>
      </c>
      <c r="BV67" s="62">
        <v>495948.0</v>
      </c>
      <c r="BW67" s="62">
        <v>568.0</v>
      </c>
      <c r="BX67" s="62">
        <v>2830.0</v>
      </c>
      <c r="BY67" s="62">
        <v>0.0</v>
      </c>
      <c r="BZ67" s="62">
        <v>0.0</v>
      </c>
      <c r="CA67" s="62">
        <v>0.0</v>
      </c>
      <c r="CB67" s="62">
        <v>0.0</v>
      </c>
      <c r="CC67" s="62">
        <v>0.0</v>
      </c>
      <c r="CD67" s="62">
        <v>0.0</v>
      </c>
      <c r="CE67" s="62">
        <v>0.0</v>
      </c>
      <c r="CF67" s="62">
        <v>0.0</v>
      </c>
      <c r="CG67" s="62">
        <v>0.0</v>
      </c>
      <c r="CH67" s="62">
        <v>0.0</v>
      </c>
      <c r="CI67" s="62">
        <v>0.0</v>
      </c>
      <c r="CJ67" s="62">
        <v>0.0</v>
      </c>
      <c r="CK67" s="62">
        <v>0.0</v>
      </c>
      <c r="CL67" s="62">
        <v>0.0</v>
      </c>
      <c r="CM67" s="62">
        <v>0.0</v>
      </c>
      <c r="CN67" s="62">
        <v>0.0</v>
      </c>
      <c r="CO67" s="62">
        <v>0.0</v>
      </c>
      <c r="CP67" s="62">
        <v>0.0</v>
      </c>
      <c r="CQ67" s="62">
        <v>0.0</v>
      </c>
      <c r="CR67" s="62">
        <v>0.0</v>
      </c>
      <c r="CS67" s="62">
        <v>0.0</v>
      </c>
      <c r="CT67" s="62">
        <v>0.0</v>
      </c>
      <c r="CU67" s="62">
        <v>0.0</v>
      </c>
      <c r="CV67" s="62">
        <v>0.0</v>
      </c>
      <c r="CW67" s="62">
        <v>0.0</v>
      </c>
      <c r="CX67" s="62">
        <v>0.0</v>
      </c>
      <c r="CY67" s="62">
        <v>0.0</v>
      </c>
      <c r="CZ67" s="62">
        <v>0.0</v>
      </c>
      <c r="DA67" s="62">
        <v>1019.0</v>
      </c>
      <c r="DB67" s="62">
        <v>0.0</v>
      </c>
      <c r="DC67" s="62">
        <v>0.0</v>
      </c>
      <c r="DD67" s="62">
        <v>0.0</v>
      </c>
      <c r="DE67" s="62">
        <v>0.0</v>
      </c>
      <c r="DF67" s="62">
        <v>0.0</v>
      </c>
      <c r="DG67" s="62">
        <v>0.0</v>
      </c>
      <c r="DH67" s="62">
        <v>0.0</v>
      </c>
      <c r="DI67" s="62">
        <v>0.0</v>
      </c>
      <c r="DJ67" s="62">
        <v>0.0</v>
      </c>
      <c r="DK67" s="62">
        <v>0.0</v>
      </c>
      <c r="DL67" s="62">
        <v>0.0</v>
      </c>
      <c r="DM67" s="62">
        <v>0.0</v>
      </c>
      <c r="DN67" s="62">
        <v>0.0</v>
      </c>
      <c r="DO67" s="62">
        <v>0.0</v>
      </c>
      <c r="DP67" s="62">
        <v>0.0</v>
      </c>
      <c r="DQ67" s="62">
        <v>0.0</v>
      </c>
      <c r="DR67" s="62">
        <v>0.0</v>
      </c>
      <c r="DS67" s="62">
        <v>0.0</v>
      </c>
      <c r="DT67" s="62">
        <v>0.0</v>
      </c>
      <c r="DU67" s="62">
        <v>0.0</v>
      </c>
      <c r="DV67" s="62">
        <v>0.0</v>
      </c>
      <c r="DW67" s="62">
        <v>0.0</v>
      </c>
      <c r="DX67" s="62">
        <v>0.0</v>
      </c>
      <c r="DY67" s="62">
        <v>0.0</v>
      </c>
      <c r="DZ67" s="62">
        <v>0.0</v>
      </c>
      <c r="EA67" s="62">
        <v>0.0</v>
      </c>
      <c r="EB67" s="62">
        <v>0.0</v>
      </c>
      <c r="EC67" s="62">
        <v>0.0</v>
      </c>
      <c r="ED67" s="62">
        <v>0.0</v>
      </c>
      <c r="EE67" s="62">
        <v>0.0</v>
      </c>
      <c r="EF67" s="62">
        <v>0.0</v>
      </c>
      <c r="EG67" s="62">
        <v>0.0</v>
      </c>
      <c r="EH67" s="62">
        <v>0.0</v>
      </c>
      <c r="EI67" s="62">
        <v>0.0</v>
      </c>
      <c r="EJ67" s="62">
        <v>0.0</v>
      </c>
      <c r="EK67" s="62">
        <v>0.0</v>
      </c>
      <c r="EL67" s="62">
        <v>0.0</v>
      </c>
      <c r="EM67" s="62">
        <v>3866.0</v>
      </c>
      <c r="EN67" s="62">
        <v>0.0</v>
      </c>
      <c r="EO67" s="62">
        <v>0.0</v>
      </c>
      <c r="EP67" s="62">
        <v>0.0</v>
      </c>
      <c r="EQ67" s="62">
        <v>0.0</v>
      </c>
      <c r="ER67" s="62">
        <v>0.0</v>
      </c>
      <c r="ES67" s="62">
        <v>0.0</v>
      </c>
      <c r="ET67" s="62">
        <v>0.0</v>
      </c>
      <c r="EU67" s="62">
        <v>0.0</v>
      </c>
      <c r="EV67" s="62">
        <v>0.0</v>
      </c>
      <c r="EW67" s="62">
        <v>0.0</v>
      </c>
      <c r="EX67" s="62">
        <v>0.0</v>
      </c>
      <c r="EY67" s="62">
        <v>0.0</v>
      </c>
      <c r="EZ67" s="62">
        <v>0.0</v>
      </c>
      <c r="FA67" s="62">
        <v>0.0</v>
      </c>
      <c r="FB67" s="62">
        <v>0.0</v>
      </c>
      <c r="FC67" s="62">
        <v>0.0</v>
      </c>
      <c r="FD67" s="62">
        <v>0.0</v>
      </c>
      <c r="FE67" s="62">
        <v>0.0</v>
      </c>
      <c r="FF67" s="62">
        <v>0.0</v>
      </c>
      <c r="FG67" s="62">
        <v>0.0</v>
      </c>
      <c r="FH67" s="62">
        <v>0.0</v>
      </c>
      <c r="FI67" s="62">
        <v>0.0</v>
      </c>
      <c r="FJ67" s="62">
        <v>1487933.0</v>
      </c>
      <c r="FK67" s="62">
        <v>1.5249526E7</v>
      </c>
      <c r="FL67" s="62">
        <v>0.0</v>
      </c>
      <c r="FM67" s="62">
        <v>0.0</v>
      </c>
      <c r="FN67" s="62">
        <v>0.0</v>
      </c>
      <c r="FO67" s="62">
        <v>0.0</v>
      </c>
      <c r="FP67" s="62">
        <v>0.0</v>
      </c>
      <c r="FQ67" s="62">
        <v>0.0</v>
      </c>
      <c r="FR67" s="62">
        <v>0.0</v>
      </c>
      <c r="FS67" s="62">
        <v>0.0</v>
      </c>
      <c r="FT67" s="62">
        <v>0.0</v>
      </c>
      <c r="FU67" s="62">
        <v>0.0</v>
      </c>
      <c r="FV67" s="62">
        <v>0.0</v>
      </c>
      <c r="FW67" s="62">
        <v>915517.0</v>
      </c>
      <c r="FX67" s="62">
        <v>23091.0</v>
      </c>
      <c r="FY67" s="62">
        <v>1320806.0</v>
      </c>
      <c r="FZ67" s="62">
        <v>32765.0</v>
      </c>
      <c r="GA67" s="62">
        <v>252234.0</v>
      </c>
      <c r="GB67" s="62">
        <v>276644.0</v>
      </c>
      <c r="GC67" s="62">
        <v>26558.0</v>
      </c>
      <c r="GD67" s="62">
        <v>0.0</v>
      </c>
      <c r="GE67" s="62">
        <v>1046064.0</v>
      </c>
      <c r="GF67" s="63">
        <v>3.7361964E7</v>
      </c>
      <c r="GG67" s="64">
        <v>1.5774995E7</v>
      </c>
      <c r="GH67" s="65">
        <v>0.0</v>
      </c>
      <c r="GI67" s="64">
        <v>0.0</v>
      </c>
      <c r="GJ67" s="64">
        <v>0.0</v>
      </c>
      <c r="GK67" s="64">
        <v>-964137.0</v>
      </c>
      <c r="GL67" s="64">
        <v>2360233.0</v>
      </c>
      <c r="GM67" s="64">
        <v>0.0</v>
      </c>
      <c r="GN67" s="63">
        <v>1.7171091E7</v>
      </c>
      <c r="GO67" s="66">
        <v>5.4533055E7</v>
      </c>
      <c r="GP67" s="64">
        <v>240008.0</v>
      </c>
      <c r="GQ67" s="64">
        <v>0.0</v>
      </c>
      <c r="GR67" s="65">
        <v>0.0</v>
      </c>
      <c r="GS67" s="63">
        <v>240008.0</v>
      </c>
      <c r="GT67" s="67">
        <v>6896479.0</v>
      </c>
      <c r="GU67" s="67">
        <v>5074078.0</v>
      </c>
      <c r="GV67" s="67">
        <v>1602845.0</v>
      </c>
      <c r="GW67" s="63">
        <v>1.3573402E7</v>
      </c>
      <c r="GX67" s="63">
        <v>667836.0</v>
      </c>
      <c r="GY67" s="63">
        <v>4.0051809E7</v>
      </c>
      <c r="GZ67" s="66">
        <v>5.4533055E7</v>
      </c>
      <c r="HH67" s="106"/>
    </row>
    <row r="68" ht="15.75" customHeight="1">
      <c r="A68" s="60">
        <v>63.0</v>
      </c>
      <c r="B68" s="111" t="s">
        <v>333</v>
      </c>
      <c r="C68" s="62">
        <v>0.0</v>
      </c>
      <c r="D68" s="62">
        <v>0.0</v>
      </c>
      <c r="E68" s="62">
        <v>0.0</v>
      </c>
      <c r="F68" s="62">
        <v>0.0</v>
      </c>
      <c r="G68" s="62">
        <v>0.0</v>
      </c>
      <c r="H68" s="62">
        <v>0.0</v>
      </c>
      <c r="I68" s="62">
        <v>0.0</v>
      </c>
      <c r="J68" s="62">
        <v>0.0</v>
      </c>
      <c r="K68" s="62">
        <v>0.0</v>
      </c>
      <c r="L68" s="62">
        <v>0.0</v>
      </c>
      <c r="M68" s="62">
        <v>0.0</v>
      </c>
      <c r="N68" s="62">
        <v>0.0</v>
      </c>
      <c r="O68" s="62">
        <v>0.0</v>
      </c>
      <c r="P68" s="62">
        <v>0.0</v>
      </c>
      <c r="Q68" s="62">
        <v>0.0</v>
      </c>
      <c r="R68" s="62">
        <v>0.0</v>
      </c>
      <c r="S68" s="62">
        <v>0.0</v>
      </c>
      <c r="T68" s="62">
        <v>0.0</v>
      </c>
      <c r="U68" s="62">
        <v>0.0</v>
      </c>
      <c r="V68" s="62">
        <v>0.0</v>
      </c>
      <c r="W68" s="62">
        <v>0.0</v>
      </c>
      <c r="X68" s="62">
        <v>0.0</v>
      </c>
      <c r="Y68" s="62">
        <v>0.0</v>
      </c>
      <c r="Z68" s="62">
        <v>0.0</v>
      </c>
      <c r="AA68" s="62">
        <v>0.0</v>
      </c>
      <c r="AB68" s="62">
        <v>146427.0</v>
      </c>
      <c r="AC68" s="62">
        <v>124767.0</v>
      </c>
      <c r="AD68" s="62">
        <v>1970948.0</v>
      </c>
      <c r="AE68" s="62">
        <v>738573.0</v>
      </c>
      <c r="AF68" s="62">
        <v>185960.0</v>
      </c>
      <c r="AG68" s="62">
        <v>0.0</v>
      </c>
      <c r="AH68" s="62">
        <v>0.0</v>
      </c>
      <c r="AI68" s="62">
        <v>14046.0</v>
      </c>
      <c r="AJ68" s="62">
        <v>38644.0</v>
      </c>
      <c r="AK68" s="62">
        <v>4561.0</v>
      </c>
      <c r="AL68" s="62">
        <v>0.0</v>
      </c>
      <c r="AM68" s="62">
        <v>0.0</v>
      </c>
      <c r="AN68" s="62">
        <v>0.0</v>
      </c>
      <c r="AO68" s="62">
        <v>0.0</v>
      </c>
      <c r="AP68" s="62">
        <v>0.0</v>
      </c>
      <c r="AQ68" s="62">
        <v>0.0</v>
      </c>
      <c r="AR68" s="62">
        <v>0.0</v>
      </c>
      <c r="AS68" s="62">
        <v>0.0</v>
      </c>
      <c r="AT68" s="62">
        <v>0.0</v>
      </c>
      <c r="AU68" s="62">
        <v>0.0</v>
      </c>
      <c r="AV68" s="62">
        <v>0.0</v>
      </c>
      <c r="AW68" s="62">
        <v>0.0</v>
      </c>
      <c r="AX68" s="62">
        <v>0.0</v>
      </c>
      <c r="AY68" s="62">
        <v>0.0</v>
      </c>
      <c r="AZ68" s="62">
        <v>0.0</v>
      </c>
      <c r="BA68" s="62">
        <v>0.0</v>
      </c>
      <c r="BB68" s="62">
        <v>0.0</v>
      </c>
      <c r="BC68" s="62">
        <v>0.0</v>
      </c>
      <c r="BD68" s="62">
        <v>0.0</v>
      </c>
      <c r="BE68" s="62">
        <v>0.0</v>
      </c>
      <c r="BF68" s="62">
        <v>0.0</v>
      </c>
      <c r="BG68" s="62">
        <v>0.0</v>
      </c>
      <c r="BH68" s="62">
        <v>0.0</v>
      </c>
      <c r="BI68" s="62">
        <v>0.0</v>
      </c>
      <c r="BJ68" s="62">
        <v>0.0</v>
      </c>
      <c r="BK68" s="62">
        <v>5354763.0</v>
      </c>
      <c r="BL68" s="62">
        <v>0.0</v>
      </c>
      <c r="BM68" s="62">
        <v>926031.0</v>
      </c>
      <c r="BN68" s="62">
        <v>0.0</v>
      </c>
      <c r="BO68" s="62">
        <v>178.0</v>
      </c>
      <c r="BP68" s="62">
        <v>0.0</v>
      </c>
      <c r="BQ68" s="62">
        <v>0.0</v>
      </c>
      <c r="BR68" s="62">
        <v>0.0</v>
      </c>
      <c r="BS68" s="62">
        <v>0.0</v>
      </c>
      <c r="BT68" s="62">
        <v>0.0</v>
      </c>
      <c r="BU68" s="62">
        <v>503606.0</v>
      </c>
      <c r="BV68" s="62">
        <v>999384.0</v>
      </c>
      <c r="BW68" s="62">
        <v>1359.0</v>
      </c>
      <c r="BX68" s="62">
        <v>7325.0</v>
      </c>
      <c r="BY68" s="62">
        <v>0.0</v>
      </c>
      <c r="BZ68" s="62">
        <v>0.0</v>
      </c>
      <c r="CA68" s="62">
        <v>0.0</v>
      </c>
      <c r="CB68" s="62">
        <v>0.0</v>
      </c>
      <c r="CC68" s="62">
        <v>0.0</v>
      </c>
      <c r="CD68" s="62">
        <v>0.0</v>
      </c>
      <c r="CE68" s="62">
        <v>0.0</v>
      </c>
      <c r="CF68" s="62">
        <v>0.0</v>
      </c>
      <c r="CG68" s="62">
        <v>0.0</v>
      </c>
      <c r="CH68" s="62">
        <v>0.0</v>
      </c>
      <c r="CI68" s="62">
        <v>0.0</v>
      </c>
      <c r="CJ68" s="62">
        <v>0.0</v>
      </c>
      <c r="CK68" s="62">
        <v>0.0</v>
      </c>
      <c r="CL68" s="62">
        <v>0.0</v>
      </c>
      <c r="CM68" s="62">
        <v>0.0</v>
      </c>
      <c r="CN68" s="62">
        <v>0.0</v>
      </c>
      <c r="CO68" s="62">
        <v>0.0</v>
      </c>
      <c r="CP68" s="62">
        <v>0.0</v>
      </c>
      <c r="CQ68" s="62">
        <v>0.0</v>
      </c>
      <c r="CR68" s="62">
        <v>0.0</v>
      </c>
      <c r="CS68" s="62">
        <v>0.0</v>
      </c>
      <c r="CT68" s="62">
        <v>0.0</v>
      </c>
      <c r="CU68" s="62">
        <v>0.0</v>
      </c>
      <c r="CV68" s="62">
        <v>0.0</v>
      </c>
      <c r="CW68" s="62">
        <v>0.0</v>
      </c>
      <c r="CX68" s="62">
        <v>0.0</v>
      </c>
      <c r="CY68" s="62">
        <v>0.0</v>
      </c>
      <c r="CZ68" s="62">
        <v>0.0</v>
      </c>
      <c r="DA68" s="62">
        <v>0.0</v>
      </c>
      <c r="DB68" s="62">
        <v>0.0</v>
      </c>
      <c r="DC68" s="62">
        <v>0.0</v>
      </c>
      <c r="DD68" s="62">
        <v>9061.0</v>
      </c>
      <c r="DE68" s="62">
        <v>0.0</v>
      </c>
      <c r="DF68" s="62">
        <v>0.0</v>
      </c>
      <c r="DG68" s="62">
        <v>0.0</v>
      </c>
      <c r="DH68" s="62">
        <v>0.0</v>
      </c>
      <c r="DI68" s="62">
        <v>0.0</v>
      </c>
      <c r="DJ68" s="62">
        <v>0.0</v>
      </c>
      <c r="DK68" s="62">
        <v>0.0</v>
      </c>
      <c r="DL68" s="62">
        <v>0.0</v>
      </c>
      <c r="DM68" s="62">
        <v>0.0</v>
      </c>
      <c r="DN68" s="62">
        <v>0.0</v>
      </c>
      <c r="DO68" s="62">
        <v>0.0</v>
      </c>
      <c r="DP68" s="62">
        <v>0.0</v>
      </c>
      <c r="DQ68" s="62">
        <v>0.0</v>
      </c>
      <c r="DR68" s="62">
        <v>0.0</v>
      </c>
      <c r="DS68" s="62">
        <v>0.0</v>
      </c>
      <c r="DT68" s="62">
        <v>0.0</v>
      </c>
      <c r="DU68" s="62">
        <v>0.0</v>
      </c>
      <c r="DV68" s="62">
        <v>0.0</v>
      </c>
      <c r="DW68" s="62">
        <v>0.0</v>
      </c>
      <c r="DX68" s="62">
        <v>0.0</v>
      </c>
      <c r="DY68" s="62">
        <v>0.0</v>
      </c>
      <c r="DZ68" s="62">
        <v>0.0</v>
      </c>
      <c r="EA68" s="62">
        <v>0.0</v>
      </c>
      <c r="EB68" s="62">
        <v>0.0</v>
      </c>
      <c r="EC68" s="62">
        <v>0.0</v>
      </c>
      <c r="ED68" s="62">
        <v>0.0</v>
      </c>
      <c r="EE68" s="62">
        <v>0.0</v>
      </c>
      <c r="EF68" s="62">
        <v>0.0</v>
      </c>
      <c r="EG68" s="62">
        <v>0.0</v>
      </c>
      <c r="EH68" s="62">
        <v>0.0</v>
      </c>
      <c r="EI68" s="62">
        <v>0.0</v>
      </c>
      <c r="EJ68" s="62">
        <v>0.0</v>
      </c>
      <c r="EK68" s="62">
        <v>0.0</v>
      </c>
      <c r="EL68" s="62">
        <v>0.0</v>
      </c>
      <c r="EM68" s="62">
        <v>1818.0</v>
      </c>
      <c r="EN68" s="62">
        <v>0.0</v>
      </c>
      <c r="EO68" s="62">
        <v>0.0</v>
      </c>
      <c r="EP68" s="62">
        <v>0.0</v>
      </c>
      <c r="EQ68" s="62">
        <v>0.0</v>
      </c>
      <c r="ER68" s="62">
        <v>0.0</v>
      </c>
      <c r="ES68" s="62">
        <v>0.0</v>
      </c>
      <c r="ET68" s="62">
        <v>0.0</v>
      </c>
      <c r="EU68" s="62">
        <v>0.0</v>
      </c>
      <c r="EV68" s="62">
        <v>0.0</v>
      </c>
      <c r="EW68" s="62">
        <v>0.0</v>
      </c>
      <c r="EX68" s="62">
        <v>0.0</v>
      </c>
      <c r="EY68" s="62">
        <v>0.0</v>
      </c>
      <c r="EZ68" s="62">
        <v>0.0</v>
      </c>
      <c r="FA68" s="62">
        <v>0.0</v>
      </c>
      <c r="FB68" s="62">
        <v>0.0</v>
      </c>
      <c r="FC68" s="62">
        <v>0.0</v>
      </c>
      <c r="FD68" s="62">
        <v>0.0</v>
      </c>
      <c r="FE68" s="62">
        <v>1206957.0</v>
      </c>
      <c r="FF68" s="62">
        <v>0.0</v>
      </c>
      <c r="FG68" s="62">
        <v>0.0</v>
      </c>
      <c r="FH68" s="62">
        <v>0.0</v>
      </c>
      <c r="FI68" s="62">
        <v>0.0</v>
      </c>
      <c r="FJ68" s="62">
        <v>5361615.0</v>
      </c>
      <c r="FK68" s="62">
        <v>1.06736677E8</v>
      </c>
      <c r="FL68" s="62">
        <v>0.0</v>
      </c>
      <c r="FM68" s="62">
        <v>0.0</v>
      </c>
      <c r="FN68" s="62">
        <v>0.0</v>
      </c>
      <c r="FO68" s="62">
        <v>0.0</v>
      </c>
      <c r="FP68" s="62">
        <v>0.0</v>
      </c>
      <c r="FQ68" s="62">
        <v>0.0</v>
      </c>
      <c r="FR68" s="62">
        <v>0.0</v>
      </c>
      <c r="FS68" s="62">
        <v>0.0</v>
      </c>
      <c r="FT68" s="62">
        <v>0.0</v>
      </c>
      <c r="FU68" s="62">
        <v>0.0</v>
      </c>
      <c r="FV68" s="62">
        <v>0.0</v>
      </c>
      <c r="FW68" s="62">
        <v>141060.0</v>
      </c>
      <c r="FX68" s="62">
        <v>8108.0</v>
      </c>
      <c r="FY68" s="62">
        <v>3885844.0</v>
      </c>
      <c r="FZ68" s="62">
        <v>11.0</v>
      </c>
      <c r="GA68" s="62">
        <v>798551.0</v>
      </c>
      <c r="GB68" s="62">
        <v>4584419.0</v>
      </c>
      <c r="GC68" s="62">
        <v>844817.0</v>
      </c>
      <c r="GD68" s="62">
        <v>0.0</v>
      </c>
      <c r="GE68" s="62">
        <v>5046066.0</v>
      </c>
      <c r="GF68" s="63">
        <v>1.39641576E8</v>
      </c>
      <c r="GG68" s="64">
        <v>2.98477969E8</v>
      </c>
      <c r="GH68" s="65">
        <v>0.0</v>
      </c>
      <c r="GI68" s="64">
        <v>4505850.0</v>
      </c>
      <c r="GJ68" s="64">
        <v>0.0</v>
      </c>
      <c r="GK68" s="64">
        <v>70952.0</v>
      </c>
      <c r="GL68" s="64">
        <v>8485.0</v>
      </c>
      <c r="GM68" s="64">
        <v>0.0</v>
      </c>
      <c r="GN68" s="63">
        <v>3.03063256E8</v>
      </c>
      <c r="GO68" s="66">
        <v>4.42704832E8</v>
      </c>
      <c r="GP68" s="64">
        <v>2858032.0</v>
      </c>
      <c r="GQ68" s="64">
        <v>0.0</v>
      </c>
      <c r="GR68" s="65">
        <v>0.0</v>
      </c>
      <c r="GS68" s="63">
        <v>2858032.0</v>
      </c>
      <c r="GT68" s="67">
        <v>2.1222407E7</v>
      </c>
      <c r="GU68" s="67">
        <v>3.4185823E7</v>
      </c>
      <c r="GV68" s="67">
        <v>3813582.0</v>
      </c>
      <c r="GW68" s="63">
        <v>5.9221812E7</v>
      </c>
      <c r="GX68" s="63">
        <v>-456885.0</v>
      </c>
      <c r="GY68" s="63">
        <v>3.81081873E8</v>
      </c>
      <c r="GZ68" s="66">
        <v>4.42704832E8</v>
      </c>
      <c r="HH68" s="106"/>
    </row>
    <row r="69" ht="15.75" customHeight="1">
      <c r="A69" s="60">
        <v>64.0</v>
      </c>
      <c r="B69" s="111" t="s">
        <v>334</v>
      </c>
      <c r="C69" s="62">
        <v>0.0</v>
      </c>
      <c r="D69" s="62">
        <v>0.0</v>
      </c>
      <c r="E69" s="62">
        <v>0.0</v>
      </c>
      <c r="F69" s="62">
        <v>0.0</v>
      </c>
      <c r="G69" s="62">
        <v>0.0</v>
      </c>
      <c r="H69" s="62">
        <v>0.0</v>
      </c>
      <c r="I69" s="62">
        <v>0.0</v>
      </c>
      <c r="J69" s="62">
        <v>0.0</v>
      </c>
      <c r="K69" s="62">
        <v>0.0</v>
      </c>
      <c r="L69" s="62">
        <v>0.0</v>
      </c>
      <c r="M69" s="62">
        <v>0.0</v>
      </c>
      <c r="N69" s="62">
        <v>0.0</v>
      </c>
      <c r="O69" s="62">
        <v>0.0</v>
      </c>
      <c r="P69" s="62">
        <v>0.0</v>
      </c>
      <c r="Q69" s="62">
        <v>0.0</v>
      </c>
      <c r="R69" s="62">
        <v>0.0</v>
      </c>
      <c r="S69" s="62">
        <v>0.0</v>
      </c>
      <c r="T69" s="62">
        <v>0.0</v>
      </c>
      <c r="U69" s="62">
        <v>0.0</v>
      </c>
      <c r="V69" s="62">
        <v>0.0</v>
      </c>
      <c r="W69" s="62">
        <v>0.0</v>
      </c>
      <c r="X69" s="62">
        <v>0.0</v>
      </c>
      <c r="Y69" s="62">
        <v>0.0</v>
      </c>
      <c r="Z69" s="62">
        <v>0.0</v>
      </c>
      <c r="AA69" s="62">
        <v>0.0</v>
      </c>
      <c r="AB69" s="62">
        <v>18607.0</v>
      </c>
      <c r="AC69" s="62">
        <v>5742.0</v>
      </c>
      <c r="AD69" s="62">
        <v>128529.0</v>
      </c>
      <c r="AE69" s="62">
        <v>4735.0</v>
      </c>
      <c r="AF69" s="62">
        <v>0.0</v>
      </c>
      <c r="AG69" s="62">
        <v>0.0</v>
      </c>
      <c r="AH69" s="62">
        <v>0.0</v>
      </c>
      <c r="AI69" s="62">
        <v>0.0</v>
      </c>
      <c r="AJ69" s="62">
        <v>0.0</v>
      </c>
      <c r="AK69" s="62">
        <v>0.0</v>
      </c>
      <c r="AL69" s="62">
        <v>0.0</v>
      </c>
      <c r="AM69" s="62">
        <v>0.0</v>
      </c>
      <c r="AN69" s="62">
        <v>0.0</v>
      </c>
      <c r="AO69" s="62">
        <v>0.0</v>
      </c>
      <c r="AP69" s="62">
        <v>0.0</v>
      </c>
      <c r="AQ69" s="62">
        <v>0.0</v>
      </c>
      <c r="AR69" s="62">
        <v>0.0</v>
      </c>
      <c r="AS69" s="62">
        <v>0.0</v>
      </c>
      <c r="AT69" s="62">
        <v>0.0</v>
      </c>
      <c r="AU69" s="62">
        <v>0.0</v>
      </c>
      <c r="AV69" s="62">
        <v>0.0</v>
      </c>
      <c r="AW69" s="62">
        <v>0.0</v>
      </c>
      <c r="AX69" s="62">
        <v>0.0</v>
      </c>
      <c r="AY69" s="62">
        <v>0.0</v>
      </c>
      <c r="AZ69" s="62">
        <v>0.0</v>
      </c>
      <c r="BA69" s="62">
        <v>0.0</v>
      </c>
      <c r="BB69" s="62">
        <v>0.0</v>
      </c>
      <c r="BC69" s="62">
        <v>0.0</v>
      </c>
      <c r="BD69" s="62">
        <v>0.0</v>
      </c>
      <c r="BE69" s="62">
        <v>0.0</v>
      </c>
      <c r="BF69" s="62">
        <v>0.0</v>
      </c>
      <c r="BG69" s="62">
        <v>0.0</v>
      </c>
      <c r="BH69" s="62">
        <v>0.0</v>
      </c>
      <c r="BI69" s="62">
        <v>0.0</v>
      </c>
      <c r="BJ69" s="62">
        <v>341796.0</v>
      </c>
      <c r="BK69" s="62">
        <v>76276.0</v>
      </c>
      <c r="BL69" s="62">
        <v>0.0</v>
      </c>
      <c r="BM69" s="62">
        <v>0.0</v>
      </c>
      <c r="BN69" s="62">
        <v>0.0</v>
      </c>
      <c r="BO69" s="62">
        <v>0.0</v>
      </c>
      <c r="BP69" s="62">
        <v>0.0</v>
      </c>
      <c r="BQ69" s="62">
        <v>0.0</v>
      </c>
      <c r="BR69" s="62">
        <v>0.0</v>
      </c>
      <c r="BS69" s="62">
        <v>0.0</v>
      </c>
      <c r="BT69" s="62">
        <v>0.0</v>
      </c>
      <c r="BU69" s="62">
        <v>5692.0</v>
      </c>
      <c r="BV69" s="62">
        <v>0.0</v>
      </c>
      <c r="BW69" s="62">
        <v>0.0</v>
      </c>
      <c r="BX69" s="62">
        <v>13162.0</v>
      </c>
      <c r="BY69" s="62">
        <v>0.0</v>
      </c>
      <c r="BZ69" s="62">
        <v>0.0</v>
      </c>
      <c r="CA69" s="62">
        <v>0.0</v>
      </c>
      <c r="CB69" s="62">
        <v>0.0</v>
      </c>
      <c r="CC69" s="62">
        <v>0.0</v>
      </c>
      <c r="CD69" s="62">
        <v>0.0</v>
      </c>
      <c r="CE69" s="62">
        <v>0.0</v>
      </c>
      <c r="CF69" s="62">
        <v>0.0</v>
      </c>
      <c r="CG69" s="62">
        <v>0.0</v>
      </c>
      <c r="CH69" s="62">
        <v>0.0</v>
      </c>
      <c r="CI69" s="62">
        <v>0.0</v>
      </c>
      <c r="CJ69" s="62">
        <v>0.0</v>
      </c>
      <c r="CK69" s="62">
        <v>0.0</v>
      </c>
      <c r="CL69" s="62">
        <v>0.0</v>
      </c>
      <c r="CM69" s="62">
        <v>0.0</v>
      </c>
      <c r="CN69" s="62">
        <v>0.0</v>
      </c>
      <c r="CO69" s="62">
        <v>0.0</v>
      </c>
      <c r="CP69" s="62">
        <v>0.0</v>
      </c>
      <c r="CQ69" s="62">
        <v>0.0</v>
      </c>
      <c r="CR69" s="62">
        <v>0.0</v>
      </c>
      <c r="CS69" s="62">
        <v>0.0</v>
      </c>
      <c r="CT69" s="62">
        <v>0.0</v>
      </c>
      <c r="CU69" s="62">
        <v>0.0</v>
      </c>
      <c r="CV69" s="62">
        <v>0.0</v>
      </c>
      <c r="CW69" s="62">
        <v>0.0</v>
      </c>
      <c r="CX69" s="62">
        <v>0.0</v>
      </c>
      <c r="CY69" s="62">
        <v>0.0</v>
      </c>
      <c r="CZ69" s="62">
        <v>0.0</v>
      </c>
      <c r="DA69" s="62">
        <v>0.0</v>
      </c>
      <c r="DB69" s="62">
        <v>0.0</v>
      </c>
      <c r="DC69" s="62">
        <v>0.0</v>
      </c>
      <c r="DD69" s="62">
        <v>132557.0</v>
      </c>
      <c r="DE69" s="62">
        <v>0.0</v>
      </c>
      <c r="DF69" s="62">
        <v>0.0</v>
      </c>
      <c r="DG69" s="62">
        <v>0.0</v>
      </c>
      <c r="DH69" s="62">
        <v>0.0</v>
      </c>
      <c r="DI69" s="62">
        <v>0.0</v>
      </c>
      <c r="DJ69" s="62">
        <v>0.0</v>
      </c>
      <c r="DK69" s="62">
        <v>0.0</v>
      </c>
      <c r="DL69" s="62">
        <v>0.0</v>
      </c>
      <c r="DM69" s="62">
        <v>0.0</v>
      </c>
      <c r="DN69" s="62">
        <v>0.0</v>
      </c>
      <c r="DO69" s="62">
        <v>0.0</v>
      </c>
      <c r="DP69" s="62">
        <v>0.0</v>
      </c>
      <c r="DQ69" s="62">
        <v>0.0</v>
      </c>
      <c r="DR69" s="62">
        <v>0.0</v>
      </c>
      <c r="DS69" s="62">
        <v>0.0</v>
      </c>
      <c r="DT69" s="62">
        <v>0.0</v>
      </c>
      <c r="DU69" s="62">
        <v>0.0</v>
      </c>
      <c r="DV69" s="62">
        <v>0.0</v>
      </c>
      <c r="DW69" s="62">
        <v>0.0</v>
      </c>
      <c r="DX69" s="62">
        <v>0.0</v>
      </c>
      <c r="DY69" s="62">
        <v>0.0</v>
      </c>
      <c r="DZ69" s="62">
        <v>0.0</v>
      </c>
      <c r="EA69" s="62">
        <v>0.0</v>
      </c>
      <c r="EB69" s="62">
        <v>0.0</v>
      </c>
      <c r="EC69" s="62">
        <v>0.0</v>
      </c>
      <c r="ED69" s="62">
        <v>0.0</v>
      </c>
      <c r="EE69" s="62">
        <v>0.0</v>
      </c>
      <c r="EF69" s="62">
        <v>0.0</v>
      </c>
      <c r="EG69" s="62">
        <v>0.0</v>
      </c>
      <c r="EH69" s="62">
        <v>0.0</v>
      </c>
      <c r="EI69" s="62">
        <v>0.0</v>
      </c>
      <c r="EJ69" s="62">
        <v>0.0</v>
      </c>
      <c r="EK69" s="62">
        <v>0.0</v>
      </c>
      <c r="EL69" s="62">
        <v>0.0</v>
      </c>
      <c r="EM69" s="62">
        <v>0.0</v>
      </c>
      <c r="EN69" s="62">
        <v>0.0</v>
      </c>
      <c r="EO69" s="62">
        <v>0.0</v>
      </c>
      <c r="EP69" s="62">
        <v>0.0</v>
      </c>
      <c r="EQ69" s="62">
        <v>0.0</v>
      </c>
      <c r="ER69" s="62">
        <v>0.0</v>
      </c>
      <c r="ES69" s="62">
        <v>0.0</v>
      </c>
      <c r="ET69" s="62">
        <v>0.0</v>
      </c>
      <c r="EU69" s="62">
        <v>0.0</v>
      </c>
      <c r="EV69" s="62">
        <v>0.0</v>
      </c>
      <c r="EW69" s="62">
        <v>0.0</v>
      </c>
      <c r="EX69" s="62">
        <v>0.0</v>
      </c>
      <c r="EY69" s="62">
        <v>0.0</v>
      </c>
      <c r="EZ69" s="62">
        <v>0.0</v>
      </c>
      <c r="FA69" s="62">
        <v>0.0</v>
      </c>
      <c r="FB69" s="62">
        <v>0.0</v>
      </c>
      <c r="FC69" s="62">
        <v>59320.0</v>
      </c>
      <c r="FD69" s="62">
        <v>0.0</v>
      </c>
      <c r="FE69" s="62">
        <v>1653461.0</v>
      </c>
      <c r="FF69" s="62">
        <v>250989.0</v>
      </c>
      <c r="FG69" s="62">
        <v>321033.0</v>
      </c>
      <c r="FH69" s="62">
        <v>0.0</v>
      </c>
      <c r="FI69" s="62">
        <v>0.0</v>
      </c>
      <c r="FJ69" s="62">
        <v>894955.0</v>
      </c>
      <c r="FK69" s="62">
        <v>8697637.0</v>
      </c>
      <c r="FL69" s="62">
        <v>0.0</v>
      </c>
      <c r="FM69" s="62">
        <v>0.0</v>
      </c>
      <c r="FN69" s="62">
        <v>0.0</v>
      </c>
      <c r="FO69" s="62">
        <v>0.0</v>
      </c>
      <c r="FP69" s="62">
        <v>0.0</v>
      </c>
      <c r="FQ69" s="62">
        <v>0.0</v>
      </c>
      <c r="FR69" s="62">
        <v>0.0</v>
      </c>
      <c r="FS69" s="62">
        <v>0.0</v>
      </c>
      <c r="FT69" s="62">
        <v>0.0</v>
      </c>
      <c r="FU69" s="62">
        <v>0.0</v>
      </c>
      <c r="FV69" s="62">
        <v>0.0</v>
      </c>
      <c r="FW69" s="62">
        <v>1540.0</v>
      </c>
      <c r="FX69" s="62">
        <v>119.0</v>
      </c>
      <c r="FY69" s="62">
        <v>4495.0</v>
      </c>
      <c r="FZ69" s="62">
        <v>304.0</v>
      </c>
      <c r="GA69" s="62">
        <v>287612.0</v>
      </c>
      <c r="GB69" s="62">
        <v>921336.0</v>
      </c>
      <c r="GC69" s="62">
        <v>19955.0</v>
      </c>
      <c r="GD69" s="62">
        <v>0.0</v>
      </c>
      <c r="GE69" s="62">
        <v>787237.0</v>
      </c>
      <c r="GF69" s="63">
        <v>1.4627089E7</v>
      </c>
      <c r="GG69" s="64">
        <v>7.4883861E7</v>
      </c>
      <c r="GH69" s="65">
        <v>0.0</v>
      </c>
      <c r="GI69" s="64">
        <v>0.0</v>
      </c>
      <c r="GJ69" s="64">
        <v>0.0</v>
      </c>
      <c r="GK69" s="64">
        <v>-315805.0</v>
      </c>
      <c r="GL69" s="64">
        <v>1.0071284E7</v>
      </c>
      <c r="GM69" s="64">
        <v>0.0</v>
      </c>
      <c r="GN69" s="63">
        <v>8.463934E7</v>
      </c>
      <c r="GO69" s="66">
        <v>9.9266429E7</v>
      </c>
      <c r="GP69" s="64">
        <v>1410186.0</v>
      </c>
      <c r="GQ69" s="64">
        <v>127044.0</v>
      </c>
      <c r="GR69" s="65">
        <v>0.0</v>
      </c>
      <c r="GS69" s="63">
        <v>1537230.0</v>
      </c>
      <c r="GT69" s="67">
        <v>9280500.0</v>
      </c>
      <c r="GU69" s="67">
        <v>6267026.0</v>
      </c>
      <c r="GV69" s="67">
        <v>1117569.0</v>
      </c>
      <c r="GW69" s="63">
        <v>1.6665095E7</v>
      </c>
      <c r="GX69" s="63">
        <v>3230088.0</v>
      </c>
      <c r="GY69" s="63">
        <v>7.7834016E7</v>
      </c>
      <c r="GZ69" s="66">
        <v>9.9266429E7</v>
      </c>
      <c r="HH69" s="106"/>
    </row>
    <row r="70" ht="15.75" customHeight="1">
      <c r="A70" s="68">
        <v>65.0</v>
      </c>
      <c r="B70" s="111" t="s">
        <v>335</v>
      </c>
      <c r="C70" s="70">
        <v>0.0</v>
      </c>
      <c r="D70" s="70">
        <v>0.0</v>
      </c>
      <c r="E70" s="70">
        <v>0.0</v>
      </c>
      <c r="F70" s="70">
        <v>0.0</v>
      </c>
      <c r="G70" s="70">
        <v>0.0</v>
      </c>
      <c r="H70" s="70">
        <v>0.0</v>
      </c>
      <c r="I70" s="70">
        <v>0.0</v>
      </c>
      <c r="J70" s="70">
        <v>0.0</v>
      </c>
      <c r="K70" s="70">
        <v>0.0</v>
      </c>
      <c r="L70" s="70">
        <v>0.0</v>
      </c>
      <c r="M70" s="70">
        <v>0.0</v>
      </c>
      <c r="N70" s="70">
        <v>0.0</v>
      </c>
      <c r="O70" s="70">
        <v>0.0</v>
      </c>
      <c r="P70" s="70">
        <v>0.0</v>
      </c>
      <c r="Q70" s="70">
        <v>0.0</v>
      </c>
      <c r="R70" s="70">
        <v>0.0</v>
      </c>
      <c r="S70" s="70">
        <v>0.0</v>
      </c>
      <c r="T70" s="70">
        <v>0.0</v>
      </c>
      <c r="U70" s="70">
        <v>0.0</v>
      </c>
      <c r="V70" s="70">
        <v>0.0</v>
      </c>
      <c r="W70" s="70">
        <v>0.0</v>
      </c>
      <c r="X70" s="70">
        <v>0.0</v>
      </c>
      <c r="Y70" s="70">
        <v>0.0</v>
      </c>
      <c r="Z70" s="70">
        <v>0.0</v>
      </c>
      <c r="AA70" s="70">
        <v>0.0</v>
      </c>
      <c r="AB70" s="70">
        <v>4729.0</v>
      </c>
      <c r="AC70" s="70">
        <v>4110.0</v>
      </c>
      <c r="AD70" s="70">
        <v>206336.0</v>
      </c>
      <c r="AE70" s="70">
        <v>9857.0</v>
      </c>
      <c r="AF70" s="70">
        <v>0.0</v>
      </c>
      <c r="AG70" s="70">
        <v>0.0</v>
      </c>
      <c r="AH70" s="70">
        <v>0.0</v>
      </c>
      <c r="AI70" s="70">
        <v>0.0</v>
      </c>
      <c r="AJ70" s="70">
        <v>0.0</v>
      </c>
      <c r="AK70" s="70">
        <v>0.0</v>
      </c>
      <c r="AL70" s="70">
        <v>0.0</v>
      </c>
      <c r="AM70" s="70">
        <v>0.0</v>
      </c>
      <c r="AN70" s="70">
        <v>0.0</v>
      </c>
      <c r="AO70" s="70">
        <v>0.0</v>
      </c>
      <c r="AP70" s="70">
        <v>0.0</v>
      </c>
      <c r="AQ70" s="70">
        <v>0.0</v>
      </c>
      <c r="AR70" s="70">
        <v>0.0</v>
      </c>
      <c r="AS70" s="70">
        <v>0.0</v>
      </c>
      <c r="AT70" s="70">
        <v>0.0</v>
      </c>
      <c r="AU70" s="70">
        <v>0.0</v>
      </c>
      <c r="AV70" s="70">
        <v>0.0</v>
      </c>
      <c r="AW70" s="70">
        <v>0.0</v>
      </c>
      <c r="AX70" s="70">
        <v>0.0</v>
      </c>
      <c r="AY70" s="70">
        <v>0.0</v>
      </c>
      <c r="AZ70" s="70">
        <v>0.0</v>
      </c>
      <c r="BA70" s="70">
        <v>0.0</v>
      </c>
      <c r="BB70" s="70">
        <v>0.0</v>
      </c>
      <c r="BC70" s="70">
        <v>17935.0</v>
      </c>
      <c r="BD70" s="70">
        <v>0.0</v>
      </c>
      <c r="BE70" s="70">
        <v>0.0</v>
      </c>
      <c r="BF70" s="70">
        <v>0.0</v>
      </c>
      <c r="BG70" s="70">
        <v>1777890.0</v>
      </c>
      <c r="BH70" s="70">
        <v>6221.0</v>
      </c>
      <c r="BI70" s="70">
        <v>108.0</v>
      </c>
      <c r="BJ70" s="70">
        <v>2421373.0</v>
      </c>
      <c r="BK70" s="70">
        <v>972815.0</v>
      </c>
      <c r="BL70" s="70">
        <v>0.0</v>
      </c>
      <c r="BM70" s="70">
        <v>0.0</v>
      </c>
      <c r="BN70" s="70">
        <v>8207325.0</v>
      </c>
      <c r="BO70" s="70">
        <v>2264389.0</v>
      </c>
      <c r="BP70" s="70">
        <v>5178197.0</v>
      </c>
      <c r="BQ70" s="70">
        <v>60039.0</v>
      </c>
      <c r="BR70" s="70">
        <v>953613.0</v>
      </c>
      <c r="BS70" s="70">
        <v>1660152.0</v>
      </c>
      <c r="BT70" s="70">
        <v>8324510.0</v>
      </c>
      <c r="BU70" s="70">
        <v>4672457.0</v>
      </c>
      <c r="BV70" s="70">
        <v>0.0</v>
      </c>
      <c r="BW70" s="70">
        <v>151299.0</v>
      </c>
      <c r="BX70" s="70">
        <v>1.5515249E7</v>
      </c>
      <c r="BY70" s="70">
        <v>429576.0</v>
      </c>
      <c r="BZ70" s="70">
        <v>55928.0</v>
      </c>
      <c r="CA70" s="70">
        <v>0.0</v>
      </c>
      <c r="CB70" s="70">
        <v>0.0</v>
      </c>
      <c r="CC70" s="70">
        <v>0.0</v>
      </c>
      <c r="CD70" s="70">
        <v>0.0</v>
      </c>
      <c r="CE70" s="70">
        <v>0.0</v>
      </c>
      <c r="CF70" s="70">
        <v>0.0</v>
      </c>
      <c r="CG70" s="70">
        <v>0.0</v>
      </c>
      <c r="CH70" s="70">
        <v>0.0</v>
      </c>
      <c r="CI70" s="70">
        <v>0.0</v>
      </c>
      <c r="CJ70" s="70">
        <v>0.0</v>
      </c>
      <c r="CK70" s="70">
        <v>0.0</v>
      </c>
      <c r="CL70" s="70">
        <v>0.0</v>
      </c>
      <c r="CM70" s="70">
        <v>0.0</v>
      </c>
      <c r="CN70" s="70">
        <v>0.0</v>
      </c>
      <c r="CO70" s="70">
        <v>0.0</v>
      </c>
      <c r="CP70" s="70">
        <v>0.0</v>
      </c>
      <c r="CQ70" s="70">
        <v>0.0</v>
      </c>
      <c r="CR70" s="70">
        <v>0.0</v>
      </c>
      <c r="CS70" s="70">
        <v>0.0</v>
      </c>
      <c r="CT70" s="70">
        <v>0.0</v>
      </c>
      <c r="CU70" s="70">
        <v>0.0</v>
      </c>
      <c r="CV70" s="70">
        <v>0.0</v>
      </c>
      <c r="CW70" s="70">
        <v>0.0</v>
      </c>
      <c r="CX70" s="70">
        <v>0.0</v>
      </c>
      <c r="CY70" s="70">
        <v>0.0</v>
      </c>
      <c r="CZ70" s="70">
        <v>10248.0</v>
      </c>
      <c r="DA70" s="70">
        <v>0.0</v>
      </c>
      <c r="DB70" s="70">
        <v>0.0</v>
      </c>
      <c r="DC70" s="70">
        <v>637040.0</v>
      </c>
      <c r="DD70" s="70">
        <v>11210.0</v>
      </c>
      <c r="DE70" s="70">
        <v>0.0</v>
      </c>
      <c r="DF70" s="70">
        <v>0.0</v>
      </c>
      <c r="DG70" s="70">
        <v>0.0</v>
      </c>
      <c r="DH70" s="70">
        <v>0.0</v>
      </c>
      <c r="DI70" s="70">
        <v>0.0</v>
      </c>
      <c r="DJ70" s="70">
        <v>0.0</v>
      </c>
      <c r="DK70" s="70">
        <v>0.0</v>
      </c>
      <c r="DL70" s="70">
        <v>0.0</v>
      </c>
      <c r="DM70" s="70">
        <v>0.0</v>
      </c>
      <c r="DN70" s="70">
        <v>0.0</v>
      </c>
      <c r="DO70" s="70">
        <v>0.0</v>
      </c>
      <c r="DP70" s="70">
        <v>0.0</v>
      </c>
      <c r="DQ70" s="70">
        <v>0.0</v>
      </c>
      <c r="DR70" s="70">
        <v>0.0</v>
      </c>
      <c r="DS70" s="70">
        <v>0.0</v>
      </c>
      <c r="DT70" s="70">
        <v>0.0</v>
      </c>
      <c r="DU70" s="70">
        <v>0.0</v>
      </c>
      <c r="DV70" s="70">
        <v>0.0</v>
      </c>
      <c r="DW70" s="70">
        <v>0.0</v>
      </c>
      <c r="DX70" s="70">
        <v>0.0</v>
      </c>
      <c r="DY70" s="70">
        <v>0.0</v>
      </c>
      <c r="DZ70" s="70">
        <v>0.0</v>
      </c>
      <c r="EA70" s="70">
        <v>0.0</v>
      </c>
      <c r="EB70" s="70">
        <v>0.0</v>
      </c>
      <c r="EC70" s="70">
        <v>0.0</v>
      </c>
      <c r="ED70" s="70">
        <v>0.0</v>
      </c>
      <c r="EE70" s="70">
        <v>0.0</v>
      </c>
      <c r="EF70" s="70">
        <v>0.0</v>
      </c>
      <c r="EG70" s="70">
        <v>0.0</v>
      </c>
      <c r="EH70" s="70">
        <v>0.0</v>
      </c>
      <c r="EI70" s="70">
        <v>0.0</v>
      </c>
      <c r="EJ70" s="70">
        <v>0.0</v>
      </c>
      <c r="EK70" s="70">
        <v>0.0</v>
      </c>
      <c r="EL70" s="70">
        <v>0.0</v>
      </c>
      <c r="EM70" s="70">
        <v>0.0</v>
      </c>
      <c r="EN70" s="70">
        <v>0.0</v>
      </c>
      <c r="EO70" s="70">
        <v>0.0</v>
      </c>
      <c r="EP70" s="70">
        <v>0.0</v>
      </c>
      <c r="EQ70" s="70">
        <v>0.0</v>
      </c>
      <c r="ER70" s="70">
        <v>0.0</v>
      </c>
      <c r="ES70" s="70">
        <v>0.0</v>
      </c>
      <c r="ET70" s="70">
        <v>0.0</v>
      </c>
      <c r="EU70" s="70">
        <v>0.0</v>
      </c>
      <c r="EV70" s="70">
        <v>0.0</v>
      </c>
      <c r="EW70" s="70">
        <v>0.0</v>
      </c>
      <c r="EX70" s="70">
        <v>0.0</v>
      </c>
      <c r="EY70" s="70">
        <v>0.0</v>
      </c>
      <c r="EZ70" s="70">
        <v>0.0</v>
      </c>
      <c r="FA70" s="70">
        <v>0.0</v>
      </c>
      <c r="FB70" s="70">
        <v>0.0</v>
      </c>
      <c r="FC70" s="70">
        <v>23052.0</v>
      </c>
      <c r="FD70" s="70">
        <v>0.0</v>
      </c>
      <c r="FE70" s="70">
        <v>1401016.0</v>
      </c>
      <c r="FF70" s="70">
        <v>0.0</v>
      </c>
      <c r="FG70" s="70">
        <v>505987.0</v>
      </c>
      <c r="FH70" s="70">
        <v>0.0</v>
      </c>
      <c r="FI70" s="70">
        <v>0.0</v>
      </c>
      <c r="FJ70" s="70">
        <v>1309196.0</v>
      </c>
      <c r="FK70" s="70">
        <v>2.0270449E7</v>
      </c>
      <c r="FL70" s="70">
        <v>0.0</v>
      </c>
      <c r="FM70" s="70">
        <v>0.0</v>
      </c>
      <c r="FN70" s="70">
        <v>0.0</v>
      </c>
      <c r="FO70" s="70">
        <v>0.0</v>
      </c>
      <c r="FP70" s="70">
        <v>0.0</v>
      </c>
      <c r="FQ70" s="70">
        <v>0.0</v>
      </c>
      <c r="FR70" s="70">
        <v>0.0</v>
      </c>
      <c r="FS70" s="70">
        <v>0.0</v>
      </c>
      <c r="FT70" s="70">
        <v>0.0</v>
      </c>
      <c r="FU70" s="70">
        <v>0.0</v>
      </c>
      <c r="FV70" s="70">
        <v>0.0</v>
      </c>
      <c r="FW70" s="70">
        <v>561947.0</v>
      </c>
      <c r="FX70" s="70">
        <v>603406.0</v>
      </c>
      <c r="FY70" s="70">
        <v>997014.0</v>
      </c>
      <c r="FZ70" s="70">
        <v>0.0</v>
      </c>
      <c r="GA70" s="70">
        <v>164110.0</v>
      </c>
      <c r="GB70" s="70">
        <v>712845.0</v>
      </c>
      <c r="GC70" s="70">
        <v>11960.0</v>
      </c>
      <c r="GD70" s="70">
        <v>0.0</v>
      </c>
      <c r="GE70" s="70">
        <v>471596.0</v>
      </c>
      <c r="GF70" s="71">
        <v>8.0585184E7</v>
      </c>
      <c r="GG70" s="72">
        <v>3.9839633E7</v>
      </c>
      <c r="GH70" s="73">
        <v>0.0</v>
      </c>
      <c r="GI70" s="72">
        <v>0.0</v>
      </c>
      <c r="GJ70" s="72">
        <v>0.0</v>
      </c>
      <c r="GK70" s="72">
        <v>3534012.0</v>
      </c>
      <c r="GL70" s="72">
        <v>1475002.0</v>
      </c>
      <c r="GM70" s="72">
        <v>0.0</v>
      </c>
      <c r="GN70" s="71">
        <v>4.4848647E7</v>
      </c>
      <c r="GO70" s="74">
        <v>1.25433831E8</v>
      </c>
      <c r="GP70" s="72">
        <v>3.0082101E7</v>
      </c>
      <c r="GQ70" s="72">
        <v>0.0</v>
      </c>
      <c r="GR70" s="73">
        <v>0.0</v>
      </c>
      <c r="GS70" s="71">
        <v>3.0082101E7</v>
      </c>
      <c r="GT70" s="75">
        <v>7220781.0</v>
      </c>
      <c r="GU70" s="75">
        <v>4790398.0</v>
      </c>
      <c r="GV70" s="75">
        <v>1494629.0</v>
      </c>
      <c r="GW70" s="71">
        <v>1.3505808E7</v>
      </c>
      <c r="GX70" s="71">
        <v>4631863.0</v>
      </c>
      <c r="GY70" s="71">
        <v>7.7214059E7</v>
      </c>
      <c r="GZ70" s="74">
        <v>1.25433831E8</v>
      </c>
      <c r="HH70" s="106"/>
    </row>
    <row r="71" ht="15.75" customHeight="1">
      <c r="A71" s="52">
        <v>66.0</v>
      </c>
      <c r="B71" s="111" t="s">
        <v>336</v>
      </c>
      <c r="C71" s="54">
        <v>0.0</v>
      </c>
      <c r="D71" s="54">
        <v>0.0</v>
      </c>
      <c r="E71" s="54">
        <v>0.0</v>
      </c>
      <c r="F71" s="54">
        <v>0.0</v>
      </c>
      <c r="G71" s="54">
        <v>0.0</v>
      </c>
      <c r="H71" s="54">
        <v>0.0</v>
      </c>
      <c r="I71" s="54">
        <v>0.0</v>
      </c>
      <c r="J71" s="54">
        <v>0.0</v>
      </c>
      <c r="K71" s="54">
        <v>0.0</v>
      </c>
      <c r="L71" s="54">
        <v>0.0</v>
      </c>
      <c r="M71" s="54">
        <v>0.0</v>
      </c>
      <c r="N71" s="54">
        <v>0.0</v>
      </c>
      <c r="O71" s="54">
        <v>0.0</v>
      </c>
      <c r="P71" s="54">
        <v>0.0</v>
      </c>
      <c r="Q71" s="54">
        <v>0.0</v>
      </c>
      <c r="R71" s="54">
        <v>0.0</v>
      </c>
      <c r="S71" s="54">
        <v>0.0</v>
      </c>
      <c r="T71" s="54">
        <v>0.0</v>
      </c>
      <c r="U71" s="54">
        <v>0.0</v>
      </c>
      <c r="V71" s="54">
        <v>0.0</v>
      </c>
      <c r="W71" s="54">
        <v>0.0</v>
      </c>
      <c r="X71" s="54">
        <v>0.0</v>
      </c>
      <c r="Y71" s="54">
        <v>0.0</v>
      </c>
      <c r="Z71" s="54">
        <v>0.0</v>
      </c>
      <c r="AA71" s="54">
        <v>0.0</v>
      </c>
      <c r="AB71" s="54">
        <v>0.0</v>
      </c>
      <c r="AC71" s="54">
        <v>0.0</v>
      </c>
      <c r="AD71" s="54">
        <v>0.0</v>
      </c>
      <c r="AE71" s="54">
        <v>0.0</v>
      </c>
      <c r="AF71" s="54">
        <v>0.0</v>
      </c>
      <c r="AG71" s="54">
        <v>0.0</v>
      </c>
      <c r="AH71" s="54">
        <v>0.0</v>
      </c>
      <c r="AI71" s="54">
        <v>0.0</v>
      </c>
      <c r="AJ71" s="54">
        <v>0.0</v>
      </c>
      <c r="AK71" s="54">
        <v>0.0</v>
      </c>
      <c r="AL71" s="54">
        <v>0.0</v>
      </c>
      <c r="AM71" s="54">
        <v>0.0</v>
      </c>
      <c r="AN71" s="54">
        <v>0.0</v>
      </c>
      <c r="AO71" s="54">
        <v>0.0</v>
      </c>
      <c r="AP71" s="54">
        <v>0.0</v>
      </c>
      <c r="AQ71" s="54">
        <v>0.0</v>
      </c>
      <c r="AR71" s="54">
        <v>0.0</v>
      </c>
      <c r="AS71" s="54">
        <v>0.0</v>
      </c>
      <c r="AT71" s="54">
        <v>0.0</v>
      </c>
      <c r="AU71" s="54">
        <v>0.0</v>
      </c>
      <c r="AV71" s="54">
        <v>0.0</v>
      </c>
      <c r="AW71" s="54">
        <v>0.0</v>
      </c>
      <c r="AX71" s="54">
        <v>0.0</v>
      </c>
      <c r="AY71" s="54">
        <v>0.0</v>
      </c>
      <c r="AZ71" s="54">
        <v>0.0</v>
      </c>
      <c r="BA71" s="54">
        <v>0.0</v>
      </c>
      <c r="BB71" s="54">
        <v>0.0</v>
      </c>
      <c r="BC71" s="54">
        <v>0.0</v>
      </c>
      <c r="BD71" s="54">
        <v>0.0</v>
      </c>
      <c r="BE71" s="54">
        <v>0.0</v>
      </c>
      <c r="BF71" s="54">
        <v>0.0</v>
      </c>
      <c r="BG71" s="54">
        <v>51125.0</v>
      </c>
      <c r="BH71" s="54">
        <v>0.0</v>
      </c>
      <c r="BI71" s="54">
        <v>0.0</v>
      </c>
      <c r="BJ71" s="54">
        <v>6320314.0</v>
      </c>
      <c r="BK71" s="54">
        <v>7293.0</v>
      </c>
      <c r="BL71" s="54">
        <v>0.0</v>
      </c>
      <c r="BM71" s="54">
        <v>0.0</v>
      </c>
      <c r="BN71" s="54">
        <v>286067.0</v>
      </c>
      <c r="BO71" s="54">
        <v>0.0</v>
      </c>
      <c r="BP71" s="54">
        <v>3039427.0</v>
      </c>
      <c r="BQ71" s="54">
        <v>0.0</v>
      </c>
      <c r="BR71" s="54">
        <v>141.0</v>
      </c>
      <c r="BS71" s="54">
        <v>23364.0</v>
      </c>
      <c r="BT71" s="54">
        <v>14397.0</v>
      </c>
      <c r="BU71" s="54">
        <v>825764.0</v>
      </c>
      <c r="BV71" s="54">
        <v>0.0</v>
      </c>
      <c r="BW71" s="54">
        <v>0.0</v>
      </c>
      <c r="BX71" s="54">
        <v>198485.0</v>
      </c>
      <c r="BY71" s="54">
        <v>0.0</v>
      </c>
      <c r="BZ71" s="54">
        <v>0.0</v>
      </c>
      <c r="CA71" s="54">
        <v>0.0</v>
      </c>
      <c r="CB71" s="54">
        <v>0.0</v>
      </c>
      <c r="CC71" s="54">
        <v>0.0</v>
      </c>
      <c r="CD71" s="54">
        <v>0.0</v>
      </c>
      <c r="CE71" s="54">
        <v>0.0</v>
      </c>
      <c r="CF71" s="54">
        <v>0.0</v>
      </c>
      <c r="CG71" s="54">
        <v>0.0</v>
      </c>
      <c r="CH71" s="54">
        <v>0.0</v>
      </c>
      <c r="CI71" s="54">
        <v>0.0</v>
      </c>
      <c r="CJ71" s="54">
        <v>0.0</v>
      </c>
      <c r="CK71" s="54">
        <v>0.0</v>
      </c>
      <c r="CL71" s="54">
        <v>0.0</v>
      </c>
      <c r="CM71" s="54">
        <v>0.0</v>
      </c>
      <c r="CN71" s="54">
        <v>0.0</v>
      </c>
      <c r="CO71" s="54">
        <v>0.0</v>
      </c>
      <c r="CP71" s="54">
        <v>0.0</v>
      </c>
      <c r="CQ71" s="54">
        <v>0.0</v>
      </c>
      <c r="CR71" s="54">
        <v>0.0</v>
      </c>
      <c r="CS71" s="54">
        <v>0.0</v>
      </c>
      <c r="CT71" s="54">
        <v>0.0</v>
      </c>
      <c r="CU71" s="54">
        <v>0.0</v>
      </c>
      <c r="CV71" s="54">
        <v>0.0</v>
      </c>
      <c r="CW71" s="54">
        <v>0.0</v>
      </c>
      <c r="CX71" s="54">
        <v>0.0</v>
      </c>
      <c r="CY71" s="54">
        <v>0.0</v>
      </c>
      <c r="CZ71" s="54">
        <v>0.0</v>
      </c>
      <c r="DA71" s="54">
        <v>13508.0</v>
      </c>
      <c r="DB71" s="54">
        <v>0.0</v>
      </c>
      <c r="DC71" s="54">
        <v>649726.0</v>
      </c>
      <c r="DD71" s="54">
        <v>9391.0</v>
      </c>
      <c r="DE71" s="54">
        <v>0.0</v>
      </c>
      <c r="DF71" s="54">
        <v>0.0</v>
      </c>
      <c r="DG71" s="54">
        <v>0.0</v>
      </c>
      <c r="DH71" s="54">
        <v>0.0</v>
      </c>
      <c r="DI71" s="54">
        <v>0.0</v>
      </c>
      <c r="DJ71" s="54">
        <v>0.0</v>
      </c>
      <c r="DK71" s="54">
        <v>0.0</v>
      </c>
      <c r="DL71" s="54">
        <v>0.0</v>
      </c>
      <c r="DM71" s="54">
        <v>0.0</v>
      </c>
      <c r="DN71" s="54">
        <v>0.0</v>
      </c>
      <c r="DO71" s="54">
        <v>0.0</v>
      </c>
      <c r="DP71" s="54">
        <v>0.0</v>
      </c>
      <c r="DQ71" s="54">
        <v>0.0</v>
      </c>
      <c r="DR71" s="54">
        <v>0.0</v>
      </c>
      <c r="DS71" s="54">
        <v>0.0</v>
      </c>
      <c r="DT71" s="54">
        <v>0.0</v>
      </c>
      <c r="DU71" s="54">
        <v>0.0</v>
      </c>
      <c r="DV71" s="54">
        <v>0.0</v>
      </c>
      <c r="DW71" s="54">
        <v>0.0</v>
      </c>
      <c r="DX71" s="54">
        <v>0.0</v>
      </c>
      <c r="DY71" s="54">
        <v>0.0</v>
      </c>
      <c r="DZ71" s="54">
        <v>0.0</v>
      </c>
      <c r="EA71" s="54">
        <v>0.0</v>
      </c>
      <c r="EB71" s="54">
        <v>0.0</v>
      </c>
      <c r="EC71" s="54">
        <v>0.0</v>
      </c>
      <c r="ED71" s="54">
        <v>0.0</v>
      </c>
      <c r="EE71" s="54">
        <v>0.0</v>
      </c>
      <c r="EF71" s="54">
        <v>0.0</v>
      </c>
      <c r="EG71" s="54">
        <v>0.0</v>
      </c>
      <c r="EH71" s="54">
        <v>0.0</v>
      </c>
      <c r="EI71" s="54">
        <v>0.0</v>
      </c>
      <c r="EJ71" s="54">
        <v>0.0</v>
      </c>
      <c r="EK71" s="54">
        <v>0.0</v>
      </c>
      <c r="EL71" s="54">
        <v>0.0</v>
      </c>
      <c r="EM71" s="54">
        <v>0.0</v>
      </c>
      <c r="EN71" s="54">
        <v>0.0</v>
      </c>
      <c r="EO71" s="54">
        <v>0.0</v>
      </c>
      <c r="EP71" s="54">
        <v>0.0</v>
      </c>
      <c r="EQ71" s="54">
        <v>0.0</v>
      </c>
      <c r="ER71" s="54">
        <v>0.0</v>
      </c>
      <c r="ES71" s="54">
        <v>0.0</v>
      </c>
      <c r="ET71" s="54">
        <v>0.0</v>
      </c>
      <c r="EU71" s="54">
        <v>0.0</v>
      </c>
      <c r="EV71" s="54">
        <v>0.0</v>
      </c>
      <c r="EW71" s="54">
        <v>0.0</v>
      </c>
      <c r="EX71" s="54">
        <v>0.0</v>
      </c>
      <c r="EY71" s="54">
        <v>0.0</v>
      </c>
      <c r="EZ71" s="54">
        <v>0.0</v>
      </c>
      <c r="FA71" s="54">
        <v>0.0</v>
      </c>
      <c r="FB71" s="54">
        <v>0.0</v>
      </c>
      <c r="FC71" s="54">
        <v>1343.0</v>
      </c>
      <c r="FD71" s="54">
        <v>0.0</v>
      </c>
      <c r="FE71" s="54">
        <v>745624.0</v>
      </c>
      <c r="FF71" s="54">
        <v>224329.0</v>
      </c>
      <c r="FG71" s="54">
        <v>184958.0</v>
      </c>
      <c r="FH71" s="54">
        <v>0.0</v>
      </c>
      <c r="FI71" s="54">
        <v>0.0</v>
      </c>
      <c r="FJ71" s="54">
        <v>263550.0</v>
      </c>
      <c r="FK71" s="54">
        <v>9040301.0</v>
      </c>
      <c r="FL71" s="54">
        <v>0.0</v>
      </c>
      <c r="FM71" s="54">
        <v>0.0</v>
      </c>
      <c r="FN71" s="54">
        <v>0.0</v>
      </c>
      <c r="FO71" s="54">
        <v>0.0</v>
      </c>
      <c r="FP71" s="54">
        <v>0.0</v>
      </c>
      <c r="FQ71" s="54">
        <v>0.0</v>
      </c>
      <c r="FR71" s="54">
        <v>0.0</v>
      </c>
      <c r="FS71" s="54">
        <v>0.0</v>
      </c>
      <c r="FT71" s="54">
        <v>0.0</v>
      </c>
      <c r="FU71" s="54">
        <v>0.0</v>
      </c>
      <c r="FV71" s="54">
        <v>0.0</v>
      </c>
      <c r="FW71" s="54">
        <v>72420.0</v>
      </c>
      <c r="FX71" s="54">
        <v>3801.0</v>
      </c>
      <c r="FY71" s="54">
        <v>45986.0</v>
      </c>
      <c r="FZ71" s="54">
        <v>0.0</v>
      </c>
      <c r="GA71" s="54">
        <v>119832.0</v>
      </c>
      <c r="GB71" s="54">
        <v>617700.0</v>
      </c>
      <c r="GC71" s="54">
        <v>9130.0</v>
      </c>
      <c r="GD71" s="54">
        <v>0.0</v>
      </c>
      <c r="GE71" s="54">
        <v>360687.0</v>
      </c>
      <c r="GF71" s="55">
        <v>2.3128663E7</v>
      </c>
      <c r="GG71" s="56">
        <v>7796636.0</v>
      </c>
      <c r="GH71" s="57">
        <v>0.0</v>
      </c>
      <c r="GI71" s="56">
        <v>0.0</v>
      </c>
      <c r="GJ71" s="56">
        <v>0.0</v>
      </c>
      <c r="GK71" s="56">
        <v>4708.0</v>
      </c>
      <c r="GL71" s="56">
        <v>1.8816233E7</v>
      </c>
      <c r="GM71" s="56">
        <v>0.0</v>
      </c>
      <c r="GN71" s="55">
        <v>2.6617577E7</v>
      </c>
      <c r="GO71" s="58">
        <v>4.974624E7</v>
      </c>
      <c r="GP71" s="56">
        <v>3136672.0</v>
      </c>
      <c r="GQ71" s="56">
        <v>65141.0</v>
      </c>
      <c r="GR71" s="57">
        <v>0.0</v>
      </c>
      <c r="GS71" s="55">
        <v>3201813.0</v>
      </c>
      <c r="GT71" s="59">
        <v>4113127.0</v>
      </c>
      <c r="GU71" s="59">
        <v>4382146.0</v>
      </c>
      <c r="GV71" s="59">
        <v>564128.0</v>
      </c>
      <c r="GW71" s="55">
        <v>9059401.0</v>
      </c>
      <c r="GX71" s="55">
        <v>755743.0</v>
      </c>
      <c r="GY71" s="55">
        <v>3.6729283E7</v>
      </c>
      <c r="GZ71" s="58">
        <v>4.974624E7</v>
      </c>
      <c r="HH71" s="106"/>
    </row>
    <row r="72" ht="15.75" customHeight="1">
      <c r="A72" s="60">
        <v>67.0</v>
      </c>
      <c r="B72" s="111" t="s">
        <v>337</v>
      </c>
      <c r="C72" s="62">
        <v>0.0</v>
      </c>
      <c r="D72" s="62">
        <v>0.0</v>
      </c>
      <c r="E72" s="62">
        <v>0.0</v>
      </c>
      <c r="F72" s="62">
        <v>0.0</v>
      </c>
      <c r="G72" s="62">
        <v>0.0</v>
      </c>
      <c r="H72" s="62">
        <v>0.0</v>
      </c>
      <c r="I72" s="62">
        <v>0.0</v>
      </c>
      <c r="J72" s="62">
        <v>0.0</v>
      </c>
      <c r="K72" s="62">
        <v>0.0</v>
      </c>
      <c r="L72" s="62">
        <v>0.0</v>
      </c>
      <c r="M72" s="62">
        <v>0.0</v>
      </c>
      <c r="N72" s="62">
        <v>0.0</v>
      </c>
      <c r="O72" s="62">
        <v>0.0</v>
      </c>
      <c r="P72" s="62">
        <v>0.0</v>
      </c>
      <c r="Q72" s="62">
        <v>0.0</v>
      </c>
      <c r="R72" s="62">
        <v>0.0</v>
      </c>
      <c r="S72" s="62">
        <v>0.0</v>
      </c>
      <c r="T72" s="62">
        <v>0.0</v>
      </c>
      <c r="U72" s="62">
        <v>0.0</v>
      </c>
      <c r="V72" s="62">
        <v>0.0</v>
      </c>
      <c r="W72" s="62">
        <v>0.0</v>
      </c>
      <c r="X72" s="62">
        <v>0.0</v>
      </c>
      <c r="Y72" s="62">
        <v>0.0</v>
      </c>
      <c r="Z72" s="62">
        <v>0.0</v>
      </c>
      <c r="AA72" s="62">
        <v>0.0</v>
      </c>
      <c r="AB72" s="62">
        <v>0.0</v>
      </c>
      <c r="AC72" s="62">
        <v>0.0</v>
      </c>
      <c r="AD72" s="62">
        <v>0.0</v>
      </c>
      <c r="AE72" s="62">
        <v>0.0</v>
      </c>
      <c r="AF72" s="62">
        <v>0.0</v>
      </c>
      <c r="AG72" s="62">
        <v>0.0</v>
      </c>
      <c r="AH72" s="62">
        <v>0.0</v>
      </c>
      <c r="AI72" s="62">
        <v>0.0</v>
      </c>
      <c r="AJ72" s="62">
        <v>0.0</v>
      </c>
      <c r="AK72" s="62">
        <v>0.0</v>
      </c>
      <c r="AL72" s="62">
        <v>0.0</v>
      </c>
      <c r="AM72" s="62">
        <v>0.0</v>
      </c>
      <c r="AN72" s="62">
        <v>0.0</v>
      </c>
      <c r="AO72" s="62">
        <v>0.0</v>
      </c>
      <c r="AP72" s="62">
        <v>0.0</v>
      </c>
      <c r="AQ72" s="62">
        <v>0.0</v>
      </c>
      <c r="AR72" s="62">
        <v>0.0</v>
      </c>
      <c r="AS72" s="62">
        <v>0.0</v>
      </c>
      <c r="AT72" s="62">
        <v>0.0</v>
      </c>
      <c r="AU72" s="62">
        <v>0.0</v>
      </c>
      <c r="AV72" s="62">
        <v>0.0</v>
      </c>
      <c r="AW72" s="62">
        <v>0.0</v>
      </c>
      <c r="AX72" s="62">
        <v>0.0</v>
      </c>
      <c r="AY72" s="62">
        <v>0.0</v>
      </c>
      <c r="AZ72" s="62">
        <v>0.0</v>
      </c>
      <c r="BA72" s="62">
        <v>0.0</v>
      </c>
      <c r="BB72" s="62">
        <v>0.0</v>
      </c>
      <c r="BC72" s="62">
        <v>0.0</v>
      </c>
      <c r="BD72" s="62">
        <v>0.0</v>
      </c>
      <c r="BE72" s="62">
        <v>0.0</v>
      </c>
      <c r="BF72" s="62">
        <v>0.0</v>
      </c>
      <c r="BG72" s="62">
        <v>20527.0</v>
      </c>
      <c r="BH72" s="62">
        <v>0.0</v>
      </c>
      <c r="BI72" s="62">
        <v>0.0</v>
      </c>
      <c r="BJ72" s="62">
        <v>0.0</v>
      </c>
      <c r="BK72" s="62">
        <v>0.0</v>
      </c>
      <c r="BL72" s="62">
        <v>0.0</v>
      </c>
      <c r="BM72" s="62">
        <v>0.0</v>
      </c>
      <c r="BN72" s="62">
        <v>1014.0</v>
      </c>
      <c r="BO72" s="62">
        <v>0.0</v>
      </c>
      <c r="BP72" s="62">
        <v>0.0</v>
      </c>
      <c r="BQ72" s="62">
        <v>20514.0</v>
      </c>
      <c r="BR72" s="62">
        <v>0.0</v>
      </c>
      <c r="BS72" s="62">
        <v>0.0</v>
      </c>
      <c r="BT72" s="62">
        <v>0.0</v>
      </c>
      <c r="BU72" s="62">
        <v>425716.0</v>
      </c>
      <c r="BV72" s="62">
        <v>0.0</v>
      </c>
      <c r="BW72" s="62">
        <v>0.0</v>
      </c>
      <c r="BX72" s="62">
        <v>0.0</v>
      </c>
      <c r="BY72" s="62">
        <v>0.0</v>
      </c>
      <c r="BZ72" s="62">
        <v>0.0</v>
      </c>
      <c r="CA72" s="62">
        <v>0.0</v>
      </c>
      <c r="CB72" s="62">
        <v>0.0</v>
      </c>
      <c r="CC72" s="62">
        <v>0.0</v>
      </c>
      <c r="CD72" s="62">
        <v>0.0</v>
      </c>
      <c r="CE72" s="62">
        <v>0.0</v>
      </c>
      <c r="CF72" s="62">
        <v>0.0</v>
      </c>
      <c r="CG72" s="62">
        <v>0.0</v>
      </c>
      <c r="CH72" s="62">
        <v>0.0</v>
      </c>
      <c r="CI72" s="62">
        <v>0.0</v>
      </c>
      <c r="CJ72" s="62">
        <v>0.0</v>
      </c>
      <c r="CK72" s="62">
        <v>0.0</v>
      </c>
      <c r="CL72" s="62">
        <v>0.0</v>
      </c>
      <c r="CM72" s="62">
        <v>0.0</v>
      </c>
      <c r="CN72" s="62">
        <v>0.0</v>
      </c>
      <c r="CO72" s="62">
        <v>0.0</v>
      </c>
      <c r="CP72" s="62">
        <v>0.0</v>
      </c>
      <c r="CQ72" s="62">
        <v>0.0</v>
      </c>
      <c r="CR72" s="62">
        <v>0.0</v>
      </c>
      <c r="CS72" s="62">
        <v>0.0</v>
      </c>
      <c r="CT72" s="62">
        <v>0.0</v>
      </c>
      <c r="CU72" s="62">
        <v>0.0</v>
      </c>
      <c r="CV72" s="62">
        <v>0.0</v>
      </c>
      <c r="CW72" s="62">
        <v>0.0</v>
      </c>
      <c r="CX72" s="62">
        <v>0.0</v>
      </c>
      <c r="CY72" s="62">
        <v>0.0</v>
      </c>
      <c r="CZ72" s="62">
        <v>0.0</v>
      </c>
      <c r="DA72" s="62">
        <v>0.0</v>
      </c>
      <c r="DB72" s="62">
        <v>0.0</v>
      </c>
      <c r="DC72" s="62">
        <v>0.0</v>
      </c>
      <c r="DD72" s="62">
        <v>0.0</v>
      </c>
      <c r="DE72" s="62">
        <v>0.0</v>
      </c>
      <c r="DF72" s="62">
        <v>0.0</v>
      </c>
      <c r="DG72" s="62">
        <v>0.0</v>
      </c>
      <c r="DH72" s="62">
        <v>0.0</v>
      </c>
      <c r="DI72" s="62">
        <v>0.0</v>
      </c>
      <c r="DJ72" s="62">
        <v>0.0</v>
      </c>
      <c r="DK72" s="62">
        <v>0.0</v>
      </c>
      <c r="DL72" s="62">
        <v>0.0</v>
      </c>
      <c r="DM72" s="62">
        <v>0.0</v>
      </c>
      <c r="DN72" s="62">
        <v>0.0</v>
      </c>
      <c r="DO72" s="62">
        <v>0.0</v>
      </c>
      <c r="DP72" s="62">
        <v>0.0</v>
      </c>
      <c r="DQ72" s="62">
        <v>0.0</v>
      </c>
      <c r="DR72" s="62">
        <v>0.0</v>
      </c>
      <c r="DS72" s="62">
        <v>0.0</v>
      </c>
      <c r="DT72" s="62">
        <v>0.0</v>
      </c>
      <c r="DU72" s="62">
        <v>0.0</v>
      </c>
      <c r="DV72" s="62">
        <v>0.0</v>
      </c>
      <c r="DW72" s="62">
        <v>0.0</v>
      </c>
      <c r="DX72" s="62">
        <v>0.0</v>
      </c>
      <c r="DY72" s="62">
        <v>0.0</v>
      </c>
      <c r="DZ72" s="62">
        <v>0.0</v>
      </c>
      <c r="EA72" s="62">
        <v>0.0</v>
      </c>
      <c r="EB72" s="62">
        <v>0.0</v>
      </c>
      <c r="EC72" s="62">
        <v>0.0</v>
      </c>
      <c r="ED72" s="62">
        <v>0.0</v>
      </c>
      <c r="EE72" s="62">
        <v>0.0</v>
      </c>
      <c r="EF72" s="62">
        <v>0.0</v>
      </c>
      <c r="EG72" s="62">
        <v>0.0</v>
      </c>
      <c r="EH72" s="62">
        <v>0.0</v>
      </c>
      <c r="EI72" s="62">
        <v>0.0</v>
      </c>
      <c r="EJ72" s="62">
        <v>0.0</v>
      </c>
      <c r="EK72" s="62">
        <v>0.0</v>
      </c>
      <c r="EL72" s="62">
        <v>0.0</v>
      </c>
      <c r="EM72" s="62">
        <v>0.0</v>
      </c>
      <c r="EN72" s="62">
        <v>0.0</v>
      </c>
      <c r="EO72" s="62">
        <v>0.0</v>
      </c>
      <c r="EP72" s="62">
        <v>0.0</v>
      </c>
      <c r="EQ72" s="62">
        <v>0.0</v>
      </c>
      <c r="ER72" s="62">
        <v>0.0</v>
      </c>
      <c r="ES72" s="62">
        <v>0.0</v>
      </c>
      <c r="ET72" s="62">
        <v>0.0</v>
      </c>
      <c r="EU72" s="62">
        <v>0.0</v>
      </c>
      <c r="EV72" s="62">
        <v>0.0</v>
      </c>
      <c r="EW72" s="62">
        <v>0.0</v>
      </c>
      <c r="EX72" s="62">
        <v>0.0</v>
      </c>
      <c r="EY72" s="62">
        <v>0.0</v>
      </c>
      <c r="EZ72" s="62">
        <v>0.0</v>
      </c>
      <c r="FA72" s="62">
        <v>0.0</v>
      </c>
      <c r="FB72" s="62">
        <v>0.0</v>
      </c>
      <c r="FC72" s="62">
        <v>0.0</v>
      </c>
      <c r="FD72" s="62">
        <v>0.0</v>
      </c>
      <c r="FE72" s="62">
        <v>38656.0</v>
      </c>
      <c r="FF72" s="62">
        <v>0.0</v>
      </c>
      <c r="FG72" s="62">
        <v>0.0</v>
      </c>
      <c r="FH72" s="62">
        <v>0.0</v>
      </c>
      <c r="FI72" s="62">
        <v>0.0</v>
      </c>
      <c r="FJ72" s="62">
        <v>347403.0</v>
      </c>
      <c r="FK72" s="62">
        <v>1.2091045E7</v>
      </c>
      <c r="FL72" s="62">
        <v>0.0</v>
      </c>
      <c r="FM72" s="62">
        <v>0.0</v>
      </c>
      <c r="FN72" s="62">
        <v>0.0</v>
      </c>
      <c r="FO72" s="62">
        <v>0.0</v>
      </c>
      <c r="FP72" s="62">
        <v>0.0</v>
      </c>
      <c r="FQ72" s="62">
        <v>0.0</v>
      </c>
      <c r="FR72" s="62">
        <v>0.0</v>
      </c>
      <c r="FS72" s="62">
        <v>0.0</v>
      </c>
      <c r="FT72" s="62">
        <v>0.0</v>
      </c>
      <c r="FU72" s="62">
        <v>0.0</v>
      </c>
      <c r="FV72" s="62">
        <v>0.0</v>
      </c>
      <c r="FW72" s="62">
        <v>0.0</v>
      </c>
      <c r="FX72" s="62">
        <v>186.0</v>
      </c>
      <c r="FY72" s="62">
        <v>607152.0</v>
      </c>
      <c r="FZ72" s="62">
        <v>0.0</v>
      </c>
      <c r="GA72" s="62">
        <v>80665.0</v>
      </c>
      <c r="GB72" s="62">
        <v>9672.0</v>
      </c>
      <c r="GC72" s="62">
        <v>649.0</v>
      </c>
      <c r="GD72" s="62">
        <v>0.0</v>
      </c>
      <c r="GE72" s="62">
        <v>25748.0</v>
      </c>
      <c r="GF72" s="63">
        <v>1.3668947E7</v>
      </c>
      <c r="GG72" s="64">
        <v>4.4493462E7</v>
      </c>
      <c r="GH72" s="65">
        <v>0.0</v>
      </c>
      <c r="GI72" s="64">
        <v>0.0</v>
      </c>
      <c r="GJ72" s="64">
        <v>0.0</v>
      </c>
      <c r="GK72" s="64">
        <v>1347882.0</v>
      </c>
      <c r="GL72" s="64">
        <v>4270138.0</v>
      </c>
      <c r="GM72" s="64">
        <v>0.0</v>
      </c>
      <c r="GN72" s="63">
        <v>5.0111482E7</v>
      </c>
      <c r="GO72" s="66">
        <v>6.3780429E7</v>
      </c>
      <c r="GP72" s="64">
        <v>510195.0</v>
      </c>
      <c r="GQ72" s="64">
        <v>105673.0</v>
      </c>
      <c r="GR72" s="65">
        <v>0.0</v>
      </c>
      <c r="GS72" s="63">
        <v>615868.0</v>
      </c>
      <c r="GT72" s="67">
        <v>2847335.0</v>
      </c>
      <c r="GU72" s="67">
        <v>4081512.0</v>
      </c>
      <c r="GV72" s="67">
        <v>484437.0</v>
      </c>
      <c r="GW72" s="63">
        <v>7413284.0</v>
      </c>
      <c r="GX72" s="63">
        <v>1839361.0</v>
      </c>
      <c r="GY72" s="63">
        <v>5.3911916E7</v>
      </c>
      <c r="GZ72" s="66">
        <v>6.3780429E7</v>
      </c>
      <c r="HH72" s="106"/>
    </row>
    <row r="73" ht="15.75" customHeight="1">
      <c r="A73" s="60">
        <v>68.0</v>
      </c>
      <c r="B73" s="111" t="s">
        <v>338</v>
      </c>
      <c r="C73" s="62">
        <v>0.0</v>
      </c>
      <c r="D73" s="62">
        <v>0.0</v>
      </c>
      <c r="E73" s="62">
        <v>0.0</v>
      </c>
      <c r="F73" s="62">
        <v>0.0</v>
      </c>
      <c r="G73" s="62">
        <v>0.0</v>
      </c>
      <c r="H73" s="62">
        <v>0.0</v>
      </c>
      <c r="I73" s="62">
        <v>0.0</v>
      </c>
      <c r="J73" s="62">
        <v>0.0</v>
      </c>
      <c r="K73" s="62">
        <v>0.0</v>
      </c>
      <c r="L73" s="62">
        <v>0.0</v>
      </c>
      <c r="M73" s="62">
        <v>0.0</v>
      </c>
      <c r="N73" s="62">
        <v>0.0</v>
      </c>
      <c r="O73" s="62">
        <v>0.0</v>
      </c>
      <c r="P73" s="62">
        <v>0.0</v>
      </c>
      <c r="Q73" s="62">
        <v>0.0</v>
      </c>
      <c r="R73" s="62">
        <v>0.0</v>
      </c>
      <c r="S73" s="62">
        <v>0.0</v>
      </c>
      <c r="T73" s="62">
        <v>0.0</v>
      </c>
      <c r="U73" s="62">
        <v>0.0</v>
      </c>
      <c r="V73" s="62">
        <v>0.0</v>
      </c>
      <c r="W73" s="62">
        <v>0.0</v>
      </c>
      <c r="X73" s="62">
        <v>0.0</v>
      </c>
      <c r="Y73" s="62">
        <v>0.0</v>
      </c>
      <c r="Z73" s="62">
        <v>0.0</v>
      </c>
      <c r="AA73" s="62">
        <v>0.0</v>
      </c>
      <c r="AB73" s="62">
        <v>0.0</v>
      </c>
      <c r="AC73" s="62">
        <v>0.0</v>
      </c>
      <c r="AD73" s="62">
        <v>0.0</v>
      </c>
      <c r="AE73" s="62">
        <v>0.0</v>
      </c>
      <c r="AF73" s="62">
        <v>0.0</v>
      </c>
      <c r="AG73" s="62">
        <v>0.0</v>
      </c>
      <c r="AH73" s="62">
        <v>0.0</v>
      </c>
      <c r="AI73" s="62">
        <v>0.0</v>
      </c>
      <c r="AJ73" s="62">
        <v>0.0</v>
      </c>
      <c r="AK73" s="62">
        <v>0.0</v>
      </c>
      <c r="AL73" s="62">
        <v>0.0</v>
      </c>
      <c r="AM73" s="62">
        <v>0.0</v>
      </c>
      <c r="AN73" s="62">
        <v>0.0</v>
      </c>
      <c r="AO73" s="62">
        <v>0.0</v>
      </c>
      <c r="AP73" s="62">
        <v>0.0</v>
      </c>
      <c r="AQ73" s="62">
        <v>0.0</v>
      </c>
      <c r="AR73" s="62">
        <v>0.0</v>
      </c>
      <c r="AS73" s="62">
        <v>0.0</v>
      </c>
      <c r="AT73" s="62">
        <v>0.0</v>
      </c>
      <c r="AU73" s="62">
        <v>0.0</v>
      </c>
      <c r="AV73" s="62">
        <v>0.0</v>
      </c>
      <c r="AW73" s="62">
        <v>0.0</v>
      </c>
      <c r="AX73" s="62">
        <v>0.0</v>
      </c>
      <c r="AY73" s="62">
        <v>0.0</v>
      </c>
      <c r="AZ73" s="62">
        <v>0.0</v>
      </c>
      <c r="BA73" s="62">
        <v>0.0</v>
      </c>
      <c r="BB73" s="62">
        <v>0.0</v>
      </c>
      <c r="BC73" s="62">
        <v>0.0</v>
      </c>
      <c r="BD73" s="62">
        <v>0.0</v>
      </c>
      <c r="BE73" s="62">
        <v>0.0</v>
      </c>
      <c r="BF73" s="62">
        <v>0.0</v>
      </c>
      <c r="BG73" s="62">
        <v>0.0</v>
      </c>
      <c r="BH73" s="62">
        <v>0.0</v>
      </c>
      <c r="BI73" s="62">
        <v>0.0</v>
      </c>
      <c r="BJ73" s="62">
        <v>0.0</v>
      </c>
      <c r="BK73" s="62">
        <v>0.0</v>
      </c>
      <c r="BL73" s="62">
        <v>0.0</v>
      </c>
      <c r="BM73" s="62">
        <v>0.0</v>
      </c>
      <c r="BN73" s="62">
        <v>0.0</v>
      </c>
      <c r="BO73" s="62">
        <v>0.0</v>
      </c>
      <c r="BP73" s="62">
        <v>2667.0</v>
      </c>
      <c r="BQ73" s="62">
        <v>0.0</v>
      </c>
      <c r="BR73" s="62">
        <v>535.0</v>
      </c>
      <c r="BS73" s="62">
        <v>89591.0</v>
      </c>
      <c r="BT73" s="62">
        <v>0.0</v>
      </c>
      <c r="BU73" s="62">
        <v>14776.0</v>
      </c>
      <c r="BV73" s="62">
        <v>0.0</v>
      </c>
      <c r="BW73" s="62">
        <v>0.0</v>
      </c>
      <c r="BX73" s="62">
        <v>460648.0</v>
      </c>
      <c r="BY73" s="62">
        <v>1902778.0</v>
      </c>
      <c r="BZ73" s="62">
        <v>68138.0</v>
      </c>
      <c r="CA73" s="62">
        <v>0.0</v>
      </c>
      <c r="CB73" s="62">
        <v>0.0</v>
      </c>
      <c r="CC73" s="62">
        <v>0.0</v>
      </c>
      <c r="CD73" s="62">
        <v>0.0</v>
      </c>
      <c r="CE73" s="62">
        <v>0.0</v>
      </c>
      <c r="CF73" s="62">
        <v>0.0</v>
      </c>
      <c r="CG73" s="62">
        <v>0.0</v>
      </c>
      <c r="CH73" s="62">
        <v>0.0</v>
      </c>
      <c r="CI73" s="62">
        <v>0.0</v>
      </c>
      <c r="CJ73" s="62">
        <v>0.0</v>
      </c>
      <c r="CK73" s="62">
        <v>0.0</v>
      </c>
      <c r="CL73" s="62">
        <v>0.0</v>
      </c>
      <c r="CM73" s="62">
        <v>0.0</v>
      </c>
      <c r="CN73" s="62">
        <v>0.0</v>
      </c>
      <c r="CO73" s="62">
        <v>0.0</v>
      </c>
      <c r="CP73" s="62">
        <v>0.0</v>
      </c>
      <c r="CQ73" s="62">
        <v>0.0</v>
      </c>
      <c r="CR73" s="62">
        <v>0.0</v>
      </c>
      <c r="CS73" s="62">
        <v>0.0</v>
      </c>
      <c r="CT73" s="62">
        <v>0.0</v>
      </c>
      <c r="CU73" s="62">
        <v>0.0</v>
      </c>
      <c r="CV73" s="62">
        <v>0.0</v>
      </c>
      <c r="CW73" s="62">
        <v>0.0</v>
      </c>
      <c r="CX73" s="62">
        <v>0.0</v>
      </c>
      <c r="CY73" s="62">
        <v>0.0</v>
      </c>
      <c r="CZ73" s="62">
        <v>201.0</v>
      </c>
      <c r="DA73" s="62">
        <v>240.0</v>
      </c>
      <c r="DB73" s="62">
        <v>0.0</v>
      </c>
      <c r="DC73" s="62">
        <v>4530.0</v>
      </c>
      <c r="DD73" s="62">
        <v>7438.0</v>
      </c>
      <c r="DE73" s="62">
        <v>0.0</v>
      </c>
      <c r="DF73" s="62">
        <v>0.0</v>
      </c>
      <c r="DG73" s="62">
        <v>0.0</v>
      </c>
      <c r="DH73" s="62">
        <v>0.0</v>
      </c>
      <c r="DI73" s="62">
        <v>0.0</v>
      </c>
      <c r="DJ73" s="62">
        <v>0.0</v>
      </c>
      <c r="DK73" s="62">
        <v>0.0</v>
      </c>
      <c r="DL73" s="62">
        <v>0.0</v>
      </c>
      <c r="DM73" s="62">
        <v>0.0</v>
      </c>
      <c r="DN73" s="62">
        <v>0.0</v>
      </c>
      <c r="DO73" s="62">
        <v>0.0</v>
      </c>
      <c r="DP73" s="62">
        <v>0.0</v>
      </c>
      <c r="DQ73" s="62">
        <v>0.0</v>
      </c>
      <c r="DR73" s="62">
        <v>0.0</v>
      </c>
      <c r="DS73" s="62">
        <v>0.0</v>
      </c>
      <c r="DT73" s="62">
        <v>0.0</v>
      </c>
      <c r="DU73" s="62">
        <v>0.0</v>
      </c>
      <c r="DV73" s="62">
        <v>0.0</v>
      </c>
      <c r="DW73" s="62">
        <v>0.0</v>
      </c>
      <c r="DX73" s="62">
        <v>0.0</v>
      </c>
      <c r="DY73" s="62">
        <v>0.0</v>
      </c>
      <c r="DZ73" s="62">
        <v>0.0</v>
      </c>
      <c r="EA73" s="62">
        <v>0.0</v>
      </c>
      <c r="EB73" s="62">
        <v>0.0</v>
      </c>
      <c r="EC73" s="62">
        <v>0.0</v>
      </c>
      <c r="ED73" s="62">
        <v>0.0</v>
      </c>
      <c r="EE73" s="62">
        <v>0.0</v>
      </c>
      <c r="EF73" s="62">
        <v>0.0</v>
      </c>
      <c r="EG73" s="62">
        <v>0.0</v>
      </c>
      <c r="EH73" s="62">
        <v>0.0</v>
      </c>
      <c r="EI73" s="62">
        <v>0.0</v>
      </c>
      <c r="EJ73" s="62">
        <v>0.0</v>
      </c>
      <c r="EK73" s="62">
        <v>0.0</v>
      </c>
      <c r="EL73" s="62">
        <v>0.0</v>
      </c>
      <c r="EM73" s="62">
        <v>0.0</v>
      </c>
      <c r="EN73" s="62">
        <v>0.0</v>
      </c>
      <c r="EO73" s="62">
        <v>0.0</v>
      </c>
      <c r="EP73" s="62">
        <v>0.0</v>
      </c>
      <c r="EQ73" s="62">
        <v>0.0</v>
      </c>
      <c r="ER73" s="62">
        <v>0.0</v>
      </c>
      <c r="ES73" s="62">
        <v>0.0</v>
      </c>
      <c r="ET73" s="62">
        <v>0.0</v>
      </c>
      <c r="EU73" s="62">
        <v>0.0</v>
      </c>
      <c r="EV73" s="62">
        <v>0.0</v>
      </c>
      <c r="EW73" s="62">
        <v>0.0</v>
      </c>
      <c r="EX73" s="62">
        <v>0.0</v>
      </c>
      <c r="EY73" s="62">
        <v>0.0</v>
      </c>
      <c r="EZ73" s="62">
        <v>0.0</v>
      </c>
      <c r="FA73" s="62">
        <v>0.0</v>
      </c>
      <c r="FB73" s="62">
        <v>0.0</v>
      </c>
      <c r="FC73" s="62">
        <v>15196.0</v>
      </c>
      <c r="FD73" s="62">
        <v>0.0</v>
      </c>
      <c r="FE73" s="62">
        <v>2027637.0</v>
      </c>
      <c r="FF73" s="62">
        <v>378384.0</v>
      </c>
      <c r="FG73" s="62">
        <v>231697.0</v>
      </c>
      <c r="FH73" s="62">
        <v>0.0</v>
      </c>
      <c r="FI73" s="62">
        <v>0.0</v>
      </c>
      <c r="FJ73" s="62">
        <v>962937.0</v>
      </c>
      <c r="FK73" s="62">
        <v>1.2279411E7</v>
      </c>
      <c r="FL73" s="62">
        <v>0.0</v>
      </c>
      <c r="FM73" s="62">
        <v>0.0</v>
      </c>
      <c r="FN73" s="62">
        <v>0.0</v>
      </c>
      <c r="FO73" s="62">
        <v>0.0</v>
      </c>
      <c r="FP73" s="62">
        <v>0.0</v>
      </c>
      <c r="FQ73" s="62">
        <v>0.0</v>
      </c>
      <c r="FR73" s="62">
        <v>0.0</v>
      </c>
      <c r="FS73" s="62">
        <v>0.0</v>
      </c>
      <c r="FT73" s="62">
        <v>0.0</v>
      </c>
      <c r="FU73" s="62">
        <v>0.0</v>
      </c>
      <c r="FV73" s="62">
        <v>0.0</v>
      </c>
      <c r="FW73" s="62">
        <v>626.0</v>
      </c>
      <c r="FX73" s="62">
        <v>95.0</v>
      </c>
      <c r="FY73" s="62">
        <v>21906.0</v>
      </c>
      <c r="FZ73" s="62">
        <v>0.0</v>
      </c>
      <c r="GA73" s="62">
        <v>40927.0</v>
      </c>
      <c r="GB73" s="62">
        <v>6028.0</v>
      </c>
      <c r="GC73" s="62">
        <v>69.0</v>
      </c>
      <c r="GD73" s="62">
        <v>0.0</v>
      </c>
      <c r="GE73" s="62">
        <v>2746.0</v>
      </c>
      <c r="GF73" s="63">
        <v>1.8519201E7</v>
      </c>
      <c r="GG73" s="64">
        <v>3.8286963E7</v>
      </c>
      <c r="GH73" s="65">
        <v>0.0</v>
      </c>
      <c r="GI73" s="64">
        <v>0.0</v>
      </c>
      <c r="GJ73" s="64">
        <v>0.0</v>
      </c>
      <c r="GK73" s="64">
        <v>268956.0</v>
      </c>
      <c r="GL73" s="64">
        <v>7857538.0</v>
      </c>
      <c r="GM73" s="64">
        <v>0.0</v>
      </c>
      <c r="GN73" s="63">
        <v>4.6413457E7</v>
      </c>
      <c r="GO73" s="66">
        <v>6.4932658E7</v>
      </c>
      <c r="GP73" s="64">
        <v>1416169.0</v>
      </c>
      <c r="GQ73" s="64">
        <v>94167.0</v>
      </c>
      <c r="GR73" s="65">
        <v>0.0</v>
      </c>
      <c r="GS73" s="63">
        <v>1510336.0</v>
      </c>
      <c r="GT73" s="67">
        <v>3691501.0</v>
      </c>
      <c r="GU73" s="67">
        <v>5995001.0</v>
      </c>
      <c r="GV73" s="67">
        <v>475823.0</v>
      </c>
      <c r="GW73" s="63">
        <v>1.0162325E7</v>
      </c>
      <c r="GX73" s="63">
        <v>1723588.0</v>
      </c>
      <c r="GY73" s="63">
        <v>5.1536409E7</v>
      </c>
      <c r="GZ73" s="66">
        <v>6.4932658E7</v>
      </c>
      <c r="HH73" s="106"/>
    </row>
    <row r="74" ht="15.75" customHeight="1">
      <c r="A74" s="60">
        <v>69.0</v>
      </c>
      <c r="B74" s="111" t="s">
        <v>339</v>
      </c>
      <c r="C74" s="62">
        <v>0.0</v>
      </c>
      <c r="D74" s="62">
        <v>0.0</v>
      </c>
      <c r="E74" s="62">
        <v>0.0</v>
      </c>
      <c r="F74" s="62">
        <v>0.0</v>
      </c>
      <c r="G74" s="62">
        <v>0.0</v>
      </c>
      <c r="H74" s="62">
        <v>0.0</v>
      </c>
      <c r="I74" s="62">
        <v>0.0</v>
      </c>
      <c r="J74" s="62">
        <v>0.0</v>
      </c>
      <c r="K74" s="62">
        <v>0.0</v>
      </c>
      <c r="L74" s="62">
        <v>0.0</v>
      </c>
      <c r="M74" s="62">
        <v>0.0</v>
      </c>
      <c r="N74" s="62">
        <v>0.0</v>
      </c>
      <c r="O74" s="62">
        <v>0.0</v>
      </c>
      <c r="P74" s="62">
        <v>0.0</v>
      </c>
      <c r="Q74" s="62">
        <v>0.0</v>
      </c>
      <c r="R74" s="62">
        <v>0.0</v>
      </c>
      <c r="S74" s="62">
        <v>0.0</v>
      </c>
      <c r="T74" s="62">
        <v>0.0</v>
      </c>
      <c r="U74" s="62">
        <v>0.0</v>
      </c>
      <c r="V74" s="62">
        <v>0.0</v>
      </c>
      <c r="W74" s="62">
        <v>0.0</v>
      </c>
      <c r="X74" s="62">
        <v>0.0</v>
      </c>
      <c r="Y74" s="62">
        <v>0.0</v>
      </c>
      <c r="Z74" s="62">
        <v>0.0</v>
      </c>
      <c r="AA74" s="62">
        <v>0.0</v>
      </c>
      <c r="AB74" s="62">
        <v>0.0</v>
      </c>
      <c r="AC74" s="62">
        <v>0.0</v>
      </c>
      <c r="AD74" s="62">
        <v>0.0</v>
      </c>
      <c r="AE74" s="62">
        <v>0.0</v>
      </c>
      <c r="AF74" s="62">
        <v>0.0</v>
      </c>
      <c r="AG74" s="62">
        <v>0.0</v>
      </c>
      <c r="AH74" s="62">
        <v>0.0</v>
      </c>
      <c r="AI74" s="62">
        <v>0.0</v>
      </c>
      <c r="AJ74" s="62">
        <v>0.0</v>
      </c>
      <c r="AK74" s="62">
        <v>0.0</v>
      </c>
      <c r="AL74" s="62">
        <v>0.0</v>
      </c>
      <c r="AM74" s="62">
        <v>0.0</v>
      </c>
      <c r="AN74" s="62">
        <v>0.0</v>
      </c>
      <c r="AO74" s="62">
        <v>0.0</v>
      </c>
      <c r="AP74" s="62">
        <v>0.0</v>
      </c>
      <c r="AQ74" s="62">
        <v>0.0</v>
      </c>
      <c r="AR74" s="62">
        <v>0.0</v>
      </c>
      <c r="AS74" s="62">
        <v>0.0</v>
      </c>
      <c r="AT74" s="62">
        <v>0.0</v>
      </c>
      <c r="AU74" s="62">
        <v>0.0</v>
      </c>
      <c r="AV74" s="62">
        <v>0.0</v>
      </c>
      <c r="AW74" s="62">
        <v>0.0</v>
      </c>
      <c r="AX74" s="62">
        <v>0.0</v>
      </c>
      <c r="AY74" s="62">
        <v>0.0</v>
      </c>
      <c r="AZ74" s="62">
        <v>0.0</v>
      </c>
      <c r="BA74" s="62">
        <v>0.0</v>
      </c>
      <c r="BB74" s="62">
        <v>0.0</v>
      </c>
      <c r="BC74" s="62">
        <v>0.0</v>
      </c>
      <c r="BD74" s="62">
        <v>0.0</v>
      </c>
      <c r="BE74" s="62">
        <v>0.0</v>
      </c>
      <c r="BF74" s="62">
        <v>0.0</v>
      </c>
      <c r="BG74" s="62">
        <v>0.0</v>
      </c>
      <c r="BH74" s="62">
        <v>0.0</v>
      </c>
      <c r="BI74" s="62">
        <v>0.0</v>
      </c>
      <c r="BJ74" s="62">
        <v>0.0</v>
      </c>
      <c r="BK74" s="62">
        <v>0.0</v>
      </c>
      <c r="BL74" s="62">
        <v>0.0</v>
      </c>
      <c r="BM74" s="62">
        <v>0.0</v>
      </c>
      <c r="BN74" s="62">
        <v>0.0</v>
      </c>
      <c r="BO74" s="62">
        <v>0.0</v>
      </c>
      <c r="BP74" s="62">
        <v>0.0</v>
      </c>
      <c r="BQ74" s="62">
        <v>0.0</v>
      </c>
      <c r="BR74" s="62">
        <v>1228.0</v>
      </c>
      <c r="BS74" s="62">
        <v>655200.0</v>
      </c>
      <c r="BT74" s="62">
        <v>0.0</v>
      </c>
      <c r="BU74" s="62">
        <v>7233.0</v>
      </c>
      <c r="BV74" s="62">
        <v>0.0</v>
      </c>
      <c r="BW74" s="62">
        <v>0.0</v>
      </c>
      <c r="BX74" s="62">
        <v>1068488.0</v>
      </c>
      <c r="BY74" s="62">
        <v>440217.0</v>
      </c>
      <c r="BZ74" s="62">
        <v>30240.0</v>
      </c>
      <c r="CA74" s="62">
        <v>0.0</v>
      </c>
      <c r="CB74" s="62">
        <v>0.0</v>
      </c>
      <c r="CC74" s="62">
        <v>0.0</v>
      </c>
      <c r="CD74" s="62">
        <v>0.0</v>
      </c>
      <c r="CE74" s="62">
        <v>0.0</v>
      </c>
      <c r="CF74" s="62">
        <v>0.0</v>
      </c>
      <c r="CG74" s="62">
        <v>0.0</v>
      </c>
      <c r="CH74" s="62">
        <v>0.0</v>
      </c>
      <c r="CI74" s="62">
        <v>0.0</v>
      </c>
      <c r="CJ74" s="62">
        <v>0.0</v>
      </c>
      <c r="CK74" s="62">
        <v>0.0</v>
      </c>
      <c r="CL74" s="62">
        <v>0.0</v>
      </c>
      <c r="CM74" s="62">
        <v>0.0</v>
      </c>
      <c r="CN74" s="62">
        <v>0.0</v>
      </c>
      <c r="CO74" s="62">
        <v>0.0</v>
      </c>
      <c r="CP74" s="62">
        <v>0.0</v>
      </c>
      <c r="CQ74" s="62">
        <v>0.0</v>
      </c>
      <c r="CR74" s="62">
        <v>0.0</v>
      </c>
      <c r="CS74" s="62">
        <v>0.0</v>
      </c>
      <c r="CT74" s="62">
        <v>0.0</v>
      </c>
      <c r="CU74" s="62">
        <v>0.0</v>
      </c>
      <c r="CV74" s="62">
        <v>0.0</v>
      </c>
      <c r="CW74" s="62">
        <v>0.0</v>
      </c>
      <c r="CX74" s="62">
        <v>0.0</v>
      </c>
      <c r="CY74" s="62">
        <v>0.0</v>
      </c>
      <c r="CZ74" s="62">
        <v>1344.0</v>
      </c>
      <c r="DA74" s="62">
        <v>0.0</v>
      </c>
      <c r="DB74" s="62">
        <v>0.0</v>
      </c>
      <c r="DC74" s="62">
        <v>22853.0</v>
      </c>
      <c r="DD74" s="62">
        <v>10658.0</v>
      </c>
      <c r="DE74" s="62">
        <v>0.0</v>
      </c>
      <c r="DF74" s="62">
        <v>0.0</v>
      </c>
      <c r="DG74" s="62">
        <v>0.0</v>
      </c>
      <c r="DH74" s="62">
        <v>0.0</v>
      </c>
      <c r="DI74" s="62">
        <v>0.0</v>
      </c>
      <c r="DJ74" s="62">
        <v>0.0</v>
      </c>
      <c r="DK74" s="62">
        <v>0.0</v>
      </c>
      <c r="DL74" s="62">
        <v>0.0</v>
      </c>
      <c r="DM74" s="62">
        <v>0.0</v>
      </c>
      <c r="DN74" s="62">
        <v>0.0</v>
      </c>
      <c r="DO74" s="62">
        <v>0.0</v>
      </c>
      <c r="DP74" s="62">
        <v>0.0</v>
      </c>
      <c r="DQ74" s="62">
        <v>0.0</v>
      </c>
      <c r="DR74" s="62">
        <v>0.0</v>
      </c>
      <c r="DS74" s="62">
        <v>0.0</v>
      </c>
      <c r="DT74" s="62">
        <v>0.0</v>
      </c>
      <c r="DU74" s="62">
        <v>0.0</v>
      </c>
      <c r="DV74" s="62">
        <v>0.0</v>
      </c>
      <c r="DW74" s="62">
        <v>0.0</v>
      </c>
      <c r="DX74" s="62">
        <v>0.0</v>
      </c>
      <c r="DY74" s="62">
        <v>0.0</v>
      </c>
      <c r="DZ74" s="62">
        <v>0.0</v>
      </c>
      <c r="EA74" s="62">
        <v>0.0</v>
      </c>
      <c r="EB74" s="62">
        <v>0.0</v>
      </c>
      <c r="EC74" s="62">
        <v>0.0</v>
      </c>
      <c r="ED74" s="62">
        <v>0.0</v>
      </c>
      <c r="EE74" s="62">
        <v>0.0</v>
      </c>
      <c r="EF74" s="62">
        <v>0.0</v>
      </c>
      <c r="EG74" s="62">
        <v>0.0</v>
      </c>
      <c r="EH74" s="62">
        <v>0.0</v>
      </c>
      <c r="EI74" s="62">
        <v>0.0</v>
      </c>
      <c r="EJ74" s="62">
        <v>0.0</v>
      </c>
      <c r="EK74" s="62">
        <v>0.0</v>
      </c>
      <c r="EL74" s="62">
        <v>0.0</v>
      </c>
      <c r="EM74" s="62">
        <v>0.0</v>
      </c>
      <c r="EN74" s="62">
        <v>0.0</v>
      </c>
      <c r="EO74" s="62">
        <v>0.0</v>
      </c>
      <c r="EP74" s="62">
        <v>0.0</v>
      </c>
      <c r="EQ74" s="62">
        <v>0.0</v>
      </c>
      <c r="ER74" s="62">
        <v>0.0</v>
      </c>
      <c r="ES74" s="62">
        <v>0.0</v>
      </c>
      <c r="ET74" s="62">
        <v>0.0</v>
      </c>
      <c r="EU74" s="62">
        <v>0.0</v>
      </c>
      <c r="EV74" s="62">
        <v>0.0</v>
      </c>
      <c r="EW74" s="62">
        <v>0.0</v>
      </c>
      <c r="EX74" s="62">
        <v>0.0</v>
      </c>
      <c r="EY74" s="62">
        <v>0.0</v>
      </c>
      <c r="EZ74" s="62">
        <v>0.0</v>
      </c>
      <c r="FA74" s="62">
        <v>0.0</v>
      </c>
      <c r="FB74" s="62">
        <v>0.0</v>
      </c>
      <c r="FC74" s="62">
        <v>2388.0</v>
      </c>
      <c r="FD74" s="62">
        <v>0.0</v>
      </c>
      <c r="FE74" s="62">
        <v>539491.0</v>
      </c>
      <c r="FF74" s="62">
        <v>170970.0</v>
      </c>
      <c r="FG74" s="62">
        <v>111243.0</v>
      </c>
      <c r="FH74" s="62">
        <v>0.0</v>
      </c>
      <c r="FI74" s="62">
        <v>0.0</v>
      </c>
      <c r="FJ74" s="62">
        <v>559391.0</v>
      </c>
      <c r="FK74" s="62">
        <v>6598299.0</v>
      </c>
      <c r="FL74" s="62">
        <v>0.0</v>
      </c>
      <c r="FM74" s="62">
        <v>0.0</v>
      </c>
      <c r="FN74" s="62">
        <v>0.0</v>
      </c>
      <c r="FO74" s="62">
        <v>0.0</v>
      </c>
      <c r="FP74" s="62">
        <v>0.0</v>
      </c>
      <c r="FQ74" s="62">
        <v>0.0</v>
      </c>
      <c r="FR74" s="62">
        <v>0.0</v>
      </c>
      <c r="FS74" s="62">
        <v>0.0</v>
      </c>
      <c r="FT74" s="62">
        <v>0.0</v>
      </c>
      <c r="FU74" s="62">
        <v>0.0</v>
      </c>
      <c r="FV74" s="62">
        <v>0.0</v>
      </c>
      <c r="FW74" s="62">
        <v>16974.0</v>
      </c>
      <c r="FX74" s="62">
        <v>891.0</v>
      </c>
      <c r="FY74" s="62">
        <v>157410.0</v>
      </c>
      <c r="FZ74" s="62">
        <v>0.0</v>
      </c>
      <c r="GA74" s="62">
        <v>79066.0</v>
      </c>
      <c r="GB74" s="62">
        <v>147430.0</v>
      </c>
      <c r="GC74" s="62">
        <v>2712.0</v>
      </c>
      <c r="GD74" s="62">
        <v>0.0</v>
      </c>
      <c r="GE74" s="62">
        <v>106979.0</v>
      </c>
      <c r="GF74" s="63">
        <v>1.0730705E7</v>
      </c>
      <c r="GG74" s="64">
        <v>2.3542497E7</v>
      </c>
      <c r="GH74" s="65">
        <v>0.0</v>
      </c>
      <c r="GI74" s="64">
        <v>0.0</v>
      </c>
      <c r="GJ74" s="64">
        <v>0.0</v>
      </c>
      <c r="GK74" s="64">
        <v>-40636.0</v>
      </c>
      <c r="GL74" s="64">
        <v>1195065.0</v>
      </c>
      <c r="GM74" s="64">
        <v>0.0</v>
      </c>
      <c r="GN74" s="63">
        <v>2.4696926E7</v>
      </c>
      <c r="GO74" s="66">
        <v>3.5427631E7</v>
      </c>
      <c r="GP74" s="64">
        <v>590415.0</v>
      </c>
      <c r="GQ74" s="64">
        <v>30800.0</v>
      </c>
      <c r="GR74" s="65">
        <v>0.0</v>
      </c>
      <c r="GS74" s="63">
        <v>621215.0</v>
      </c>
      <c r="GT74" s="67">
        <v>958104.0</v>
      </c>
      <c r="GU74" s="67">
        <v>2338697.0</v>
      </c>
      <c r="GV74" s="67">
        <v>346316.0</v>
      </c>
      <c r="GW74" s="63">
        <v>3643117.0</v>
      </c>
      <c r="GX74" s="63">
        <v>1002545.0</v>
      </c>
      <c r="GY74" s="63">
        <v>3.0160754E7</v>
      </c>
      <c r="GZ74" s="66">
        <v>3.5427631E7</v>
      </c>
      <c r="HH74" s="106"/>
    </row>
    <row r="75" ht="15.75" customHeight="1">
      <c r="A75" s="68">
        <v>70.0</v>
      </c>
      <c r="B75" s="111" t="s">
        <v>340</v>
      </c>
      <c r="C75" s="70">
        <v>0.0</v>
      </c>
      <c r="D75" s="70">
        <v>0.0</v>
      </c>
      <c r="E75" s="70">
        <v>0.0</v>
      </c>
      <c r="F75" s="70">
        <v>0.0</v>
      </c>
      <c r="G75" s="70">
        <v>0.0</v>
      </c>
      <c r="H75" s="70">
        <v>0.0</v>
      </c>
      <c r="I75" s="70">
        <v>0.0</v>
      </c>
      <c r="J75" s="70">
        <v>0.0</v>
      </c>
      <c r="K75" s="70">
        <v>0.0</v>
      </c>
      <c r="L75" s="70">
        <v>0.0</v>
      </c>
      <c r="M75" s="70">
        <v>0.0</v>
      </c>
      <c r="N75" s="70">
        <v>0.0</v>
      </c>
      <c r="O75" s="70">
        <v>0.0</v>
      </c>
      <c r="P75" s="70">
        <v>0.0</v>
      </c>
      <c r="Q75" s="70">
        <v>0.0</v>
      </c>
      <c r="R75" s="70">
        <v>0.0</v>
      </c>
      <c r="S75" s="70">
        <v>0.0</v>
      </c>
      <c r="T75" s="70">
        <v>0.0</v>
      </c>
      <c r="U75" s="70">
        <v>0.0</v>
      </c>
      <c r="V75" s="70">
        <v>0.0</v>
      </c>
      <c r="W75" s="70">
        <v>0.0</v>
      </c>
      <c r="X75" s="70">
        <v>0.0</v>
      </c>
      <c r="Y75" s="70">
        <v>0.0</v>
      </c>
      <c r="Z75" s="70">
        <v>0.0</v>
      </c>
      <c r="AA75" s="70">
        <v>0.0</v>
      </c>
      <c r="AB75" s="70">
        <v>0.0</v>
      </c>
      <c r="AC75" s="70">
        <v>0.0</v>
      </c>
      <c r="AD75" s="70">
        <v>0.0</v>
      </c>
      <c r="AE75" s="70">
        <v>0.0</v>
      </c>
      <c r="AF75" s="70">
        <v>0.0</v>
      </c>
      <c r="AG75" s="70">
        <v>0.0</v>
      </c>
      <c r="AH75" s="70">
        <v>0.0</v>
      </c>
      <c r="AI75" s="70">
        <v>2219.0</v>
      </c>
      <c r="AJ75" s="70">
        <v>0.0</v>
      </c>
      <c r="AK75" s="70">
        <v>0.0</v>
      </c>
      <c r="AL75" s="70">
        <v>0.0</v>
      </c>
      <c r="AM75" s="70">
        <v>0.0</v>
      </c>
      <c r="AN75" s="70">
        <v>0.0</v>
      </c>
      <c r="AO75" s="70">
        <v>0.0</v>
      </c>
      <c r="AP75" s="70">
        <v>0.0</v>
      </c>
      <c r="AQ75" s="70">
        <v>0.0</v>
      </c>
      <c r="AR75" s="70">
        <v>0.0</v>
      </c>
      <c r="AS75" s="70">
        <v>0.0</v>
      </c>
      <c r="AT75" s="70">
        <v>0.0</v>
      </c>
      <c r="AU75" s="70">
        <v>0.0</v>
      </c>
      <c r="AV75" s="70">
        <v>0.0</v>
      </c>
      <c r="AW75" s="70">
        <v>0.0</v>
      </c>
      <c r="AX75" s="70">
        <v>0.0</v>
      </c>
      <c r="AY75" s="70">
        <v>0.0</v>
      </c>
      <c r="AZ75" s="70">
        <v>0.0</v>
      </c>
      <c r="BA75" s="70">
        <v>0.0</v>
      </c>
      <c r="BB75" s="70">
        <v>0.0</v>
      </c>
      <c r="BC75" s="70">
        <v>0.0</v>
      </c>
      <c r="BD75" s="70">
        <v>0.0</v>
      </c>
      <c r="BE75" s="70">
        <v>0.0</v>
      </c>
      <c r="BF75" s="70">
        <v>98339.0</v>
      </c>
      <c r="BG75" s="70">
        <v>176084.0</v>
      </c>
      <c r="BH75" s="70">
        <v>0.0</v>
      </c>
      <c r="BI75" s="70">
        <v>0.0</v>
      </c>
      <c r="BJ75" s="70">
        <v>5295.0</v>
      </c>
      <c r="BK75" s="70">
        <v>0.0</v>
      </c>
      <c r="BL75" s="70">
        <v>0.0</v>
      </c>
      <c r="BM75" s="70">
        <v>0.0</v>
      </c>
      <c r="BN75" s="70">
        <v>0.0</v>
      </c>
      <c r="BO75" s="70">
        <v>0.0</v>
      </c>
      <c r="BP75" s="70">
        <v>0.0</v>
      </c>
      <c r="BQ75" s="70">
        <v>1032724.0</v>
      </c>
      <c r="BR75" s="70">
        <v>0.0</v>
      </c>
      <c r="BS75" s="70">
        <v>0.0</v>
      </c>
      <c r="BT75" s="70">
        <v>6981298.0</v>
      </c>
      <c r="BU75" s="70">
        <v>1175780.0</v>
      </c>
      <c r="BV75" s="70">
        <v>0.0</v>
      </c>
      <c r="BW75" s="70">
        <v>0.0</v>
      </c>
      <c r="BX75" s="70">
        <v>36672.0</v>
      </c>
      <c r="BY75" s="70">
        <v>0.0</v>
      </c>
      <c r="BZ75" s="70">
        <v>0.0</v>
      </c>
      <c r="CA75" s="70">
        <v>0.0</v>
      </c>
      <c r="CB75" s="70">
        <v>0.0</v>
      </c>
      <c r="CC75" s="70">
        <v>0.0</v>
      </c>
      <c r="CD75" s="70">
        <v>0.0</v>
      </c>
      <c r="CE75" s="70">
        <v>0.0</v>
      </c>
      <c r="CF75" s="70">
        <v>0.0</v>
      </c>
      <c r="CG75" s="70">
        <v>0.0</v>
      </c>
      <c r="CH75" s="70">
        <v>0.0</v>
      </c>
      <c r="CI75" s="70">
        <v>0.0</v>
      </c>
      <c r="CJ75" s="70">
        <v>0.0</v>
      </c>
      <c r="CK75" s="70">
        <v>0.0</v>
      </c>
      <c r="CL75" s="70">
        <v>0.0</v>
      </c>
      <c r="CM75" s="70">
        <v>0.0</v>
      </c>
      <c r="CN75" s="70">
        <v>0.0</v>
      </c>
      <c r="CO75" s="70">
        <v>0.0</v>
      </c>
      <c r="CP75" s="70">
        <v>0.0</v>
      </c>
      <c r="CQ75" s="70">
        <v>0.0</v>
      </c>
      <c r="CR75" s="70">
        <v>0.0</v>
      </c>
      <c r="CS75" s="70">
        <v>0.0</v>
      </c>
      <c r="CT75" s="70">
        <v>0.0</v>
      </c>
      <c r="CU75" s="70">
        <v>0.0</v>
      </c>
      <c r="CV75" s="70">
        <v>0.0</v>
      </c>
      <c r="CW75" s="70">
        <v>0.0</v>
      </c>
      <c r="CX75" s="70">
        <v>0.0</v>
      </c>
      <c r="CY75" s="70">
        <v>0.0</v>
      </c>
      <c r="CZ75" s="70">
        <v>0.0</v>
      </c>
      <c r="DA75" s="70">
        <v>0.0</v>
      </c>
      <c r="DB75" s="70">
        <v>0.0</v>
      </c>
      <c r="DC75" s="70">
        <v>0.0</v>
      </c>
      <c r="DD75" s="70">
        <v>0.0</v>
      </c>
      <c r="DE75" s="70">
        <v>0.0</v>
      </c>
      <c r="DF75" s="70">
        <v>0.0</v>
      </c>
      <c r="DG75" s="70">
        <v>0.0</v>
      </c>
      <c r="DH75" s="70">
        <v>0.0</v>
      </c>
      <c r="DI75" s="70">
        <v>0.0</v>
      </c>
      <c r="DJ75" s="70">
        <v>0.0</v>
      </c>
      <c r="DK75" s="70">
        <v>0.0</v>
      </c>
      <c r="DL75" s="70">
        <v>0.0</v>
      </c>
      <c r="DM75" s="70">
        <v>0.0</v>
      </c>
      <c r="DN75" s="70">
        <v>0.0</v>
      </c>
      <c r="DO75" s="70">
        <v>0.0</v>
      </c>
      <c r="DP75" s="70">
        <v>0.0</v>
      </c>
      <c r="DQ75" s="70">
        <v>0.0</v>
      </c>
      <c r="DR75" s="70">
        <v>0.0</v>
      </c>
      <c r="DS75" s="70">
        <v>0.0</v>
      </c>
      <c r="DT75" s="70">
        <v>0.0</v>
      </c>
      <c r="DU75" s="70">
        <v>0.0</v>
      </c>
      <c r="DV75" s="70">
        <v>0.0</v>
      </c>
      <c r="DW75" s="70">
        <v>0.0</v>
      </c>
      <c r="DX75" s="70">
        <v>0.0</v>
      </c>
      <c r="DY75" s="70">
        <v>0.0</v>
      </c>
      <c r="DZ75" s="70">
        <v>0.0</v>
      </c>
      <c r="EA75" s="70">
        <v>0.0</v>
      </c>
      <c r="EB75" s="70">
        <v>0.0</v>
      </c>
      <c r="EC75" s="70">
        <v>0.0</v>
      </c>
      <c r="ED75" s="70">
        <v>0.0</v>
      </c>
      <c r="EE75" s="70">
        <v>0.0</v>
      </c>
      <c r="EF75" s="70">
        <v>0.0</v>
      </c>
      <c r="EG75" s="70">
        <v>0.0</v>
      </c>
      <c r="EH75" s="70">
        <v>0.0</v>
      </c>
      <c r="EI75" s="70">
        <v>0.0</v>
      </c>
      <c r="EJ75" s="70">
        <v>0.0</v>
      </c>
      <c r="EK75" s="70">
        <v>0.0</v>
      </c>
      <c r="EL75" s="70">
        <v>0.0</v>
      </c>
      <c r="EM75" s="70">
        <v>0.0</v>
      </c>
      <c r="EN75" s="70">
        <v>0.0</v>
      </c>
      <c r="EO75" s="70">
        <v>0.0</v>
      </c>
      <c r="EP75" s="70">
        <v>0.0</v>
      </c>
      <c r="EQ75" s="70">
        <v>0.0</v>
      </c>
      <c r="ER75" s="70">
        <v>0.0</v>
      </c>
      <c r="ES75" s="70">
        <v>0.0</v>
      </c>
      <c r="ET75" s="70">
        <v>0.0</v>
      </c>
      <c r="EU75" s="70">
        <v>0.0</v>
      </c>
      <c r="EV75" s="70">
        <v>0.0</v>
      </c>
      <c r="EW75" s="70">
        <v>0.0</v>
      </c>
      <c r="EX75" s="70">
        <v>0.0</v>
      </c>
      <c r="EY75" s="70">
        <v>0.0</v>
      </c>
      <c r="EZ75" s="70">
        <v>0.0</v>
      </c>
      <c r="FA75" s="70">
        <v>0.0</v>
      </c>
      <c r="FB75" s="70">
        <v>0.0</v>
      </c>
      <c r="FC75" s="70">
        <v>0.0</v>
      </c>
      <c r="FD75" s="70">
        <v>0.0</v>
      </c>
      <c r="FE75" s="70">
        <v>122632.0</v>
      </c>
      <c r="FF75" s="70">
        <v>0.0</v>
      </c>
      <c r="FG75" s="70">
        <v>0.0</v>
      </c>
      <c r="FH75" s="70">
        <v>0.0</v>
      </c>
      <c r="FI75" s="70">
        <v>0.0</v>
      </c>
      <c r="FJ75" s="70">
        <v>686783.0</v>
      </c>
      <c r="FK75" s="70">
        <v>6964903.0</v>
      </c>
      <c r="FL75" s="70">
        <v>0.0</v>
      </c>
      <c r="FM75" s="70">
        <v>0.0</v>
      </c>
      <c r="FN75" s="70">
        <v>0.0</v>
      </c>
      <c r="FO75" s="70">
        <v>0.0</v>
      </c>
      <c r="FP75" s="70">
        <v>0.0</v>
      </c>
      <c r="FQ75" s="70">
        <v>0.0</v>
      </c>
      <c r="FR75" s="70">
        <v>0.0</v>
      </c>
      <c r="FS75" s="70">
        <v>0.0</v>
      </c>
      <c r="FT75" s="70">
        <v>0.0</v>
      </c>
      <c r="FU75" s="70">
        <v>0.0</v>
      </c>
      <c r="FV75" s="70">
        <v>0.0</v>
      </c>
      <c r="FW75" s="70">
        <v>106.0</v>
      </c>
      <c r="FX75" s="70">
        <v>1588.0</v>
      </c>
      <c r="FY75" s="70">
        <v>773110.0</v>
      </c>
      <c r="FZ75" s="70">
        <v>187.0</v>
      </c>
      <c r="GA75" s="70">
        <v>52873.0</v>
      </c>
      <c r="GB75" s="70">
        <v>103199.0</v>
      </c>
      <c r="GC75" s="70">
        <v>25294.0</v>
      </c>
      <c r="GD75" s="70">
        <v>0.0</v>
      </c>
      <c r="GE75" s="70">
        <v>198407.0</v>
      </c>
      <c r="GF75" s="71">
        <v>1.8437493E7</v>
      </c>
      <c r="GG75" s="72">
        <v>8.3328283E7</v>
      </c>
      <c r="GH75" s="73">
        <v>0.0</v>
      </c>
      <c r="GI75" s="72">
        <v>0.0</v>
      </c>
      <c r="GJ75" s="72">
        <v>0.0</v>
      </c>
      <c r="GK75" s="72">
        <v>61627.0</v>
      </c>
      <c r="GL75" s="72">
        <v>3293174.0</v>
      </c>
      <c r="GM75" s="72">
        <v>0.0</v>
      </c>
      <c r="GN75" s="71">
        <v>8.6683084E7</v>
      </c>
      <c r="GO75" s="74">
        <v>1.05120577E8</v>
      </c>
      <c r="GP75" s="72">
        <v>1348710.0</v>
      </c>
      <c r="GQ75" s="72">
        <v>10003.0</v>
      </c>
      <c r="GR75" s="73">
        <v>0.0</v>
      </c>
      <c r="GS75" s="71">
        <v>1358713.0</v>
      </c>
      <c r="GT75" s="75">
        <v>1539582.0</v>
      </c>
      <c r="GU75" s="75">
        <v>1594314.0</v>
      </c>
      <c r="GV75" s="75">
        <v>454011.0</v>
      </c>
      <c r="GW75" s="71">
        <v>3587907.0</v>
      </c>
      <c r="GX75" s="71">
        <v>3525560.0</v>
      </c>
      <c r="GY75" s="71">
        <v>9.6648397E7</v>
      </c>
      <c r="GZ75" s="74">
        <v>1.05120577E8</v>
      </c>
      <c r="HH75" s="106"/>
    </row>
    <row r="76" ht="15.75" customHeight="1">
      <c r="A76" s="52">
        <v>71.0</v>
      </c>
      <c r="B76" s="111" t="s">
        <v>591</v>
      </c>
      <c r="C76" s="54">
        <v>0.0</v>
      </c>
      <c r="D76" s="54">
        <v>0.0</v>
      </c>
      <c r="E76" s="54">
        <v>0.0</v>
      </c>
      <c r="F76" s="54">
        <v>0.0</v>
      </c>
      <c r="G76" s="54">
        <v>0.0</v>
      </c>
      <c r="H76" s="54">
        <v>0.0</v>
      </c>
      <c r="I76" s="54">
        <v>0.0</v>
      </c>
      <c r="J76" s="54">
        <v>0.0</v>
      </c>
      <c r="K76" s="54">
        <v>0.0</v>
      </c>
      <c r="L76" s="54">
        <v>0.0</v>
      </c>
      <c r="M76" s="54">
        <v>0.0</v>
      </c>
      <c r="N76" s="54">
        <v>0.0</v>
      </c>
      <c r="O76" s="54">
        <v>0.0</v>
      </c>
      <c r="P76" s="54">
        <v>0.0</v>
      </c>
      <c r="Q76" s="54">
        <v>0.0</v>
      </c>
      <c r="R76" s="54">
        <v>0.0</v>
      </c>
      <c r="S76" s="54">
        <v>0.0</v>
      </c>
      <c r="T76" s="54">
        <v>0.0</v>
      </c>
      <c r="U76" s="54">
        <v>0.0</v>
      </c>
      <c r="V76" s="54">
        <v>0.0</v>
      </c>
      <c r="W76" s="54">
        <v>0.0</v>
      </c>
      <c r="X76" s="54">
        <v>0.0</v>
      </c>
      <c r="Y76" s="54">
        <v>0.0</v>
      </c>
      <c r="Z76" s="54">
        <v>0.0</v>
      </c>
      <c r="AA76" s="54">
        <v>0.0</v>
      </c>
      <c r="AB76" s="54">
        <v>0.0</v>
      </c>
      <c r="AC76" s="54">
        <v>0.0</v>
      </c>
      <c r="AD76" s="54">
        <v>0.0</v>
      </c>
      <c r="AE76" s="54">
        <v>0.0</v>
      </c>
      <c r="AF76" s="54">
        <v>0.0</v>
      </c>
      <c r="AG76" s="54">
        <v>0.0</v>
      </c>
      <c r="AH76" s="54">
        <v>0.0</v>
      </c>
      <c r="AI76" s="54">
        <v>0.0</v>
      </c>
      <c r="AJ76" s="54">
        <v>0.0</v>
      </c>
      <c r="AK76" s="54">
        <v>0.0</v>
      </c>
      <c r="AL76" s="54">
        <v>0.0</v>
      </c>
      <c r="AM76" s="54">
        <v>0.0</v>
      </c>
      <c r="AN76" s="54">
        <v>0.0</v>
      </c>
      <c r="AO76" s="54">
        <v>0.0</v>
      </c>
      <c r="AP76" s="54">
        <v>0.0</v>
      </c>
      <c r="AQ76" s="54">
        <v>0.0</v>
      </c>
      <c r="AR76" s="54">
        <v>0.0</v>
      </c>
      <c r="AS76" s="54">
        <v>0.0</v>
      </c>
      <c r="AT76" s="54">
        <v>0.0</v>
      </c>
      <c r="AU76" s="54">
        <v>0.0</v>
      </c>
      <c r="AV76" s="54">
        <v>0.0</v>
      </c>
      <c r="AW76" s="54">
        <v>0.0</v>
      </c>
      <c r="AX76" s="54">
        <v>0.0</v>
      </c>
      <c r="AY76" s="54">
        <v>0.0</v>
      </c>
      <c r="AZ76" s="54">
        <v>0.0</v>
      </c>
      <c r="BA76" s="54">
        <v>0.0</v>
      </c>
      <c r="BB76" s="54">
        <v>0.0</v>
      </c>
      <c r="BC76" s="54">
        <v>27059.0</v>
      </c>
      <c r="BD76" s="54">
        <v>0.0</v>
      </c>
      <c r="BE76" s="54">
        <v>0.0</v>
      </c>
      <c r="BF76" s="54">
        <v>0.0</v>
      </c>
      <c r="BG76" s="54">
        <v>41876.0</v>
      </c>
      <c r="BH76" s="54">
        <v>101811.0</v>
      </c>
      <c r="BI76" s="54">
        <v>0.0</v>
      </c>
      <c r="BJ76" s="54">
        <v>1584384.0</v>
      </c>
      <c r="BK76" s="54">
        <v>11876.0</v>
      </c>
      <c r="BL76" s="54">
        <v>0.0</v>
      </c>
      <c r="BM76" s="54">
        <v>0.0</v>
      </c>
      <c r="BN76" s="54">
        <v>1507065.0</v>
      </c>
      <c r="BO76" s="54">
        <v>0.0</v>
      </c>
      <c r="BP76" s="54">
        <v>14380.0</v>
      </c>
      <c r="BQ76" s="54">
        <v>176734.0</v>
      </c>
      <c r="BR76" s="54">
        <v>11724.0</v>
      </c>
      <c r="BS76" s="54">
        <v>12958.0</v>
      </c>
      <c r="BT76" s="54">
        <v>3590086.0</v>
      </c>
      <c r="BU76" s="54">
        <v>7606051.0</v>
      </c>
      <c r="BV76" s="54">
        <v>0.0</v>
      </c>
      <c r="BW76" s="54">
        <v>416.0</v>
      </c>
      <c r="BX76" s="54">
        <v>2325.0</v>
      </c>
      <c r="BY76" s="54">
        <v>44050.0</v>
      </c>
      <c r="BZ76" s="54">
        <v>801.0</v>
      </c>
      <c r="CA76" s="54">
        <v>0.0</v>
      </c>
      <c r="CB76" s="54">
        <v>0.0</v>
      </c>
      <c r="CC76" s="54">
        <v>0.0</v>
      </c>
      <c r="CD76" s="54">
        <v>0.0</v>
      </c>
      <c r="CE76" s="54">
        <v>0.0</v>
      </c>
      <c r="CF76" s="54">
        <v>0.0</v>
      </c>
      <c r="CG76" s="54">
        <v>0.0</v>
      </c>
      <c r="CH76" s="54">
        <v>0.0</v>
      </c>
      <c r="CI76" s="54">
        <v>0.0</v>
      </c>
      <c r="CJ76" s="54">
        <v>0.0</v>
      </c>
      <c r="CK76" s="54">
        <v>0.0</v>
      </c>
      <c r="CL76" s="54">
        <v>0.0</v>
      </c>
      <c r="CM76" s="54">
        <v>0.0</v>
      </c>
      <c r="CN76" s="54">
        <v>0.0</v>
      </c>
      <c r="CO76" s="54">
        <v>0.0</v>
      </c>
      <c r="CP76" s="54">
        <v>0.0</v>
      </c>
      <c r="CQ76" s="54">
        <v>0.0</v>
      </c>
      <c r="CR76" s="54">
        <v>0.0</v>
      </c>
      <c r="CS76" s="54">
        <v>0.0</v>
      </c>
      <c r="CT76" s="54">
        <v>0.0</v>
      </c>
      <c r="CU76" s="54">
        <v>0.0</v>
      </c>
      <c r="CV76" s="54">
        <v>0.0</v>
      </c>
      <c r="CW76" s="54">
        <v>0.0</v>
      </c>
      <c r="CX76" s="54">
        <v>0.0</v>
      </c>
      <c r="CY76" s="54">
        <v>0.0</v>
      </c>
      <c r="CZ76" s="54">
        <v>248.0</v>
      </c>
      <c r="DA76" s="54">
        <v>0.0</v>
      </c>
      <c r="DB76" s="54">
        <v>0.0</v>
      </c>
      <c r="DC76" s="54">
        <v>132036.0</v>
      </c>
      <c r="DD76" s="54">
        <v>61831.0</v>
      </c>
      <c r="DE76" s="54">
        <v>0.0</v>
      </c>
      <c r="DF76" s="54">
        <v>0.0</v>
      </c>
      <c r="DG76" s="54">
        <v>0.0</v>
      </c>
      <c r="DH76" s="54">
        <v>0.0</v>
      </c>
      <c r="DI76" s="54">
        <v>0.0</v>
      </c>
      <c r="DJ76" s="54">
        <v>0.0</v>
      </c>
      <c r="DK76" s="54">
        <v>0.0</v>
      </c>
      <c r="DL76" s="54">
        <v>0.0</v>
      </c>
      <c r="DM76" s="54">
        <v>0.0</v>
      </c>
      <c r="DN76" s="54">
        <v>0.0</v>
      </c>
      <c r="DO76" s="54">
        <v>0.0</v>
      </c>
      <c r="DP76" s="54">
        <v>0.0</v>
      </c>
      <c r="DQ76" s="54">
        <v>0.0</v>
      </c>
      <c r="DR76" s="54">
        <v>0.0</v>
      </c>
      <c r="DS76" s="54">
        <v>0.0</v>
      </c>
      <c r="DT76" s="54">
        <v>0.0</v>
      </c>
      <c r="DU76" s="54">
        <v>0.0</v>
      </c>
      <c r="DV76" s="54">
        <v>0.0</v>
      </c>
      <c r="DW76" s="54">
        <v>0.0</v>
      </c>
      <c r="DX76" s="54">
        <v>0.0</v>
      </c>
      <c r="DY76" s="54">
        <v>0.0</v>
      </c>
      <c r="DZ76" s="54">
        <v>0.0</v>
      </c>
      <c r="EA76" s="54">
        <v>0.0</v>
      </c>
      <c r="EB76" s="54">
        <v>0.0</v>
      </c>
      <c r="EC76" s="54">
        <v>0.0</v>
      </c>
      <c r="ED76" s="54">
        <v>0.0</v>
      </c>
      <c r="EE76" s="54">
        <v>0.0</v>
      </c>
      <c r="EF76" s="54">
        <v>0.0</v>
      </c>
      <c r="EG76" s="54">
        <v>0.0</v>
      </c>
      <c r="EH76" s="54">
        <v>0.0</v>
      </c>
      <c r="EI76" s="54">
        <v>0.0</v>
      </c>
      <c r="EJ76" s="54">
        <v>0.0</v>
      </c>
      <c r="EK76" s="54">
        <v>0.0</v>
      </c>
      <c r="EL76" s="54">
        <v>0.0</v>
      </c>
      <c r="EM76" s="54">
        <v>0.0</v>
      </c>
      <c r="EN76" s="54">
        <v>0.0</v>
      </c>
      <c r="EO76" s="54">
        <v>0.0</v>
      </c>
      <c r="EP76" s="54">
        <v>0.0</v>
      </c>
      <c r="EQ76" s="54">
        <v>0.0</v>
      </c>
      <c r="ER76" s="54">
        <v>0.0</v>
      </c>
      <c r="ES76" s="54">
        <v>0.0</v>
      </c>
      <c r="ET76" s="54">
        <v>0.0</v>
      </c>
      <c r="EU76" s="54">
        <v>0.0</v>
      </c>
      <c r="EV76" s="54">
        <v>0.0</v>
      </c>
      <c r="EW76" s="54">
        <v>0.0</v>
      </c>
      <c r="EX76" s="54">
        <v>0.0</v>
      </c>
      <c r="EY76" s="54">
        <v>0.0</v>
      </c>
      <c r="EZ76" s="54">
        <v>0.0</v>
      </c>
      <c r="FA76" s="54">
        <v>0.0</v>
      </c>
      <c r="FB76" s="54">
        <v>0.0</v>
      </c>
      <c r="FC76" s="54">
        <v>0.0</v>
      </c>
      <c r="FD76" s="54">
        <v>0.0</v>
      </c>
      <c r="FE76" s="54">
        <v>51974.0</v>
      </c>
      <c r="FF76" s="54">
        <v>0.0</v>
      </c>
      <c r="FG76" s="54">
        <v>0.0</v>
      </c>
      <c r="FH76" s="54">
        <v>0.0</v>
      </c>
      <c r="FI76" s="54">
        <v>0.0</v>
      </c>
      <c r="FJ76" s="54">
        <v>114461.0</v>
      </c>
      <c r="FK76" s="54">
        <v>5760646.0</v>
      </c>
      <c r="FL76" s="54">
        <v>0.0</v>
      </c>
      <c r="FM76" s="54">
        <v>0.0</v>
      </c>
      <c r="FN76" s="54">
        <v>0.0</v>
      </c>
      <c r="FO76" s="54">
        <v>0.0</v>
      </c>
      <c r="FP76" s="54">
        <v>0.0</v>
      </c>
      <c r="FQ76" s="54">
        <v>0.0</v>
      </c>
      <c r="FR76" s="54">
        <v>0.0</v>
      </c>
      <c r="FS76" s="54">
        <v>0.0</v>
      </c>
      <c r="FT76" s="54">
        <v>0.0</v>
      </c>
      <c r="FU76" s="54">
        <v>0.0</v>
      </c>
      <c r="FV76" s="54">
        <v>0.0</v>
      </c>
      <c r="FW76" s="54">
        <v>1.2519628E7</v>
      </c>
      <c r="FX76" s="54">
        <v>4757740.0</v>
      </c>
      <c r="FY76" s="54">
        <v>2.9097556E7</v>
      </c>
      <c r="FZ76" s="54">
        <v>93.0</v>
      </c>
      <c r="GA76" s="54">
        <v>1974959.0</v>
      </c>
      <c r="GB76" s="54">
        <v>1106882.0</v>
      </c>
      <c r="GC76" s="54">
        <v>10059.0</v>
      </c>
      <c r="GD76" s="54">
        <v>0.0</v>
      </c>
      <c r="GE76" s="54">
        <v>410509.0</v>
      </c>
      <c r="GF76" s="55">
        <v>7.0732218E7</v>
      </c>
      <c r="GG76" s="56">
        <v>2.29163054E8</v>
      </c>
      <c r="GH76" s="57">
        <v>0.0</v>
      </c>
      <c r="GI76" s="56">
        <v>0.0</v>
      </c>
      <c r="GJ76" s="56">
        <v>0.0</v>
      </c>
      <c r="GK76" s="56">
        <v>1.0069698E7</v>
      </c>
      <c r="GL76" s="56">
        <v>8528063.0</v>
      </c>
      <c r="GM76" s="56">
        <v>0.0</v>
      </c>
      <c r="GN76" s="55">
        <v>2.47760815E8</v>
      </c>
      <c r="GO76" s="58">
        <v>3.18493033E8</v>
      </c>
      <c r="GP76" s="56">
        <v>1.4826003E7</v>
      </c>
      <c r="GQ76" s="56">
        <v>0.0</v>
      </c>
      <c r="GR76" s="57">
        <v>0.0</v>
      </c>
      <c r="GS76" s="55">
        <v>1.4826003E7</v>
      </c>
      <c r="GT76" s="59">
        <v>2.7493621E7</v>
      </c>
      <c r="GU76" s="59">
        <v>2.9611436E7</v>
      </c>
      <c r="GV76" s="59">
        <v>2244594.0</v>
      </c>
      <c r="GW76" s="55">
        <v>5.9349651E7</v>
      </c>
      <c r="GX76" s="55">
        <v>1.0802506E7</v>
      </c>
      <c r="GY76" s="55">
        <v>2.33514873E8</v>
      </c>
      <c r="GZ76" s="58">
        <v>3.18493033E8</v>
      </c>
      <c r="HH76" s="106"/>
    </row>
    <row r="77" ht="15.75" customHeight="1">
      <c r="A77" s="60">
        <v>72.0</v>
      </c>
      <c r="B77" s="111" t="s">
        <v>342</v>
      </c>
      <c r="C77" s="62">
        <v>0.0</v>
      </c>
      <c r="D77" s="62">
        <v>0.0</v>
      </c>
      <c r="E77" s="62">
        <v>0.0</v>
      </c>
      <c r="F77" s="62">
        <v>0.0</v>
      </c>
      <c r="G77" s="62">
        <v>0.0</v>
      </c>
      <c r="H77" s="62">
        <v>0.0</v>
      </c>
      <c r="I77" s="62">
        <v>0.0</v>
      </c>
      <c r="J77" s="62">
        <v>0.0</v>
      </c>
      <c r="K77" s="62">
        <v>0.0</v>
      </c>
      <c r="L77" s="62">
        <v>0.0</v>
      </c>
      <c r="M77" s="62">
        <v>0.0</v>
      </c>
      <c r="N77" s="62">
        <v>0.0</v>
      </c>
      <c r="O77" s="62">
        <v>0.0</v>
      </c>
      <c r="P77" s="62">
        <v>0.0</v>
      </c>
      <c r="Q77" s="62">
        <v>0.0</v>
      </c>
      <c r="R77" s="62">
        <v>0.0</v>
      </c>
      <c r="S77" s="62">
        <v>0.0</v>
      </c>
      <c r="T77" s="62">
        <v>0.0</v>
      </c>
      <c r="U77" s="62">
        <v>0.0</v>
      </c>
      <c r="V77" s="62">
        <v>0.0</v>
      </c>
      <c r="W77" s="62">
        <v>0.0</v>
      </c>
      <c r="X77" s="62">
        <v>0.0</v>
      </c>
      <c r="Y77" s="62">
        <v>0.0</v>
      </c>
      <c r="Z77" s="62">
        <v>0.0</v>
      </c>
      <c r="AA77" s="62">
        <v>0.0</v>
      </c>
      <c r="AB77" s="62">
        <v>1.8852241E7</v>
      </c>
      <c r="AC77" s="62">
        <v>4099054.0</v>
      </c>
      <c r="AD77" s="62">
        <v>5.5508129E7</v>
      </c>
      <c r="AE77" s="62">
        <v>5067173.0</v>
      </c>
      <c r="AF77" s="62">
        <v>819320.0</v>
      </c>
      <c r="AG77" s="62">
        <v>1072.0</v>
      </c>
      <c r="AH77" s="62">
        <v>296.0</v>
      </c>
      <c r="AI77" s="62">
        <v>1.5521419E7</v>
      </c>
      <c r="AJ77" s="62">
        <v>2981188.0</v>
      </c>
      <c r="AK77" s="62">
        <v>654201.0</v>
      </c>
      <c r="AL77" s="62">
        <v>0.0</v>
      </c>
      <c r="AM77" s="62">
        <v>0.0</v>
      </c>
      <c r="AN77" s="62">
        <v>0.0</v>
      </c>
      <c r="AO77" s="62">
        <v>0.0</v>
      </c>
      <c r="AP77" s="62">
        <v>0.0</v>
      </c>
      <c r="AQ77" s="62">
        <v>0.0</v>
      </c>
      <c r="AR77" s="62">
        <v>0.0</v>
      </c>
      <c r="AS77" s="62">
        <v>0.0</v>
      </c>
      <c r="AT77" s="62">
        <v>0.0</v>
      </c>
      <c r="AU77" s="62">
        <v>0.0</v>
      </c>
      <c r="AV77" s="62">
        <v>0.0</v>
      </c>
      <c r="AW77" s="62">
        <v>0.0</v>
      </c>
      <c r="AX77" s="62">
        <v>0.0</v>
      </c>
      <c r="AY77" s="62">
        <v>0.0</v>
      </c>
      <c r="AZ77" s="62">
        <v>0.0</v>
      </c>
      <c r="BA77" s="62">
        <v>0.0</v>
      </c>
      <c r="BB77" s="62">
        <v>0.0</v>
      </c>
      <c r="BC77" s="62">
        <v>0.0</v>
      </c>
      <c r="BD77" s="62">
        <v>0.0</v>
      </c>
      <c r="BE77" s="62">
        <v>0.0</v>
      </c>
      <c r="BF77" s="62">
        <v>0.0</v>
      </c>
      <c r="BG77" s="62">
        <v>0.0</v>
      </c>
      <c r="BH77" s="62">
        <v>0.0</v>
      </c>
      <c r="BI77" s="62">
        <v>0.0</v>
      </c>
      <c r="BJ77" s="62">
        <v>0.0</v>
      </c>
      <c r="BK77" s="62">
        <v>0.0</v>
      </c>
      <c r="BL77" s="62">
        <v>0.0</v>
      </c>
      <c r="BM77" s="62">
        <v>0.0</v>
      </c>
      <c r="BN77" s="62">
        <v>0.0</v>
      </c>
      <c r="BO77" s="62">
        <v>0.0</v>
      </c>
      <c r="BP77" s="62">
        <v>0.0</v>
      </c>
      <c r="BQ77" s="62">
        <v>0.0</v>
      </c>
      <c r="BR77" s="62">
        <v>0.0</v>
      </c>
      <c r="BS77" s="62">
        <v>0.0</v>
      </c>
      <c r="BT77" s="62">
        <v>0.0</v>
      </c>
      <c r="BU77" s="62">
        <v>0.0</v>
      </c>
      <c r="BV77" s="62">
        <v>0.0</v>
      </c>
      <c r="BW77" s="62">
        <v>0.0</v>
      </c>
      <c r="BX77" s="62">
        <v>0.0</v>
      </c>
      <c r="BY77" s="62">
        <v>0.0</v>
      </c>
      <c r="BZ77" s="62">
        <v>0.0</v>
      </c>
      <c r="CA77" s="62">
        <v>0.0</v>
      </c>
      <c r="CB77" s="62">
        <v>0.0</v>
      </c>
      <c r="CC77" s="62">
        <v>0.0</v>
      </c>
      <c r="CD77" s="62">
        <v>0.0</v>
      </c>
      <c r="CE77" s="62">
        <v>0.0</v>
      </c>
      <c r="CF77" s="62">
        <v>0.0</v>
      </c>
      <c r="CG77" s="62">
        <v>0.0</v>
      </c>
      <c r="CH77" s="62">
        <v>0.0</v>
      </c>
      <c r="CI77" s="62">
        <v>0.0</v>
      </c>
      <c r="CJ77" s="62">
        <v>0.0</v>
      </c>
      <c r="CK77" s="62">
        <v>0.0</v>
      </c>
      <c r="CL77" s="62">
        <v>0.0</v>
      </c>
      <c r="CM77" s="62">
        <v>0.0</v>
      </c>
      <c r="CN77" s="62">
        <v>0.0</v>
      </c>
      <c r="CO77" s="62">
        <v>0.0</v>
      </c>
      <c r="CP77" s="62">
        <v>0.0</v>
      </c>
      <c r="CQ77" s="62">
        <v>0.0</v>
      </c>
      <c r="CR77" s="62">
        <v>0.0</v>
      </c>
      <c r="CS77" s="62">
        <v>0.0</v>
      </c>
      <c r="CT77" s="62">
        <v>0.0</v>
      </c>
      <c r="CU77" s="62">
        <v>0.0</v>
      </c>
      <c r="CV77" s="62">
        <v>0.0</v>
      </c>
      <c r="CW77" s="62">
        <v>0.0</v>
      </c>
      <c r="CX77" s="62">
        <v>0.0</v>
      </c>
      <c r="CY77" s="62">
        <v>0.0</v>
      </c>
      <c r="CZ77" s="62">
        <v>0.0</v>
      </c>
      <c r="DA77" s="62">
        <v>0.0</v>
      </c>
      <c r="DB77" s="62">
        <v>0.0</v>
      </c>
      <c r="DC77" s="62">
        <v>0.0</v>
      </c>
      <c r="DD77" s="62">
        <v>0.0</v>
      </c>
      <c r="DE77" s="62">
        <v>0.0</v>
      </c>
      <c r="DF77" s="62">
        <v>0.0</v>
      </c>
      <c r="DG77" s="62">
        <v>0.0</v>
      </c>
      <c r="DH77" s="62">
        <v>0.0</v>
      </c>
      <c r="DI77" s="62">
        <v>0.0</v>
      </c>
      <c r="DJ77" s="62">
        <v>0.0</v>
      </c>
      <c r="DK77" s="62">
        <v>0.0</v>
      </c>
      <c r="DL77" s="62">
        <v>0.0</v>
      </c>
      <c r="DM77" s="62">
        <v>0.0</v>
      </c>
      <c r="DN77" s="62">
        <v>0.0</v>
      </c>
      <c r="DO77" s="62">
        <v>0.0</v>
      </c>
      <c r="DP77" s="62">
        <v>0.0</v>
      </c>
      <c r="DQ77" s="62">
        <v>0.0</v>
      </c>
      <c r="DR77" s="62">
        <v>0.0</v>
      </c>
      <c r="DS77" s="62">
        <v>0.0</v>
      </c>
      <c r="DT77" s="62">
        <v>0.0</v>
      </c>
      <c r="DU77" s="62">
        <v>0.0</v>
      </c>
      <c r="DV77" s="62">
        <v>0.0</v>
      </c>
      <c r="DW77" s="62">
        <v>0.0</v>
      </c>
      <c r="DX77" s="62">
        <v>0.0</v>
      </c>
      <c r="DY77" s="62">
        <v>0.0</v>
      </c>
      <c r="DZ77" s="62">
        <v>0.0</v>
      </c>
      <c r="EA77" s="62">
        <v>0.0</v>
      </c>
      <c r="EB77" s="62">
        <v>0.0</v>
      </c>
      <c r="EC77" s="62">
        <v>0.0</v>
      </c>
      <c r="ED77" s="62">
        <v>0.0</v>
      </c>
      <c r="EE77" s="62">
        <v>0.0</v>
      </c>
      <c r="EF77" s="62">
        <v>0.0</v>
      </c>
      <c r="EG77" s="62">
        <v>0.0</v>
      </c>
      <c r="EH77" s="62">
        <v>0.0</v>
      </c>
      <c r="EI77" s="62">
        <v>0.0</v>
      </c>
      <c r="EJ77" s="62">
        <v>0.0</v>
      </c>
      <c r="EK77" s="62">
        <v>0.0</v>
      </c>
      <c r="EL77" s="62">
        <v>0.0</v>
      </c>
      <c r="EM77" s="62">
        <v>0.0</v>
      </c>
      <c r="EN77" s="62">
        <v>0.0</v>
      </c>
      <c r="EO77" s="62">
        <v>0.0</v>
      </c>
      <c r="EP77" s="62">
        <v>0.0</v>
      </c>
      <c r="EQ77" s="62">
        <v>0.0</v>
      </c>
      <c r="ER77" s="62">
        <v>0.0</v>
      </c>
      <c r="ES77" s="62">
        <v>0.0</v>
      </c>
      <c r="ET77" s="62">
        <v>0.0</v>
      </c>
      <c r="EU77" s="62">
        <v>0.0</v>
      </c>
      <c r="EV77" s="62">
        <v>0.0</v>
      </c>
      <c r="EW77" s="62">
        <v>0.0</v>
      </c>
      <c r="EX77" s="62">
        <v>0.0</v>
      </c>
      <c r="EY77" s="62">
        <v>0.0</v>
      </c>
      <c r="EZ77" s="62">
        <v>0.0</v>
      </c>
      <c r="FA77" s="62">
        <v>0.0</v>
      </c>
      <c r="FB77" s="62">
        <v>0.0</v>
      </c>
      <c r="FC77" s="62">
        <v>0.0</v>
      </c>
      <c r="FD77" s="62">
        <v>1604.0</v>
      </c>
      <c r="FE77" s="62">
        <v>0.0</v>
      </c>
      <c r="FF77" s="62">
        <v>0.0</v>
      </c>
      <c r="FG77" s="62">
        <v>0.0</v>
      </c>
      <c r="FH77" s="62">
        <v>0.0</v>
      </c>
      <c r="FI77" s="62">
        <v>0.0</v>
      </c>
      <c r="FJ77" s="62">
        <v>93284.0</v>
      </c>
      <c r="FK77" s="62">
        <v>22576.0</v>
      </c>
      <c r="FL77" s="62">
        <v>0.0</v>
      </c>
      <c r="FM77" s="62">
        <v>0.0</v>
      </c>
      <c r="FN77" s="62">
        <v>0.0</v>
      </c>
      <c r="FO77" s="62">
        <v>0.0</v>
      </c>
      <c r="FP77" s="62">
        <v>0.0</v>
      </c>
      <c r="FQ77" s="62">
        <v>0.0</v>
      </c>
      <c r="FR77" s="62">
        <v>0.0</v>
      </c>
      <c r="FS77" s="62">
        <v>0.0</v>
      </c>
      <c r="FT77" s="62">
        <v>0.0</v>
      </c>
      <c r="FU77" s="62">
        <v>0.0</v>
      </c>
      <c r="FV77" s="62">
        <v>0.0</v>
      </c>
      <c r="FW77" s="62">
        <v>823327.0</v>
      </c>
      <c r="FX77" s="62">
        <v>0.0</v>
      </c>
      <c r="FY77" s="62">
        <v>22686.0</v>
      </c>
      <c r="FZ77" s="62">
        <v>7055.0</v>
      </c>
      <c r="GA77" s="62">
        <v>74577.0</v>
      </c>
      <c r="GB77" s="62">
        <v>428457.0</v>
      </c>
      <c r="GC77" s="62">
        <v>1219664.0</v>
      </c>
      <c r="GD77" s="62">
        <v>0.0</v>
      </c>
      <c r="GE77" s="62">
        <v>384604.0</v>
      </c>
      <c r="GF77" s="63">
        <v>1.06581927E8</v>
      </c>
      <c r="GG77" s="64">
        <v>1.3391458E7</v>
      </c>
      <c r="GH77" s="65">
        <v>0.0</v>
      </c>
      <c r="GI77" s="64">
        <v>0.0</v>
      </c>
      <c r="GJ77" s="64">
        <v>0.0</v>
      </c>
      <c r="GK77" s="64">
        <v>64431.0</v>
      </c>
      <c r="GL77" s="64">
        <v>1170525.0</v>
      </c>
      <c r="GM77" s="64">
        <v>0.0</v>
      </c>
      <c r="GN77" s="63">
        <v>1.4626414E7</v>
      </c>
      <c r="GO77" s="66">
        <v>1.21208341E8</v>
      </c>
      <c r="GP77" s="64">
        <v>5049438.0</v>
      </c>
      <c r="GQ77" s="64">
        <v>0.0</v>
      </c>
      <c r="GR77" s="65">
        <v>0.0</v>
      </c>
      <c r="GS77" s="63">
        <v>5049438.0</v>
      </c>
      <c r="GT77" s="67">
        <v>1.0295618E7</v>
      </c>
      <c r="GU77" s="67">
        <v>1.4826818E7</v>
      </c>
      <c r="GV77" s="67">
        <v>639862.0</v>
      </c>
      <c r="GW77" s="63">
        <v>2.5762298E7</v>
      </c>
      <c r="GX77" s="63">
        <v>666805.0</v>
      </c>
      <c r="GY77" s="63">
        <v>8.97298E7</v>
      </c>
      <c r="GZ77" s="66">
        <v>1.21208341E8</v>
      </c>
      <c r="HH77" s="106"/>
    </row>
    <row r="78" ht="15.75" customHeight="1">
      <c r="A78" s="60">
        <v>73.0</v>
      </c>
      <c r="B78" s="111" t="s">
        <v>343</v>
      </c>
      <c r="C78" s="62">
        <v>0.0</v>
      </c>
      <c r="D78" s="62">
        <v>0.0</v>
      </c>
      <c r="E78" s="62">
        <v>0.0</v>
      </c>
      <c r="F78" s="62">
        <v>0.0</v>
      </c>
      <c r="G78" s="62">
        <v>0.0</v>
      </c>
      <c r="H78" s="62">
        <v>0.0</v>
      </c>
      <c r="I78" s="62">
        <v>0.0</v>
      </c>
      <c r="J78" s="62">
        <v>0.0</v>
      </c>
      <c r="K78" s="62">
        <v>0.0</v>
      </c>
      <c r="L78" s="62">
        <v>0.0</v>
      </c>
      <c r="M78" s="62">
        <v>0.0</v>
      </c>
      <c r="N78" s="62">
        <v>0.0</v>
      </c>
      <c r="O78" s="62">
        <v>0.0</v>
      </c>
      <c r="P78" s="62">
        <v>0.0</v>
      </c>
      <c r="Q78" s="62">
        <v>0.0</v>
      </c>
      <c r="R78" s="62">
        <v>0.0</v>
      </c>
      <c r="S78" s="62">
        <v>0.0</v>
      </c>
      <c r="T78" s="62">
        <v>0.0</v>
      </c>
      <c r="U78" s="62">
        <v>0.0</v>
      </c>
      <c r="V78" s="62">
        <v>0.0</v>
      </c>
      <c r="W78" s="62">
        <v>0.0</v>
      </c>
      <c r="X78" s="62">
        <v>0.0</v>
      </c>
      <c r="Y78" s="62">
        <v>0.0</v>
      </c>
      <c r="Z78" s="62">
        <v>0.0</v>
      </c>
      <c r="AA78" s="62">
        <v>0.0</v>
      </c>
      <c r="AB78" s="62">
        <v>0.0</v>
      </c>
      <c r="AC78" s="62">
        <v>0.0</v>
      </c>
      <c r="AD78" s="62">
        <v>0.0</v>
      </c>
      <c r="AE78" s="62">
        <v>0.0</v>
      </c>
      <c r="AF78" s="62">
        <v>0.0</v>
      </c>
      <c r="AG78" s="62">
        <v>0.0</v>
      </c>
      <c r="AH78" s="62">
        <v>0.0</v>
      </c>
      <c r="AI78" s="62">
        <v>0.0</v>
      </c>
      <c r="AJ78" s="62">
        <v>0.0</v>
      </c>
      <c r="AK78" s="62">
        <v>0.0</v>
      </c>
      <c r="AL78" s="62">
        <v>0.0</v>
      </c>
      <c r="AM78" s="62">
        <v>0.0</v>
      </c>
      <c r="AN78" s="62">
        <v>0.0</v>
      </c>
      <c r="AO78" s="62">
        <v>0.0</v>
      </c>
      <c r="AP78" s="62">
        <v>0.0</v>
      </c>
      <c r="AQ78" s="62">
        <v>0.0</v>
      </c>
      <c r="AR78" s="62">
        <v>0.0</v>
      </c>
      <c r="AS78" s="62">
        <v>0.0</v>
      </c>
      <c r="AT78" s="62">
        <v>0.0</v>
      </c>
      <c r="AU78" s="62">
        <v>0.0</v>
      </c>
      <c r="AV78" s="62">
        <v>0.0</v>
      </c>
      <c r="AW78" s="62">
        <v>0.0</v>
      </c>
      <c r="AX78" s="62">
        <v>0.0</v>
      </c>
      <c r="AY78" s="62">
        <v>0.0</v>
      </c>
      <c r="AZ78" s="62">
        <v>0.0</v>
      </c>
      <c r="BA78" s="62">
        <v>0.0</v>
      </c>
      <c r="BB78" s="62">
        <v>0.0</v>
      </c>
      <c r="BC78" s="62">
        <v>0.0</v>
      </c>
      <c r="BD78" s="62">
        <v>0.0</v>
      </c>
      <c r="BE78" s="62">
        <v>0.0</v>
      </c>
      <c r="BF78" s="62">
        <v>0.0</v>
      </c>
      <c r="BG78" s="62">
        <v>0.0</v>
      </c>
      <c r="BH78" s="62">
        <v>0.0</v>
      </c>
      <c r="BI78" s="62">
        <v>0.0</v>
      </c>
      <c r="BJ78" s="62">
        <v>0.0</v>
      </c>
      <c r="BK78" s="62">
        <v>0.0</v>
      </c>
      <c r="BL78" s="62">
        <v>0.0</v>
      </c>
      <c r="BM78" s="62">
        <v>0.0</v>
      </c>
      <c r="BN78" s="62">
        <v>0.0</v>
      </c>
      <c r="BO78" s="62">
        <v>753.0</v>
      </c>
      <c r="BP78" s="62">
        <v>0.0</v>
      </c>
      <c r="BQ78" s="62">
        <v>0.0</v>
      </c>
      <c r="BR78" s="62">
        <v>0.0</v>
      </c>
      <c r="BS78" s="62">
        <v>0.0</v>
      </c>
      <c r="BT78" s="62">
        <v>0.0</v>
      </c>
      <c r="BU78" s="62">
        <v>7740.0</v>
      </c>
      <c r="BV78" s="62">
        <v>0.0</v>
      </c>
      <c r="BW78" s="62">
        <v>12320.0</v>
      </c>
      <c r="BX78" s="62">
        <v>0.0</v>
      </c>
      <c r="BY78" s="62">
        <v>0.0</v>
      </c>
      <c r="BZ78" s="62">
        <v>0.0</v>
      </c>
      <c r="CA78" s="62">
        <v>0.0</v>
      </c>
      <c r="CB78" s="62">
        <v>0.0</v>
      </c>
      <c r="CC78" s="62">
        <v>0.0</v>
      </c>
      <c r="CD78" s="62">
        <v>0.0</v>
      </c>
      <c r="CE78" s="62">
        <v>0.0</v>
      </c>
      <c r="CF78" s="62">
        <v>0.0</v>
      </c>
      <c r="CG78" s="62">
        <v>0.0</v>
      </c>
      <c r="CH78" s="62">
        <v>0.0</v>
      </c>
      <c r="CI78" s="62">
        <v>0.0</v>
      </c>
      <c r="CJ78" s="62">
        <v>0.0</v>
      </c>
      <c r="CK78" s="62">
        <v>0.0</v>
      </c>
      <c r="CL78" s="62">
        <v>0.0</v>
      </c>
      <c r="CM78" s="62">
        <v>0.0</v>
      </c>
      <c r="CN78" s="62">
        <v>0.0</v>
      </c>
      <c r="CO78" s="62">
        <v>0.0</v>
      </c>
      <c r="CP78" s="62">
        <v>0.0</v>
      </c>
      <c r="CQ78" s="62">
        <v>0.0</v>
      </c>
      <c r="CR78" s="62">
        <v>0.0</v>
      </c>
      <c r="CS78" s="62">
        <v>0.0</v>
      </c>
      <c r="CT78" s="62">
        <v>0.0</v>
      </c>
      <c r="CU78" s="62">
        <v>0.0</v>
      </c>
      <c r="CV78" s="62">
        <v>0.0</v>
      </c>
      <c r="CW78" s="62">
        <v>0.0</v>
      </c>
      <c r="CX78" s="62">
        <v>0.0</v>
      </c>
      <c r="CY78" s="62">
        <v>0.0</v>
      </c>
      <c r="CZ78" s="62">
        <v>0.0</v>
      </c>
      <c r="DA78" s="62">
        <v>0.0</v>
      </c>
      <c r="DB78" s="62">
        <v>0.0</v>
      </c>
      <c r="DC78" s="62">
        <v>0.0</v>
      </c>
      <c r="DD78" s="62">
        <v>0.0</v>
      </c>
      <c r="DE78" s="62">
        <v>0.0</v>
      </c>
      <c r="DF78" s="62">
        <v>0.0</v>
      </c>
      <c r="DG78" s="62">
        <v>0.0</v>
      </c>
      <c r="DH78" s="62">
        <v>0.0</v>
      </c>
      <c r="DI78" s="62">
        <v>0.0</v>
      </c>
      <c r="DJ78" s="62">
        <v>0.0</v>
      </c>
      <c r="DK78" s="62">
        <v>0.0</v>
      </c>
      <c r="DL78" s="62">
        <v>0.0</v>
      </c>
      <c r="DM78" s="62">
        <v>0.0</v>
      </c>
      <c r="DN78" s="62">
        <v>0.0</v>
      </c>
      <c r="DO78" s="62">
        <v>0.0</v>
      </c>
      <c r="DP78" s="62">
        <v>0.0</v>
      </c>
      <c r="DQ78" s="62">
        <v>0.0</v>
      </c>
      <c r="DR78" s="62">
        <v>0.0</v>
      </c>
      <c r="DS78" s="62">
        <v>0.0</v>
      </c>
      <c r="DT78" s="62">
        <v>0.0</v>
      </c>
      <c r="DU78" s="62">
        <v>0.0</v>
      </c>
      <c r="DV78" s="62">
        <v>0.0</v>
      </c>
      <c r="DW78" s="62">
        <v>0.0</v>
      </c>
      <c r="DX78" s="62">
        <v>0.0</v>
      </c>
      <c r="DY78" s="62">
        <v>0.0</v>
      </c>
      <c r="DZ78" s="62">
        <v>0.0</v>
      </c>
      <c r="EA78" s="62">
        <v>0.0</v>
      </c>
      <c r="EB78" s="62">
        <v>0.0</v>
      </c>
      <c r="EC78" s="62">
        <v>0.0</v>
      </c>
      <c r="ED78" s="62">
        <v>0.0</v>
      </c>
      <c r="EE78" s="62">
        <v>0.0</v>
      </c>
      <c r="EF78" s="62">
        <v>0.0</v>
      </c>
      <c r="EG78" s="62">
        <v>0.0</v>
      </c>
      <c r="EH78" s="62">
        <v>0.0</v>
      </c>
      <c r="EI78" s="62">
        <v>0.0</v>
      </c>
      <c r="EJ78" s="62">
        <v>0.0</v>
      </c>
      <c r="EK78" s="62">
        <v>0.0</v>
      </c>
      <c r="EL78" s="62">
        <v>0.0</v>
      </c>
      <c r="EM78" s="62">
        <v>0.0</v>
      </c>
      <c r="EN78" s="62">
        <v>0.0</v>
      </c>
      <c r="EO78" s="62">
        <v>0.0</v>
      </c>
      <c r="EP78" s="62">
        <v>0.0</v>
      </c>
      <c r="EQ78" s="62">
        <v>0.0</v>
      </c>
      <c r="ER78" s="62">
        <v>0.0</v>
      </c>
      <c r="ES78" s="62">
        <v>0.0</v>
      </c>
      <c r="ET78" s="62">
        <v>0.0</v>
      </c>
      <c r="EU78" s="62">
        <v>0.0</v>
      </c>
      <c r="EV78" s="62">
        <v>0.0</v>
      </c>
      <c r="EW78" s="62">
        <v>0.0</v>
      </c>
      <c r="EX78" s="62">
        <v>0.0</v>
      </c>
      <c r="EY78" s="62">
        <v>0.0</v>
      </c>
      <c r="EZ78" s="62">
        <v>0.0</v>
      </c>
      <c r="FA78" s="62">
        <v>0.0</v>
      </c>
      <c r="FB78" s="62">
        <v>0.0</v>
      </c>
      <c r="FC78" s="62">
        <v>0.0</v>
      </c>
      <c r="FD78" s="62">
        <v>0.0</v>
      </c>
      <c r="FE78" s="62">
        <v>19426.0</v>
      </c>
      <c r="FF78" s="62">
        <v>0.0</v>
      </c>
      <c r="FG78" s="62">
        <v>259237.0</v>
      </c>
      <c r="FH78" s="62">
        <v>31141.0</v>
      </c>
      <c r="FI78" s="62">
        <v>11112.0</v>
      </c>
      <c r="FJ78" s="62">
        <v>717350.0</v>
      </c>
      <c r="FK78" s="62">
        <v>4219999.0</v>
      </c>
      <c r="FL78" s="62">
        <v>0.0</v>
      </c>
      <c r="FM78" s="62">
        <v>0.0</v>
      </c>
      <c r="FN78" s="62">
        <v>0.0</v>
      </c>
      <c r="FO78" s="62">
        <v>0.0</v>
      </c>
      <c r="FP78" s="62">
        <v>0.0</v>
      </c>
      <c r="FQ78" s="62">
        <v>0.0</v>
      </c>
      <c r="FR78" s="62">
        <v>0.0</v>
      </c>
      <c r="FS78" s="62">
        <v>0.0</v>
      </c>
      <c r="FT78" s="62">
        <v>0.0</v>
      </c>
      <c r="FU78" s="62">
        <v>0.0</v>
      </c>
      <c r="FV78" s="62">
        <v>0.0</v>
      </c>
      <c r="FW78" s="62">
        <v>0.0</v>
      </c>
      <c r="FX78" s="62">
        <v>0.0</v>
      </c>
      <c r="FY78" s="62">
        <v>0.0</v>
      </c>
      <c r="FZ78" s="62">
        <v>0.0</v>
      </c>
      <c r="GA78" s="62">
        <v>25348.0</v>
      </c>
      <c r="GB78" s="62">
        <v>9.0</v>
      </c>
      <c r="GC78" s="62">
        <v>1074913.0</v>
      </c>
      <c r="GD78" s="62">
        <v>0.0</v>
      </c>
      <c r="GE78" s="62">
        <v>5752.0</v>
      </c>
      <c r="GF78" s="63">
        <v>6385100.0</v>
      </c>
      <c r="GG78" s="64">
        <v>1.7881275E7</v>
      </c>
      <c r="GH78" s="65">
        <v>0.0</v>
      </c>
      <c r="GI78" s="64">
        <v>0.0</v>
      </c>
      <c r="GJ78" s="64">
        <v>0.0</v>
      </c>
      <c r="GK78" s="64">
        <v>873447.0</v>
      </c>
      <c r="GL78" s="64">
        <v>647420.0</v>
      </c>
      <c r="GM78" s="64">
        <v>203890.0</v>
      </c>
      <c r="GN78" s="63">
        <v>1.9606032E7</v>
      </c>
      <c r="GO78" s="66">
        <v>2.5991132E7</v>
      </c>
      <c r="GP78" s="64">
        <v>3502202.0</v>
      </c>
      <c r="GQ78" s="64">
        <v>0.0</v>
      </c>
      <c r="GR78" s="65">
        <v>0.0</v>
      </c>
      <c r="GS78" s="63">
        <v>3502202.0</v>
      </c>
      <c r="GT78" s="67">
        <v>2329698.0</v>
      </c>
      <c r="GU78" s="67">
        <v>2760866.0</v>
      </c>
      <c r="GV78" s="67">
        <v>356176.0</v>
      </c>
      <c r="GW78" s="63">
        <v>5446740.0</v>
      </c>
      <c r="GX78" s="63">
        <v>7199325.0</v>
      </c>
      <c r="GY78" s="63">
        <v>9842865.0</v>
      </c>
      <c r="GZ78" s="66">
        <v>2.5991132E7</v>
      </c>
      <c r="HH78" s="106"/>
    </row>
    <row r="79" ht="15.75" customHeight="1">
      <c r="A79" s="60">
        <v>74.0</v>
      </c>
      <c r="B79" s="111" t="s">
        <v>344</v>
      </c>
      <c r="C79" s="62">
        <v>2758.0</v>
      </c>
      <c r="D79" s="62">
        <v>105.0</v>
      </c>
      <c r="E79" s="62">
        <v>23.0</v>
      </c>
      <c r="F79" s="62">
        <v>61.0</v>
      </c>
      <c r="G79" s="62">
        <v>3.0</v>
      </c>
      <c r="H79" s="62">
        <v>117.0</v>
      </c>
      <c r="I79" s="62">
        <v>57.0</v>
      </c>
      <c r="J79" s="62">
        <v>31.0</v>
      </c>
      <c r="K79" s="62">
        <v>15.0</v>
      </c>
      <c r="L79" s="62">
        <v>15997.0</v>
      </c>
      <c r="M79" s="62">
        <v>1529.0</v>
      </c>
      <c r="N79" s="62">
        <v>251.0</v>
      </c>
      <c r="O79" s="62">
        <v>5278.0</v>
      </c>
      <c r="P79" s="62">
        <v>32.0</v>
      </c>
      <c r="Q79" s="62">
        <v>1439.0</v>
      </c>
      <c r="R79" s="62">
        <v>936.0</v>
      </c>
      <c r="S79" s="62">
        <v>585.0</v>
      </c>
      <c r="T79" s="62">
        <v>80367.0</v>
      </c>
      <c r="U79" s="62">
        <v>137.0</v>
      </c>
      <c r="V79" s="62">
        <v>12069.0</v>
      </c>
      <c r="W79" s="62">
        <v>27.0</v>
      </c>
      <c r="X79" s="62">
        <v>906.0</v>
      </c>
      <c r="Y79" s="62">
        <v>452.0</v>
      </c>
      <c r="Z79" s="62">
        <v>672.0</v>
      </c>
      <c r="AA79" s="62">
        <v>197.0</v>
      </c>
      <c r="AB79" s="62">
        <v>11913.0</v>
      </c>
      <c r="AC79" s="62">
        <v>803.0</v>
      </c>
      <c r="AD79" s="62">
        <v>2575.0</v>
      </c>
      <c r="AE79" s="62">
        <v>1780.0</v>
      </c>
      <c r="AF79" s="62">
        <v>40593.0</v>
      </c>
      <c r="AG79" s="62">
        <v>1857.0</v>
      </c>
      <c r="AH79" s="62">
        <v>626.0</v>
      </c>
      <c r="AI79" s="62">
        <v>88931.0</v>
      </c>
      <c r="AJ79" s="62">
        <v>10167.0</v>
      </c>
      <c r="AK79" s="62">
        <v>1825.0</v>
      </c>
      <c r="AL79" s="62">
        <v>3507.0</v>
      </c>
      <c r="AM79" s="62">
        <v>4480.0</v>
      </c>
      <c r="AN79" s="62">
        <v>300.0</v>
      </c>
      <c r="AO79" s="62">
        <v>1227.0</v>
      </c>
      <c r="AP79" s="62">
        <v>768.0</v>
      </c>
      <c r="AQ79" s="62">
        <v>1111.0</v>
      </c>
      <c r="AR79" s="62">
        <v>6.0</v>
      </c>
      <c r="AS79" s="62">
        <v>3604.0</v>
      </c>
      <c r="AT79" s="62">
        <v>166.0</v>
      </c>
      <c r="AU79" s="62">
        <v>418.0</v>
      </c>
      <c r="AV79" s="62">
        <v>6889.0</v>
      </c>
      <c r="AW79" s="62">
        <v>153.0</v>
      </c>
      <c r="AX79" s="62">
        <v>341225.0</v>
      </c>
      <c r="AY79" s="62">
        <v>67.0</v>
      </c>
      <c r="AZ79" s="62">
        <v>38.0</v>
      </c>
      <c r="BA79" s="62">
        <v>816.0</v>
      </c>
      <c r="BB79" s="62">
        <v>3687.0</v>
      </c>
      <c r="BC79" s="62">
        <v>43788.0</v>
      </c>
      <c r="BD79" s="62">
        <v>7742.0</v>
      </c>
      <c r="BE79" s="62">
        <v>8263.0</v>
      </c>
      <c r="BF79" s="62">
        <v>206.0</v>
      </c>
      <c r="BG79" s="62">
        <v>2268.0</v>
      </c>
      <c r="BH79" s="62">
        <v>377547.0</v>
      </c>
      <c r="BI79" s="62">
        <v>4991.0</v>
      </c>
      <c r="BJ79" s="62">
        <v>38143.0</v>
      </c>
      <c r="BK79" s="62">
        <v>18828.0</v>
      </c>
      <c r="BL79" s="62">
        <v>14009.0</v>
      </c>
      <c r="BM79" s="62">
        <v>30.0</v>
      </c>
      <c r="BN79" s="62">
        <v>91.0</v>
      </c>
      <c r="BO79" s="62">
        <v>188119.0</v>
      </c>
      <c r="BP79" s="62">
        <v>28985.0</v>
      </c>
      <c r="BQ79" s="62">
        <v>13356.0</v>
      </c>
      <c r="BR79" s="62">
        <v>50297.0</v>
      </c>
      <c r="BS79" s="62">
        <v>1551.0</v>
      </c>
      <c r="BT79" s="62">
        <v>29442.0</v>
      </c>
      <c r="BU79" s="62">
        <v>1127993.0</v>
      </c>
      <c r="BV79" s="62">
        <v>18416.0</v>
      </c>
      <c r="BW79" s="62">
        <v>0.0</v>
      </c>
      <c r="BX79" s="62">
        <v>4099.0</v>
      </c>
      <c r="BY79" s="62">
        <v>0.0</v>
      </c>
      <c r="BZ79" s="62">
        <v>108.0</v>
      </c>
      <c r="CA79" s="62">
        <v>59.0</v>
      </c>
      <c r="CB79" s="62">
        <v>144.0</v>
      </c>
      <c r="CC79" s="62">
        <v>428.0</v>
      </c>
      <c r="CD79" s="62">
        <v>23.0</v>
      </c>
      <c r="CE79" s="62">
        <v>32.0</v>
      </c>
      <c r="CF79" s="62">
        <v>225.0</v>
      </c>
      <c r="CG79" s="62">
        <v>25.0</v>
      </c>
      <c r="CH79" s="62">
        <v>21828.0</v>
      </c>
      <c r="CI79" s="62">
        <v>132299.0</v>
      </c>
      <c r="CJ79" s="62">
        <v>66991.0</v>
      </c>
      <c r="CK79" s="62">
        <v>170791.0</v>
      </c>
      <c r="CL79" s="62">
        <v>79877.0</v>
      </c>
      <c r="CM79" s="62">
        <v>30470.0</v>
      </c>
      <c r="CN79" s="62">
        <v>73692.0</v>
      </c>
      <c r="CO79" s="62">
        <v>47834.0</v>
      </c>
      <c r="CP79" s="62">
        <v>160139.0</v>
      </c>
      <c r="CQ79" s="62">
        <v>33809.0</v>
      </c>
      <c r="CR79" s="62">
        <v>7039.0</v>
      </c>
      <c r="CS79" s="62">
        <v>73348.0</v>
      </c>
      <c r="CT79" s="62">
        <v>1968504.0</v>
      </c>
      <c r="CU79" s="62">
        <v>121345.0</v>
      </c>
      <c r="CV79" s="62">
        <v>740646.0</v>
      </c>
      <c r="CW79" s="62">
        <v>127071.0</v>
      </c>
      <c r="CX79" s="62">
        <v>10622.0</v>
      </c>
      <c r="CY79" s="62">
        <v>2165.0</v>
      </c>
      <c r="CZ79" s="62">
        <v>3743.0</v>
      </c>
      <c r="DA79" s="62">
        <v>63315.0</v>
      </c>
      <c r="DB79" s="62">
        <v>151104.0</v>
      </c>
      <c r="DC79" s="62">
        <v>240295.0</v>
      </c>
      <c r="DD79" s="62">
        <v>66607.0</v>
      </c>
      <c r="DE79" s="62">
        <v>2937.0</v>
      </c>
      <c r="DF79" s="62">
        <v>1212.0</v>
      </c>
      <c r="DG79" s="62">
        <v>756.0</v>
      </c>
      <c r="DH79" s="62">
        <v>27610.0</v>
      </c>
      <c r="DI79" s="62">
        <v>16144.0</v>
      </c>
      <c r="DJ79" s="62">
        <v>3245.0</v>
      </c>
      <c r="DK79" s="62">
        <v>3574.0</v>
      </c>
      <c r="DL79" s="62">
        <v>12069.0</v>
      </c>
      <c r="DM79" s="62">
        <v>12448.0</v>
      </c>
      <c r="DN79" s="62">
        <v>1373.0</v>
      </c>
      <c r="DO79" s="62">
        <v>5209.0</v>
      </c>
      <c r="DP79" s="62">
        <v>15385.0</v>
      </c>
      <c r="DQ79" s="62">
        <v>406.0</v>
      </c>
      <c r="DR79" s="62">
        <v>2393.0</v>
      </c>
      <c r="DS79" s="62">
        <v>4845.0</v>
      </c>
      <c r="DT79" s="62">
        <v>6713.0</v>
      </c>
      <c r="DU79" s="62">
        <v>911.0</v>
      </c>
      <c r="DV79" s="62">
        <v>1093.0</v>
      </c>
      <c r="DW79" s="62">
        <v>553.0</v>
      </c>
      <c r="DX79" s="62">
        <v>1484.0</v>
      </c>
      <c r="DY79" s="62">
        <v>1223.0</v>
      </c>
      <c r="DZ79" s="62">
        <v>49.0</v>
      </c>
      <c r="EA79" s="62">
        <v>108.0</v>
      </c>
      <c r="EB79" s="62">
        <v>43.0</v>
      </c>
      <c r="EC79" s="62">
        <v>403.0</v>
      </c>
      <c r="ED79" s="62">
        <v>96.0</v>
      </c>
      <c r="EE79" s="62">
        <v>73.0</v>
      </c>
      <c r="EF79" s="62">
        <v>617.0</v>
      </c>
      <c r="EG79" s="62">
        <v>186.0</v>
      </c>
      <c r="EH79" s="62">
        <v>614.0</v>
      </c>
      <c r="EI79" s="62">
        <v>2018.0</v>
      </c>
      <c r="EJ79" s="62">
        <v>897.0</v>
      </c>
      <c r="EK79" s="62">
        <v>575.0</v>
      </c>
      <c r="EL79" s="62">
        <v>5544.0</v>
      </c>
      <c r="EM79" s="62">
        <v>1928.0</v>
      </c>
      <c r="EN79" s="62">
        <v>4869.0</v>
      </c>
      <c r="EO79" s="62">
        <v>314.0</v>
      </c>
      <c r="EP79" s="62">
        <v>4133.0</v>
      </c>
      <c r="EQ79" s="62">
        <v>3508.0</v>
      </c>
      <c r="ER79" s="62">
        <v>629.0</v>
      </c>
      <c r="ES79" s="62">
        <v>134077.0</v>
      </c>
      <c r="ET79" s="62">
        <v>208068.0</v>
      </c>
      <c r="EU79" s="62">
        <v>9317.0</v>
      </c>
      <c r="EV79" s="62">
        <v>920.0</v>
      </c>
      <c r="EW79" s="62">
        <v>3996.0</v>
      </c>
      <c r="EX79" s="62">
        <v>4920.0</v>
      </c>
      <c r="EY79" s="62">
        <v>8257.0</v>
      </c>
      <c r="EZ79" s="62">
        <v>230729.0</v>
      </c>
      <c r="FA79" s="62">
        <v>184444.0</v>
      </c>
      <c r="FB79" s="62">
        <v>929832.0</v>
      </c>
      <c r="FC79" s="62">
        <v>56342.0</v>
      </c>
      <c r="FD79" s="62">
        <v>2620997.0</v>
      </c>
      <c r="FE79" s="62">
        <v>905110.0</v>
      </c>
      <c r="FF79" s="62">
        <v>292838.0</v>
      </c>
      <c r="FG79" s="62">
        <v>1058140.0</v>
      </c>
      <c r="FH79" s="62">
        <v>940091.0</v>
      </c>
      <c r="FI79" s="62">
        <v>210341.0</v>
      </c>
      <c r="FJ79" s="62">
        <v>1034427.0</v>
      </c>
      <c r="FK79" s="62">
        <v>8516392.0</v>
      </c>
      <c r="FL79" s="62">
        <v>974408.0</v>
      </c>
      <c r="FM79" s="62">
        <v>113905.0</v>
      </c>
      <c r="FN79" s="62">
        <v>211644.0</v>
      </c>
      <c r="FO79" s="62">
        <v>272465.0</v>
      </c>
      <c r="FP79" s="62">
        <v>1169910.0</v>
      </c>
      <c r="FQ79" s="62">
        <v>233574.0</v>
      </c>
      <c r="FR79" s="62">
        <v>18.0</v>
      </c>
      <c r="FS79" s="62">
        <v>49770.0</v>
      </c>
      <c r="FT79" s="62">
        <v>69617.0</v>
      </c>
      <c r="FU79" s="62">
        <v>35321.0</v>
      </c>
      <c r="FV79" s="62">
        <v>3253117.0</v>
      </c>
      <c r="FW79" s="62">
        <v>416483.0</v>
      </c>
      <c r="FX79" s="62">
        <v>65548.0</v>
      </c>
      <c r="FY79" s="62">
        <v>523404.0</v>
      </c>
      <c r="FZ79" s="62">
        <v>5579.0</v>
      </c>
      <c r="GA79" s="62">
        <v>612939.0</v>
      </c>
      <c r="GB79" s="62">
        <v>3135182.0</v>
      </c>
      <c r="GC79" s="62">
        <v>731964.0</v>
      </c>
      <c r="GD79" s="62">
        <v>889.0</v>
      </c>
      <c r="GE79" s="62">
        <v>3297341.0</v>
      </c>
      <c r="GF79" s="63">
        <v>3.9696821E7</v>
      </c>
      <c r="GG79" s="64">
        <v>9.4874758E7</v>
      </c>
      <c r="GH79" s="65">
        <v>0.0</v>
      </c>
      <c r="GI79" s="64">
        <v>0.0</v>
      </c>
      <c r="GJ79" s="64">
        <v>0.0</v>
      </c>
      <c r="GK79" s="64">
        <v>80639.0</v>
      </c>
      <c r="GL79" s="64">
        <v>1249099.0</v>
      </c>
      <c r="GM79" s="64">
        <v>0.0</v>
      </c>
      <c r="GN79" s="63">
        <v>9.6204496E7</v>
      </c>
      <c r="GO79" s="66">
        <v>1.35901317E8</v>
      </c>
      <c r="GP79" s="64">
        <v>1338392.0</v>
      </c>
      <c r="GQ79" s="64">
        <v>0.0</v>
      </c>
      <c r="GR79" s="65">
        <v>0.0</v>
      </c>
      <c r="GS79" s="63">
        <v>1338392.0</v>
      </c>
      <c r="GT79" s="67">
        <v>2.5115492E7</v>
      </c>
      <c r="GU79" s="67">
        <v>3959362.0</v>
      </c>
      <c r="GV79" s="67">
        <v>1580854.0</v>
      </c>
      <c r="GW79" s="63">
        <v>3.0655708E7</v>
      </c>
      <c r="GX79" s="63">
        <v>3995839.0</v>
      </c>
      <c r="GY79" s="63">
        <v>9.9911378E7</v>
      </c>
      <c r="GZ79" s="66">
        <v>1.35901317E8</v>
      </c>
      <c r="HH79" s="106"/>
    </row>
    <row r="80" ht="15.75" customHeight="1">
      <c r="A80" s="68">
        <v>75.0</v>
      </c>
      <c r="B80" s="111" t="s">
        <v>345</v>
      </c>
      <c r="C80" s="70">
        <v>0.0</v>
      </c>
      <c r="D80" s="70">
        <v>0.0</v>
      </c>
      <c r="E80" s="70">
        <v>0.0</v>
      </c>
      <c r="F80" s="70">
        <v>0.0</v>
      </c>
      <c r="G80" s="70">
        <v>0.0</v>
      </c>
      <c r="H80" s="70">
        <v>0.0</v>
      </c>
      <c r="I80" s="70">
        <v>0.0</v>
      </c>
      <c r="J80" s="70">
        <v>0.0</v>
      </c>
      <c r="K80" s="70">
        <v>0.0</v>
      </c>
      <c r="L80" s="70">
        <v>0.0</v>
      </c>
      <c r="M80" s="70">
        <v>0.0</v>
      </c>
      <c r="N80" s="70">
        <v>0.0</v>
      </c>
      <c r="O80" s="70">
        <v>0.0</v>
      </c>
      <c r="P80" s="70">
        <v>0.0</v>
      </c>
      <c r="Q80" s="70">
        <v>0.0</v>
      </c>
      <c r="R80" s="70">
        <v>0.0</v>
      </c>
      <c r="S80" s="70">
        <v>0.0</v>
      </c>
      <c r="T80" s="70">
        <v>0.0</v>
      </c>
      <c r="U80" s="70">
        <v>0.0</v>
      </c>
      <c r="V80" s="70">
        <v>0.0</v>
      </c>
      <c r="W80" s="70">
        <v>0.0</v>
      </c>
      <c r="X80" s="70">
        <v>0.0</v>
      </c>
      <c r="Y80" s="70">
        <v>0.0</v>
      </c>
      <c r="Z80" s="70">
        <v>0.0</v>
      </c>
      <c r="AA80" s="70">
        <v>0.0</v>
      </c>
      <c r="AB80" s="70">
        <v>0.0</v>
      </c>
      <c r="AC80" s="70">
        <v>0.0</v>
      </c>
      <c r="AD80" s="70">
        <v>0.0</v>
      </c>
      <c r="AE80" s="70">
        <v>0.0</v>
      </c>
      <c r="AF80" s="70">
        <v>0.0</v>
      </c>
      <c r="AG80" s="70">
        <v>0.0</v>
      </c>
      <c r="AH80" s="70">
        <v>0.0</v>
      </c>
      <c r="AI80" s="70">
        <v>0.0</v>
      </c>
      <c r="AJ80" s="70">
        <v>0.0</v>
      </c>
      <c r="AK80" s="70">
        <v>0.0</v>
      </c>
      <c r="AL80" s="70">
        <v>0.0</v>
      </c>
      <c r="AM80" s="70">
        <v>0.0</v>
      </c>
      <c r="AN80" s="70">
        <v>0.0</v>
      </c>
      <c r="AO80" s="70">
        <v>0.0</v>
      </c>
      <c r="AP80" s="70">
        <v>0.0</v>
      </c>
      <c r="AQ80" s="70">
        <v>0.0</v>
      </c>
      <c r="AR80" s="70">
        <v>0.0</v>
      </c>
      <c r="AS80" s="70">
        <v>0.0</v>
      </c>
      <c r="AT80" s="70">
        <v>0.0</v>
      </c>
      <c r="AU80" s="70">
        <v>0.0</v>
      </c>
      <c r="AV80" s="70">
        <v>0.0</v>
      </c>
      <c r="AW80" s="70">
        <v>0.0</v>
      </c>
      <c r="AX80" s="70">
        <v>0.0</v>
      </c>
      <c r="AY80" s="70">
        <v>0.0</v>
      </c>
      <c r="AZ80" s="70">
        <v>0.0</v>
      </c>
      <c r="BA80" s="70">
        <v>0.0</v>
      </c>
      <c r="BB80" s="70">
        <v>0.0</v>
      </c>
      <c r="BC80" s="70">
        <v>0.0</v>
      </c>
      <c r="BD80" s="70">
        <v>0.0</v>
      </c>
      <c r="BE80" s="70">
        <v>0.0</v>
      </c>
      <c r="BF80" s="70">
        <v>0.0</v>
      </c>
      <c r="BG80" s="70">
        <v>0.0</v>
      </c>
      <c r="BH80" s="70">
        <v>0.0</v>
      </c>
      <c r="BI80" s="70">
        <v>0.0</v>
      </c>
      <c r="BJ80" s="70">
        <v>0.0</v>
      </c>
      <c r="BK80" s="70">
        <v>0.0</v>
      </c>
      <c r="BL80" s="70">
        <v>0.0</v>
      </c>
      <c r="BM80" s="70">
        <v>0.0</v>
      </c>
      <c r="BN80" s="70">
        <v>0.0</v>
      </c>
      <c r="BO80" s="70">
        <v>0.0</v>
      </c>
      <c r="BP80" s="70">
        <v>0.0</v>
      </c>
      <c r="BQ80" s="70">
        <v>0.0</v>
      </c>
      <c r="BR80" s="70">
        <v>0.0</v>
      </c>
      <c r="BS80" s="70">
        <v>0.0</v>
      </c>
      <c r="BT80" s="70">
        <v>0.0</v>
      </c>
      <c r="BU80" s="70">
        <v>0.0</v>
      </c>
      <c r="BV80" s="70">
        <v>0.0</v>
      </c>
      <c r="BW80" s="70">
        <v>0.0</v>
      </c>
      <c r="BX80" s="70">
        <v>0.0</v>
      </c>
      <c r="BY80" s="70">
        <v>3357660.0</v>
      </c>
      <c r="BZ80" s="70">
        <v>0.0</v>
      </c>
      <c r="CA80" s="70">
        <v>0.0</v>
      </c>
      <c r="CB80" s="70">
        <v>0.0</v>
      </c>
      <c r="CC80" s="70">
        <v>0.0</v>
      </c>
      <c r="CD80" s="70">
        <v>0.0</v>
      </c>
      <c r="CE80" s="70">
        <v>0.0</v>
      </c>
      <c r="CF80" s="70">
        <v>0.0</v>
      </c>
      <c r="CG80" s="70">
        <v>0.0</v>
      </c>
      <c r="CH80" s="70">
        <v>0.0</v>
      </c>
      <c r="CI80" s="70">
        <v>0.0</v>
      </c>
      <c r="CJ80" s="70">
        <v>0.0</v>
      </c>
      <c r="CK80" s="70">
        <v>0.0</v>
      </c>
      <c r="CL80" s="70">
        <v>0.0</v>
      </c>
      <c r="CM80" s="70">
        <v>0.0</v>
      </c>
      <c r="CN80" s="70">
        <v>0.0</v>
      </c>
      <c r="CO80" s="70">
        <v>0.0</v>
      </c>
      <c r="CP80" s="70">
        <v>0.0</v>
      </c>
      <c r="CQ80" s="70">
        <v>0.0</v>
      </c>
      <c r="CR80" s="70">
        <v>0.0</v>
      </c>
      <c r="CS80" s="70">
        <v>0.0</v>
      </c>
      <c r="CT80" s="70">
        <v>0.0</v>
      </c>
      <c r="CU80" s="70">
        <v>0.0</v>
      </c>
      <c r="CV80" s="70">
        <v>0.0</v>
      </c>
      <c r="CW80" s="70">
        <v>0.0</v>
      </c>
      <c r="CX80" s="70">
        <v>0.0</v>
      </c>
      <c r="CY80" s="70">
        <v>0.0</v>
      </c>
      <c r="CZ80" s="70">
        <v>0.0</v>
      </c>
      <c r="DA80" s="70">
        <v>0.0</v>
      </c>
      <c r="DB80" s="70">
        <v>0.0</v>
      </c>
      <c r="DC80" s="70">
        <v>0.0</v>
      </c>
      <c r="DD80" s="70">
        <v>0.0</v>
      </c>
      <c r="DE80" s="70">
        <v>0.0</v>
      </c>
      <c r="DF80" s="70">
        <v>0.0</v>
      </c>
      <c r="DG80" s="70">
        <v>0.0</v>
      </c>
      <c r="DH80" s="70">
        <v>0.0</v>
      </c>
      <c r="DI80" s="70">
        <v>0.0</v>
      </c>
      <c r="DJ80" s="70">
        <v>0.0</v>
      </c>
      <c r="DK80" s="70">
        <v>0.0</v>
      </c>
      <c r="DL80" s="70">
        <v>0.0</v>
      </c>
      <c r="DM80" s="70">
        <v>0.0</v>
      </c>
      <c r="DN80" s="70">
        <v>0.0</v>
      </c>
      <c r="DO80" s="70">
        <v>0.0</v>
      </c>
      <c r="DP80" s="70">
        <v>0.0</v>
      </c>
      <c r="DQ80" s="70">
        <v>0.0</v>
      </c>
      <c r="DR80" s="70">
        <v>0.0</v>
      </c>
      <c r="DS80" s="70">
        <v>0.0</v>
      </c>
      <c r="DT80" s="70">
        <v>0.0</v>
      </c>
      <c r="DU80" s="70">
        <v>0.0</v>
      </c>
      <c r="DV80" s="70">
        <v>0.0</v>
      </c>
      <c r="DW80" s="70">
        <v>0.0</v>
      </c>
      <c r="DX80" s="70">
        <v>0.0</v>
      </c>
      <c r="DY80" s="70">
        <v>0.0</v>
      </c>
      <c r="DZ80" s="70">
        <v>0.0</v>
      </c>
      <c r="EA80" s="70">
        <v>0.0</v>
      </c>
      <c r="EB80" s="70">
        <v>0.0</v>
      </c>
      <c r="EC80" s="70">
        <v>0.0</v>
      </c>
      <c r="ED80" s="70">
        <v>0.0</v>
      </c>
      <c r="EE80" s="70">
        <v>0.0</v>
      </c>
      <c r="EF80" s="70">
        <v>0.0</v>
      </c>
      <c r="EG80" s="70">
        <v>0.0</v>
      </c>
      <c r="EH80" s="70">
        <v>0.0</v>
      </c>
      <c r="EI80" s="70">
        <v>0.0</v>
      </c>
      <c r="EJ80" s="70">
        <v>0.0</v>
      </c>
      <c r="EK80" s="70">
        <v>0.0</v>
      </c>
      <c r="EL80" s="70">
        <v>0.0</v>
      </c>
      <c r="EM80" s="70">
        <v>0.0</v>
      </c>
      <c r="EN80" s="70">
        <v>0.0</v>
      </c>
      <c r="EO80" s="70">
        <v>0.0</v>
      </c>
      <c r="EP80" s="70">
        <v>0.0</v>
      </c>
      <c r="EQ80" s="70">
        <v>0.0</v>
      </c>
      <c r="ER80" s="70">
        <v>0.0</v>
      </c>
      <c r="ES80" s="70">
        <v>0.0</v>
      </c>
      <c r="ET80" s="70">
        <v>0.0</v>
      </c>
      <c r="EU80" s="70">
        <v>0.0</v>
      </c>
      <c r="EV80" s="70">
        <v>0.0</v>
      </c>
      <c r="EW80" s="70">
        <v>0.0</v>
      </c>
      <c r="EX80" s="70">
        <v>0.0</v>
      </c>
      <c r="EY80" s="70">
        <v>0.0</v>
      </c>
      <c r="EZ80" s="70">
        <v>0.0</v>
      </c>
      <c r="FA80" s="70">
        <v>0.0</v>
      </c>
      <c r="FB80" s="70">
        <v>0.0</v>
      </c>
      <c r="FC80" s="70">
        <v>0.0</v>
      </c>
      <c r="FD80" s="70">
        <v>0.0</v>
      </c>
      <c r="FE80" s="70">
        <v>0.0</v>
      </c>
      <c r="FF80" s="70">
        <v>0.0</v>
      </c>
      <c r="FG80" s="70">
        <v>0.0</v>
      </c>
      <c r="FH80" s="70">
        <v>0.0</v>
      </c>
      <c r="FI80" s="70">
        <v>0.0</v>
      </c>
      <c r="FJ80" s="70">
        <v>0.0</v>
      </c>
      <c r="FK80" s="70">
        <v>0.0</v>
      </c>
      <c r="FL80" s="70">
        <v>0.0</v>
      </c>
      <c r="FM80" s="70">
        <v>0.0</v>
      </c>
      <c r="FN80" s="70">
        <v>0.0</v>
      </c>
      <c r="FO80" s="70">
        <v>0.0</v>
      </c>
      <c r="FP80" s="70">
        <v>0.0</v>
      </c>
      <c r="FQ80" s="70">
        <v>0.0</v>
      </c>
      <c r="FR80" s="70">
        <v>0.0</v>
      </c>
      <c r="FS80" s="70">
        <v>0.0</v>
      </c>
      <c r="FT80" s="70">
        <v>0.0</v>
      </c>
      <c r="FU80" s="70">
        <v>0.0</v>
      </c>
      <c r="FV80" s="70">
        <v>0.0</v>
      </c>
      <c r="FW80" s="70">
        <v>0.0</v>
      </c>
      <c r="FX80" s="70">
        <v>0.0</v>
      </c>
      <c r="FY80" s="70">
        <v>0.0</v>
      </c>
      <c r="FZ80" s="70">
        <v>0.0</v>
      </c>
      <c r="GA80" s="70">
        <v>3680.0</v>
      </c>
      <c r="GB80" s="70">
        <v>0.0</v>
      </c>
      <c r="GC80" s="70">
        <v>132.0</v>
      </c>
      <c r="GD80" s="70">
        <v>0.0</v>
      </c>
      <c r="GE80" s="70">
        <v>14565.0</v>
      </c>
      <c r="GF80" s="71">
        <v>3376037.0</v>
      </c>
      <c r="GG80" s="72">
        <v>4.70668831E8</v>
      </c>
      <c r="GH80" s="73">
        <v>0.0</v>
      </c>
      <c r="GI80" s="72">
        <v>0.0</v>
      </c>
      <c r="GJ80" s="72">
        <v>0.0</v>
      </c>
      <c r="GK80" s="72">
        <v>5965242.0</v>
      </c>
      <c r="GL80" s="72">
        <v>1.2907503E7</v>
      </c>
      <c r="GM80" s="72">
        <v>459321.0</v>
      </c>
      <c r="GN80" s="71">
        <v>4.90000897E8</v>
      </c>
      <c r="GO80" s="74">
        <v>4.93376934E8</v>
      </c>
      <c r="GP80" s="72">
        <v>749026.0</v>
      </c>
      <c r="GQ80" s="72">
        <v>72882.0</v>
      </c>
      <c r="GR80" s="73">
        <v>0.0</v>
      </c>
      <c r="GS80" s="71">
        <v>821908.0</v>
      </c>
      <c r="GT80" s="75">
        <v>2.0379217E7</v>
      </c>
      <c r="GU80" s="75">
        <v>2.085497E7</v>
      </c>
      <c r="GV80" s="75">
        <v>1.911981E7</v>
      </c>
      <c r="GW80" s="71">
        <v>6.0353997E7</v>
      </c>
      <c r="GX80" s="71">
        <v>1.99681195E8</v>
      </c>
      <c r="GY80" s="71">
        <v>2.32519834E8</v>
      </c>
      <c r="GZ80" s="74">
        <v>4.93376934E8</v>
      </c>
      <c r="HH80" s="106"/>
    </row>
    <row r="81" ht="15.75" customHeight="1">
      <c r="A81" s="52">
        <v>76.0</v>
      </c>
      <c r="B81" s="111" t="s">
        <v>346</v>
      </c>
      <c r="C81" s="54">
        <v>0.0</v>
      </c>
      <c r="D81" s="54">
        <v>0.0</v>
      </c>
      <c r="E81" s="54">
        <v>0.0</v>
      </c>
      <c r="F81" s="54">
        <v>0.0</v>
      </c>
      <c r="G81" s="54">
        <v>0.0</v>
      </c>
      <c r="H81" s="54">
        <v>0.0</v>
      </c>
      <c r="I81" s="54">
        <v>0.0</v>
      </c>
      <c r="J81" s="54">
        <v>0.0</v>
      </c>
      <c r="K81" s="54">
        <v>0.0</v>
      </c>
      <c r="L81" s="54">
        <v>0.0</v>
      </c>
      <c r="M81" s="54">
        <v>0.0</v>
      </c>
      <c r="N81" s="54">
        <v>0.0</v>
      </c>
      <c r="O81" s="54">
        <v>0.0</v>
      </c>
      <c r="P81" s="54">
        <v>0.0</v>
      </c>
      <c r="Q81" s="54">
        <v>0.0</v>
      </c>
      <c r="R81" s="54">
        <v>0.0</v>
      </c>
      <c r="S81" s="54">
        <v>0.0</v>
      </c>
      <c r="T81" s="54">
        <v>0.0</v>
      </c>
      <c r="U81" s="54">
        <v>0.0</v>
      </c>
      <c r="V81" s="54">
        <v>0.0</v>
      </c>
      <c r="W81" s="54">
        <v>0.0</v>
      </c>
      <c r="X81" s="54">
        <v>0.0</v>
      </c>
      <c r="Y81" s="54">
        <v>0.0</v>
      </c>
      <c r="Z81" s="54">
        <v>0.0</v>
      </c>
      <c r="AA81" s="54">
        <v>0.0</v>
      </c>
      <c r="AB81" s="54">
        <v>0.0</v>
      </c>
      <c r="AC81" s="54">
        <v>0.0</v>
      </c>
      <c r="AD81" s="54">
        <v>0.0</v>
      </c>
      <c r="AE81" s="54">
        <v>0.0</v>
      </c>
      <c r="AF81" s="54">
        <v>0.0</v>
      </c>
      <c r="AG81" s="54">
        <v>0.0</v>
      </c>
      <c r="AH81" s="54">
        <v>0.0</v>
      </c>
      <c r="AI81" s="54">
        <v>0.0</v>
      </c>
      <c r="AJ81" s="54">
        <v>0.0</v>
      </c>
      <c r="AK81" s="54">
        <v>0.0</v>
      </c>
      <c r="AL81" s="54">
        <v>0.0</v>
      </c>
      <c r="AM81" s="54">
        <v>0.0</v>
      </c>
      <c r="AN81" s="54">
        <v>0.0</v>
      </c>
      <c r="AO81" s="54">
        <v>0.0</v>
      </c>
      <c r="AP81" s="54">
        <v>0.0</v>
      </c>
      <c r="AQ81" s="54">
        <v>0.0</v>
      </c>
      <c r="AR81" s="54">
        <v>0.0</v>
      </c>
      <c r="AS81" s="54">
        <v>0.0</v>
      </c>
      <c r="AT81" s="54">
        <v>0.0</v>
      </c>
      <c r="AU81" s="54">
        <v>0.0</v>
      </c>
      <c r="AV81" s="54">
        <v>0.0</v>
      </c>
      <c r="AW81" s="54">
        <v>0.0</v>
      </c>
      <c r="AX81" s="54">
        <v>0.0</v>
      </c>
      <c r="AY81" s="54">
        <v>0.0</v>
      </c>
      <c r="AZ81" s="54">
        <v>0.0</v>
      </c>
      <c r="BA81" s="54">
        <v>0.0</v>
      </c>
      <c r="BB81" s="54">
        <v>0.0</v>
      </c>
      <c r="BC81" s="54">
        <v>0.0</v>
      </c>
      <c r="BD81" s="54">
        <v>0.0</v>
      </c>
      <c r="BE81" s="54">
        <v>0.0</v>
      </c>
      <c r="BF81" s="54">
        <v>0.0</v>
      </c>
      <c r="BG81" s="54">
        <v>0.0</v>
      </c>
      <c r="BH81" s="54">
        <v>0.0</v>
      </c>
      <c r="BI81" s="54">
        <v>0.0</v>
      </c>
      <c r="BJ81" s="54">
        <v>0.0</v>
      </c>
      <c r="BK81" s="54">
        <v>0.0</v>
      </c>
      <c r="BL81" s="54">
        <v>0.0</v>
      </c>
      <c r="BM81" s="54">
        <v>0.0</v>
      </c>
      <c r="BN81" s="54">
        <v>0.0</v>
      </c>
      <c r="BO81" s="54">
        <v>0.0</v>
      </c>
      <c r="BP81" s="54">
        <v>0.0</v>
      </c>
      <c r="BQ81" s="54">
        <v>0.0</v>
      </c>
      <c r="BR81" s="54">
        <v>0.0</v>
      </c>
      <c r="BS81" s="54">
        <v>0.0</v>
      </c>
      <c r="BT81" s="54">
        <v>0.0</v>
      </c>
      <c r="BU81" s="54">
        <v>0.0</v>
      </c>
      <c r="BV81" s="54">
        <v>0.0</v>
      </c>
      <c r="BW81" s="54">
        <v>0.0</v>
      </c>
      <c r="BX81" s="54">
        <v>0.0</v>
      </c>
      <c r="BY81" s="54">
        <v>2.1772692E7</v>
      </c>
      <c r="BZ81" s="54">
        <v>1410562.0</v>
      </c>
      <c r="CA81" s="54">
        <v>0.0</v>
      </c>
      <c r="CB81" s="54">
        <v>0.0</v>
      </c>
      <c r="CC81" s="54">
        <v>0.0</v>
      </c>
      <c r="CD81" s="54">
        <v>0.0</v>
      </c>
      <c r="CE81" s="54">
        <v>0.0</v>
      </c>
      <c r="CF81" s="54">
        <v>0.0</v>
      </c>
      <c r="CG81" s="54">
        <v>0.0</v>
      </c>
      <c r="CH81" s="54">
        <v>0.0</v>
      </c>
      <c r="CI81" s="54">
        <v>0.0</v>
      </c>
      <c r="CJ81" s="54">
        <v>0.0</v>
      </c>
      <c r="CK81" s="54">
        <v>0.0</v>
      </c>
      <c r="CL81" s="54">
        <v>0.0</v>
      </c>
      <c r="CM81" s="54">
        <v>0.0</v>
      </c>
      <c r="CN81" s="54">
        <v>0.0</v>
      </c>
      <c r="CO81" s="54">
        <v>0.0</v>
      </c>
      <c r="CP81" s="54">
        <v>0.0</v>
      </c>
      <c r="CQ81" s="54">
        <v>0.0</v>
      </c>
      <c r="CR81" s="54">
        <v>0.0</v>
      </c>
      <c r="CS81" s="54">
        <v>0.0</v>
      </c>
      <c r="CT81" s="54">
        <v>0.0</v>
      </c>
      <c r="CU81" s="54">
        <v>0.0</v>
      </c>
      <c r="CV81" s="54">
        <v>0.0</v>
      </c>
      <c r="CW81" s="54">
        <v>0.0</v>
      </c>
      <c r="CX81" s="54">
        <v>0.0</v>
      </c>
      <c r="CY81" s="54">
        <v>0.0</v>
      </c>
      <c r="CZ81" s="54">
        <v>0.0</v>
      </c>
      <c r="DA81" s="54">
        <v>0.0</v>
      </c>
      <c r="DB81" s="54">
        <v>0.0</v>
      </c>
      <c r="DC81" s="54">
        <v>0.0</v>
      </c>
      <c r="DD81" s="54">
        <v>0.0</v>
      </c>
      <c r="DE81" s="54">
        <v>0.0</v>
      </c>
      <c r="DF81" s="54">
        <v>0.0</v>
      </c>
      <c r="DG81" s="54">
        <v>0.0</v>
      </c>
      <c r="DH81" s="54">
        <v>0.0</v>
      </c>
      <c r="DI81" s="54">
        <v>0.0</v>
      </c>
      <c r="DJ81" s="54">
        <v>0.0</v>
      </c>
      <c r="DK81" s="54">
        <v>0.0</v>
      </c>
      <c r="DL81" s="54">
        <v>0.0</v>
      </c>
      <c r="DM81" s="54">
        <v>0.0</v>
      </c>
      <c r="DN81" s="54">
        <v>0.0</v>
      </c>
      <c r="DO81" s="54">
        <v>0.0</v>
      </c>
      <c r="DP81" s="54">
        <v>0.0</v>
      </c>
      <c r="DQ81" s="54">
        <v>0.0</v>
      </c>
      <c r="DR81" s="54">
        <v>0.0</v>
      </c>
      <c r="DS81" s="54">
        <v>0.0</v>
      </c>
      <c r="DT81" s="54">
        <v>0.0</v>
      </c>
      <c r="DU81" s="54">
        <v>0.0</v>
      </c>
      <c r="DV81" s="54">
        <v>0.0</v>
      </c>
      <c r="DW81" s="54">
        <v>0.0</v>
      </c>
      <c r="DX81" s="54">
        <v>0.0</v>
      </c>
      <c r="DY81" s="54">
        <v>0.0</v>
      </c>
      <c r="DZ81" s="54">
        <v>0.0</v>
      </c>
      <c r="EA81" s="54">
        <v>0.0</v>
      </c>
      <c r="EB81" s="54">
        <v>0.0</v>
      </c>
      <c r="EC81" s="54">
        <v>0.0</v>
      </c>
      <c r="ED81" s="54">
        <v>0.0</v>
      </c>
      <c r="EE81" s="54">
        <v>0.0</v>
      </c>
      <c r="EF81" s="54">
        <v>0.0</v>
      </c>
      <c r="EG81" s="54">
        <v>0.0</v>
      </c>
      <c r="EH81" s="54">
        <v>0.0</v>
      </c>
      <c r="EI81" s="54">
        <v>0.0</v>
      </c>
      <c r="EJ81" s="54">
        <v>0.0</v>
      </c>
      <c r="EK81" s="54">
        <v>0.0</v>
      </c>
      <c r="EL81" s="54">
        <v>0.0</v>
      </c>
      <c r="EM81" s="54">
        <v>0.0</v>
      </c>
      <c r="EN81" s="54">
        <v>0.0</v>
      </c>
      <c r="EO81" s="54">
        <v>0.0</v>
      </c>
      <c r="EP81" s="54">
        <v>0.0</v>
      </c>
      <c r="EQ81" s="54">
        <v>0.0</v>
      </c>
      <c r="ER81" s="54">
        <v>0.0</v>
      </c>
      <c r="ES81" s="54">
        <v>0.0</v>
      </c>
      <c r="ET81" s="54">
        <v>0.0</v>
      </c>
      <c r="EU81" s="54">
        <v>0.0</v>
      </c>
      <c r="EV81" s="54">
        <v>0.0</v>
      </c>
      <c r="EW81" s="54">
        <v>0.0</v>
      </c>
      <c r="EX81" s="54">
        <v>0.0</v>
      </c>
      <c r="EY81" s="54">
        <v>0.0</v>
      </c>
      <c r="EZ81" s="54">
        <v>0.0</v>
      </c>
      <c r="FA81" s="54">
        <v>0.0</v>
      </c>
      <c r="FB81" s="54">
        <v>0.0</v>
      </c>
      <c r="FC81" s="54">
        <v>0.0</v>
      </c>
      <c r="FD81" s="54">
        <v>0.0</v>
      </c>
      <c r="FE81" s="54">
        <v>0.0</v>
      </c>
      <c r="FF81" s="54">
        <v>0.0</v>
      </c>
      <c r="FG81" s="54">
        <v>0.0</v>
      </c>
      <c r="FH81" s="54">
        <v>0.0</v>
      </c>
      <c r="FI81" s="54">
        <v>0.0</v>
      </c>
      <c r="FJ81" s="54">
        <v>0.0</v>
      </c>
      <c r="FK81" s="54">
        <v>0.0</v>
      </c>
      <c r="FL81" s="54">
        <v>0.0</v>
      </c>
      <c r="FM81" s="54">
        <v>0.0</v>
      </c>
      <c r="FN81" s="54">
        <v>0.0</v>
      </c>
      <c r="FO81" s="54">
        <v>0.0</v>
      </c>
      <c r="FP81" s="54">
        <v>0.0</v>
      </c>
      <c r="FQ81" s="54">
        <v>0.0</v>
      </c>
      <c r="FR81" s="54">
        <v>0.0</v>
      </c>
      <c r="FS81" s="54">
        <v>0.0</v>
      </c>
      <c r="FT81" s="54">
        <v>0.0</v>
      </c>
      <c r="FU81" s="54">
        <v>0.0</v>
      </c>
      <c r="FV81" s="54">
        <v>0.0</v>
      </c>
      <c r="FW81" s="54">
        <v>0.0</v>
      </c>
      <c r="FX81" s="54">
        <v>0.0</v>
      </c>
      <c r="FY81" s="54">
        <v>0.0</v>
      </c>
      <c r="FZ81" s="54">
        <v>0.0</v>
      </c>
      <c r="GA81" s="54">
        <v>0.0</v>
      </c>
      <c r="GB81" s="54">
        <v>0.0</v>
      </c>
      <c r="GC81" s="54">
        <v>0.0</v>
      </c>
      <c r="GD81" s="54">
        <v>0.0</v>
      </c>
      <c r="GE81" s="54">
        <v>0.0</v>
      </c>
      <c r="GF81" s="55">
        <v>2.3183254E7</v>
      </c>
      <c r="GG81" s="56">
        <v>248628.0</v>
      </c>
      <c r="GH81" s="57">
        <v>0.0</v>
      </c>
      <c r="GI81" s="56">
        <v>0.0</v>
      </c>
      <c r="GJ81" s="56">
        <v>0.0</v>
      </c>
      <c r="GK81" s="56">
        <v>1979.0</v>
      </c>
      <c r="GL81" s="56">
        <v>3808603.0</v>
      </c>
      <c r="GM81" s="56">
        <v>0.0</v>
      </c>
      <c r="GN81" s="55">
        <v>4059210.0</v>
      </c>
      <c r="GO81" s="58">
        <v>2.7242464E7</v>
      </c>
      <c r="GP81" s="56">
        <v>8269183.0</v>
      </c>
      <c r="GQ81" s="56">
        <v>0.0</v>
      </c>
      <c r="GR81" s="57">
        <v>0.0</v>
      </c>
      <c r="GS81" s="55">
        <v>8269183.0</v>
      </c>
      <c r="GT81" s="59">
        <v>1506900.0</v>
      </c>
      <c r="GU81" s="59">
        <v>921064.0</v>
      </c>
      <c r="GV81" s="59">
        <v>363462.0</v>
      </c>
      <c r="GW81" s="55">
        <v>2791426.0</v>
      </c>
      <c r="GX81" s="55">
        <v>4554017.0</v>
      </c>
      <c r="GY81" s="55">
        <v>1.1627838E7</v>
      </c>
      <c r="GZ81" s="58">
        <v>2.7242464E7</v>
      </c>
      <c r="HH81" s="106"/>
    </row>
    <row r="82" ht="15.75" customHeight="1">
      <c r="A82" s="60">
        <v>77.0</v>
      </c>
      <c r="B82" s="111" t="s">
        <v>592</v>
      </c>
      <c r="C82" s="62">
        <v>0.0</v>
      </c>
      <c r="D82" s="62">
        <v>0.0</v>
      </c>
      <c r="E82" s="62">
        <v>0.0</v>
      </c>
      <c r="F82" s="62">
        <v>0.0</v>
      </c>
      <c r="G82" s="62">
        <v>0.0</v>
      </c>
      <c r="H82" s="62">
        <v>0.0</v>
      </c>
      <c r="I82" s="62">
        <v>0.0</v>
      </c>
      <c r="J82" s="62">
        <v>0.0</v>
      </c>
      <c r="K82" s="62">
        <v>0.0</v>
      </c>
      <c r="L82" s="62">
        <v>0.0</v>
      </c>
      <c r="M82" s="62">
        <v>0.0</v>
      </c>
      <c r="N82" s="62">
        <v>0.0</v>
      </c>
      <c r="O82" s="62">
        <v>0.0</v>
      </c>
      <c r="P82" s="62">
        <v>0.0</v>
      </c>
      <c r="Q82" s="62">
        <v>0.0</v>
      </c>
      <c r="R82" s="62">
        <v>0.0</v>
      </c>
      <c r="S82" s="62">
        <v>0.0</v>
      </c>
      <c r="T82" s="62">
        <v>0.0</v>
      </c>
      <c r="U82" s="62">
        <v>0.0</v>
      </c>
      <c r="V82" s="62">
        <v>0.0</v>
      </c>
      <c r="W82" s="62">
        <v>0.0</v>
      </c>
      <c r="X82" s="62">
        <v>0.0</v>
      </c>
      <c r="Y82" s="62">
        <v>0.0</v>
      </c>
      <c r="Z82" s="62">
        <v>0.0</v>
      </c>
      <c r="AA82" s="62">
        <v>0.0</v>
      </c>
      <c r="AB82" s="62">
        <v>0.0</v>
      </c>
      <c r="AC82" s="62">
        <v>0.0</v>
      </c>
      <c r="AD82" s="62">
        <v>0.0</v>
      </c>
      <c r="AE82" s="62">
        <v>0.0</v>
      </c>
      <c r="AF82" s="62">
        <v>55.0</v>
      </c>
      <c r="AG82" s="62">
        <v>0.0</v>
      </c>
      <c r="AH82" s="62">
        <v>0.0</v>
      </c>
      <c r="AI82" s="62">
        <v>262.0</v>
      </c>
      <c r="AJ82" s="62">
        <v>116.0</v>
      </c>
      <c r="AK82" s="62">
        <v>72.0</v>
      </c>
      <c r="AL82" s="62">
        <v>63.0</v>
      </c>
      <c r="AM82" s="62">
        <v>0.0</v>
      </c>
      <c r="AN82" s="62">
        <v>0.0</v>
      </c>
      <c r="AO82" s="62">
        <v>0.0</v>
      </c>
      <c r="AP82" s="62">
        <v>0.0</v>
      </c>
      <c r="AQ82" s="62">
        <v>0.0</v>
      </c>
      <c r="AR82" s="62">
        <v>0.0</v>
      </c>
      <c r="AS82" s="62">
        <v>0.0</v>
      </c>
      <c r="AT82" s="62">
        <v>0.0</v>
      </c>
      <c r="AU82" s="62">
        <v>0.0</v>
      </c>
      <c r="AV82" s="62">
        <v>0.0</v>
      </c>
      <c r="AW82" s="62">
        <v>0.0</v>
      </c>
      <c r="AX82" s="62">
        <v>0.0</v>
      </c>
      <c r="AY82" s="62">
        <v>0.0</v>
      </c>
      <c r="AZ82" s="62">
        <v>0.0</v>
      </c>
      <c r="BA82" s="62">
        <v>0.0</v>
      </c>
      <c r="BB82" s="62">
        <v>0.0</v>
      </c>
      <c r="BC82" s="62">
        <v>0.0</v>
      </c>
      <c r="BD82" s="62">
        <v>0.0</v>
      </c>
      <c r="BE82" s="62">
        <v>0.0</v>
      </c>
      <c r="BF82" s="62">
        <v>0.0</v>
      </c>
      <c r="BG82" s="62">
        <v>0.0</v>
      </c>
      <c r="BH82" s="62">
        <v>0.0</v>
      </c>
      <c r="BI82" s="62">
        <v>0.0</v>
      </c>
      <c r="BJ82" s="62">
        <v>0.0</v>
      </c>
      <c r="BK82" s="62">
        <v>0.0</v>
      </c>
      <c r="BL82" s="62">
        <v>0.0</v>
      </c>
      <c r="BM82" s="62">
        <v>0.0</v>
      </c>
      <c r="BN82" s="62">
        <v>0.0</v>
      </c>
      <c r="BO82" s="62">
        <v>0.0</v>
      </c>
      <c r="BP82" s="62">
        <v>0.0</v>
      </c>
      <c r="BQ82" s="62">
        <v>0.0</v>
      </c>
      <c r="BR82" s="62">
        <v>0.0</v>
      </c>
      <c r="BS82" s="62">
        <v>0.0</v>
      </c>
      <c r="BT82" s="62">
        <v>0.0</v>
      </c>
      <c r="BU82" s="62">
        <v>0.0</v>
      </c>
      <c r="BV82" s="62">
        <v>0.0</v>
      </c>
      <c r="BW82" s="62">
        <v>0.0</v>
      </c>
      <c r="BX82" s="62">
        <v>0.0</v>
      </c>
      <c r="BY82" s="62">
        <v>0.0</v>
      </c>
      <c r="BZ82" s="62">
        <v>0.0</v>
      </c>
      <c r="CA82" s="62">
        <v>1.2802266E7</v>
      </c>
      <c r="CB82" s="62">
        <v>4.1049318E7</v>
      </c>
      <c r="CC82" s="62">
        <v>8168712.0</v>
      </c>
      <c r="CD82" s="62">
        <v>1.0718792E7</v>
      </c>
      <c r="CE82" s="62">
        <v>1.2958662E7</v>
      </c>
      <c r="CF82" s="62">
        <v>9173515.0</v>
      </c>
      <c r="CG82" s="62">
        <v>1544.0</v>
      </c>
      <c r="CH82" s="62">
        <v>132641.0</v>
      </c>
      <c r="CI82" s="62">
        <v>119892.0</v>
      </c>
      <c r="CJ82" s="62">
        <v>0.0</v>
      </c>
      <c r="CK82" s="62">
        <v>0.0</v>
      </c>
      <c r="CL82" s="62">
        <v>0.0</v>
      </c>
      <c r="CM82" s="62">
        <v>0.0</v>
      </c>
      <c r="CN82" s="62">
        <v>0.0</v>
      </c>
      <c r="CO82" s="62">
        <v>163.0</v>
      </c>
      <c r="CP82" s="62">
        <v>792.0</v>
      </c>
      <c r="CQ82" s="62">
        <v>234.0</v>
      </c>
      <c r="CR82" s="62">
        <v>4996.0</v>
      </c>
      <c r="CS82" s="62">
        <v>0.0</v>
      </c>
      <c r="CT82" s="62">
        <v>0.0</v>
      </c>
      <c r="CU82" s="62">
        <v>0.0</v>
      </c>
      <c r="CV82" s="62">
        <v>0.0</v>
      </c>
      <c r="CW82" s="62">
        <v>0.0</v>
      </c>
      <c r="CX82" s="62">
        <v>0.0</v>
      </c>
      <c r="CY82" s="62">
        <v>0.0</v>
      </c>
      <c r="CZ82" s="62">
        <v>0.0</v>
      </c>
      <c r="DA82" s="62">
        <v>0.0</v>
      </c>
      <c r="DB82" s="62">
        <v>0.0</v>
      </c>
      <c r="DC82" s="62">
        <v>0.0</v>
      </c>
      <c r="DD82" s="62">
        <v>0.0</v>
      </c>
      <c r="DE82" s="62">
        <v>3178.0</v>
      </c>
      <c r="DF82" s="62">
        <v>5.0</v>
      </c>
      <c r="DG82" s="62">
        <v>83.0</v>
      </c>
      <c r="DH82" s="62">
        <v>5277.0</v>
      </c>
      <c r="DI82" s="62">
        <v>5.0</v>
      </c>
      <c r="DJ82" s="62">
        <v>1264.0</v>
      </c>
      <c r="DK82" s="62">
        <v>396.0</v>
      </c>
      <c r="DL82" s="62">
        <v>27177.0</v>
      </c>
      <c r="DM82" s="62">
        <v>0.0</v>
      </c>
      <c r="DN82" s="62">
        <v>0.0</v>
      </c>
      <c r="DO82" s="62">
        <v>0.0</v>
      </c>
      <c r="DP82" s="62">
        <v>0.0</v>
      </c>
      <c r="DQ82" s="62">
        <v>0.0</v>
      </c>
      <c r="DR82" s="62">
        <v>13518.0</v>
      </c>
      <c r="DS82" s="62">
        <v>3852.0</v>
      </c>
      <c r="DT82" s="62">
        <v>884.0</v>
      </c>
      <c r="DU82" s="62">
        <v>0.0</v>
      </c>
      <c r="DV82" s="62">
        <v>0.0</v>
      </c>
      <c r="DW82" s="62">
        <v>0.0</v>
      </c>
      <c r="DX82" s="62">
        <v>0.0</v>
      </c>
      <c r="DY82" s="62">
        <v>0.0</v>
      </c>
      <c r="DZ82" s="62">
        <v>122.0</v>
      </c>
      <c r="EA82" s="62">
        <v>102.0</v>
      </c>
      <c r="EB82" s="62">
        <v>13.0</v>
      </c>
      <c r="EC82" s="62">
        <v>152.0</v>
      </c>
      <c r="ED82" s="62">
        <v>954.0</v>
      </c>
      <c r="EE82" s="62">
        <v>0.0</v>
      </c>
      <c r="EF82" s="62">
        <v>332.0</v>
      </c>
      <c r="EG82" s="62">
        <v>2695.0</v>
      </c>
      <c r="EH82" s="62">
        <v>8515.0</v>
      </c>
      <c r="EI82" s="62">
        <v>625481.0</v>
      </c>
      <c r="EJ82" s="62">
        <v>2814.0</v>
      </c>
      <c r="EK82" s="62">
        <v>37259.0</v>
      </c>
      <c r="EL82" s="62">
        <v>38653.0</v>
      </c>
      <c r="EM82" s="62">
        <v>0.0</v>
      </c>
      <c r="EN82" s="62">
        <v>196.0</v>
      </c>
      <c r="EO82" s="62">
        <v>0.0</v>
      </c>
      <c r="EP82" s="62">
        <v>0.0</v>
      </c>
      <c r="EQ82" s="62">
        <v>0.0</v>
      </c>
      <c r="ER82" s="62">
        <v>0.0</v>
      </c>
      <c r="ES82" s="62">
        <v>0.0</v>
      </c>
      <c r="ET82" s="62">
        <v>0.0</v>
      </c>
      <c r="EU82" s="62">
        <v>49553.0</v>
      </c>
      <c r="EV82" s="62">
        <v>2.0</v>
      </c>
      <c r="EW82" s="62">
        <v>169.0</v>
      </c>
      <c r="EX82" s="62">
        <v>82.0</v>
      </c>
      <c r="EY82" s="62">
        <v>1.0</v>
      </c>
      <c r="EZ82" s="62">
        <v>0.0</v>
      </c>
      <c r="FA82" s="62">
        <v>0.0</v>
      </c>
      <c r="FB82" s="62">
        <v>0.0</v>
      </c>
      <c r="FC82" s="62">
        <v>0.0</v>
      </c>
      <c r="FD82" s="62">
        <v>0.0</v>
      </c>
      <c r="FE82" s="62">
        <v>0.0</v>
      </c>
      <c r="FF82" s="62">
        <v>0.0</v>
      </c>
      <c r="FG82" s="62">
        <v>0.0</v>
      </c>
      <c r="FH82" s="62">
        <v>0.0</v>
      </c>
      <c r="FI82" s="62">
        <v>0.0</v>
      </c>
      <c r="FJ82" s="62">
        <v>0.0</v>
      </c>
      <c r="FK82" s="62">
        <v>0.0</v>
      </c>
      <c r="FL82" s="62">
        <v>109.0</v>
      </c>
      <c r="FM82" s="62">
        <v>0.0</v>
      </c>
      <c r="FN82" s="62">
        <v>0.0</v>
      </c>
      <c r="FO82" s="62">
        <v>0.0</v>
      </c>
      <c r="FP82" s="62">
        <v>0.0</v>
      </c>
      <c r="FQ82" s="62">
        <v>0.0</v>
      </c>
      <c r="FR82" s="62">
        <v>0.0</v>
      </c>
      <c r="FS82" s="62">
        <v>0.0</v>
      </c>
      <c r="FT82" s="62">
        <v>0.0</v>
      </c>
      <c r="FU82" s="62">
        <v>0.0</v>
      </c>
      <c r="FV82" s="62">
        <v>0.0</v>
      </c>
      <c r="FW82" s="62">
        <v>5.0</v>
      </c>
      <c r="FX82" s="62">
        <v>3.0</v>
      </c>
      <c r="FY82" s="62">
        <v>111.0</v>
      </c>
      <c r="FZ82" s="62">
        <v>0.0</v>
      </c>
      <c r="GA82" s="62">
        <v>82286.0</v>
      </c>
      <c r="GB82" s="62">
        <v>1023.0</v>
      </c>
      <c r="GC82" s="62">
        <v>0.0</v>
      </c>
      <c r="GD82" s="62">
        <v>109997.0</v>
      </c>
      <c r="GE82" s="62">
        <v>0.0</v>
      </c>
      <c r="GF82" s="63">
        <v>9.6148363E7</v>
      </c>
      <c r="GG82" s="64">
        <v>618824.0</v>
      </c>
      <c r="GH82" s="65">
        <v>0.0</v>
      </c>
      <c r="GI82" s="64">
        <v>0.0</v>
      </c>
      <c r="GJ82" s="64">
        <v>0.0</v>
      </c>
      <c r="GK82" s="64">
        <v>442376.0</v>
      </c>
      <c r="GL82" s="64">
        <v>1.9093655E7</v>
      </c>
      <c r="GM82" s="64">
        <v>0.0</v>
      </c>
      <c r="GN82" s="63">
        <v>2.0154855E7</v>
      </c>
      <c r="GO82" s="66">
        <v>1.16303218E8</v>
      </c>
      <c r="GP82" s="64">
        <v>3552689.0</v>
      </c>
      <c r="GQ82" s="64">
        <v>0.0</v>
      </c>
      <c r="GR82" s="65">
        <v>0.0</v>
      </c>
      <c r="GS82" s="63">
        <v>3552689.0</v>
      </c>
      <c r="GT82" s="67">
        <v>4250594.0</v>
      </c>
      <c r="GU82" s="67">
        <v>4946122.0</v>
      </c>
      <c r="GV82" s="67">
        <v>1031319.0</v>
      </c>
      <c r="GW82" s="63">
        <v>1.0228035E7</v>
      </c>
      <c r="GX82" s="63">
        <v>187916.0</v>
      </c>
      <c r="GY82" s="63">
        <v>1.02334578E8</v>
      </c>
      <c r="GZ82" s="66">
        <v>1.16303218E8</v>
      </c>
      <c r="HH82" s="106"/>
    </row>
    <row r="83" ht="15.75" customHeight="1">
      <c r="A83" s="60">
        <v>78.0</v>
      </c>
      <c r="B83" s="111" t="s">
        <v>348</v>
      </c>
      <c r="C83" s="62">
        <v>0.0</v>
      </c>
      <c r="D83" s="62">
        <v>0.0</v>
      </c>
      <c r="E83" s="62">
        <v>0.0</v>
      </c>
      <c r="F83" s="62">
        <v>0.0</v>
      </c>
      <c r="G83" s="62">
        <v>0.0</v>
      </c>
      <c r="H83" s="62">
        <v>0.0</v>
      </c>
      <c r="I83" s="62">
        <v>0.0</v>
      </c>
      <c r="J83" s="62">
        <v>0.0</v>
      </c>
      <c r="K83" s="62">
        <v>0.0</v>
      </c>
      <c r="L83" s="62">
        <v>0.0</v>
      </c>
      <c r="M83" s="62">
        <v>0.0</v>
      </c>
      <c r="N83" s="62">
        <v>0.0</v>
      </c>
      <c r="O83" s="62">
        <v>0.0</v>
      </c>
      <c r="P83" s="62">
        <v>0.0</v>
      </c>
      <c r="Q83" s="62">
        <v>0.0</v>
      </c>
      <c r="R83" s="62">
        <v>0.0</v>
      </c>
      <c r="S83" s="62">
        <v>0.0</v>
      </c>
      <c r="T83" s="62">
        <v>0.0</v>
      </c>
      <c r="U83" s="62">
        <v>0.0</v>
      </c>
      <c r="V83" s="62">
        <v>0.0</v>
      </c>
      <c r="W83" s="62">
        <v>0.0</v>
      </c>
      <c r="X83" s="62">
        <v>0.0</v>
      </c>
      <c r="Y83" s="62">
        <v>0.0</v>
      </c>
      <c r="Z83" s="62">
        <v>0.0</v>
      </c>
      <c r="AA83" s="62">
        <v>0.0</v>
      </c>
      <c r="AB83" s="62">
        <v>0.0</v>
      </c>
      <c r="AC83" s="62">
        <v>0.0</v>
      </c>
      <c r="AD83" s="62">
        <v>0.0</v>
      </c>
      <c r="AE83" s="62">
        <v>0.0</v>
      </c>
      <c r="AF83" s="62">
        <v>751.0</v>
      </c>
      <c r="AG83" s="62">
        <v>28244.0</v>
      </c>
      <c r="AH83" s="62">
        <v>8075.0</v>
      </c>
      <c r="AI83" s="62">
        <v>262.0</v>
      </c>
      <c r="AJ83" s="62">
        <v>121.0</v>
      </c>
      <c r="AK83" s="62">
        <v>87.0</v>
      </c>
      <c r="AL83" s="62">
        <v>59.0</v>
      </c>
      <c r="AM83" s="62">
        <v>0.0</v>
      </c>
      <c r="AN83" s="62">
        <v>0.0</v>
      </c>
      <c r="AO83" s="62">
        <v>0.0</v>
      </c>
      <c r="AP83" s="62">
        <v>0.0</v>
      </c>
      <c r="AQ83" s="62">
        <v>0.0</v>
      </c>
      <c r="AR83" s="62">
        <v>0.0</v>
      </c>
      <c r="AS83" s="62">
        <v>0.0</v>
      </c>
      <c r="AT83" s="62">
        <v>0.0</v>
      </c>
      <c r="AU83" s="62">
        <v>0.0</v>
      </c>
      <c r="AV83" s="62">
        <v>0.0</v>
      </c>
      <c r="AW83" s="62">
        <v>0.0</v>
      </c>
      <c r="AX83" s="62">
        <v>0.0</v>
      </c>
      <c r="AY83" s="62">
        <v>0.0</v>
      </c>
      <c r="AZ83" s="62">
        <v>0.0</v>
      </c>
      <c r="BA83" s="62">
        <v>0.0</v>
      </c>
      <c r="BB83" s="62">
        <v>0.0</v>
      </c>
      <c r="BC83" s="62">
        <v>0.0</v>
      </c>
      <c r="BD83" s="62">
        <v>6.0</v>
      </c>
      <c r="BE83" s="62">
        <v>0.0</v>
      </c>
      <c r="BF83" s="62">
        <v>0.0</v>
      </c>
      <c r="BG83" s="62">
        <v>0.0</v>
      </c>
      <c r="BH83" s="62">
        <v>1435.0</v>
      </c>
      <c r="BI83" s="62">
        <v>0.0</v>
      </c>
      <c r="BJ83" s="62">
        <v>8203.0</v>
      </c>
      <c r="BK83" s="62">
        <v>0.0</v>
      </c>
      <c r="BL83" s="62">
        <v>0.0</v>
      </c>
      <c r="BM83" s="62">
        <v>0.0</v>
      </c>
      <c r="BN83" s="62">
        <v>0.0</v>
      </c>
      <c r="BO83" s="62">
        <v>0.0</v>
      </c>
      <c r="BP83" s="62">
        <v>0.0</v>
      </c>
      <c r="BQ83" s="62">
        <v>0.0</v>
      </c>
      <c r="BR83" s="62">
        <v>0.0</v>
      </c>
      <c r="BS83" s="62">
        <v>0.0</v>
      </c>
      <c r="BT83" s="62">
        <v>0.0</v>
      </c>
      <c r="BU83" s="62">
        <v>47273.0</v>
      </c>
      <c r="BV83" s="62">
        <v>0.0</v>
      </c>
      <c r="BW83" s="62">
        <v>371.0</v>
      </c>
      <c r="BX83" s="62">
        <v>0.0</v>
      </c>
      <c r="BY83" s="62">
        <v>0.0</v>
      </c>
      <c r="BZ83" s="62">
        <v>0.0</v>
      </c>
      <c r="CA83" s="62">
        <v>2133707.0</v>
      </c>
      <c r="CB83" s="62">
        <v>3.0028311E7</v>
      </c>
      <c r="CC83" s="62">
        <v>2077094.0</v>
      </c>
      <c r="CD83" s="62">
        <v>3244496.0</v>
      </c>
      <c r="CE83" s="62">
        <v>7612030.0</v>
      </c>
      <c r="CF83" s="62">
        <v>9.871365E7</v>
      </c>
      <c r="CG83" s="62">
        <v>33011.0</v>
      </c>
      <c r="CH83" s="62">
        <v>451814.0</v>
      </c>
      <c r="CI83" s="62">
        <v>841093.0</v>
      </c>
      <c r="CJ83" s="62">
        <v>37190.0</v>
      </c>
      <c r="CK83" s="62">
        <v>148818.0</v>
      </c>
      <c r="CL83" s="62">
        <v>80009.0</v>
      </c>
      <c r="CM83" s="62">
        <v>39783.0</v>
      </c>
      <c r="CN83" s="62">
        <v>30949.0</v>
      </c>
      <c r="CO83" s="62">
        <v>12462.0</v>
      </c>
      <c r="CP83" s="62">
        <v>28596.0</v>
      </c>
      <c r="CQ83" s="62">
        <v>299078.0</v>
      </c>
      <c r="CR83" s="62">
        <v>934.0</v>
      </c>
      <c r="CS83" s="62">
        <v>0.0</v>
      </c>
      <c r="CT83" s="62">
        <v>0.0</v>
      </c>
      <c r="CU83" s="62">
        <v>0.0</v>
      </c>
      <c r="CV83" s="62">
        <v>0.0</v>
      </c>
      <c r="CW83" s="62">
        <v>0.0</v>
      </c>
      <c r="CX83" s="62">
        <v>0.0</v>
      </c>
      <c r="CY83" s="62">
        <v>0.0</v>
      </c>
      <c r="CZ83" s="62">
        <v>0.0</v>
      </c>
      <c r="DA83" s="62">
        <v>0.0</v>
      </c>
      <c r="DB83" s="62">
        <v>0.0</v>
      </c>
      <c r="DC83" s="62">
        <v>0.0</v>
      </c>
      <c r="DD83" s="62">
        <v>0.0</v>
      </c>
      <c r="DE83" s="62">
        <v>137.0</v>
      </c>
      <c r="DF83" s="62">
        <v>1013.0</v>
      </c>
      <c r="DG83" s="62">
        <v>5840.0</v>
      </c>
      <c r="DH83" s="62">
        <v>23878.0</v>
      </c>
      <c r="DI83" s="62">
        <v>2551.0</v>
      </c>
      <c r="DJ83" s="62">
        <v>15.0</v>
      </c>
      <c r="DK83" s="62">
        <v>106.0</v>
      </c>
      <c r="DL83" s="62">
        <v>146.0</v>
      </c>
      <c r="DM83" s="62">
        <v>0.0</v>
      </c>
      <c r="DN83" s="62">
        <v>136.0</v>
      </c>
      <c r="DO83" s="62">
        <v>19.0</v>
      </c>
      <c r="DP83" s="62">
        <v>0.0</v>
      </c>
      <c r="DQ83" s="62">
        <v>3255.0</v>
      </c>
      <c r="DR83" s="62">
        <v>21623.0</v>
      </c>
      <c r="DS83" s="62">
        <v>458.0</v>
      </c>
      <c r="DT83" s="62">
        <v>0.0</v>
      </c>
      <c r="DU83" s="62">
        <v>0.0</v>
      </c>
      <c r="DV83" s="62">
        <v>0.0</v>
      </c>
      <c r="DW83" s="62">
        <v>0.0</v>
      </c>
      <c r="DX83" s="62">
        <v>92.0</v>
      </c>
      <c r="DY83" s="62">
        <v>55.0</v>
      </c>
      <c r="DZ83" s="62">
        <v>19387.0</v>
      </c>
      <c r="EA83" s="62">
        <v>0.0</v>
      </c>
      <c r="EB83" s="62">
        <v>0.0</v>
      </c>
      <c r="EC83" s="62">
        <v>0.0</v>
      </c>
      <c r="ED83" s="62">
        <v>4843.0</v>
      </c>
      <c r="EE83" s="62">
        <v>0.0</v>
      </c>
      <c r="EF83" s="62">
        <v>0.0</v>
      </c>
      <c r="EG83" s="62">
        <v>32384.0</v>
      </c>
      <c r="EH83" s="62">
        <v>7242.0</v>
      </c>
      <c r="EI83" s="62">
        <v>1605978.0</v>
      </c>
      <c r="EJ83" s="62">
        <v>175983.0</v>
      </c>
      <c r="EK83" s="62">
        <v>147981.0</v>
      </c>
      <c r="EL83" s="62">
        <v>166030.0</v>
      </c>
      <c r="EM83" s="62">
        <v>20226.0</v>
      </c>
      <c r="EN83" s="62">
        <v>372.0</v>
      </c>
      <c r="EO83" s="62">
        <v>100189.0</v>
      </c>
      <c r="EP83" s="62">
        <v>57138.0</v>
      </c>
      <c r="EQ83" s="62">
        <v>3882.0</v>
      </c>
      <c r="ER83" s="62">
        <v>0.0</v>
      </c>
      <c r="ES83" s="62">
        <v>25609.0</v>
      </c>
      <c r="ET83" s="62">
        <v>91785.0</v>
      </c>
      <c r="EU83" s="62">
        <v>43.0</v>
      </c>
      <c r="EV83" s="62">
        <v>16.0</v>
      </c>
      <c r="EW83" s="62">
        <v>0.0</v>
      </c>
      <c r="EX83" s="62">
        <v>0.0</v>
      </c>
      <c r="EY83" s="62">
        <v>0.0</v>
      </c>
      <c r="EZ83" s="62">
        <v>0.0</v>
      </c>
      <c r="FA83" s="62">
        <v>0.0</v>
      </c>
      <c r="FB83" s="62">
        <v>0.0</v>
      </c>
      <c r="FC83" s="62">
        <v>0.0</v>
      </c>
      <c r="FD83" s="62">
        <v>0.0</v>
      </c>
      <c r="FE83" s="62">
        <v>0.0</v>
      </c>
      <c r="FF83" s="62">
        <v>0.0</v>
      </c>
      <c r="FG83" s="62">
        <v>2130868.0</v>
      </c>
      <c r="FH83" s="62">
        <v>1578125.0</v>
      </c>
      <c r="FI83" s="62">
        <v>4455.0</v>
      </c>
      <c r="FJ83" s="62">
        <v>72731.0</v>
      </c>
      <c r="FK83" s="62">
        <v>16455.0</v>
      </c>
      <c r="FL83" s="62">
        <v>3165.0</v>
      </c>
      <c r="FM83" s="62">
        <v>42.0</v>
      </c>
      <c r="FN83" s="62">
        <v>0.0</v>
      </c>
      <c r="FO83" s="62">
        <v>0.0</v>
      </c>
      <c r="FP83" s="62">
        <v>297603.0</v>
      </c>
      <c r="FQ83" s="62">
        <v>161.0</v>
      </c>
      <c r="FR83" s="62">
        <v>0.0</v>
      </c>
      <c r="FS83" s="62">
        <v>39073.0</v>
      </c>
      <c r="FT83" s="62">
        <v>33098.0</v>
      </c>
      <c r="FU83" s="62">
        <v>2705.0</v>
      </c>
      <c r="FV83" s="62">
        <v>7641.0</v>
      </c>
      <c r="FW83" s="62">
        <v>14802.0</v>
      </c>
      <c r="FX83" s="62">
        <v>6048.0</v>
      </c>
      <c r="FY83" s="62">
        <v>30853.0</v>
      </c>
      <c r="FZ83" s="62">
        <v>82.0</v>
      </c>
      <c r="GA83" s="62">
        <v>33674.0</v>
      </c>
      <c r="GB83" s="62">
        <v>19766.0</v>
      </c>
      <c r="GC83" s="62">
        <v>25476.0</v>
      </c>
      <c r="GD83" s="62">
        <v>205711.0</v>
      </c>
      <c r="GE83" s="62">
        <v>197254.0</v>
      </c>
      <c r="GF83" s="63">
        <v>1.53146112E8</v>
      </c>
      <c r="GG83" s="64">
        <v>1.0362828E7</v>
      </c>
      <c r="GH83" s="65">
        <v>0.0</v>
      </c>
      <c r="GI83" s="64">
        <v>0.0</v>
      </c>
      <c r="GJ83" s="64">
        <v>0.0</v>
      </c>
      <c r="GK83" s="64">
        <v>7157585.0</v>
      </c>
      <c r="GL83" s="64">
        <v>8925399.0</v>
      </c>
      <c r="GM83" s="64">
        <v>0.0</v>
      </c>
      <c r="GN83" s="63">
        <v>2.6445812E7</v>
      </c>
      <c r="GO83" s="66">
        <v>1.79591924E8</v>
      </c>
      <c r="GP83" s="64">
        <v>2.8541812E7</v>
      </c>
      <c r="GQ83" s="64">
        <v>0.0</v>
      </c>
      <c r="GR83" s="65">
        <v>0.0</v>
      </c>
      <c r="GS83" s="63">
        <v>2.8541812E7</v>
      </c>
      <c r="GT83" s="67">
        <v>1.0033615E7</v>
      </c>
      <c r="GU83" s="67">
        <v>1.2699135E7</v>
      </c>
      <c r="GV83" s="67">
        <v>4546264.0</v>
      </c>
      <c r="GW83" s="63">
        <v>2.7279014E7</v>
      </c>
      <c r="GX83" s="63">
        <v>912530.0</v>
      </c>
      <c r="GY83" s="63">
        <v>1.22858568E8</v>
      </c>
      <c r="GZ83" s="66">
        <v>1.79591924E8</v>
      </c>
      <c r="HH83" s="106"/>
    </row>
    <row r="84" ht="15.75" customHeight="1">
      <c r="A84" s="60">
        <v>79.0</v>
      </c>
      <c r="B84" s="111" t="s">
        <v>349</v>
      </c>
      <c r="C84" s="62">
        <v>0.0</v>
      </c>
      <c r="D84" s="62">
        <v>0.0</v>
      </c>
      <c r="E84" s="62">
        <v>0.0</v>
      </c>
      <c r="F84" s="62">
        <v>0.0</v>
      </c>
      <c r="G84" s="62">
        <v>0.0</v>
      </c>
      <c r="H84" s="62">
        <v>0.0</v>
      </c>
      <c r="I84" s="62">
        <v>0.0</v>
      </c>
      <c r="J84" s="62">
        <v>0.0</v>
      </c>
      <c r="K84" s="62">
        <v>0.0</v>
      </c>
      <c r="L84" s="62">
        <v>0.0</v>
      </c>
      <c r="M84" s="62">
        <v>549.0</v>
      </c>
      <c r="N84" s="62">
        <v>279.0</v>
      </c>
      <c r="O84" s="62">
        <v>428.0</v>
      </c>
      <c r="P84" s="62">
        <v>87.0</v>
      </c>
      <c r="Q84" s="62">
        <v>385.0</v>
      </c>
      <c r="R84" s="62">
        <v>0.0</v>
      </c>
      <c r="S84" s="62">
        <v>99.0</v>
      </c>
      <c r="T84" s="62">
        <v>3405.0</v>
      </c>
      <c r="U84" s="62">
        <v>144.0</v>
      </c>
      <c r="V84" s="62">
        <v>216.0</v>
      </c>
      <c r="W84" s="62">
        <v>8.0</v>
      </c>
      <c r="X84" s="62">
        <v>239.0</v>
      </c>
      <c r="Y84" s="62">
        <v>91.0</v>
      </c>
      <c r="Z84" s="62">
        <v>123.0</v>
      </c>
      <c r="AA84" s="62">
        <v>298.0</v>
      </c>
      <c r="AB84" s="62">
        <v>252.0</v>
      </c>
      <c r="AC84" s="62">
        <v>152.0</v>
      </c>
      <c r="AD84" s="62">
        <v>10.0</v>
      </c>
      <c r="AE84" s="62">
        <v>48.0</v>
      </c>
      <c r="AF84" s="62">
        <v>25013.0</v>
      </c>
      <c r="AG84" s="62">
        <v>9001.0</v>
      </c>
      <c r="AH84" s="62">
        <v>1775.0</v>
      </c>
      <c r="AI84" s="62">
        <v>15040.0</v>
      </c>
      <c r="AJ84" s="62">
        <v>152.0</v>
      </c>
      <c r="AK84" s="62">
        <v>80.0</v>
      </c>
      <c r="AL84" s="62">
        <v>1643.0</v>
      </c>
      <c r="AM84" s="62">
        <v>100.0</v>
      </c>
      <c r="AN84" s="62">
        <v>3.0</v>
      </c>
      <c r="AO84" s="62">
        <v>7.0</v>
      </c>
      <c r="AP84" s="62">
        <v>13.0</v>
      </c>
      <c r="AQ84" s="62">
        <v>368.0</v>
      </c>
      <c r="AR84" s="62">
        <v>11.0</v>
      </c>
      <c r="AS84" s="62">
        <v>67.0</v>
      </c>
      <c r="AT84" s="62">
        <v>171.0</v>
      </c>
      <c r="AU84" s="62">
        <v>99.0</v>
      </c>
      <c r="AV84" s="62">
        <v>1373.0</v>
      </c>
      <c r="AW84" s="62">
        <v>146.0</v>
      </c>
      <c r="AX84" s="62">
        <v>12498.0</v>
      </c>
      <c r="AY84" s="62">
        <v>65.0</v>
      </c>
      <c r="AZ84" s="62">
        <v>150.0</v>
      </c>
      <c r="BA84" s="62">
        <v>0.0</v>
      </c>
      <c r="BB84" s="62">
        <v>0.0</v>
      </c>
      <c r="BC84" s="62">
        <v>2576.0</v>
      </c>
      <c r="BD84" s="62">
        <v>141.0</v>
      </c>
      <c r="BE84" s="62">
        <v>1748.0</v>
      </c>
      <c r="BF84" s="62">
        <v>5645.0</v>
      </c>
      <c r="BG84" s="62">
        <v>5725.0</v>
      </c>
      <c r="BH84" s="62">
        <v>5455.0</v>
      </c>
      <c r="BI84" s="62">
        <v>2401.0</v>
      </c>
      <c r="BJ84" s="62">
        <v>32606.0</v>
      </c>
      <c r="BK84" s="62">
        <v>1831.0</v>
      </c>
      <c r="BL84" s="62">
        <v>119.0</v>
      </c>
      <c r="BM84" s="62">
        <v>24.0</v>
      </c>
      <c r="BN84" s="62">
        <v>84.0</v>
      </c>
      <c r="BO84" s="62">
        <v>4007.0</v>
      </c>
      <c r="BP84" s="62">
        <v>0.0</v>
      </c>
      <c r="BQ84" s="62">
        <v>0.0</v>
      </c>
      <c r="BR84" s="62">
        <v>0.0</v>
      </c>
      <c r="BS84" s="62">
        <v>0.0</v>
      </c>
      <c r="BT84" s="62">
        <v>21902.0</v>
      </c>
      <c r="BU84" s="62">
        <v>1779.0</v>
      </c>
      <c r="BV84" s="62">
        <v>7999.0</v>
      </c>
      <c r="BW84" s="62">
        <v>435.0</v>
      </c>
      <c r="BX84" s="62">
        <v>1437.0</v>
      </c>
      <c r="BY84" s="62">
        <v>14957.0</v>
      </c>
      <c r="BZ84" s="62">
        <v>275.0</v>
      </c>
      <c r="CA84" s="62">
        <v>84638.0</v>
      </c>
      <c r="CB84" s="62">
        <v>22994.0</v>
      </c>
      <c r="CC84" s="62">
        <v>38451.0</v>
      </c>
      <c r="CD84" s="62">
        <v>1656.0</v>
      </c>
      <c r="CE84" s="62">
        <v>10874.0</v>
      </c>
      <c r="CF84" s="62">
        <v>21066.0</v>
      </c>
      <c r="CG84" s="62">
        <v>79.0</v>
      </c>
      <c r="CH84" s="62">
        <v>7528.0</v>
      </c>
      <c r="CI84" s="62">
        <v>182546.0</v>
      </c>
      <c r="CJ84" s="62">
        <v>19174.0</v>
      </c>
      <c r="CK84" s="62">
        <v>40296.0</v>
      </c>
      <c r="CL84" s="62">
        <v>31661.0</v>
      </c>
      <c r="CM84" s="62">
        <v>3013.0</v>
      </c>
      <c r="CN84" s="62">
        <v>88.0</v>
      </c>
      <c r="CO84" s="62">
        <v>141.0</v>
      </c>
      <c r="CP84" s="62">
        <v>726.0</v>
      </c>
      <c r="CQ84" s="62">
        <v>1402.0</v>
      </c>
      <c r="CR84" s="62">
        <v>7393.0</v>
      </c>
      <c r="CS84" s="62">
        <v>0.0</v>
      </c>
      <c r="CT84" s="62">
        <v>71582.0</v>
      </c>
      <c r="CU84" s="62">
        <v>16901.0</v>
      </c>
      <c r="CV84" s="62">
        <v>43141.0</v>
      </c>
      <c r="CW84" s="62">
        <v>8126.0</v>
      </c>
      <c r="CX84" s="62">
        <v>0.0</v>
      </c>
      <c r="CY84" s="62">
        <v>0.0</v>
      </c>
      <c r="CZ84" s="62">
        <v>0.0</v>
      </c>
      <c r="DA84" s="62">
        <v>0.0</v>
      </c>
      <c r="DB84" s="62">
        <v>25841.0</v>
      </c>
      <c r="DC84" s="62">
        <v>0.0</v>
      </c>
      <c r="DD84" s="62">
        <v>9181.0</v>
      </c>
      <c r="DE84" s="62">
        <v>1010.0</v>
      </c>
      <c r="DF84" s="62">
        <v>4470.0</v>
      </c>
      <c r="DG84" s="62">
        <v>2338.0</v>
      </c>
      <c r="DH84" s="62">
        <v>52765.0</v>
      </c>
      <c r="DI84" s="62">
        <v>18782.0</v>
      </c>
      <c r="DJ84" s="62">
        <v>10566.0</v>
      </c>
      <c r="DK84" s="62">
        <v>7133.0</v>
      </c>
      <c r="DL84" s="62">
        <v>477.0</v>
      </c>
      <c r="DM84" s="62">
        <v>2659.0</v>
      </c>
      <c r="DN84" s="62">
        <v>4477.0</v>
      </c>
      <c r="DO84" s="62">
        <v>29.0</v>
      </c>
      <c r="DP84" s="62">
        <v>6014.0</v>
      </c>
      <c r="DQ84" s="62">
        <v>786.0</v>
      </c>
      <c r="DR84" s="62">
        <v>2545.0</v>
      </c>
      <c r="DS84" s="62">
        <v>964.0</v>
      </c>
      <c r="DT84" s="62">
        <v>2309.0</v>
      </c>
      <c r="DU84" s="62">
        <v>62.0</v>
      </c>
      <c r="DV84" s="62">
        <v>81.0</v>
      </c>
      <c r="DW84" s="62">
        <v>63.0</v>
      </c>
      <c r="DX84" s="62">
        <v>1095.0</v>
      </c>
      <c r="DY84" s="62">
        <v>398.0</v>
      </c>
      <c r="DZ84" s="62">
        <v>1207.0</v>
      </c>
      <c r="EA84" s="62">
        <v>0.0</v>
      </c>
      <c r="EB84" s="62">
        <v>6.0</v>
      </c>
      <c r="EC84" s="62">
        <v>40068.0</v>
      </c>
      <c r="ED84" s="62">
        <v>13409.0</v>
      </c>
      <c r="EE84" s="62">
        <v>9455.0</v>
      </c>
      <c r="EF84" s="62">
        <v>323.0</v>
      </c>
      <c r="EG84" s="62">
        <v>10438.0</v>
      </c>
      <c r="EH84" s="62">
        <v>27682.0</v>
      </c>
      <c r="EI84" s="62">
        <v>122310.0</v>
      </c>
      <c r="EJ84" s="62">
        <v>6069.0</v>
      </c>
      <c r="EK84" s="62">
        <v>14825.0</v>
      </c>
      <c r="EL84" s="62">
        <v>8698.0</v>
      </c>
      <c r="EM84" s="62">
        <v>12582.0</v>
      </c>
      <c r="EN84" s="62">
        <v>24704.0</v>
      </c>
      <c r="EO84" s="62">
        <v>1211.0</v>
      </c>
      <c r="EP84" s="62">
        <v>4515.0</v>
      </c>
      <c r="EQ84" s="62">
        <v>1891.0</v>
      </c>
      <c r="ER84" s="62">
        <v>0.0</v>
      </c>
      <c r="ES84" s="62">
        <v>2243.0</v>
      </c>
      <c r="ET84" s="62">
        <v>812.0</v>
      </c>
      <c r="EU84" s="62">
        <v>21064.0</v>
      </c>
      <c r="EV84" s="62">
        <v>205.0</v>
      </c>
      <c r="EW84" s="62">
        <v>41.0</v>
      </c>
      <c r="EX84" s="62">
        <v>779.0</v>
      </c>
      <c r="EY84" s="62">
        <v>5632.0</v>
      </c>
      <c r="EZ84" s="62">
        <v>69088.0</v>
      </c>
      <c r="FA84" s="62">
        <v>40326.0</v>
      </c>
      <c r="FB84" s="62">
        <v>1722981.0</v>
      </c>
      <c r="FC84" s="62">
        <v>0.0</v>
      </c>
      <c r="FD84" s="62">
        <v>1775.0</v>
      </c>
      <c r="FE84" s="62">
        <v>153936.0</v>
      </c>
      <c r="FF84" s="62">
        <v>4536.0</v>
      </c>
      <c r="FG84" s="62">
        <v>88050.0</v>
      </c>
      <c r="FH84" s="62">
        <v>228745.0</v>
      </c>
      <c r="FI84" s="62">
        <v>177737.0</v>
      </c>
      <c r="FJ84" s="62">
        <v>15437.0</v>
      </c>
      <c r="FK84" s="62">
        <v>81234.0</v>
      </c>
      <c r="FL84" s="62">
        <v>2707.0</v>
      </c>
      <c r="FM84" s="62">
        <v>21.0</v>
      </c>
      <c r="FN84" s="62">
        <v>0.0</v>
      </c>
      <c r="FO84" s="62">
        <v>0.0</v>
      </c>
      <c r="FP84" s="62">
        <v>24908.0</v>
      </c>
      <c r="FQ84" s="62">
        <v>0.0</v>
      </c>
      <c r="FR84" s="62">
        <v>0.0</v>
      </c>
      <c r="FS84" s="62">
        <v>4015.0</v>
      </c>
      <c r="FT84" s="62">
        <v>8607.0</v>
      </c>
      <c r="FU84" s="62">
        <v>3017.0</v>
      </c>
      <c r="FV84" s="62">
        <v>3841.0</v>
      </c>
      <c r="FW84" s="62">
        <v>2363.0</v>
      </c>
      <c r="FX84" s="62">
        <v>78.0</v>
      </c>
      <c r="FY84" s="62">
        <v>108.0</v>
      </c>
      <c r="FZ84" s="62">
        <v>71.0</v>
      </c>
      <c r="GA84" s="62">
        <v>7380.0</v>
      </c>
      <c r="GB84" s="62">
        <v>31238.0</v>
      </c>
      <c r="GC84" s="62">
        <v>2372.0</v>
      </c>
      <c r="GD84" s="62">
        <v>17963.0</v>
      </c>
      <c r="GE84" s="62">
        <v>51385.0</v>
      </c>
      <c r="GF84" s="63">
        <v>4027343.0</v>
      </c>
      <c r="GG84" s="64">
        <v>6889939.0</v>
      </c>
      <c r="GH84" s="65">
        <v>0.0</v>
      </c>
      <c r="GI84" s="64">
        <v>0.0</v>
      </c>
      <c r="GJ84" s="64">
        <v>1.7027574E7</v>
      </c>
      <c r="GK84" s="64">
        <v>-1999400.0</v>
      </c>
      <c r="GL84" s="64">
        <v>796605.0</v>
      </c>
      <c r="GM84" s="64">
        <v>0.0</v>
      </c>
      <c r="GN84" s="63">
        <v>2.2714718E7</v>
      </c>
      <c r="GO84" s="66">
        <v>2.6742061E7</v>
      </c>
      <c r="GP84" s="64">
        <v>1108692.0</v>
      </c>
      <c r="GQ84" s="64">
        <v>0.0</v>
      </c>
      <c r="GR84" s="65">
        <v>0.0</v>
      </c>
      <c r="GS84" s="63">
        <v>1108692.0</v>
      </c>
      <c r="GT84" s="67">
        <v>927974.0</v>
      </c>
      <c r="GU84" s="67">
        <v>1323735.0</v>
      </c>
      <c r="GV84" s="67">
        <v>370064.0</v>
      </c>
      <c r="GW84" s="63">
        <v>2621773.0</v>
      </c>
      <c r="GX84" s="63">
        <v>1077431.0</v>
      </c>
      <c r="GY84" s="63">
        <v>2.1934165E7</v>
      </c>
      <c r="GZ84" s="66">
        <v>2.6742061E7</v>
      </c>
      <c r="HH84" s="106"/>
    </row>
    <row r="85" ht="15.75" customHeight="1">
      <c r="A85" s="68">
        <v>80.0</v>
      </c>
      <c r="B85" s="111" t="s">
        <v>350</v>
      </c>
      <c r="C85" s="70">
        <v>28181.0</v>
      </c>
      <c r="D85" s="70">
        <v>43504.0</v>
      </c>
      <c r="E85" s="70">
        <v>257.0</v>
      </c>
      <c r="F85" s="70">
        <v>89885.0</v>
      </c>
      <c r="G85" s="70">
        <v>1097.0</v>
      </c>
      <c r="H85" s="70">
        <v>15411.0</v>
      </c>
      <c r="I85" s="70">
        <v>806.0</v>
      </c>
      <c r="J85" s="70">
        <v>6762.0</v>
      </c>
      <c r="K85" s="70">
        <v>11.0</v>
      </c>
      <c r="L85" s="70">
        <v>64578.0</v>
      </c>
      <c r="M85" s="70">
        <v>6896.0</v>
      </c>
      <c r="N85" s="70">
        <v>15010.0</v>
      </c>
      <c r="O85" s="70">
        <v>46196.0</v>
      </c>
      <c r="P85" s="70">
        <v>1055.0</v>
      </c>
      <c r="Q85" s="70">
        <v>74154.0</v>
      </c>
      <c r="R85" s="70">
        <v>915621.0</v>
      </c>
      <c r="S85" s="70">
        <v>10547.0</v>
      </c>
      <c r="T85" s="70">
        <v>187972.0</v>
      </c>
      <c r="U85" s="70">
        <v>125552.0</v>
      </c>
      <c r="V85" s="70">
        <v>169871.0</v>
      </c>
      <c r="W85" s="70">
        <v>5630.0</v>
      </c>
      <c r="X85" s="70">
        <v>3732.0</v>
      </c>
      <c r="Y85" s="70">
        <v>119297.0</v>
      </c>
      <c r="Z85" s="70">
        <v>129226.0</v>
      </c>
      <c r="AA85" s="70">
        <v>4750.0</v>
      </c>
      <c r="AB85" s="70">
        <v>2478.0</v>
      </c>
      <c r="AC85" s="70">
        <v>293.0</v>
      </c>
      <c r="AD85" s="70">
        <v>3864.0</v>
      </c>
      <c r="AE85" s="70">
        <v>1315.0</v>
      </c>
      <c r="AF85" s="70">
        <v>91813.0</v>
      </c>
      <c r="AG85" s="70">
        <v>231208.0</v>
      </c>
      <c r="AH85" s="70">
        <v>60757.0</v>
      </c>
      <c r="AI85" s="70">
        <v>1079675.0</v>
      </c>
      <c r="AJ85" s="70">
        <v>80745.0</v>
      </c>
      <c r="AK85" s="70">
        <v>11842.0</v>
      </c>
      <c r="AL85" s="70">
        <v>6619.0</v>
      </c>
      <c r="AM85" s="70">
        <v>727.0</v>
      </c>
      <c r="AN85" s="70">
        <v>0.0</v>
      </c>
      <c r="AO85" s="70">
        <v>12.0</v>
      </c>
      <c r="AP85" s="70">
        <v>3171.0</v>
      </c>
      <c r="AQ85" s="70">
        <v>2449.0</v>
      </c>
      <c r="AR85" s="70">
        <v>101.0</v>
      </c>
      <c r="AS85" s="70">
        <v>57.0</v>
      </c>
      <c r="AT85" s="70">
        <v>279.0</v>
      </c>
      <c r="AU85" s="70">
        <v>435.0</v>
      </c>
      <c r="AV85" s="70">
        <v>87103.0</v>
      </c>
      <c r="AW85" s="70">
        <v>1054.0</v>
      </c>
      <c r="AX85" s="70">
        <v>284839.0</v>
      </c>
      <c r="AY85" s="70">
        <v>92.0</v>
      </c>
      <c r="AZ85" s="70">
        <v>4.0</v>
      </c>
      <c r="BA85" s="70">
        <v>7942.0</v>
      </c>
      <c r="BB85" s="70">
        <v>4886.0</v>
      </c>
      <c r="BC85" s="70">
        <v>336.0</v>
      </c>
      <c r="BD85" s="70">
        <v>2.0</v>
      </c>
      <c r="BE85" s="70">
        <v>304.0</v>
      </c>
      <c r="BF85" s="70">
        <v>1773.0</v>
      </c>
      <c r="BG85" s="70">
        <v>31789.0</v>
      </c>
      <c r="BH85" s="70">
        <v>1388.0</v>
      </c>
      <c r="BI85" s="70">
        <v>53.0</v>
      </c>
      <c r="BJ85" s="70">
        <v>93238.0</v>
      </c>
      <c r="BK85" s="70">
        <v>4484.0</v>
      </c>
      <c r="BL85" s="70">
        <v>317.0</v>
      </c>
      <c r="BM85" s="70">
        <v>17.0</v>
      </c>
      <c r="BN85" s="70">
        <v>89405.0</v>
      </c>
      <c r="BO85" s="70">
        <v>6744.0</v>
      </c>
      <c r="BP85" s="70">
        <v>0.0</v>
      </c>
      <c r="BQ85" s="70">
        <v>0.0</v>
      </c>
      <c r="BR85" s="70">
        <v>0.0</v>
      </c>
      <c r="BS85" s="70">
        <v>0.0</v>
      </c>
      <c r="BT85" s="70">
        <v>142293.0</v>
      </c>
      <c r="BU85" s="70">
        <v>13070.0</v>
      </c>
      <c r="BV85" s="70">
        <v>603.0</v>
      </c>
      <c r="BW85" s="70">
        <v>574.0</v>
      </c>
      <c r="BX85" s="70">
        <v>22991.0</v>
      </c>
      <c r="BY85" s="70">
        <v>97.0</v>
      </c>
      <c r="BZ85" s="70">
        <v>1192.0</v>
      </c>
      <c r="CA85" s="70">
        <v>456397.0</v>
      </c>
      <c r="CB85" s="70">
        <v>68235.0</v>
      </c>
      <c r="CC85" s="70">
        <v>27642.0</v>
      </c>
      <c r="CD85" s="70">
        <v>48413.0</v>
      </c>
      <c r="CE85" s="70">
        <v>30998.0</v>
      </c>
      <c r="CF85" s="70">
        <v>377555.0</v>
      </c>
      <c r="CG85" s="70">
        <v>14524.0</v>
      </c>
      <c r="CH85" s="70">
        <v>211546.0</v>
      </c>
      <c r="CI85" s="70">
        <v>329807.0</v>
      </c>
      <c r="CJ85" s="70">
        <v>76500.0</v>
      </c>
      <c r="CK85" s="70">
        <v>145781.0</v>
      </c>
      <c r="CL85" s="70">
        <v>57444.0</v>
      </c>
      <c r="CM85" s="70">
        <v>10699.0</v>
      </c>
      <c r="CN85" s="70">
        <v>35804.0</v>
      </c>
      <c r="CO85" s="70">
        <v>11192.0</v>
      </c>
      <c r="CP85" s="70">
        <v>17142.0</v>
      </c>
      <c r="CQ85" s="70">
        <v>929.0</v>
      </c>
      <c r="CR85" s="70">
        <v>1605.0</v>
      </c>
      <c r="CS85" s="70">
        <v>8903.0</v>
      </c>
      <c r="CT85" s="70">
        <v>54425.0</v>
      </c>
      <c r="CU85" s="70">
        <v>39054.0</v>
      </c>
      <c r="CV85" s="70">
        <v>52914.0</v>
      </c>
      <c r="CW85" s="70">
        <v>1807.0</v>
      </c>
      <c r="CX85" s="70">
        <v>0.0</v>
      </c>
      <c r="CY85" s="70">
        <v>0.0</v>
      </c>
      <c r="CZ85" s="70">
        <v>0.0</v>
      </c>
      <c r="DA85" s="70">
        <v>0.0</v>
      </c>
      <c r="DB85" s="70">
        <v>5760.0</v>
      </c>
      <c r="DC85" s="70">
        <v>0.0</v>
      </c>
      <c r="DD85" s="70">
        <v>5904.0</v>
      </c>
      <c r="DE85" s="70">
        <v>341.0</v>
      </c>
      <c r="DF85" s="70">
        <v>22949.0</v>
      </c>
      <c r="DG85" s="70">
        <v>2717.0</v>
      </c>
      <c r="DH85" s="70">
        <v>12037.0</v>
      </c>
      <c r="DI85" s="70">
        <v>59134.0</v>
      </c>
      <c r="DJ85" s="70">
        <v>1546.0</v>
      </c>
      <c r="DK85" s="70">
        <v>16871.0</v>
      </c>
      <c r="DL85" s="70">
        <v>26347.0</v>
      </c>
      <c r="DM85" s="70">
        <v>1976.0</v>
      </c>
      <c r="DN85" s="70">
        <v>5764.0</v>
      </c>
      <c r="DO85" s="70">
        <v>59793.0</v>
      </c>
      <c r="DP85" s="70">
        <v>3335.0</v>
      </c>
      <c r="DQ85" s="70">
        <v>2751.0</v>
      </c>
      <c r="DR85" s="70">
        <v>2886.0</v>
      </c>
      <c r="DS85" s="70">
        <v>508.0</v>
      </c>
      <c r="DT85" s="70">
        <v>3434.0</v>
      </c>
      <c r="DU85" s="70">
        <v>120.0</v>
      </c>
      <c r="DV85" s="70">
        <v>26941.0</v>
      </c>
      <c r="DW85" s="70">
        <v>1605.0</v>
      </c>
      <c r="DX85" s="70">
        <v>768.0</v>
      </c>
      <c r="DY85" s="70">
        <v>138.0</v>
      </c>
      <c r="DZ85" s="70">
        <v>3303.0</v>
      </c>
      <c r="EA85" s="70">
        <v>13.0</v>
      </c>
      <c r="EB85" s="70">
        <v>36.0</v>
      </c>
      <c r="EC85" s="70">
        <v>122990.0</v>
      </c>
      <c r="ED85" s="70">
        <v>801.0</v>
      </c>
      <c r="EE85" s="70">
        <v>5676.0</v>
      </c>
      <c r="EF85" s="70">
        <v>370.0</v>
      </c>
      <c r="EG85" s="70">
        <v>7901.0</v>
      </c>
      <c r="EH85" s="70">
        <v>35336.0</v>
      </c>
      <c r="EI85" s="70">
        <v>2640.0</v>
      </c>
      <c r="EJ85" s="70">
        <v>1290.0</v>
      </c>
      <c r="EK85" s="70">
        <v>905.0</v>
      </c>
      <c r="EL85" s="70">
        <v>94426.0</v>
      </c>
      <c r="EM85" s="70">
        <v>30286.0</v>
      </c>
      <c r="EN85" s="70">
        <v>5781.0</v>
      </c>
      <c r="EO85" s="70">
        <v>78986.0</v>
      </c>
      <c r="EP85" s="70">
        <v>48238.0</v>
      </c>
      <c r="EQ85" s="70">
        <v>1011.0</v>
      </c>
      <c r="ER85" s="70">
        <v>659.0</v>
      </c>
      <c r="ES85" s="70">
        <v>672.0</v>
      </c>
      <c r="ET85" s="70">
        <v>52529.0</v>
      </c>
      <c r="EU85" s="70">
        <v>939701.0</v>
      </c>
      <c r="EV85" s="70">
        <v>15744.0</v>
      </c>
      <c r="EW85" s="70">
        <v>2885.0</v>
      </c>
      <c r="EX85" s="70">
        <v>119698.0</v>
      </c>
      <c r="EY85" s="70">
        <v>853852.0</v>
      </c>
      <c r="EZ85" s="70">
        <v>28334.0</v>
      </c>
      <c r="FA85" s="70">
        <v>14042.0</v>
      </c>
      <c r="FB85" s="70">
        <v>783767.0</v>
      </c>
      <c r="FC85" s="70">
        <v>120.0</v>
      </c>
      <c r="FD85" s="70">
        <v>1421.0</v>
      </c>
      <c r="FE85" s="70">
        <v>720.0</v>
      </c>
      <c r="FF85" s="70">
        <v>520.0</v>
      </c>
      <c r="FG85" s="70">
        <v>529.0</v>
      </c>
      <c r="FH85" s="70">
        <v>7677.0</v>
      </c>
      <c r="FI85" s="70">
        <v>118941.0</v>
      </c>
      <c r="FJ85" s="70">
        <v>73588.0</v>
      </c>
      <c r="FK85" s="70">
        <v>113855.0</v>
      </c>
      <c r="FL85" s="70">
        <v>7133.0</v>
      </c>
      <c r="FM85" s="70">
        <v>165250.0</v>
      </c>
      <c r="FN85" s="70">
        <v>16188.0</v>
      </c>
      <c r="FO85" s="70">
        <v>711.0</v>
      </c>
      <c r="FP85" s="70">
        <v>91715.0</v>
      </c>
      <c r="FQ85" s="70">
        <v>52608.0</v>
      </c>
      <c r="FR85" s="70">
        <v>0.0</v>
      </c>
      <c r="FS85" s="70">
        <v>2186.0</v>
      </c>
      <c r="FT85" s="70">
        <v>245880.0</v>
      </c>
      <c r="FU85" s="70">
        <v>267939.0</v>
      </c>
      <c r="FV85" s="70">
        <v>543586.0</v>
      </c>
      <c r="FW85" s="70">
        <v>1209.0</v>
      </c>
      <c r="FX85" s="70">
        <v>0.0</v>
      </c>
      <c r="FY85" s="70">
        <v>554565.0</v>
      </c>
      <c r="FZ85" s="70">
        <v>0.0</v>
      </c>
      <c r="GA85" s="70">
        <v>106460.0</v>
      </c>
      <c r="GB85" s="70">
        <v>1066448.0</v>
      </c>
      <c r="GC85" s="70">
        <v>136223.0</v>
      </c>
      <c r="GD85" s="70">
        <v>1082.0</v>
      </c>
      <c r="GE85" s="70">
        <v>1440162.0</v>
      </c>
      <c r="GF85" s="71">
        <v>1.505196E7</v>
      </c>
      <c r="GG85" s="72">
        <v>2.741972E7</v>
      </c>
      <c r="GH85" s="73">
        <v>0.0</v>
      </c>
      <c r="GI85" s="72">
        <v>0.0</v>
      </c>
      <c r="GJ85" s="72">
        <v>9842984.0</v>
      </c>
      <c r="GK85" s="72">
        <v>-45760.0</v>
      </c>
      <c r="GL85" s="72">
        <v>1.2565344E7</v>
      </c>
      <c r="GM85" s="72">
        <v>0.0</v>
      </c>
      <c r="GN85" s="71">
        <v>4.9782288E7</v>
      </c>
      <c r="GO85" s="74">
        <v>6.4834248E7</v>
      </c>
      <c r="GP85" s="72">
        <v>2.0797231E7</v>
      </c>
      <c r="GQ85" s="72">
        <v>0.0</v>
      </c>
      <c r="GR85" s="73">
        <v>0.0</v>
      </c>
      <c r="GS85" s="71">
        <v>2.0797231E7</v>
      </c>
      <c r="GT85" s="75">
        <v>3687113.0</v>
      </c>
      <c r="GU85" s="75">
        <v>7214924.0</v>
      </c>
      <c r="GV85" s="75">
        <v>1402458.0</v>
      </c>
      <c r="GW85" s="71">
        <v>1.2304495E7</v>
      </c>
      <c r="GX85" s="71">
        <v>2939100.0</v>
      </c>
      <c r="GY85" s="71">
        <v>2.8793422E7</v>
      </c>
      <c r="GZ85" s="74">
        <v>6.4834248E7</v>
      </c>
      <c r="HH85" s="106"/>
    </row>
    <row r="86" ht="15.75" customHeight="1">
      <c r="A86" s="52">
        <v>81.0</v>
      </c>
      <c r="B86" s="111" t="s">
        <v>593</v>
      </c>
      <c r="C86" s="54">
        <v>0.0</v>
      </c>
      <c r="D86" s="54">
        <v>0.0</v>
      </c>
      <c r="E86" s="54">
        <v>0.0</v>
      </c>
      <c r="F86" s="54">
        <v>0.0</v>
      </c>
      <c r="G86" s="54">
        <v>0.0</v>
      </c>
      <c r="H86" s="54">
        <v>0.0</v>
      </c>
      <c r="I86" s="54">
        <v>0.0</v>
      </c>
      <c r="J86" s="54">
        <v>0.0</v>
      </c>
      <c r="K86" s="54">
        <v>0.0</v>
      </c>
      <c r="L86" s="54">
        <v>0.0</v>
      </c>
      <c r="M86" s="54">
        <v>491.0</v>
      </c>
      <c r="N86" s="54">
        <v>132.0</v>
      </c>
      <c r="O86" s="54">
        <v>239.0</v>
      </c>
      <c r="P86" s="54">
        <v>0.0</v>
      </c>
      <c r="Q86" s="54">
        <v>439.0</v>
      </c>
      <c r="R86" s="54">
        <v>0.0</v>
      </c>
      <c r="S86" s="54">
        <v>193.0</v>
      </c>
      <c r="T86" s="54">
        <v>0.0</v>
      </c>
      <c r="U86" s="54">
        <v>0.0</v>
      </c>
      <c r="V86" s="54">
        <v>0.0</v>
      </c>
      <c r="W86" s="54">
        <v>0.0</v>
      </c>
      <c r="X86" s="54">
        <v>0.0</v>
      </c>
      <c r="Y86" s="54">
        <v>0.0</v>
      </c>
      <c r="Z86" s="54">
        <v>0.0</v>
      </c>
      <c r="AA86" s="54">
        <v>0.0</v>
      </c>
      <c r="AB86" s="54">
        <v>131.0</v>
      </c>
      <c r="AC86" s="54">
        <v>1.0</v>
      </c>
      <c r="AD86" s="54">
        <v>50.0</v>
      </c>
      <c r="AE86" s="54">
        <v>37.0</v>
      </c>
      <c r="AF86" s="54">
        <v>2335.0</v>
      </c>
      <c r="AG86" s="54">
        <v>40027.0</v>
      </c>
      <c r="AH86" s="54">
        <v>11850.0</v>
      </c>
      <c r="AI86" s="54">
        <v>223.0</v>
      </c>
      <c r="AJ86" s="54">
        <v>115.0</v>
      </c>
      <c r="AK86" s="54">
        <v>83.0</v>
      </c>
      <c r="AL86" s="54">
        <v>59.0</v>
      </c>
      <c r="AM86" s="54">
        <v>18553.0</v>
      </c>
      <c r="AN86" s="54">
        <v>11463.0</v>
      </c>
      <c r="AO86" s="54">
        <v>4272.0</v>
      </c>
      <c r="AP86" s="54">
        <v>508.0</v>
      </c>
      <c r="AQ86" s="54">
        <v>1792.0</v>
      </c>
      <c r="AR86" s="54">
        <v>95.0</v>
      </c>
      <c r="AS86" s="54">
        <v>487.0</v>
      </c>
      <c r="AT86" s="54">
        <v>103.0</v>
      </c>
      <c r="AU86" s="54">
        <v>80.0</v>
      </c>
      <c r="AV86" s="54">
        <v>378.0</v>
      </c>
      <c r="AW86" s="54">
        <v>109.0</v>
      </c>
      <c r="AX86" s="54">
        <v>2365.0</v>
      </c>
      <c r="AY86" s="54">
        <v>168.0</v>
      </c>
      <c r="AZ86" s="54">
        <v>5.0</v>
      </c>
      <c r="BA86" s="54">
        <v>130.0</v>
      </c>
      <c r="BB86" s="54">
        <v>68.0</v>
      </c>
      <c r="BC86" s="54">
        <v>3691.0</v>
      </c>
      <c r="BD86" s="54">
        <v>256.0</v>
      </c>
      <c r="BE86" s="54">
        <v>58.0</v>
      </c>
      <c r="BF86" s="54">
        <v>181.0</v>
      </c>
      <c r="BG86" s="54">
        <v>1158.0</v>
      </c>
      <c r="BH86" s="54">
        <v>9200.0</v>
      </c>
      <c r="BI86" s="54">
        <v>194.0</v>
      </c>
      <c r="BJ86" s="54">
        <v>1609.0</v>
      </c>
      <c r="BK86" s="54">
        <v>327.0</v>
      </c>
      <c r="BL86" s="54">
        <v>96.0</v>
      </c>
      <c r="BM86" s="54">
        <v>38.0</v>
      </c>
      <c r="BN86" s="54">
        <v>161.0</v>
      </c>
      <c r="BO86" s="54">
        <v>0.0</v>
      </c>
      <c r="BP86" s="54">
        <v>143.0</v>
      </c>
      <c r="BQ86" s="54">
        <v>2064.0</v>
      </c>
      <c r="BR86" s="54">
        <v>1829.0</v>
      </c>
      <c r="BS86" s="54">
        <v>1047.0</v>
      </c>
      <c r="BT86" s="54">
        <v>4210.0</v>
      </c>
      <c r="BU86" s="54">
        <v>4944.0</v>
      </c>
      <c r="BV86" s="54">
        <v>3441.0</v>
      </c>
      <c r="BW86" s="54">
        <v>366.0</v>
      </c>
      <c r="BX86" s="54">
        <v>594.0</v>
      </c>
      <c r="BY86" s="54">
        <v>3742.0</v>
      </c>
      <c r="BZ86" s="54">
        <v>84.0</v>
      </c>
      <c r="CA86" s="54">
        <v>563636.0</v>
      </c>
      <c r="CB86" s="54">
        <v>391.0</v>
      </c>
      <c r="CC86" s="54">
        <v>153777.0</v>
      </c>
      <c r="CD86" s="54">
        <v>2451500.0</v>
      </c>
      <c r="CE86" s="54">
        <v>97976.0</v>
      </c>
      <c r="CF86" s="54">
        <v>5.2533898E7</v>
      </c>
      <c r="CG86" s="54">
        <v>9396.0</v>
      </c>
      <c r="CH86" s="54">
        <v>225089.0</v>
      </c>
      <c r="CI86" s="54">
        <v>1696318.0</v>
      </c>
      <c r="CJ86" s="54">
        <v>497.0</v>
      </c>
      <c r="CK86" s="54">
        <v>380.0</v>
      </c>
      <c r="CL86" s="54">
        <v>8028.0</v>
      </c>
      <c r="CM86" s="54">
        <v>9141.0</v>
      </c>
      <c r="CN86" s="54">
        <v>8053.0</v>
      </c>
      <c r="CO86" s="54">
        <v>10905.0</v>
      </c>
      <c r="CP86" s="54">
        <v>53325.0</v>
      </c>
      <c r="CQ86" s="54">
        <v>2259.0</v>
      </c>
      <c r="CR86" s="54">
        <v>168.0</v>
      </c>
      <c r="CS86" s="54">
        <v>2789.0</v>
      </c>
      <c r="CT86" s="54">
        <v>0.0</v>
      </c>
      <c r="CU86" s="54">
        <v>0.0</v>
      </c>
      <c r="CV86" s="54">
        <v>460.0</v>
      </c>
      <c r="CW86" s="54">
        <v>0.0</v>
      </c>
      <c r="CX86" s="54">
        <v>170.0</v>
      </c>
      <c r="CY86" s="54">
        <v>38.0</v>
      </c>
      <c r="CZ86" s="54">
        <v>239.0</v>
      </c>
      <c r="DA86" s="54">
        <v>843.0</v>
      </c>
      <c r="DB86" s="54">
        <v>149.0</v>
      </c>
      <c r="DC86" s="54">
        <v>382.0</v>
      </c>
      <c r="DD86" s="54">
        <v>384.0</v>
      </c>
      <c r="DE86" s="54">
        <v>537.0</v>
      </c>
      <c r="DF86" s="54">
        <v>510.0</v>
      </c>
      <c r="DG86" s="54">
        <v>1075.0</v>
      </c>
      <c r="DH86" s="54">
        <v>6471.0</v>
      </c>
      <c r="DI86" s="54">
        <v>174.0</v>
      </c>
      <c r="DJ86" s="54">
        <v>1941.0</v>
      </c>
      <c r="DK86" s="54">
        <v>1265.0</v>
      </c>
      <c r="DL86" s="54">
        <v>181.0</v>
      </c>
      <c r="DM86" s="54">
        <v>129.0</v>
      </c>
      <c r="DN86" s="54">
        <v>0.0</v>
      </c>
      <c r="DO86" s="54">
        <v>262.0</v>
      </c>
      <c r="DP86" s="54">
        <v>143.0</v>
      </c>
      <c r="DQ86" s="54">
        <v>3945.0</v>
      </c>
      <c r="DR86" s="54">
        <v>17266.0</v>
      </c>
      <c r="DS86" s="54">
        <v>8364.0</v>
      </c>
      <c r="DT86" s="54">
        <v>8971.0</v>
      </c>
      <c r="DU86" s="54">
        <v>163.0</v>
      </c>
      <c r="DV86" s="54">
        <v>90.0</v>
      </c>
      <c r="DW86" s="54">
        <v>75.0</v>
      </c>
      <c r="DX86" s="54">
        <v>397.0</v>
      </c>
      <c r="DY86" s="54">
        <v>220.0</v>
      </c>
      <c r="DZ86" s="54">
        <v>83.0</v>
      </c>
      <c r="EA86" s="54">
        <v>17.0</v>
      </c>
      <c r="EB86" s="54">
        <v>21.0</v>
      </c>
      <c r="EC86" s="54">
        <v>29.0</v>
      </c>
      <c r="ED86" s="54">
        <v>6491.0</v>
      </c>
      <c r="EE86" s="54">
        <v>36.0</v>
      </c>
      <c r="EF86" s="54">
        <v>404.0</v>
      </c>
      <c r="EG86" s="54">
        <v>226.0</v>
      </c>
      <c r="EH86" s="54">
        <v>288.0</v>
      </c>
      <c r="EI86" s="54">
        <v>1381821.0</v>
      </c>
      <c r="EJ86" s="54">
        <v>3805.0</v>
      </c>
      <c r="EK86" s="54">
        <v>498.0</v>
      </c>
      <c r="EL86" s="54">
        <v>264675.0</v>
      </c>
      <c r="EM86" s="54">
        <v>651.0</v>
      </c>
      <c r="EN86" s="54">
        <v>422.0</v>
      </c>
      <c r="EO86" s="54">
        <v>362.0</v>
      </c>
      <c r="EP86" s="54">
        <v>137.0</v>
      </c>
      <c r="EQ86" s="54">
        <v>481.0</v>
      </c>
      <c r="ER86" s="54">
        <v>272.0</v>
      </c>
      <c r="ES86" s="54">
        <v>265.0</v>
      </c>
      <c r="ET86" s="54">
        <v>47464.0</v>
      </c>
      <c r="EU86" s="54">
        <v>0.0</v>
      </c>
      <c r="EV86" s="54">
        <v>16.0</v>
      </c>
      <c r="EW86" s="54">
        <v>0.0</v>
      </c>
      <c r="EX86" s="54">
        <v>0.0</v>
      </c>
      <c r="EY86" s="54">
        <v>0.0</v>
      </c>
      <c r="EZ86" s="54">
        <v>1116.0</v>
      </c>
      <c r="FA86" s="54">
        <v>3887.0</v>
      </c>
      <c r="FB86" s="54">
        <v>21254.0</v>
      </c>
      <c r="FC86" s="54">
        <v>291.0</v>
      </c>
      <c r="FD86" s="54">
        <v>296.0</v>
      </c>
      <c r="FE86" s="54">
        <v>317.0</v>
      </c>
      <c r="FF86" s="54">
        <v>262.0</v>
      </c>
      <c r="FG86" s="54">
        <v>0.0</v>
      </c>
      <c r="FH86" s="54">
        <v>131680.0</v>
      </c>
      <c r="FI86" s="54">
        <v>1220.0</v>
      </c>
      <c r="FJ86" s="54">
        <v>2.0</v>
      </c>
      <c r="FK86" s="54">
        <v>0.0</v>
      </c>
      <c r="FL86" s="54">
        <v>522.0</v>
      </c>
      <c r="FM86" s="54">
        <v>221.0</v>
      </c>
      <c r="FN86" s="54">
        <v>82.0</v>
      </c>
      <c r="FO86" s="54">
        <v>95.0</v>
      </c>
      <c r="FP86" s="54">
        <v>209062.0</v>
      </c>
      <c r="FQ86" s="54">
        <v>219.0</v>
      </c>
      <c r="FR86" s="54">
        <v>19.0</v>
      </c>
      <c r="FS86" s="54">
        <v>30058.0</v>
      </c>
      <c r="FT86" s="54">
        <v>7265.0</v>
      </c>
      <c r="FU86" s="54">
        <v>9353.0</v>
      </c>
      <c r="FV86" s="54">
        <v>26040.0</v>
      </c>
      <c r="FW86" s="54">
        <v>1311.0</v>
      </c>
      <c r="FX86" s="54">
        <v>62.0</v>
      </c>
      <c r="FY86" s="54">
        <v>1009853.0</v>
      </c>
      <c r="FZ86" s="54">
        <v>58.0</v>
      </c>
      <c r="GA86" s="54">
        <v>11655.0</v>
      </c>
      <c r="GB86" s="54">
        <v>1257.0</v>
      </c>
      <c r="GC86" s="54">
        <v>11516.0</v>
      </c>
      <c r="GD86" s="54">
        <v>0.0</v>
      </c>
      <c r="GE86" s="54">
        <v>1585716.0</v>
      </c>
      <c r="GF86" s="55">
        <v>6.2791937E7</v>
      </c>
      <c r="GG86" s="56">
        <v>6015358.0</v>
      </c>
      <c r="GH86" s="57">
        <v>0.0</v>
      </c>
      <c r="GI86" s="56">
        <v>0.0</v>
      </c>
      <c r="GJ86" s="56">
        <v>0.0</v>
      </c>
      <c r="GK86" s="56">
        <v>129425.0</v>
      </c>
      <c r="GL86" s="56">
        <v>1981879.0</v>
      </c>
      <c r="GM86" s="56">
        <v>0.0</v>
      </c>
      <c r="GN86" s="55">
        <v>8126662.0</v>
      </c>
      <c r="GO86" s="58">
        <v>7.0918599E7</v>
      </c>
      <c r="GP86" s="56">
        <v>2.1890641E7</v>
      </c>
      <c r="GQ86" s="56">
        <v>0.0</v>
      </c>
      <c r="GR86" s="57">
        <v>0.0</v>
      </c>
      <c r="GS86" s="55">
        <v>2.1890641E7</v>
      </c>
      <c r="GT86" s="59">
        <v>4106175.0</v>
      </c>
      <c r="GU86" s="59">
        <v>8336375.0</v>
      </c>
      <c r="GV86" s="59">
        <v>1504641.0</v>
      </c>
      <c r="GW86" s="55">
        <v>1.3947191E7</v>
      </c>
      <c r="GX86" s="55">
        <v>496793.0</v>
      </c>
      <c r="GY86" s="55">
        <v>3.4583974E7</v>
      </c>
      <c r="GZ86" s="58">
        <v>7.0918599E7</v>
      </c>
      <c r="HH86" s="106"/>
    </row>
    <row r="87" ht="15.75" customHeight="1">
      <c r="A87" s="60">
        <v>82.0</v>
      </c>
      <c r="B87" s="111" t="s">
        <v>352</v>
      </c>
      <c r="C87" s="62">
        <v>0.0</v>
      </c>
      <c r="D87" s="62">
        <v>0.0</v>
      </c>
      <c r="E87" s="62">
        <v>0.0</v>
      </c>
      <c r="F87" s="62">
        <v>0.0</v>
      </c>
      <c r="G87" s="62">
        <v>0.0</v>
      </c>
      <c r="H87" s="62">
        <v>0.0</v>
      </c>
      <c r="I87" s="62">
        <v>0.0</v>
      </c>
      <c r="J87" s="62">
        <v>0.0</v>
      </c>
      <c r="K87" s="62">
        <v>0.0</v>
      </c>
      <c r="L87" s="62">
        <v>0.0</v>
      </c>
      <c r="M87" s="62">
        <v>0.0</v>
      </c>
      <c r="N87" s="62">
        <v>0.0</v>
      </c>
      <c r="O87" s="62">
        <v>18973.0</v>
      </c>
      <c r="P87" s="62">
        <v>0.0</v>
      </c>
      <c r="Q87" s="62">
        <v>0.0</v>
      </c>
      <c r="R87" s="62">
        <v>0.0</v>
      </c>
      <c r="S87" s="62">
        <v>0.0</v>
      </c>
      <c r="T87" s="62">
        <v>20050.0</v>
      </c>
      <c r="U87" s="62">
        <v>15.0</v>
      </c>
      <c r="V87" s="62">
        <v>465.0</v>
      </c>
      <c r="W87" s="62">
        <v>12.0</v>
      </c>
      <c r="X87" s="62">
        <v>0.0</v>
      </c>
      <c r="Y87" s="62">
        <v>0.0</v>
      </c>
      <c r="Z87" s="62">
        <v>0.0</v>
      </c>
      <c r="AA87" s="62">
        <v>0.0</v>
      </c>
      <c r="AB87" s="62">
        <v>0.0</v>
      </c>
      <c r="AC87" s="62">
        <v>0.0</v>
      </c>
      <c r="AD87" s="62">
        <v>0.0</v>
      </c>
      <c r="AE87" s="62">
        <v>0.0</v>
      </c>
      <c r="AF87" s="62">
        <v>187528.0</v>
      </c>
      <c r="AG87" s="62">
        <v>44160.0</v>
      </c>
      <c r="AH87" s="62">
        <v>5710.0</v>
      </c>
      <c r="AI87" s="62">
        <v>0.0</v>
      </c>
      <c r="AJ87" s="62">
        <v>0.0</v>
      </c>
      <c r="AK87" s="62">
        <v>0.0</v>
      </c>
      <c r="AL87" s="62">
        <v>0.0</v>
      </c>
      <c r="AM87" s="62">
        <v>130621.0</v>
      </c>
      <c r="AN87" s="62">
        <v>18846.0</v>
      </c>
      <c r="AO87" s="62">
        <v>11437.0</v>
      </c>
      <c r="AP87" s="62">
        <v>0.0</v>
      </c>
      <c r="AQ87" s="62">
        <v>827.0</v>
      </c>
      <c r="AR87" s="62">
        <v>15.0</v>
      </c>
      <c r="AS87" s="62">
        <v>709.0</v>
      </c>
      <c r="AT87" s="62">
        <v>88.0</v>
      </c>
      <c r="AU87" s="62">
        <v>2188.0</v>
      </c>
      <c r="AV87" s="62">
        <v>71548.0</v>
      </c>
      <c r="AW87" s="62">
        <v>167.0</v>
      </c>
      <c r="AX87" s="62">
        <v>4107.0</v>
      </c>
      <c r="AY87" s="62">
        <v>9.0</v>
      </c>
      <c r="AZ87" s="62">
        <v>47.0</v>
      </c>
      <c r="BA87" s="62">
        <v>6985.0</v>
      </c>
      <c r="BB87" s="62">
        <v>3681.0</v>
      </c>
      <c r="BC87" s="62">
        <v>7965.0</v>
      </c>
      <c r="BD87" s="62">
        <v>5.0</v>
      </c>
      <c r="BE87" s="62">
        <v>0.0</v>
      </c>
      <c r="BF87" s="62">
        <v>163.0</v>
      </c>
      <c r="BG87" s="62">
        <v>0.0</v>
      </c>
      <c r="BH87" s="62">
        <v>0.0</v>
      </c>
      <c r="BI87" s="62">
        <v>0.0</v>
      </c>
      <c r="BJ87" s="62">
        <v>0.0</v>
      </c>
      <c r="BK87" s="62">
        <v>76.0</v>
      </c>
      <c r="BL87" s="62">
        <v>0.0</v>
      </c>
      <c r="BM87" s="62">
        <v>45.0</v>
      </c>
      <c r="BN87" s="62">
        <v>0.0</v>
      </c>
      <c r="BO87" s="62">
        <v>969.0</v>
      </c>
      <c r="BP87" s="62">
        <v>0.0</v>
      </c>
      <c r="BQ87" s="62">
        <v>49.0</v>
      </c>
      <c r="BR87" s="62">
        <v>0.0</v>
      </c>
      <c r="BS87" s="62">
        <v>0.0</v>
      </c>
      <c r="BT87" s="62">
        <v>0.0</v>
      </c>
      <c r="BU87" s="62">
        <v>0.0</v>
      </c>
      <c r="BV87" s="62">
        <v>34276.0</v>
      </c>
      <c r="BW87" s="62">
        <v>0.0</v>
      </c>
      <c r="BX87" s="62">
        <v>880.0</v>
      </c>
      <c r="BY87" s="62">
        <v>0.0</v>
      </c>
      <c r="BZ87" s="62">
        <v>0.0</v>
      </c>
      <c r="CA87" s="62">
        <v>173372.0</v>
      </c>
      <c r="CB87" s="62">
        <v>93366.0</v>
      </c>
      <c r="CC87" s="62">
        <v>27871.0</v>
      </c>
      <c r="CD87" s="62">
        <v>26596.0</v>
      </c>
      <c r="CE87" s="62">
        <v>14777.0</v>
      </c>
      <c r="CF87" s="62">
        <v>341922.0</v>
      </c>
      <c r="CG87" s="62">
        <v>1689.0</v>
      </c>
      <c r="CH87" s="62">
        <v>20314.0</v>
      </c>
      <c r="CI87" s="62">
        <v>199510.0</v>
      </c>
      <c r="CJ87" s="62">
        <v>59810.0</v>
      </c>
      <c r="CK87" s="62">
        <v>127344.0</v>
      </c>
      <c r="CL87" s="62">
        <v>211412.0</v>
      </c>
      <c r="CM87" s="62">
        <v>190481.0</v>
      </c>
      <c r="CN87" s="62">
        <v>88554.0</v>
      </c>
      <c r="CO87" s="62">
        <v>168183.0</v>
      </c>
      <c r="CP87" s="62">
        <v>151040.0</v>
      </c>
      <c r="CQ87" s="62">
        <v>88207.0</v>
      </c>
      <c r="CR87" s="62">
        <v>4184.0</v>
      </c>
      <c r="CS87" s="62">
        <v>2034.0</v>
      </c>
      <c r="CT87" s="62">
        <v>1209.0</v>
      </c>
      <c r="CU87" s="62">
        <v>755.0</v>
      </c>
      <c r="CV87" s="62">
        <v>129.0</v>
      </c>
      <c r="CW87" s="62">
        <v>0.0</v>
      </c>
      <c r="CX87" s="62">
        <v>372.0</v>
      </c>
      <c r="CY87" s="62">
        <v>25.0</v>
      </c>
      <c r="CZ87" s="62">
        <v>478.0</v>
      </c>
      <c r="DA87" s="62">
        <v>10990.0</v>
      </c>
      <c r="DB87" s="62">
        <v>540.0</v>
      </c>
      <c r="DC87" s="62">
        <v>24709.0</v>
      </c>
      <c r="DD87" s="62">
        <v>201.0</v>
      </c>
      <c r="DE87" s="62">
        <v>3411.0</v>
      </c>
      <c r="DF87" s="62">
        <v>4096.0</v>
      </c>
      <c r="DG87" s="62">
        <v>1000.0</v>
      </c>
      <c r="DH87" s="62">
        <v>7474.0</v>
      </c>
      <c r="DI87" s="62">
        <v>3029.0</v>
      </c>
      <c r="DJ87" s="62">
        <v>1957.0</v>
      </c>
      <c r="DK87" s="62">
        <v>2359.0</v>
      </c>
      <c r="DL87" s="62">
        <v>33702.0</v>
      </c>
      <c r="DM87" s="62">
        <v>12332.0</v>
      </c>
      <c r="DN87" s="62">
        <v>1330.0</v>
      </c>
      <c r="DO87" s="62">
        <v>28703.0</v>
      </c>
      <c r="DP87" s="62">
        <v>2981.0</v>
      </c>
      <c r="DQ87" s="62">
        <v>15466.0</v>
      </c>
      <c r="DR87" s="62">
        <v>47895.0</v>
      </c>
      <c r="DS87" s="62">
        <v>370020.0</v>
      </c>
      <c r="DT87" s="62">
        <v>16354.0</v>
      </c>
      <c r="DU87" s="62">
        <v>0.0</v>
      </c>
      <c r="DV87" s="62">
        <v>134604.0</v>
      </c>
      <c r="DW87" s="62">
        <v>86420.0</v>
      </c>
      <c r="DX87" s="62">
        <v>73944.0</v>
      </c>
      <c r="DY87" s="62">
        <v>0.0</v>
      </c>
      <c r="DZ87" s="62">
        <v>105644.0</v>
      </c>
      <c r="EA87" s="62">
        <v>11179.0</v>
      </c>
      <c r="EB87" s="62">
        <v>104508.0</v>
      </c>
      <c r="EC87" s="62">
        <v>192525.0</v>
      </c>
      <c r="ED87" s="62">
        <v>4088.0</v>
      </c>
      <c r="EE87" s="62">
        <v>11264.0</v>
      </c>
      <c r="EF87" s="62">
        <v>3353.0</v>
      </c>
      <c r="EG87" s="62">
        <v>474.0</v>
      </c>
      <c r="EH87" s="62">
        <v>0.0</v>
      </c>
      <c r="EI87" s="62">
        <v>40722.0</v>
      </c>
      <c r="EJ87" s="62">
        <v>6225.0</v>
      </c>
      <c r="EK87" s="62">
        <v>1000.0</v>
      </c>
      <c r="EL87" s="62">
        <v>47191.0</v>
      </c>
      <c r="EM87" s="62">
        <v>6905.0</v>
      </c>
      <c r="EN87" s="62">
        <v>32606.0</v>
      </c>
      <c r="EO87" s="62">
        <v>15613.0</v>
      </c>
      <c r="EP87" s="62">
        <v>7621.0</v>
      </c>
      <c r="EQ87" s="62">
        <v>2261.0</v>
      </c>
      <c r="ER87" s="62">
        <v>17014.0</v>
      </c>
      <c r="ES87" s="62">
        <v>869.0</v>
      </c>
      <c r="ET87" s="62">
        <v>773868.0</v>
      </c>
      <c r="EU87" s="62">
        <v>2960540.0</v>
      </c>
      <c r="EV87" s="62">
        <v>5738.0</v>
      </c>
      <c r="EW87" s="62">
        <v>5156.0</v>
      </c>
      <c r="EX87" s="62">
        <v>12643.0</v>
      </c>
      <c r="EY87" s="62">
        <v>15564.0</v>
      </c>
      <c r="EZ87" s="62">
        <v>280139.0</v>
      </c>
      <c r="FA87" s="62">
        <v>325336.0</v>
      </c>
      <c r="FB87" s="62">
        <v>3492612.0</v>
      </c>
      <c r="FC87" s="62">
        <v>694.0</v>
      </c>
      <c r="FD87" s="62">
        <v>2147974.0</v>
      </c>
      <c r="FE87" s="62">
        <v>269248.0</v>
      </c>
      <c r="FF87" s="62">
        <v>3300.0</v>
      </c>
      <c r="FG87" s="62">
        <v>896481.0</v>
      </c>
      <c r="FH87" s="62">
        <v>193753.0</v>
      </c>
      <c r="FI87" s="62">
        <v>220087.0</v>
      </c>
      <c r="FJ87" s="62">
        <v>17834.0</v>
      </c>
      <c r="FK87" s="62">
        <v>3971.0</v>
      </c>
      <c r="FL87" s="62">
        <v>38203.0</v>
      </c>
      <c r="FM87" s="62">
        <v>660066.0</v>
      </c>
      <c r="FN87" s="62">
        <v>242367.0</v>
      </c>
      <c r="FO87" s="62">
        <v>105524.0</v>
      </c>
      <c r="FP87" s="62">
        <v>61252.0</v>
      </c>
      <c r="FQ87" s="62">
        <v>43111.0</v>
      </c>
      <c r="FR87" s="62">
        <v>550.0</v>
      </c>
      <c r="FS87" s="62">
        <v>3041.0</v>
      </c>
      <c r="FT87" s="62">
        <v>14996.0</v>
      </c>
      <c r="FU87" s="62">
        <v>361103.0</v>
      </c>
      <c r="FV87" s="62">
        <v>36900.0</v>
      </c>
      <c r="FW87" s="62">
        <v>894907.0</v>
      </c>
      <c r="FX87" s="62">
        <v>1016875.0</v>
      </c>
      <c r="FY87" s="62">
        <v>2111281.0</v>
      </c>
      <c r="FZ87" s="62">
        <v>145516.0</v>
      </c>
      <c r="GA87" s="62">
        <v>1715484.0</v>
      </c>
      <c r="GB87" s="62">
        <v>648958.0</v>
      </c>
      <c r="GC87" s="62">
        <v>99481.0</v>
      </c>
      <c r="GD87" s="62">
        <v>8005.0</v>
      </c>
      <c r="GE87" s="62">
        <v>1508058.0</v>
      </c>
      <c r="GF87" s="63">
        <v>2.5401445E7</v>
      </c>
      <c r="GG87" s="64">
        <v>2.22939617E8</v>
      </c>
      <c r="GH87" s="65">
        <v>0.0</v>
      </c>
      <c r="GI87" s="64">
        <v>0.0</v>
      </c>
      <c r="GJ87" s="64">
        <v>0.0</v>
      </c>
      <c r="GK87" s="64">
        <v>-691359.0</v>
      </c>
      <c r="GL87" s="64">
        <v>1.03327029E8</v>
      </c>
      <c r="GM87" s="64">
        <v>2339360.0</v>
      </c>
      <c r="GN87" s="63">
        <v>3.27914647E8</v>
      </c>
      <c r="GO87" s="66">
        <v>3.53316092E8</v>
      </c>
      <c r="GP87" s="64">
        <v>1.0109391E7</v>
      </c>
      <c r="GQ87" s="64">
        <v>747601.0</v>
      </c>
      <c r="GR87" s="65">
        <v>0.0</v>
      </c>
      <c r="GS87" s="63">
        <v>1.0856992E7</v>
      </c>
      <c r="GT87" s="67">
        <v>2.0705746E7</v>
      </c>
      <c r="GU87" s="67">
        <v>5.2063499E7</v>
      </c>
      <c r="GV87" s="67">
        <v>9730719.0</v>
      </c>
      <c r="GW87" s="63">
        <v>8.2499964E7</v>
      </c>
      <c r="GX87" s="63">
        <v>1.1141605E7</v>
      </c>
      <c r="GY87" s="63">
        <v>2.48817531E8</v>
      </c>
      <c r="GZ87" s="66">
        <v>3.53316092E8</v>
      </c>
      <c r="HH87" s="106"/>
    </row>
    <row r="88" ht="15.75" customHeight="1">
      <c r="A88" s="60">
        <v>83.0</v>
      </c>
      <c r="B88" s="111" t="s">
        <v>594</v>
      </c>
      <c r="C88" s="62">
        <v>0.0</v>
      </c>
      <c r="D88" s="62">
        <v>0.0</v>
      </c>
      <c r="E88" s="62">
        <v>0.0</v>
      </c>
      <c r="F88" s="62">
        <v>0.0</v>
      </c>
      <c r="G88" s="62">
        <v>0.0</v>
      </c>
      <c r="H88" s="62">
        <v>0.0</v>
      </c>
      <c r="I88" s="62">
        <v>0.0</v>
      </c>
      <c r="J88" s="62">
        <v>0.0</v>
      </c>
      <c r="K88" s="62">
        <v>0.0</v>
      </c>
      <c r="L88" s="62">
        <v>0.0</v>
      </c>
      <c r="M88" s="62">
        <v>0.0</v>
      </c>
      <c r="N88" s="62">
        <v>0.0</v>
      </c>
      <c r="O88" s="62">
        <v>0.0</v>
      </c>
      <c r="P88" s="62">
        <v>0.0</v>
      </c>
      <c r="Q88" s="62">
        <v>0.0</v>
      </c>
      <c r="R88" s="62">
        <v>0.0</v>
      </c>
      <c r="S88" s="62">
        <v>0.0</v>
      </c>
      <c r="T88" s="62">
        <v>0.0</v>
      </c>
      <c r="U88" s="62">
        <v>0.0</v>
      </c>
      <c r="V88" s="62">
        <v>0.0</v>
      </c>
      <c r="W88" s="62">
        <v>0.0</v>
      </c>
      <c r="X88" s="62">
        <v>0.0</v>
      </c>
      <c r="Y88" s="62">
        <v>0.0</v>
      </c>
      <c r="Z88" s="62">
        <v>0.0</v>
      </c>
      <c r="AA88" s="62">
        <v>0.0</v>
      </c>
      <c r="AB88" s="62">
        <v>0.0</v>
      </c>
      <c r="AC88" s="62">
        <v>0.0</v>
      </c>
      <c r="AD88" s="62">
        <v>0.0</v>
      </c>
      <c r="AE88" s="62">
        <v>0.0</v>
      </c>
      <c r="AF88" s="62">
        <v>0.0</v>
      </c>
      <c r="AG88" s="62">
        <v>0.0</v>
      </c>
      <c r="AH88" s="62">
        <v>0.0</v>
      </c>
      <c r="AI88" s="62">
        <v>0.0</v>
      </c>
      <c r="AJ88" s="62">
        <v>0.0</v>
      </c>
      <c r="AK88" s="62">
        <v>0.0</v>
      </c>
      <c r="AL88" s="62">
        <v>0.0</v>
      </c>
      <c r="AM88" s="62">
        <v>0.0</v>
      </c>
      <c r="AN88" s="62">
        <v>0.0</v>
      </c>
      <c r="AO88" s="62">
        <v>0.0</v>
      </c>
      <c r="AP88" s="62">
        <v>0.0</v>
      </c>
      <c r="AQ88" s="62">
        <v>0.0</v>
      </c>
      <c r="AR88" s="62">
        <v>0.0</v>
      </c>
      <c r="AS88" s="62">
        <v>0.0</v>
      </c>
      <c r="AT88" s="62">
        <v>0.0</v>
      </c>
      <c r="AU88" s="62">
        <v>0.0</v>
      </c>
      <c r="AV88" s="62">
        <v>0.0</v>
      </c>
      <c r="AW88" s="62">
        <v>0.0</v>
      </c>
      <c r="AX88" s="62">
        <v>0.0</v>
      </c>
      <c r="AY88" s="62">
        <v>0.0</v>
      </c>
      <c r="AZ88" s="62">
        <v>0.0</v>
      </c>
      <c r="BA88" s="62">
        <v>0.0</v>
      </c>
      <c r="BB88" s="62">
        <v>0.0</v>
      </c>
      <c r="BC88" s="62">
        <v>0.0</v>
      </c>
      <c r="BD88" s="62">
        <v>0.0</v>
      </c>
      <c r="BE88" s="62">
        <v>0.0</v>
      </c>
      <c r="BF88" s="62">
        <v>0.0</v>
      </c>
      <c r="BG88" s="62">
        <v>0.0</v>
      </c>
      <c r="BH88" s="62">
        <v>0.0</v>
      </c>
      <c r="BI88" s="62">
        <v>0.0</v>
      </c>
      <c r="BJ88" s="62">
        <v>0.0</v>
      </c>
      <c r="BK88" s="62">
        <v>0.0</v>
      </c>
      <c r="BL88" s="62">
        <v>0.0</v>
      </c>
      <c r="BM88" s="62">
        <v>0.0</v>
      </c>
      <c r="BN88" s="62">
        <v>0.0</v>
      </c>
      <c r="BO88" s="62">
        <v>0.0</v>
      </c>
      <c r="BP88" s="62">
        <v>0.0</v>
      </c>
      <c r="BQ88" s="62">
        <v>0.0</v>
      </c>
      <c r="BR88" s="62">
        <v>0.0</v>
      </c>
      <c r="BS88" s="62">
        <v>0.0</v>
      </c>
      <c r="BT88" s="62">
        <v>0.0</v>
      </c>
      <c r="BU88" s="62">
        <v>0.0</v>
      </c>
      <c r="BV88" s="62">
        <v>0.0</v>
      </c>
      <c r="BW88" s="62">
        <v>0.0</v>
      </c>
      <c r="BX88" s="62">
        <v>0.0</v>
      </c>
      <c r="BY88" s="62">
        <v>0.0</v>
      </c>
      <c r="BZ88" s="62">
        <v>0.0</v>
      </c>
      <c r="CA88" s="62">
        <v>182227.0</v>
      </c>
      <c r="CB88" s="62">
        <v>73.0</v>
      </c>
      <c r="CC88" s="62">
        <v>8938.0</v>
      </c>
      <c r="CD88" s="62">
        <v>9722.0</v>
      </c>
      <c r="CE88" s="62">
        <v>5455.0</v>
      </c>
      <c r="CF88" s="62">
        <v>249815.0</v>
      </c>
      <c r="CG88" s="62">
        <v>1739567.0</v>
      </c>
      <c r="CH88" s="62">
        <v>2701907.0</v>
      </c>
      <c r="CI88" s="62">
        <v>2.1153919E7</v>
      </c>
      <c r="CJ88" s="62">
        <v>925.0</v>
      </c>
      <c r="CK88" s="62">
        <v>0.0</v>
      </c>
      <c r="CL88" s="62">
        <v>207.0</v>
      </c>
      <c r="CM88" s="62">
        <v>8235.0</v>
      </c>
      <c r="CN88" s="62">
        <v>0.0</v>
      </c>
      <c r="CO88" s="62">
        <v>0.0</v>
      </c>
      <c r="CP88" s="62">
        <v>416.0</v>
      </c>
      <c r="CQ88" s="62">
        <v>0.0</v>
      </c>
      <c r="CR88" s="62">
        <v>0.0</v>
      </c>
      <c r="CS88" s="62">
        <v>0.0</v>
      </c>
      <c r="CT88" s="62">
        <v>0.0</v>
      </c>
      <c r="CU88" s="62">
        <v>0.0</v>
      </c>
      <c r="CV88" s="62">
        <v>0.0</v>
      </c>
      <c r="CW88" s="62">
        <v>0.0</v>
      </c>
      <c r="CX88" s="62">
        <v>0.0</v>
      </c>
      <c r="CY88" s="62">
        <v>0.0</v>
      </c>
      <c r="CZ88" s="62">
        <v>0.0</v>
      </c>
      <c r="DA88" s="62">
        <v>0.0</v>
      </c>
      <c r="DB88" s="62">
        <v>0.0</v>
      </c>
      <c r="DC88" s="62">
        <v>0.0</v>
      </c>
      <c r="DD88" s="62">
        <v>0.0</v>
      </c>
      <c r="DE88" s="62">
        <v>0.0</v>
      </c>
      <c r="DF88" s="62">
        <v>0.0</v>
      </c>
      <c r="DG88" s="62">
        <v>0.0</v>
      </c>
      <c r="DH88" s="62">
        <v>0.0</v>
      </c>
      <c r="DI88" s="62">
        <v>0.0</v>
      </c>
      <c r="DJ88" s="62">
        <v>0.0</v>
      </c>
      <c r="DK88" s="62">
        <v>0.0</v>
      </c>
      <c r="DL88" s="62">
        <v>0.0</v>
      </c>
      <c r="DM88" s="62">
        <v>0.0</v>
      </c>
      <c r="DN88" s="62">
        <v>0.0</v>
      </c>
      <c r="DO88" s="62">
        <v>0.0</v>
      </c>
      <c r="DP88" s="62">
        <v>2077.0</v>
      </c>
      <c r="DQ88" s="62">
        <v>10381.0</v>
      </c>
      <c r="DR88" s="62">
        <v>26611.0</v>
      </c>
      <c r="DS88" s="62">
        <v>12188.0</v>
      </c>
      <c r="DT88" s="62">
        <v>0.0</v>
      </c>
      <c r="DU88" s="62">
        <v>0.0</v>
      </c>
      <c r="DV88" s="62">
        <v>0.0</v>
      </c>
      <c r="DW88" s="62">
        <v>0.0</v>
      </c>
      <c r="DX88" s="62">
        <v>2919.0</v>
      </c>
      <c r="DY88" s="62">
        <v>9831.0</v>
      </c>
      <c r="DZ88" s="62">
        <v>0.0</v>
      </c>
      <c r="EA88" s="62">
        <v>0.0</v>
      </c>
      <c r="EB88" s="62">
        <v>0.0</v>
      </c>
      <c r="EC88" s="62">
        <v>15118.0</v>
      </c>
      <c r="ED88" s="62">
        <v>0.0</v>
      </c>
      <c r="EE88" s="62">
        <v>0.0</v>
      </c>
      <c r="EF88" s="62">
        <v>0.0</v>
      </c>
      <c r="EG88" s="62">
        <v>2928.0</v>
      </c>
      <c r="EH88" s="62">
        <v>12736.0</v>
      </c>
      <c r="EI88" s="62">
        <v>1582489.0</v>
      </c>
      <c r="EJ88" s="62">
        <v>3423.0</v>
      </c>
      <c r="EK88" s="62">
        <v>14653.0</v>
      </c>
      <c r="EL88" s="62">
        <v>24802.0</v>
      </c>
      <c r="EM88" s="62">
        <v>356.0</v>
      </c>
      <c r="EN88" s="62">
        <v>0.0</v>
      </c>
      <c r="EO88" s="62">
        <v>807.0</v>
      </c>
      <c r="EP88" s="62">
        <v>2224.0</v>
      </c>
      <c r="EQ88" s="62">
        <v>0.0</v>
      </c>
      <c r="ER88" s="62">
        <v>0.0</v>
      </c>
      <c r="ES88" s="62">
        <v>0.0</v>
      </c>
      <c r="ET88" s="62">
        <v>0.0</v>
      </c>
      <c r="EU88" s="62">
        <v>0.0</v>
      </c>
      <c r="EV88" s="62">
        <v>0.0</v>
      </c>
      <c r="EW88" s="62">
        <v>0.0</v>
      </c>
      <c r="EX88" s="62">
        <v>0.0</v>
      </c>
      <c r="EY88" s="62">
        <v>0.0</v>
      </c>
      <c r="EZ88" s="62">
        <v>0.0</v>
      </c>
      <c r="FA88" s="62">
        <v>0.0</v>
      </c>
      <c r="FB88" s="62">
        <v>0.0</v>
      </c>
      <c r="FC88" s="62">
        <v>0.0</v>
      </c>
      <c r="FD88" s="62">
        <v>0.0</v>
      </c>
      <c r="FE88" s="62">
        <v>0.0</v>
      </c>
      <c r="FF88" s="62">
        <v>0.0</v>
      </c>
      <c r="FG88" s="62">
        <v>0.0</v>
      </c>
      <c r="FH88" s="62">
        <v>0.0</v>
      </c>
      <c r="FI88" s="62">
        <v>0.0</v>
      </c>
      <c r="FJ88" s="62">
        <v>0.0</v>
      </c>
      <c r="FK88" s="62">
        <v>0.0</v>
      </c>
      <c r="FL88" s="62">
        <v>0.0</v>
      </c>
      <c r="FM88" s="62">
        <v>0.0</v>
      </c>
      <c r="FN88" s="62">
        <v>0.0</v>
      </c>
      <c r="FO88" s="62">
        <v>0.0</v>
      </c>
      <c r="FP88" s="62">
        <v>0.0</v>
      </c>
      <c r="FQ88" s="62">
        <v>0.0</v>
      </c>
      <c r="FR88" s="62">
        <v>0.0</v>
      </c>
      <c r="FS88" s="62">
        <v>0.0</v>
      </c>
      <c r="FT88" s="62">
        <v>0.0</v>
      </c>
      <c r="FU88" s="62">
        <v>0.0</v>
      </c>
      <c r="FV88" s="62">
        <v>0.0</v>
      </c>
      <c r="FW88" s="62">
        <v>460164.0</v>
      </c>
      <c r="FX88" s="62">
        <v>0.0</v>
      </c>
      <c r="FY88" s="62">
        <v>0.0</v>
      </c>
      <c r="FZ88" s="62">
        <v>5265.0</v>
      </c>
      <c r="GA88" s="62">
        <v>4051.0</v>
      </c>
      <c r="GB88" s="62">
        <v>0.0</v>
      </c>
      <c r="GC88" s="62">
        <v>0.0</v>
      </c>
      <c r="GD88" s="62">
        <v>26861.0</v>
      </c>
      <c r="GE88" s="62">
        <v>0.0</v>
      </c>
      <c r="GF88" s="63">
        <v>2.828129E7</v>
      </c>
      <c r="GG88" s="64">
        <v>0.0</v>
      </c>
      <c r="GH88" s="65">
        <v>0.0</v>
      </c>
      <c r="GI88" s="64">
        <v>0.0</v>
      </c>
      <c r="GJ88" s="64">
        <v>0.0</v>
      </c>
      <c r="GK88" s="64">
        <v>386407.0</v>
      </c>
      <c r="GL88" s="64">
        <v>894787.0</v>
      </c>
      <c r="GM88" s="64">
        <v>0.0</v>
      </c>
      <c r="GN88" s="63">
        <v>1281194.0</v>
      </c>
      <c r="GO88" s="66">
        <v>2.9562484E7</v>
      </c>
      <c r="GP88" s="64">
        <v>5368904.0</v>
      </c>
      <c r="GQ88" s="64">
        <v>0.0</v>
      </c>
      <c r="GR88" s="65">
        <v>0.0</v>
      </c>
      <c r="GS88" s="63">
        <v>5368904.0</v>
      </c>
      <c r="GT88" s="67">
        <v>3383114.0</v>
      </c>
      <c r="GU88" s="67">
        <v>836387.0</v>
      </c>
      <c r="GV88" s="67">
        <v>124086.0</v>
      </c>
      <c r="GW88" s="63">
        <v>4343587.0</v>
      </c>
      <c r="GX88" s="63">
        <v>91136.0</v>
      </c>
      <c r="GY88" s="63">
        <v>1.9758857E7</v>
      </c>
      <c r="GZ88" s="66">
        <v>2.9562484E7</v>
      </c>
      <c r="HH88" s="106"/>
    </row>
    <row r="89" ht="15.75" customHeight="1">
      <c r="A89" s="60">
        <v>84.0</v>
      </c>
      <c r="B89" s="111" t="s">
        <v>354</v>
      </c>
      <c r="C89" s="62">
        <v>0.0</v>
      </c>
      <c r="D89" s="62">
        <v>0.0</v>
      </c>
      <c r="E89" s="62">
        <v>0.0</v>
      </c>
      <c r="F89" s="62">
        <v>0.0</v>
      </c>
      <c r="G89" s="62">
        <v>0.0</v>
      </c>
      <c r="H89" s="62">
        <v>0.0</v>
      </c>
      <c r="I89" s="62">
        <v>0.0</v>
      </c>
      <c r="J89" s="62">
        <v>0.0</v>
      </c>
      <c r="K89" s="62">
        <v>0.0</v>
      </c>
      <c r="L89" s="62">
        <v>0.0</v>
      </c>
      <c r="M89" s="62">
        <v>0.0</v>
      </c>
      <c r="N89" s="62">
        <v>0.0</v>
      </c>
      <c r="O89" s="62">
        <v>0.0</v>
      </c>
      <c r="P89" s="62">
        <v>0.0</v>
      </c>
      <c r="Q89" s="62">
        <v>0.0</v>
      </c>
      <c r="R89" s="62">
        <v>0.0</v>
      </c>
      <c r="S89" s="62">
        <v>0.0</v>
      </c>
      <c r="T89" s="62">
        <v>0.0</v>
      </c>
      <c r="U89" s="62">
        <v>0.0</v>
      </c>
      <c r="V89" s="62">
        <v>0.0</v>
      </c>
      <c r="W89" s="62">
        <v>0.0</v>
      </c>
      <c r="X89" s="62">
        <v>0.0</v>
      </c>
      <c r="Y89" s="62">
        <v>0.0</v>
      </c>
      <c r="Z89" s="62">
        <v>0.0</v>
      </c>
      <c r="AA89" s="62">
        <v>0.0</v>
      </c>
      <c r="AB89" s="62">
        <v>0.0</v>
      </c>
      <c r="AC89" s="62">
        <v>0.0</v>
      </c>
      <c r="AD89" s="62">
        <v>0.0</v>
      </c>
      <c r="AE89" s="62">
        <v>0.0</v>
      </c>
      <c r="AF89" s="62">
        <v>0.0</v>
      </c>
      <c r="AG89" s="62">
        <v>0.0</v>
      </c>
      <c r="AH89" s="62">
        <v>0.0</v>
      </c>
      <c r="AI89" s="62">
        <v>0.0</v>
      </c>
      <c r="AJ89" s="62">
        <v>0.0</v>
      </c>
      <c r="AK89" s="62">
        <v>0.0</v>
      </c>
      <c r="AL89" s="62">
        <v>0.0</v>
      </c>
      <c r="AM89" s="62">
        <v>0.0</v>
      </c>
      <c r="AN89" s="62">
        <v>0.0</v>
      </c>
      <c r="AO89" s="62">
        <v>0.0</v>
      </c>
      <c r="AP89" s="62">
        <v>0.0</v>
      </c>
      <c r="AQ89" s="62">
        <v>0.0</v>
      </c>
      <c r="AR89" s="62">
        <v>0.0</v>
      </c>
      <c r="AS89" s="62">
        <v>0.0</v>
      </c>
      <c r="AT89" s="62">
        <v>0.0</v>
      </c>
      <c r="AU89" s="62">
        <v>0.0</v>
      </c>
      <c r="AV89" s="62">
        <v>0.0</v>
      </c>
      <c r="AW89" s="62">
        <v>0.0</v>
      </c>
      <c r="AX89" s="62">
        <v>0.0</v>
      </c>
      <c r="AY89" s="62">
        <v>0.0</v>
      </c>
      <c r="AZ89" s="62">
        <v>0.0</v>
      </c>
      <c r="BA89" s="62">
        <v>0.0</v>
      </c>
      <c r="BB89" s="62">
        <v>0.0</v>
      </c>
      <c r="BC89" s="62">
        <v>0.0</v>
      </c>
      <c r="BD89" s="62">
        <v>0.0</v>
      </c>
      <c r="BE89" s="62">
        <v>0.0</v>
      </c>
      <c r="BF89" s="62">
        <v>0.0</v>
      </c>
      <c r="BG89" s="62">
        <v>0.0</v>
      </c>
      <c r="BH89" s="62">
        <v>0.0</v>
      </c>
      <c r="BI89" s="62">
        <v>0.0</v>
      </c>
      <c r="BJ89" s="62">
        <v>0.0</v>
      </c>
      <c r="BK89" s="62">
        <v>0.0</v>
      </c>
      <c r="BL89" s="62">
        <v>0.0</v>
      </c>
      <c r="BM89" s="62">
        <v>0.0</v>
      </c>
      <c r="BN89" s="62">
        <v>0.0</v>
      </c>
      <c r="BO89" s="62">
        <v>0.0</v>
      </c>
      <c r="BP89" s="62">
        <v>0.0</v>
      </c>
      <c r="BQ89" s="62">
        <v>0.0</v>
      </c>
      <c r="BR89" s="62">
        <v>0.0</v>
      </c>
      <c r="BS89" s="62">
        <v>0.0</v>
      </c>
      <c r="BT89" s="62">
        <v>0.0</v>
      </c>
      <c r="BU89" s="62">
        <v>0.0</v>
      </c>
      <c r="BV89" s="62">
        <v>0.0</v>
      </c>
      <c r="BW89" s="62">
        <v>0.0</v>
      </c>
      <c r="BX89" s="62">
        <v>0.0</v>
      </c>
      <c r="BY89" s="62">
        <v>0.0</v>
      </c>
      <c r="BZ89" s="62">
        <v>0.0</v>
      </c>
      <c r="CA89" s="62">
        <v>0.0</v>
      </c>
      <c r="CB89" s="62">
        <v>55.0</v>
      </c>
      <c r="CC89" s="62">
        <v>3235.0</v>
      </c>
      <c r="CD89" s="62">
        <v>16928.0</v>
      </c>
      <c r="CE89" s="62">
        <v>5539.0</v>
      </c>
      <c r="CF89" s="62">
        <v>247989.0</v>
      </c>
      <c r="CG89" s="62">
        <v>10417.0</v>
      </c>
      <c r="CH89" s="62">
        <v>421023.0</v>
      </c>
      <c r="CI89" s="62">
        <v>1783247.0</v>
      </c>
      <c r="CJ89" s="62">
        <v>1935.0</v>
      </c>
      <c r="CK89" s="62">
        <v>0.0</v>
      </c>
      <c r="CL89" s="62">
        <v>31237.0</v>
      </c>
      <c r="CM89" s="62">
        <v>1270.0</v>
      </c>
      <c r="CN89" s="62">
        <v>0.0</v>
      </c>
      <c r="CO89" s="62">
        <v>236.0</v>
      </c>
      <c r="CP89" s="62">
        <v>1154.0</v>
      </c>
      <c r="CQ89" s="62">
        <v>1763.0</v>
      </c>
      <c r="CR89" s="62">
        <v>0.0</v>
      </c>
      <c r="CS89" s="62">
        <v>0.0</v>
      </c>
      <c r="CT89" s="62">
        <v>0.0</v>
      </c>
      <c r="CU89" s="62">
        <v>0.0</v>
      </c>
      <c r="CV89" s="62">
        <v>40.0</v>
      </c>
      <c r="CW89" s="62">
        <v>0.0</v>
      </c>
      <c r="CX89" s="62">
        <v>0.0</v>
      </c>
      <c r="CY89" s="62">
        <v>0.0</v>
      </c>
      <c r="CZ89" s="62">
        <v>0.0</v>
      </c>
      <c r="DA89" s="62">
        <v>0.0</v>
      </c>
      <c r="DB89" s="62">
        <v>136.0</v>
      </c>
      <c r="DC89" s="62">
        <v>0.0</v>
      </c>
      <c r="DD89" s="62">
        <v>6.0</v>
      </c>
      <c r="DE89" s="62">
        <v>0.0</v>
      </c>
      <c r="DF89" s="62">
        <v>0.0</v>
      </c>
      <c r="DG89" s="62">
        <v>0.0</v>
      </c>
      <c r="DH89" s="62">
        <v>0.0</v>
      </c>
      <c r="DI89" s="62">
        <v>0.0</v>
      </c>
      <c r="DJ89" s="62">
        <v>0.0</v>
      </c>
      <c r="DK89" s="62">
        <v>0.0</v>
      </c>
      <c r="DL89" s="62">
        <v>0.0</v>
      </c>
      <c r="DM89" s="62">
        <v>0.0</v>
      </c>
      <c r="DN89" s="62">
        <v>0.0</v>
      </c>
      <c r="DO89" s="62">
        <v>0.0</v>
      </c>
      <c r="DP89" s="62">
        <v>0.0</v>
      </c>
      <c r="DQ89" s="62">
        <v>0.0</v>
      </c>
      <c r="DR89" s="62">
        <v>10583.0</v>
      </c>
      <c r="DS89" s="62">
        <v>662.0</v>
      </c>
      <c r="DT89" s="62">
        <v>0.0</v>
      </c>
      <c r="DU89" s="62">
        <v>0.0</v>
      </c>
      <c r="DV89" s="62">
        <v>0.0</v>
      </c>
      <c r="DW89" s="62">
        <v>0.0</v>
      </c>
      <c r="DX89" s="62">
        <v>0.0</v>
      </c>
      <c r="DY89" s="62">
        <v>0.0</v>
      </c>
      <c r="DZ89" s="62">
        <v>6701.0</v>
      </c>
      <c r="EA89" s="62">
        <v>0.0</v>
      </c>
      <c r="EB89" s="62">
        <v>0.0</v>
      </c>
      <c r="EC89" s="62">
        <v>246547.0</v>
      </c>
      <c r="ED89" s="62">
        <v>892.0</v>
      </c>
      <c r="EE89" s="62">
        <v>0.0</v>
      </c>
      <c r="EF89" s="62">
        <v>0.0</v>
      </c>
      <c r="EG89" s="62">
        <v>24708.0</v>
      </c>
      <c r="EH89" s="62">
        <v>155046.0</v>
      </c>
      <c r="EI89" s="62">
        <v>19959.0</v>
      </c>
      <c r="EJ89" s="62">
        <v>49908.0</v>
      </c>
      <c r="EK89" s="62">
        <v>77009.0</v>
      </c>
      <c r="EL89" s="62">
        <v>21386.0</v>
      </c>
      <c r="EM89" s="62">
        <v>179.0</v>
      </c>
      <c r="EN89" s="62">
        <v>0.0</v>
      </c>
      <c r="EO89" s="62">
        <v>574.0</v>
      </c>
      <c r="EP89" s="62">
        <v>24301.0</v>
      </c>
      <c r="EQ89" s="62">
        <v>0.0</v>
      </c>
      <c r="ER89" s="62">
        <v>0.0</v>
      </c>
      <c r="ES89" s="62">
        <v>0.0</v>
      </c>
      <c r="ET89" s="62">
        <v>93.0</v>
      </c>
      <c r="EU89" s="62">
        <v>334.0</v>
      </c>
      <c r="EV89" s="62">
        <v>1327.0</v>
      </c>
      <c r="EW89" s="62">
        <v>41.0</v>
      </c>
      <c r="EX89" s="62">
        <v>10912.0</v>
      </c>
      <c r="EY89" s="62">
        <v>877.0</v>
      </c>
      <c r="EZ89" s="62">
        <v>0.0</v>
      </c>
      <c r="FA89" s="62">
        <v>0.0</v>
      </c>
      <c r="FB89" s="62">
        <v>0.0</v>
      </c>
      <c r="FC89" s="62">
        <v>0.0</v>
      </c>
      <c r="FD89" s="62">
        <v>0.0</v>
      </c>
      <c r="FE89" s="62">
        <v>0.0</v>
      </c>
      <c r="FF89" s="62">
        <v>0.0</v>
      </c>
      <c r="FG89" s="62">
        <v>0.0</v>
      </c>
      <c r="FH89" s="62">
        <v>997.0</v>
      </c>
      <c r="FI89" s="62">
        <v>17.0</v>
      </c>
      <c r="FJ89" s="62">
        <v>0.0</v>
      </c>
      <c r="FK89" s="62">
        <v>0.0</v>
      </c>
      <c r="FL89" s="62">
        <v>71.0</v>
      </c>
      <c r="FM89" s="62">
        <v>863.0</v>
      </c>
      <c r="FN89" s="62">
        <v>0.0</v>
      </c>
      <c r="FO89" s="62">
        <v>0.0</v>
      </c>
      <c r="FP89" s="62">
        <v>450189.0</v>
      </c>
      <c r="FQ89" s="62">
        <v>0.0</v>
      </c>
      <c r="FR89" s="62">
        <v>0.0</v>
      </c>
      <c r="FS89" s="62">
        <v>388.0</v>
      </c>
      <c r="FT89" s="62">
        <v>1008.0</v>
      </c>
      <c r="FU89" s="62">
        <v>1078254.0</v>
      </c>
      <c r="FV89" s="62">
        <v>33323.0</v>
      </c>
      <c r="FW89" s="62">
        <v>252498.0</v>
      </c>
      <c r="FX89" s="62">
        <v>226295.0</v>
      </c>
      <c r="FY89" s="62">
        <v>662639.0</v>
      </c>
      <c r="FZ89" s="62">
        <v>2912.0</v>
      </c>
      <c r="GA89" s="62">
        <v>16290.0</v>
      </c>
      <c r="GB89" s="62">
        <v>243.0</v>
      </c>
      <c r="GC89" s="62">
        <v>67629.0</v>
      </c>
      <c r="GD89" s="62">
        <v>165441.0</v>
      </c>
      <c r="GE89" s="62">
        <v>5803.0</v>
      </c>
      <c r="GF89" s="63">
        <v>6143109.0</v>
      </c>
      <c r="GG89" s="64">
        <v>1.3503916E7</v>
      </c>
      <c r="GH89" s="65">
        <v>0.0</v>
      </c>
      <c r="GI89" s="64">
        <v>0.0</v>
      </c>
      <c r="GJ89" s="64">
        <v>521547.0</v>
      </c>
      <c r="GK89" s="64">
        <v>4598583.0</v>
      </c>
      <c r="GL89" s="64">
        <v>8093916.0</v>
      </c>
      <c r="GM89" s="64">
        <v>132882.0</v>
      </c>
      <c r="GN89" s="63">
        <v>2.6850844E7</v>
      </c>
      <c r="GO89" s="66">
        <v>3.2993953E7</v>
      </c>
      <c r="GP89" s="64">
        <v>4320502.0</v>
      </c>
      <c r="GQ89" s="64">
        <v>82321.0</v>
      </c>
      <c r="GR89" s="65">
        <v>0.0</v>
      </c>
      <c r="GS89" s="63">
        <v>4402823.0</v>
      </c>
      <c r="GT89" s="67">
        <v>4180901.0</v>
      </c>
      <c r="GU89" s="67">
        <v>5176905.0</v>
      </c>
      <c r="GV89" s="67">
        <v>977095.0</v>
      </c>
      <c r="GW89" s="63">
        <v>1.0334901E7</v>
      </c>
      <c r="GX89" s="63">
        <v>1307128.0</v>
      </c>
      <c r="GY89" s="63">
        <v>1.6949101E7</v>
      </c>
      <c r="GZ89" s="66">
        <v>3.2993953E7</v>
      </c>
      <c r="HH89" s="106"/>
    </row>
    <row r="90" ht="15.75" customHeight="1">
      <c r="A90" s="68">
        <v>85.0</v>
      </c>
      <c r="B90" s="111" t="s">
        <v>355</v>
      </c>
      <c r="C90" s="70">
        <v>0.0</v>
      </c>
      <c r="D90" s="70">
        <v>0.0</v>
      </c>
      <c r="E90" s="70">
        <v>0.0</v>
      </c>
      <c r="F90" s="70">
        <v>0.0</v>
      </c>
      <c r="G90" s="70">
        <v>0.0</v>
      </c>
      <c r="H90" s="70">
        <v>0.0</v>
      </c>
      <c r="I90" s="70">
        <v>0.0</v>
      </c>
      <c r="J90" s="70">
        <v>0.0</v>
      </c>
      <c r="K90" s="70">
        <v>0.0</v>
      </c>
      <c r="L90" s="70">
        <v>0.0</v>
      </c>
      <c r="M90" s="70">
        <v>0.0</v>
      </c>
      <c r="N90" s="70">
        <v>0.0</v>
      </c>
      <c r="O90" s="70">
        <v>0.0</v>
      </c>
      <c r="P90" s="70">
        <v>0.0</v>
      </c>
      <c r="Q90" s="70">
        <v>0.0</v>
      </c>
      <c r="R90" s="70">
        <v>0.0</v>
      </c>
      <c r="S90" s="70">
        <v>0.0</v>
      </c>
      <c r="T90" s="70">
        <v>0.0</v>
      </c>
      <c r="U90" s="70">
        <v>0.0</v>
      </c>
      <c r="V90" s="70">
        <v>0.0</v>
      </c>
      <c r="W90" s="70">
        <v>0.0</v>
      </c>
      <c r="X90" s="70">
        <v>0.0</v>
      </c>
      <c r="Y90" s="70">
        <v>0.0</v>
      </c>
      <c r="Z90" s="70">
        <v>0.0</v>
      </c>
      <c r="AA90" s="70">
        <v>0.0</v>
      </c>
      <c r="AB90" s="70">
        <v>989.0</v>
      </c>
      <c r="AC90" s="70">
        <v>217.0</v>
      </c>
      <c r="AD90" s="70">
        <v>286.0</v>
      </c>
      <c r="AE90" s="70">
        <v>20.0</v>
      </c>
      <c r="AF90" s="70">
        <v>306.0</v>
      </c>
      <c r="AG90" s="70">
        <v>1321.0</v>
      </c>
      <c r="AH90" s="70">
        <v>442.0</v>
      </c>
      <c r="AI90" s="70">
        <v>132135.0</v>
      </c>
      <c r="AJ90" s="70">
        <v>101.0</v>
      </c>
      <c r="AK90" s="70">
        <v>0.0</v>
      </c>
      <c r="AL90" s="70">
        <v>66.0</v>
      </c>
      <c r="AM90" s="70">
        <v>19205.0</v>
      </c>
      <c r="AN90" s="70">
        <v>2771.0</v>
      </c>
      <c r="AO90" s="70">
        <v>2027.0</v>
      </c>
      <c r="AP90" s="70">
        <v>724.0</v>
      </c>
      <c r="AQ90" s="70">
        <v>21857.0</v>
      </c>
      <c r="AR90" s="70">
        <v>154.0</v>
      </c>
      <c r="AS90" s="70">
        <v>1606.0</v>
      </c>
      <c r="AT90" s="70">
        <v>162.0</v>
      </c>
      <c r="AU90" s="70">
        <v>4824.0</v>
      </c>
      <c r="AV90" s="70">
        <v>132451.0</v>
      </c>
      <c r="AW90" s="70">
        <v>352.0</v>
      </c>
      <c r="AX90" s="70">
        <v>158548.0</v>
      </c>
      <c r="AY90" s="70">
        <v>552.0</v>
      </c>
      <c r="AZ90" s="70">
        <v>913.0</v>
      </c>
      <c r="BA90" s="70">
        <v>2465.0</v>
      </c>
      <c r="BB90" s="70">
        <v>10566.0</v>
      </c>
      <c r="BC90" s="70">
        <v>0.0</v>
      </c>
      <c r="BD90" s="70">
        <v>0.0</v>
      </c>
      <c r="BE90" s="70">
        <v>0.0</v>
      </c>
      <c r="BF90" s="70">
        <v>82.0</v>
      </c>
      <c r="BG90" s="70">
        <v>0.0</v>
      </c>
      <c r="BH90" s="70">
        <v>0.0</v>
      </c>
      <c r="BI90" s="70">
        <v>0.0</v>
      </c>
      <c r="BJ90" s="70">
        <v>11786.0</v>
      </c>
      <c r="BK90" s="70">
        <v>0.0</v>
      </c>
      <c r="BL90" s="70">
        <v>0.0</v>
      </c>
      <c r="BM90" s="70">
        <v>20.0</v>
      </c>
      <c r="BN90" s="70">
        <v>0.0</v>
      </c>
      <c r="BO90" s="70">
        <v>1253.0</v>
      </c>
      <c r="BP90" s="70">
        <v>0.0</v>
      </c>
      <c r="BQ90" s="70">
        <v>0.0</v>
      </c>
      <c r="BR90" s="70">
        <v>0.0</v>
      </c>
      <c r="BS90" s="70">
        <v>0.0</v>
      </c>
      <c r="BT90" s="70">
        <v>0.0</v>
      </c>
      <c r="BU90" s="70">
        <v>12242.0</v>
      </c>
      <c r="BV90" s="70">
        <v>1123.0</v>
      </c>
      <c r="BW90" s="70">
        <v>0.0</v>
      </c>
      <c r="BX90" s="70">
        <v>324.0</v>
      </c>
      <c r="BY90" s="70">
        <v>0.0</v>
      </c>
      <c r="BZ90" s="70">
        <v>0.0</v>
      </c>
      <c r="CA90" s="70">
        <v>154723.0</v>
      </c>
      <c r="CB90" s="70">
        <v>107.0</v>
      </c>
      <c r="CC90" s="70">
        <v>136.0</v>
      </c>
      <c r="CD90" s="70">
        <v>18548.0</v>
      </c>
      <c r="CE90" s="70">
        <v>20427.0</v>
      </c>
      <c r="CF90" s="70">
        <v>224182.0</v>
      </c>
      <c r="CG90" s="70">
        <v>11982.0</v>
      </c>
      <c r="CH90" s="70">
        <v>168260.0</v>
      </c>
      <c r="CI90" s="70">
        <v>1897681.0</v>
      </c>
      <c r="CJ90" s="70">
        <v>99.0</v>
      </c>
      <c r="CK90" s="70">
        <v>117.0</v>
      </c>
      <c r="CL90" s="70">
        <v>999.0</v>
      </c>
      <c r="CM90" s="70">
        <v>1488.0</v>
      </c>
      <c r="CN90" s="70">
        <v>18102.0</v>
      </c>
      <c r="CO90" s="70">
        <v>16099.0</v>
      </c>
      <c r="CP90" s="70">
        <v>70215.0</v>
      </c>
      <c r="CQ90" s="70">
        <v>2792.0</v>
      </c>
      <c r="CR90" s="70">
        <v>3420.0</v>
      </c>
      <c r="CS90" s="70">
        <v>1258.0</v>
      </c>
      <c r="CT90" s="70">
        <v>2908.0</v>
      </c>
      <c r="CU90" s="70">
        <v>984.0</v>
      </c>
      <c r="CV90" s="70">
        <v>1955.0</v>
      </c>
      <c r="CW90" s="70">
        <v>1425.0</v>
      </c>
      <c r="CX90" s="70">
        <v>335.0</v>
      </c>
      <c r="CY90" s="70">
        <v>29.0</v>
      </c>
      <c r="CZ90" s="70">
        <v>274.0</v>
      </c>
      <c r="DA90" s="70">
        <v>1263.0</v>
      </c>
      <c r="DB90" s="70">
        <v>406.0</v>
      </c>
      <c r="DC90" s="70">
        <v>3527.0</v>
      </c>
      <c r="DD90" s="70">
        <v>252.0</v>
      </c>
      <c r="DE90" s="70">
        <v>348.0</v>
      </c>
      <c r="DF90" s="70">
        <v>21186.0</v>
      </c>
      <c r="DG90" s="70">
        <v>4870.0</v>
      </c>
      <c r="DH90" s="70">
        <v>71765.0</v>
      </c>
      <c r="DI90" s="70">
        <v>2191.0</v>
      </c>
      <c r="DJ90" s="70">
        <v>2429.0</v>
      </c>
      <c r="DK90" s="70">
        <v>2591.0</v>
      </c>
      <c r="DL90" s="70">
        <v>1081.0</v>
      </c>
      <c r="DM90" s="70">
        <v>395.0</v>
      </c>
      <c r="DN90" s="70">
        <v>64.0</v>
      </c>
      <c r="DO90" s="70">
        <v>114862.0</v>
      </c>
      <c r="DP90" s="70">
        <v>0.0</v>
      </c>
      <c r="DQ90" s="70">
        <v>2582.0</v>
      </c>
      <c r="DR90" s="70">
        <v>4629.0</v>
      </c>
      <c r="DS90" s="70">
        <v>1396.0</v>
      </c>
      <c r="DT90" s="70">
        <v>0.0</v>
      </c>
      <c r="DU90" s="70">
        <v>0.0</v>
      </c>
      <c r="DV90" s="70">
        <v>0.0</v>
      </c>
      <c r="DW90" s="70">
        <v>0.0</v>
      </c>
      <c r="DX90" s="70">
        <v>869.0</v>
      </c>
      <c r="DY90" s="70">
        <v>35.0</v>
      </c>
      <c r="DZ90" s="70">
        <v>24328.0</v>
      </c>
      <c r="EA90" s="70">
        <v>2146.0</v>
      </c>
      <c r="EB90" s="70">
        <v>19310.0</v>
      </c>
      <c r="EC90" s="70">
        <v>241514.0</v>
      </c>
      <c r="ED90" s="70">
        <v>0.0</v>
      </c>
      <c r="EE90" s="70">
        <v>0.0</v>
      </c>
      <c r="EF90" s="70">
        <v>0.0</v>
      </c>
      <c r="EG90" s="70">
        <v>0.0</v>
      </c>
      <c r="EH90" s="70">
        <v>58533.0</v>
      </c>
      <c r="EI90" s="70">
        <v>57229.0</v>
      </c>
      <c r="EJ90" s="70">
        <v>10.0</v>
      </c>
      <c r="EK90" s="70">
        <v>64.0</v>
      </c>
      <c r="EL90" s="70">
        <v>1357.0</v>
      </c>
      <c r="EM90" s="70">
        <v>471.0</v>
      </c>
      <c r="EN90" s="70">
        <v>401.0</v>
      </c>
      <c r="EO90" s="70">
        <v>47555.0</v>
      </c>
      <c r="EP90" s="70">
        <v>7281.0</v>
      </c>
      <c r="EQ90" s="70">
        <v>1641.0</v>
      </c>
      <c r="ER90" s="70">
        <v>2886.0</v>
      </c>
      <c r="ES90" s="70">
        <v>1214.0</v>
      </c>
      <c r="ET90" s="70">
        <v>6021.0</v>
      </c>
      <c r="EU90" s="70">
        <v>3450.0</v>
      </c>
      <c r="EV90" s="70">
        <v>556.0</v>
      </c>
      <c r="EW90" s="70">
        <v>20.0</v>
      </c>
      <c r="EX90" s="70">
        <v>2989.0</v>
      </c>
      <c r="EY90" s="70">
        <v>7769.0</v>
      </c>
      <c r="EZ90" s="70">
        <v>110587.0</v>
      </c>
      <c r="FA90" s="70">
        <v>76128.0</v>
      </c>
      <c r="FB90" s="70">
        <v>2013763.0</v>
      </c>
      <c r="FC90" s="70">
        <v>1091.0</v>
      </c>
      <c r="FD90" s="70">
        <v>2294104.0</v>
      </c>
      <c r="FE90" s="70">
        <v>489107.0</v>
      </c>
      <c r="FF90" s="70">
        <v>7586.0</v>
      </c>
      <c r="FG90" s="70">
        <v>715162.0</v>
      </c>
      <c r="FH90" s="70">
        <v>227229.0</v>
      </c>
      <c r="FI90" s="70">
        <v>98287.0</v>
      </c>
      <c r="FJ90" s="70">
        <v>1298.0</v>
      </c>
      <c r="FK90" s="70">
        <v>555.0</v>
      </c>
      <c r="FL90" s="70">
        <v>4456.0</v>
      </c>
      <c r="FM90" s="70">
        <v>9414.0</v>
      </c>
      <c r="FN90" s="70">
        <v>33560.0</v>
      </c>
      <c r="FO90" s="70">
        <v>2336.0</v>
      </c>
      <c r="FP90" s="70">
        <v>2996.0</v>
      </c>
      <c r="FQ90" s="70">
        <v>0.0</v>
      </c>
      <c r="FR90" s="70">
        <v>0.0</v>
      </c>
      <c r="FS90" s="70">
        <v>0.0</v>
      </c>
      <c r="FT90" s="70">
        <v>8986.0</v>
      </c>
      <c r="FU90" s="70">
        <v>1174371.0</v>
      </c>
      <c r="FV90" s="70">
        <v>4574.0</v>
      </c>
      <c r="FW90" s="70">
        <v>9232.0</v>
      </c>
      <c r="FX90" s="70">
        <v>6090.0</v>
      </c>
      <c r="FY90" s="70">
        <v>1002926.0</v>
      </c>
      <c r="FZ90" s="70">
        <v>66.0</v>
      </c>
      <c r="GA90" s="70">
        <v>25668.0</v>
      </c>
      <c r="GB90" s="70">
        <v>128076.0</v>
      </c>
      <c r="GC90" s="70">
        <v>51875.0</v>
      </c>
      <c r="GD90" s="70">
        <v>16259.0</v>
      </c>
      <c r="GE90" s="70">
        <v>70287.0</v>
      </c>
      <c r="GF90" s="71">
        <v>1.244999E7</v>
      </c>
      <c r="GG90" s="72">
        <v>5.9395264E7</v>
      </c>
      <c r="GH90" s="73">
        <v>0.0</v>
      </c>
      <c r="GI90" s="72">
        <v>0.0</v>
      </c>
      <c r="GJ90" s="72">
        <v>0.0</v>
      </c>
      <c r="GK90" s="72">
        <v>-14117.0</v>
      </c>
      <c r="GL90" s="72">
        <v>7.0692728E7</v>
      </c>
      <c r="GM90" s="72">
        <v>131409.0</v>
      </c>
      <c r="GN90" s="71">
        <v>1.30205284E8</v>
      </c>
      <c r="GO90" s="74">
        <v>1.42655274E8</v>
      </c>
      <c r="GP90" s="72">
        <v>9390681.0</v>
      </c>
      <c r="GQ90" s="72">
        <v>197806.0</v>
      </c>
      <c r="GR90" s="73">
        <v>0.0</v>
      </c>
      <c r="GS90" s="71">
        <v>9588487.0</v>
      </c>
      <c r="GT90" s="75">
        <v>1.4855231E7</v>
      </c>
      <c r="GU90" s="75">
        <v>1.6504923E7</v>
      </c>
      <c r="GV90" s="75">
        <v>2108395.0</v>
      </c>
      <c r="GW90" s="71">
        <v>3.3468549E7</v>
      </c>
      <c r="GX90" s="71">
        <v>3362271.0</v>
      </c>
      <c r="GY90" s="71">
        <v>9.6235967E7</v>
      </c>
      <c r="GZ90" s="74">
        <v>1.42655274E8</v>
      </c>
      <c r="HH90" s="106"/>
    </row>
    <row r="91" ht="15.75" customHeight="1">
      <c r="A91" s="52">
        <v>86.0</v>
      </c>
      <c r="B91" s="111" t="s">
        <v>356</v>
      </c>
      <c r="C91" s="54">
        <v>0.0</v>
      </c>
      <c r="D91" s="54">
        <v>0.0</v>
      </c>
      <c r="E91" s="54">
        <v>0.0</v>
      </c>
      <c r="F91" s="54">
        <v>0.0</v>
      </c>
      <c r="G91" s="54">
        <v>0.0</v>
      </c>
      <c r="H91" s="54">
        <v>0.0</v>
      </c>
      <c r="I91" s="54">
        <v>0.0</v>
      </c>
      <c r="J91" s="54">
        <v>0.0</v>
      </c>
      <c r="K91" s="54">
        <v>0.0</v>
      </c>
      <c r="L91" s="54">
        <v>0.0</v>
      </c>
      <c r="M91" s="54">
        <v>0.0</v>
      </c>
      <c r="N91" s="54">
        <v>108.0</v>
      </c>
      <c r="O91" s="54">
        <v>0.0</v>
      </c>
      <c r="P91" s="54">
        <v>17.0</v>
      </c>
      <c r="Q91" s="54">
        <v>164.0</v>
      </c>
      <c r="R91" s="54">
        <v>0.0</v>
      </c>
      <c r="S91" s="54">
        <v>0.0</v>
      </c>
      <c r="T91" s="54">
        <v>0.0</v>
      </c>
      <c r="U91" s="54">
        <v>17.0</v>
      </c>
      <c r="V91" s="54">
        <v>1106.0</v>
      </c>
      <c r="W91" s="54">
        <v>456.0</v>
      </c>
      <c r="X91" s="54">
        <v>0.0</v>
      </c>
      <c r="Y91" s="54">
        <v>543.0</v>
      </c>
      <c r="Z91" s="54">
        <v>413.0</v>
      </c>
      <c r="AA91" s="54">
        <v>341.0</v>
      </c>
      <c r="AB91" s="54">
        <v>726.0</v>
      </c>
      <c r="AC91" s="54">
        <v>329.0</v>
      </c>
      <c r="AD91" s="54">
        <v>251.0</v>
      </c>
      <c r="AE91" s="54">
        <v>32.0</v>
      </c>
      <c r="AF91" s="54">
        <v>812.0</v>
      </c>
      <c r="AG91" s="54">
        <v>3417.0</v>
      </c>
      <c r="AH91" s="54">
        <v>1371.0</v>
      </c>
      <c r="AI91" s="54">
        <v>4584.0</v>
      </c>
      <c r="AJ91" s="54">
        <v>784.0</v>
      </c>
      <c r="AK91" s="54">
        <v>63.0</v>
      </c>
      <c r="AL91" s="54">
        <v>296.0</v>
      </c>
      <c r="AM91" s="54">
        <v>0.0</v>
      </c>
      <c r="AN91" s="54">
        <v>0.0</v>
      </c>
      <c r="AO91" s="54">
        <v>0.0</v>
      </c>
      <c r="AP91" s="54">
        <v>0.0</v>
      </c>
      <c r="AQ91" s="54">
        <v>654.0</v>
      </c>
      <c r="AR91" s="54">
        <v>31.0</v>
      </c>
      <c r="AS91" s="54">
        <v>328.0</v>
      </c>
      <c r="AT91" s="54">
        <v>0.0</v>
      </c>
      <c r="AU91" s="54">
        <v>985.0</v>
      </c>
      <c r="AV91" s="54">
        <v>27037.0</v>
      </c>
      <c r="AW91" s="54">
        <v>149.0</v>
      </c>
      <c r="AX91" s="54">
        <v>1001471.0</v>
      </c>
      <c r="AY91" s="54">
        <v>82033.0</v>
      </c>
      <c r="AZ91" s="54">
        <v>111.0</v>
      </c>
      <c r="BA91" s="54">
        <v>258857.0</v>
      </c>
      <c r="BB91" s="54">
        <v>20306.0</v>
      </c>
      <c r="BC91" s="54">
        <v>0.0</v>
      </c>
      <c r="BD91" s="54">
        <v>0.0</v>
      </c>
      <c r="BE91" s="54">
        <v>0.0</v>
      </c>
      <c r="BF91" s="54">
        <v>0.0</v>
      </c>
      <c r="BG91" s="54">
        <v>0.0</v>
      </c>
      <c r="BH91" s="54">
        <v>0.0</v>
      </c>
      <c r="BI91" s="54">
        <v>0.0</v>
      </c>
      <c r="BJ91" s="54">
        <v>0.0</v>
      </c>
      <c r="BK91" s="54">
        <v>0.0</v>
      </c>
      <c r="BL91" s="54">
        <v>0.0</v>
      </c>
      <c r="BM91" s="54">
        <v>0.0</v>
      </c>
      <c r="BN91" s="54">
        <v>0.0</v>
      </c>
      <c r="BO91" s="54">
        <v>76126.0</v>
      </c>
      <c r="BP91" s="54">
        <v>0.0</v>
      </c>
      <c r="BQ91" s="54">
        <v>0.0</v>
      </c>
      <c r="BR91" s="54">
        <v>0.0</v>
      </c>
      <c r="BS91" s="54">
        <v>0.0</v>
      </c>
      <c r="BT91" s="54">
        <v>0.0</v>
      </c>
      <c r="BU91" s="54">
        <v>0.0</v>
      </c>
      <c r="BV91" s="54">
        <v>0.0</v>
      </c>
      <c r="BW91" s="54">
        <v>0.0</v>
      </c>
      <c r="BX91" s="54">
        <v>0.0</v>
      </c>
      <c r="BY91" s="54">
        <v>0.0</v>
      </c>
      <c r="BZ91" s="54">
        <v>427.0</v>
      </c>
      <c r="CA91" s="54">
        <v>0.0</v>
      </c>
      <c r="CB91" s="54">
        <v>218.0</v>
      </c>
      <c r="CC91" s="54">
        <v>423.0</v>
      </c>
      <c r="CD91" s="54">
        <v>0.0</v>
      </c>
      <c r="CE91" s="54">
        <v>1420.0</v>
      </c>
      <c r="CF91" s="54">
        <v>0.0</v>
      </c>
      <c r="CG91" s="54">
        <v>1089.0</v>
      </c>
      <c r="CH91" s="54">
        <v>557.0</v>
      </c>
      <c r="CI91" s="54">
        <v>45387.0</v>
      </c>
      <c r="CJ91" s="54">
        <v>934769.0</v>
      </c>
      <c r="CK91" s="54">
        <v>4447970.0</v>
      </c>
      <c r="CL91" s="54">
        <v>2907356.0</v>
      </c>
      <c r="CM91" s="54">
        <v>1022078.0</v>
      </c>
      <c r="CN91" s="54">
        <v>74.0</v>
      </c>
      <c r="CO91" s="54">
        <v>102.0</v>
      </c>
      <c r="CP91" s="54">
        <v>499.0</v>
      </c>
      <c r="CQ91" s="54">
        <v>234.0</v>
      </c>
      <c r="CR91" s="54">
        <v>492074.0</v>
      </c>
      <c r="CS91" s="54">
        <v>6839.0</v>
      </c>
      <c r="CT91" s="54">
        <v>0.0</v>
      </c>
      <c r="CU91" s="54">
        <v>0.0</v>
      </c>
      <c r="CV91" s="54">
        <v>0.0</v>
      </c>
      <c r="CW91" s="54">
        <v>0.0</v>
      </c>
      <c r="CX91" s="54">
        <v>0.0</v>
      </c>
      <c r="CY91" s="54">
        <v>0.0</v>
      </c>
      <c r="CZ91" s="54">
        <v>0.0</v>
      </c>
      <c r="DA91" s="54">
        <v>0.0</v>
      </c>
      <c r="DB91" s="54">
        <v>0.0</v>
      </c>
      <c r="DC91" s="54">
        <v>0.0</v>
      </c>
      <c r="DD91" s="54">
        <v>0.0</v>
      </c>
      <c r="DE91" s="54">
        <v>39.0</v>
      </c>
      <c r="DF91" s="54">
        <v>1062.0</v>
      </c>
      <c r="DG91" s="54">
        <v>1803.0</v>
      </c>
      <c r="DH91" s="54">
        <v>34173.0</v>
      </c>
      <c r="DI91" s="54">
        <v>2890.0</v>
      </c>
      <c r="DJ91" s="54">
        <v>21145.0</v>
      </c>
      <c r="DK91" s="54">
        <v>37658.0</v>
      </c>
      <c r="DL91" s="54">
        <v>0.0</v>
      </c>
      <c r="DM91" s="54">
        <v>0.0</v>
      </c>
      <c r="DN91" s="54">
        <v>0.0</v>
      </c>
      <c r="DO91" s="54">
        <v>311.0</v>
      </c>
      <c r="DP91" s="54">
        <v>0.0</v>
      </c>
      <c r="DQ91" s="54">
        <v>3499.0</v>
      </c>
      <c r="DR91" s="54">
        <v>1106.0</v>
      </c>
      <c r="DS91" s="54">
        <v>1671.0</v>
      </c>
      <c r="DT91" s="54">
        <v>240.0</v>
      </c>
      <c r="DU91" s="54">
        <v>0.0</v>
      </c>
      <c r="DV91" s="54">
        <v>0.0</v>
      </c>
      <c r="DW91" s="54">
        <v>0.0</v>
      </c>
      <c r="DX91" s="54">
        <v>270.0</v>
      </c>
      <c r="DY91" s="54">
        <v>40.0</v>
      </c>
      <c r="DZ91" s="54">
        <v>0.0</v>
      </c>
      <c r="EA91" s="54">
        <v>0.0</v>
      </c>
      <c r="EB91" s="54">
        <v>0.0</v>
      </c>
      <c r="EC91" s="54">
        <v>0.0</v>
      </c>
      <c r="ED91" s="54">
        <v>1164495.0</v>
      </c>
      <c r="EE91" s="54">
        <v>0.0</v>
      </c>
      <c r="EF91" s="54">
        <v>0.0</v>
      </c>
      <c r="EG91" s="54">
        <v>161255.0</v>
      </c>
      <c r="EH91" s="54">
        <v>31225.0</v>
      </c>
      <c r="EI91" s="54">
        <v>9312182.0</v>
      </c>
      <c r="EJ91" s="54">
        <v>90677.0</v>
      </c>
      <c r="EK91" s="54">
        <v>718562.0</v>
      </c>
      <c r="EL91" s="54">
        <v>283860.0</v>
      </c>
      <c r="EM91" s="54">
        <v>99884.0</v>
      </c>
      <c r="EN91" s="54">
        <v>0.0</v>
      </c>
      <c r="EO91" s="54">
        <v>278412.0</v>
      </c>
      <c r="EP91" s="54">
        <v>38281.0</v>
      </c>
      <c r="EQ91" s="54">
        <v>0.0</v>
      </c>
      <c r="ER91" s="54">
        <v>0.0</v>
      </c>
      <c r="ES91" s="54">
        <v>0.0</v>
      </c>
      <c r="ET91" s="54">
        <v>0.0</v>
      </c>
      <c r="EU91" s="54">
        <v>2.368788E7</v>
      </c>
      <c r="EV91" s="54">
        <v>2422408.0</v>
      </c>
      <c r="EW91" s="54">
        <v>848897.0</v>
      </c>
      <c r="EX91" s="54">
        <v>2034646.0</v>
      </c>
      <c r="EY91" s="54">
        <v>4515092.0</v>
      </c>
      <c r="EZ91" s="54">
        <v>0.0</v>
      </c>
      <c r="FA91" s="54">
        <v>0.0</v>
      </c>
      <c r="FB91" s="54">
        <v>0.0</v>
      </c>
      <c r="FC91" s="54">
        <v>0.0</v>
      </c>
      <c r="FD91" s="54">
        <v>0.0</v>
      </c>
      <c r="FE91" s="54">
        <v>0.0</v>
      </c>
      <c r="FF91" s="54">
        <v>0.0</v>
      </c>
      <c r="FG91" s="54">
        <v>0.0</v>
      </c>
      <c r="FH91" s="54">
        <v>2775.0</v>
      </c>
      <c r="FI91" s="54">
        <v>12782.0</v>
      </c>
      <c r="FJ91" s="54">
        <v>893.0</v>
      </c>
      <c r="FK91" s="54">
        <v>164.0</v>
      </c>
      <c r="FL91" s="54">
        <v>0.0</v>
      </c>
      <c r="FM91" s="54">
        <v>0.0</v>
      </c>
      <c r="FN91" s="54">
        <v>0.0</v>
      </c>
      <c r="FO91" s="54">
        <v>0.0</v>
      </c>
      <c r="FP91" s="54">
        <v>0.0</v>
      </c>
      <c r="FQ91" s="54">
        <v>0.0</v>
      </c>
      <c r="FR91" s="54">
        <v>0.0</v>
      </c>
      <c r="FS91" s="54">
        <v>0.0</v>
      </c>
      <c r="FT91" s="54">
        <v>0.0</v>
      </c>
      <c r="FU91" s="54">
        <v>64987.0</v>
      </c>
      <c r="FV91" s="54">
        <v>7739.0</v>
      </c>
      <c r="FW91" s="54">
        <v>1423.0</v>
      </c>
      <c r="FX91" s="54">
        <v>0.0</v>
      </c>
      <c r="FY91" s="54">
        <v>3.0</v>
      </c>
      <c r="FZ91" s="54">
        <v>0.0</v>
      </c>
      <c r="GA91" s="54">
        <v>17388.0</v>
      </c>
      <c r="GB91" s="54">
        <v>0.0</v>
      </c>
      <c r="GC91" s="54">
        <v>0.0</v>
      </c>
      <c r="GD91" s="54">
        <v>115779.0</v>
      </c>
      <c r="GE91" s="54">
        <v>0.0</v>
      </c>
      <c r="GF91" s="55">
        <v>5.736303E7</v>
      </c>
      <c r="GG91" s="56">
        <v>0.0</v>
      </c>
      <c r="GH91" s="57">
        <v>0.0</v>
      </c>
      <c r="GI91" s="56">
        <v>0.0</v>
      </c>
      <c r="GJ91" s="56">
        <v>0.0</v>
      </c>
      <c r="GK91" s="56">
        <v>-2075998.0</v>
      </c>
      <c r="GL91" s="56">
        <v>1.290177E7</v>
      </c>
      <c r="GM91" s="56">
        <v>0.0</v>
      </c>
      <c r="GN91" s="55">
        <v>1.0825772E7</v>
      </c>
      <c r="GO91" s="58">
        <v>6.8188802E7</v>
      </c>
      <c r="GP91" s="56">
        <v>1946316.0</v>
      </c>
      <c r="GQ91" s="56">
        <v>0.0</v>
      </c>
      <c r="GR91" s="57">
        <v>0.0</v>
      </c>
      <c r="GS91" s="55">
        <v>1946316.0</v>
      </c>
      <c r="GT91" s="59">
        <v>6661270.0</v>
      </c>
      <c r="GU91" s="59">
        <v>1.5825202E7</v>
      </c>
      <c r="GV91" s="59">
        <v>1490712.0</v>
      </c>
      <c r="GW91" s="55">
        <v>2.3977184E7</v>
      </c>
      <c r="GX91" s="55">
        <v>239448.0</v>
      </c>
      <c r="GY91" s="55">
        <v>4.2025854E7</v>
      </c>
      <c r="GZ91" s="58">
        <v>6.8188802E7</v>
      </c>
      <c r="HH91" s="106"/>
    </row>
    <row r="92" ht="15.75" customHeight="1">
      <c r="A92" s="60">
        <v>87.0</v>
      </c>
      <c r="B92" s="111" t="s">
        <v>357</v>
      </c>
      <c r="C92" s="62">
        <v>0.0</v>
      </c>
      <c r="D92" s="62">
        <v>0.0</v>
      </c>
      <c r="E92" s="62">
        <v>0.0</v>
      </c>
      <c r="F92" s="62">
        <v>0.0</v>
      </c>
      <c r="G92" s="62">
        <v>0.0</v>
      </c>
      <c r="H92" s="62">
        <v>0.0</v>
      </c>
      <c r="I92" s="62">
        <v>0.0</v>
      </c>
      <c r="J92" s="62">
        <v>0.0</v>
      </c>
      <c r="K92" s="62">
        <v>0.0</v>
      </c>
      <c r="L92" s="62">
        <v>0.0</v>
      </c>
      <c r="M92" s="62">
        <v>0.0</v>
      </c>
      <c r="N92" s="62">
        <v>0.0</v>
      </c>
      <c r="O92" s="62">
        <v>0.0</v>
      </c>
      <c r="P92" s="62">
        <v>0.0</v>
      </c>
      <c r="Q92" s="62">
        <v>0.0</v>
      </c>
      <c r="R92" s="62">
        <v>0.0</v>
      </c>
      <c r="S92" s="62">
        <v>0.0</v>
      </c>
      <c r="T92" s="62">
        <v>0.0</v>
      </c>
      <c r="U92" s="62">
        <v>0.0</v>
      </c>
      <c r="V92" s="62">
        <v>0.0</v>
      </c>
      <c r="W92" s="62">
        <v>0.0</v>
      </c>
      <c r="X92" s="62">
        <v>0.0</v>
      </c>
      <c r="Y92" s="62">
        <v>0.0</v>
      </c>
      <c r="Z92" s="62">
        <v>0.0</v>
      </c>
      <c r="AA92" s="62">
        <v>0.0</v>
      </c>
      <c r="AB92" s="62">
        <v>760.0</v>
      </c>
      <c r="AC92" s="62">
        <v>586.0</v>
      </c>
      <c r="AD92" s="62">
        <v>14448.0</v>
      </c>
      <c r="AE92" s="62">
        <v>124.0</v>
      </c>
      <c r="AF92" s="62">
        <v>715.0</v>
      </c>
      <c r="AG92" s="62">
        <v>2996.0</v>
      </c>
      <c r="AH92" s="62">
        <v>1216.0</v>
      </c>
      <c r="AI92" s="62">
        <v>39750.0</v>
      </c>
      <c r="AJ92" s="62">
        <v>3639.0</v>
      </c>
      <c r="AK92" s="62">
        <v>682.0</v>
      </c>
      <c r="AL92" s="62">
        <v>219.0</v>
      </c>
      <c r="AM92" s="62">
        <v>0.0</v>
      </c>
      <c r="AN92" s="62">
        <v>0.0</v>
      </c>
      <c r="AO92" s="62">
        <v>0.0</v>
      </c>
      <c r="AP92" s="62">
        <v>0.0</v>
      </c>
      <c r="AQ92" s="62">
        <v>0.0</v>
      </c>
      <c r="AR92" s="62">
        <v>0.0</v>
      </c>
      <c r="AS92" s="62">
        <v>0.0</v>
      </c>
      <c r="AT92" s="62">
        <v>0.0</v>
      </c>
      <c r="AU92" s="62">
        <v>0.0</v>
      </c>
      <c r="AV92" s="62">
        <v>0.0</v>
      </c>
      <c r="AW92" s="62">
        <v>0.0</v>
      </c>
      <c r="AX92" s="62">
        <v>0.0</v>
      </c>
      <c r="AY92" s="62">
        <v>0.0</v>
      </c>
      <c r="AZ92" s="62">
        <v>0.0</v>
      </c>
      <c r="BA92" s="62">
        <v>0.0</v>
      </c>
      <c r="BB92" s="62">
        <v>0.0</v>
      </c>
      <c r="BC92" s="62">
        <v>0.0</v>
      </c>
      <c r="BD92" s="62">
        <v>0.0</v>
      </c>
      <c r="BE92" s="62">
        <v>0.0</v>
      </c>
      <c r="BF92" s="62">
        <v>0.0</v>
      </c>
      <c r="BG92" s="62">
        <v>0.0</v>
      </c>
      <c r="BH92" s="62">
        <v>143.0</v>
      </c>
      <c r="BI92" s="62">
        <v>0.0</v>
      </c>
      <c r="BJ92" s="62">
        <v>375607.0</v>
      </c>
      <c r="BK92" s="62">
        <v>0.0</v>
      </c>
      <c r="BL92" s="62">
        <v>0.0</v>
      </c>
      <c r="BM92" s="62">
        <v>0.0</v>
      </c>
      <c r="BN92" s="62">
        <v>0.0</v>
      </c>
      <c r="BO92" s="62">
        <v>0.0</v>
      </c>
      <c r="BP92" s="62">
        <v>0.0</v>
      </c>
      <c r="BQ92" s="62">
        <v>0.0</v>
      </c>
      <c r="BR92" s="62">
        <v>0.0</v>
      </c>
      <c r="BS92" s="62">
        <v>0.0</v>
      </c>
      <c r="BT92" s="62">
        <v>0.0</v>
      </c>
      <c r="BU92" s="62">
        <v>1753.0</v>
      </c>
      <c r="BV92" s="62">
        <v>0.0</v>
      </c>
      <c r="BW92" s="62">
        <v>0.0</v>
      </c>
      <c r="BX92" s="62">
        <v>0.0</v>
      </c>
      <c r="BY92" s="62">
        <v>0.0</v>
      </c>
      <c r="BZ92" s="62">
        <v>0.0</v>
      </c>
      <c r="CA92" s="62">
        <v>0.0</v>
      </c>
      <c r="CB92" s="62">
        <v>0.0</v>
      </c>
      <c r="CC92" s="62">
        <v>0.0</v>
      </c>
      <c r="CD92" s="62">
        <v>0.0</v>
      </c>
      <c r="CE92" s="62">
        <v>0.0</v>
      </c>
      <c r="CF92" s="62">
        <v>0.0</v>
      </c>
      <c r="CG92" s="62">
        <v>589.0</v>
      </c>
      <c r="CH92" s="62">
        <v>9926.0</v>
      </c>
      <c r="CI92" s="62">
        <v>59640.0</v>
      </c>
      <c r="CJ92" s="62">
        <v>397178.0</v>
      </c>
      <c r="CK92" s="62">
        <v>706942.0</v>
      </c>
      <c r="CL92" s="62">
        <v>643987.0</v>
      </c>
      <c r="CM92" s="62">
        <v>370049.0</v>
      </c>
      <c r="CN92" s="62">
        <v>0.0</v>
      </c>
      <c r="CO92" s="62">
        <v>16.0</v>
      </c>
      <c r="CP92" s="62">
        <v>78.0</v>
      </c>
      <c r="CQ92" s="62">
        <v>872.0</v>
      </c>
      <c r="CR92" s="62">
        <v>0.0</v>
      </c>
      <c r="CS92" s="62">
        <v>0.0</v>
      </c>
      <c r="CT92" s="62">
        <v>0.0</v>
      </c>
      <c r="CU92" s="62">
        <v>0.0</v>
      </c>
      <c r="CV92" s="62">
        <v>0.0</v>
      </c>
      <c r="CW92" s="62">
        <v>0.0</v>
      </c>
      <c r="CX92" s="62">
        <v>0.0</v>
      </c>
      <c r="CY92" s="62">
        <v>0.0</v>
      </c>
      <c r="CZ92" s="62">
        <v>0.0</v>
      </c>
      <c r="DA92" s="62">
        <v>0.0</v>
      </c>
      <c r="DB92" s="62">
        <v>0.0</v>
      </c>
      <c r="DC92" s="62">
        <v>0.0</v>
      </c>
      <c r="DD92" s="62">
        <v>0.0</v>
      </c>
      <c r="DE92" s="62">
        <v>0.0</v>
      </c>
      <c r="DF92" s="62">
        <v>0.0</v>
      </c>
      <c r="DG92" s="62">
        <v>0.0</v>
      </c>
      <c r="DH92" s="62">
        <v>0.0</v>
      </c>
      <c r="DI92" s="62">
        <v>0.0</v>
      </c>
      <c r="DJ92" s="62">
        <v>0.0</v>
      </c>
      <c r="DK92" s="62">
        <v>0.0</v>
      </c>
      <c r="DL92" s="62">
        <v>2001.0</v>
      </c>
      <c r="DM92" s="62">
        <v>0.0</v>
      </c>
      <c r="DN92" s="62">
        <v>299.0</v>
      </c>
      <c r="DO92" s="62">
        <v>0.0</v>
      </c>
      <c r="DP92" s="62">
        <v>0.0</v>
      </c>
      <c r="DQ92" s="62">
        <v>0.0</v>
      </c>
      <c r="DR92" s="62">
        <v>359.0</v>
      </c>
      <c r="DS92" s="62">
        <v>1357.0</v>
      </c>
      <c r="DT92" s="62">
        <v>0.0</v>
      </c>
      <c r="DU92" s="62">
        <v>0.0</v>
      </c>
      <c r="DV92" s="62">
        <v>0.0</v>
      </c>
      <c r="DW92" s="62">
        <v>0.0</v>
      </c>
      <c r="DX92" s="62">
        <v>0.0</v>
      </c>
      <c r="DY92" s="62">
        <v>550.0</v>
      </c>
      <c r="DZ92" s="62">
        <v>0.0</v>
      </c>
      <c r="EA92" s="62">
        <v>0.0</v>
      </c>
      <c r="EB92" s="62">
        <v>0.0</v>
      </c>
      <c r="EC92" s="62">
        <v>16788.0</v>
      </c>
      <c r="ED92" s="62">
        <v>143884.0</v>
      </c>
      <c r="EE92" s="62">
        <v>0.0</v>
      </c>
      <c r="EF92" s="62">
        <v>66.0</v>
      </c>
      <c r="EG92" s="62">
        <v>43169.0</v>
      </c>
      <c r="EH92" s="62">
        <v>1348.0</v>
      </c>
      <c r="EI92" s="62">
        <v>5465426.0</v>
      </c>
      <c r="EJ92" s="62">
        <v>345.0</v>
      </c>
      <c r="EK92" s="62">
        <v>910802.0</v>
      </c>
      <c r="EL92" s="62">
        <v>296568.0</v>
      </c>
      <c r="EM92" s="62">
        <v>99042.0</v>
      </c>
      <c r="EN92" s="62">
        <v>17051.0</v>
      </c>
      <c r="EO92" s="62">
        <v>1626682.0</v>
      </c>
      <c r="EP92" s="62">
        <v>6270.0</v>
      </c>
      <c r="EQ92" s="62">
        <v>0.0</v>
      </c>
      <c r="ER92" s="62">
        <v>0.0</v>
      </c>
      <c r="ES92" s="62">
        <v>0.0</v>
      </c>
      <c r="ET92" s="62">
        <v>0.0</v>
      </c>
      <c r="EU92" s="62">
        <v>4.093045E7</v>
      </c>
      <c r="EV92" s="62">
        <v>5165301.0</v>
      </c>
      <c r="EW92" s="62">
        <v>759732.0</v>
      </c>
      <c r="EX92" s="62">
        <v>3155349.0</v>
      </c>
      <c r="EY92" s="62">
        <v>1.8308746E7</v>
      </c>
      <c r="EZ92" s="62">
        <v>36684.0</v>
      </c>
      <c r="FA92" s="62">
        <v>17330.0</v>
      </c>
      <c r="FB92" s="62">
        <v>606695.0</v>
      </c>
      <c r="FC92" s="62">
        <v>0.0</v>
      </c>
      <c r="FD92" s="62">
        <v>0.0</v>
      </c>
      <c r="FE92" s="62">
        <v>0.0</v>
      </c>
      <c r="FF92" s="62">
        <v>0.0</v>
      </c>
      <c r="FG92" s="62">
        <v>0.0</v>
      </c>
      <c r="FH92" s="62">
        <v>0.0</v>
      </c>
      <c r="FI92" s="62">
        <v>0.0</v>
      </c>
      <c r="FJ92" s="62">
        <v>331.0</v>
      </c>
      <c r="FK92" s="62">
        <v>1702.0</v>
      </c>
      <c r="FL92" s="62">
        <v>35335.0</v>
      </c>
      <c r="FM92" s="62">
        <v>0.0</v>
      </c>
      <c r="FN92" s="62">
        <v>0.0</v>
      </c>
      <c r="FO92" s="62">
        <v>0.0</v>
      </c>
      <c r="FP92" s="62">
        <v>0.0</v>
      </c>
      <c r="FQ92" s="62">
        <v>0.0</v>
      </c>
      <c r="FR92" s="62">
        <v>0.0</v>
      </c>
      <c r="FS92" s="62">
        <v>0.0</v>
      </c>
      <c r="FT92" s="62">
        <v>0.0</v>
      </c>
      <c r="FU92" s="62">
        <v>64969.0</v>
      </c>
      <c r="FV92" s="62">
        <v>0.0</v>
      </c>
      <c r="FW92" s="62">
        <v>51486.0</v>
      </c>
      <c r="FX92" s="62">
        <v>271.0</v>
      </c>
      <c r="FY92" s="62">
        <v>143.0</v>
      </c>
      <c r="FZ92" s="62">
        <v>0.0</v>
      </c>
      <c r="GA92" s="62">
        <v>12280.0</v>
      </c>
      <c r="GB92" s="62">
        <v>0.0</v>
      </c>
      <c r="GC92" s="62">
        <v>0.0</v>
      </c>
      <c r="GD92" s="62">
        <v>20778.0</v>
      </c>
      <c r="GE92" s="62">
        <v>9569.0</v>
      </c>
      <c r="GF92" s="63">
        <v>8.0441073E7</v>
      </c>
      <c r="GG92" s="64">
        <v>1404249.0</v>
      </c>
      <c r="GH92" s="65">
        <v>0.0</v>
      </c>
      <c r="GI92" s="64">
        <v>0.0</v>
      </c>
      <c r="GJ92" s="64">
        <v>0.0</v>
      </c>
      <c r="GK92" s="64">
        <v>3495461.0</v>
      </c>
      <c r="GL92" s="64">
        <v>3.6918788E7</v>
      </c>
      <c r="GM92" s="64">
        <v>0.0</v>
      </c>
      <c r="GN92" s="63">
        <v>4.1818498E7</v>
      </c>
      <c r="GO92" s="66">
        <v>1.22259571E8</v>
      </c>
      <c r="GP92" s="64">
        <v>2329350.0</v>
      </c>
      <c r="GQ92" s="64">
        <v>0.0</v>
      </c>
      <c r="GR92" s="65">
        <v>0.0</v>
      </c>
      <c r="GS92" s="63">
        <v>2329350.0</v>
      </c>
      <c r="GT92" s="67">
        <v>1.9921114E7</v>
      </c>
      <c r="GU92" s="67">
        <v>1.3821744E7</v>
      </c>
      <c r="GV92" s="67">
        <v>2364336.0</v>
      </c>
      <c r="GW92" s="63">
        <v>3.6107194E7</v>
      </c>
      <c r="GX92" s="63">
        <v>478612.0</v>
      </c>
      <c r="GY92" s="63">
        <v>8.3344415E7</v>
      </c>
      <c r="GZ92" s="66">
        <v>1.22259571E8</v>
      </c>
      <c r="HH92" s="106"/>
    </row>
    <row r="93" ht="15.75" customHeight="1">
      <c r="A93" s="60">
        <v>88.0</v>
      </c>
      <c r="B93" s="111" t="s">
        <v>358</v>
      </c>
      <c r="C93" s="62">
        <v>0.0</v>
      </c>
      <c r="D93" s="62">
        <v>0.0</v>
      </c>
      <c r="E93" s="62">
        <v>0.0</v>
      </c>
      <c r="F93" s="62">
        <v>0.0</v>
      </c>
      <c r="G93" s="62">
        <v>0.0</v>
      </c>
      <c r="H93" s="62">
        <v>0.0</v>
      </c>
      <c r="I93" s="62">
        <v>0.0</v>
      </c>
      <c r="J93" s="62">
        <v>0.0</v>
      </c>
      <c r="K93" s="62">
        <v>0.0</v>
      </c>
      <c r="L93" s="62">
        <v>0.0</v>
      </c>
      <c r="M93" s="62">
        <v>0.0</v>
      </c>
      <c r="N93" s="62">
        <v>0.0</v>
      </c>
      <c r="O93" s="62">
        <v>0.0</v>
      </c>
      <c r="P93" s="62">
        <v>0.0</v>
      </c>
      <c r="Q93" s="62">
        <v>0.0</v>
      </c>
      <c r="R93" s="62">
        <v>0.0</v>
      </c>
      <c r="S93" s="62">
        <v>0.0</v>
      </c>
      <c r="T93" s="62">
        <v>0.0</v>
      </c>
      <c r="U93" s="62">
        <v>0.0</v>
      </c>
      <c r="V93" s="62">
        <v>0.0</v>
      </c>
      <c r="W93" s="62">
        <v>0.0</v>
      </c>
      <c r="X93" s="62">
        <v>0.0</v>
      </c>
      <c r="Y93" s="62">
        <v>0.0</v>
      </c>
      <c r="Z93" s="62">
        <v>0.0</v>
      </c>
      <c r="AA93" s="62">
        <v>0.0</v>
      </c>
      <c r="AB93" s="62">
        <v>0.0</v>
      </c>
      <c r="AC93" s="62">
        <v>0.0</v>
      </c>
      <c r="AD93" s="62">
        <v>0.0</v>
      </c>
      <c r="AE93" s="62">
        <v>0.0</v>
      </c>
      <c r="AF93" s="62">
        <v>654.0</v>
      </c>
      <c r="AG93" s="62">
        <v>29084.0</v>
      </c>
      <c r="AH93" s="62">
        <v>11248.0</v>
      </c>
      <c r="AI93" s="62">
        <v>47711.0</v>
      </c>
      <c r="AJ93" s="62">
        <v>0.0</v>
      </c>
      <c r="AK93" s="62">
        <v>0.0</v>
      </c>
      <c r="AL93" s="62">
        <v>0.0</v>
      </c>
      <c r="AM93" s="62">
        <v>0.0</v>
      </c>
      <c r="AN93" s="62">
        <v>0.0</v>
      </c>
      <c r="AO93" s="62">
        <v>0.0</v>
      </c>
      <c r="AP93" s="62">
        <v>0.0</v>
      </c>
      <c r="AQ93" s="62">
        <v>0.0</v>
      </c>
      <c r="AR93" s="62">
        <v>0.0</v>
      </c>
      <c r="AS93" s="62">
        <v>0.0</v>
      </c>
      <c r="AT93" s="62">
        <v>0.0</v>
      </c>
      <c r="AU93" s="62">
        <v>2355.0</v>
      </c>
      <c r="AV93" s="62">
        <v>64711.0</v>
      </c>
      <c r="AW93" s="62">
        <v>315.0</v>
      </c>
      <c r="AX93" s="62">
        <v>11272.0</v>
      </c>
      <c r="AY93" s="62">
        <v>0.0</v>
      </c>
      <c r="AZ93" s="62">
        <v>0.0</v>
      </c>
      <c r="BA93" s="62">
        <v>0.0</v>
      </c>
      <c r="BB93" s="62">
        <v>0.0</v>
      </c>
      <c r="BC93" s="62">
        <v>0.0</v>
      </c>
      <c r="BD93" s="62">
        <v>0.0</v>
      </c>
      <c r="BE93" s="62">
        <v>0.0</v>
      </c>
      <c r="BF93" s="62">
        <v>0.0</v>
      </c>
      <c r="BG93" s="62">
        <v>0.0</v>
      </c>
      <c r="BH93" s="62">
        <v>0.0</v>
      </c>
      <c r="BI93" s="62">
        <v>0.0</v>
      </c>
      <c r="BJ93" s="62">
        <v>0.0</v>
      </c>
      <c r="BK93" s="62">
        <v>0.0</v>
      </c>
      <c r="BL93" s="62">
        <v>0.0</v>
      </c>
      <c r="BM93" s="62">
        <v>0.0</v>
      </c>
      <c r="BN93" s="62">
        <v>0.0</v>
      </c>
      <c r="BO93" s="62">
        <v>0.0</v>
      </c>
      <c r="BP93" s="62">
        <v>0.0</v>
      </c>
      <c r="BQ93" s="62">
        <v>0.0</v>
      </c>
      <c r="BR93" s="62">
        <v>0.0</v>
      </c>
      <c r="BS93" s="62">
        <v>0.0</v>
      </c>
      <c r="BT93" s="62">
        <v>0.0</v>
      </c>
      <c r="BU93" s="62">
        <v>0.0</v>
      </c>
      <c r="BV93" s="62">
        <v>0.0</v>
      </c>
      <c r="BW93" s="62">
        <v>0.0</v>
      </c>
      <c r="BX93" s="62">
        <v>0.0</v>
      </c>
      <c r="BY93" s="62">
        <v>0.0</v>
      </c>
      <c r="BZ93" s="62">
        <v>0.0</v>
      </c>
      <c r="CA93" s="62">
        <v>0.0</v>
      </c>
      <c r="CB93" s="62">
        <v>0.0</v>
      </c>
      <c r="CC93" s="62">
        <v>0.0</v>
      </c>
      <c r="CD93" s="62">
        <v>0.0</v>
      </c>
      <c r="CE93" s="62">
        <v>0.0</v>
      </c>
      <c r="CF93" s="62">
        <v>0.0</v>
      </c>
      <c r="CG93" s="62">
        <v>0.0</v>
      </c>
      <c r="CH93" s="62">
        <v>0.0</v>
      </c>
      <c r="CI93" s="62">
        <v>0.0</v>
      </c>
      <c r="CJ93" s="62">
        <v>237169.0</v>
      </c>
      <c r="CK93" s="62">
        <v>1214335.0</v>
      </c>
      <c r="CL93" s="62">
        <v>296775.0</v>
      </c>
      <c r="CM93" s="62">
        <v>94703.0</v>
      </c>
      <c r="CN93" s="62">
        <v>0.0</v>
      </c>
      <c r="CO93" s="62">
        <v>1.0</v>
      </c>
      <c r="CP93" s="62">
        <v>5.0</v>
      </c>
      <c r="CQ93" s="62">
        <v>130.0</v>
      </c>
      <c r="CR93" s="62">
        <v>0.0</v>
      </c>
      <c r="CS93" s="62">
        <v>0.0</v>
      </c>
      <c r="CT93" s="62">
        <v>0.0</v>
      </c>
      <c r="CU93" s="62">
        <v>0.0</v>
      </c>
      <c r="CV93" s="62">
        <v>0.0</v>
      </c>
      <c r="CW93" s="62">
        <v>0.0</v>
      </c>
      <c r="CX93" s="62">
        <v>0.0</v>
      </c>
      <c r="CY93" s="62">
        <v>0.0</v>
      </c>
      <c r="CZ93" s="62">
        <v>0.0</v>
      </c>
      <c r="DA93" s="62">
        <v>0.0</v>
      </c>
      <c r="DB93" s="62">
        <v>0.0</v>
      </c>
      <c r="DC93" s="62">
        <v>0.0</v>
      </c>
      <c r="DD93" s="62">
        <v>0.0</v>
      </c>
      <c r="DE93" s="62">
        <v>0.0</v>
      </c>
      <c r="DF93" s="62">
        <v>0.0</v>
      </c>
      <c r="DG93" s="62">
        <v>0.0</v>
      </c>
      <c r="DH93" s="62">
        <v>0.0</v>
      </c>
      <c r="DI93" s="62">
        <v>0.0</v>
      </c>
      <c r="DJ93" s="62">
        <v>0.0</v>
      </c>
      <c r="DK93" s="62">
        <v>0.0</v>
      </c>
      <c r="DL93" s="62">
        <v>0.0</v>
      </c>
      <c r="DM93" s="62">
        <v>0.0</v>
      </c>
      <c r="DN93" s="62">
        <v>0.0</v>
      </c>
      <c r="DO93" s="62">
        <v>363.0</v>
      </c>
      <c r="DP93" s="62">
        <v>0.0</v>
      </c>
      <c r="DQ93" s="62">
        <v>677.0</v>
      </c>
      <c r="DR93" s="62">
        <v>5951.0</v>
      </c>
      <c r="DS93" s="62">
        <v>104.0</v>
      </c>
      <c r="DT93" s="62">
        <v>672.0</v>
      </c>
      <c r="DU93" s="62">
        <v>0.0</v>
      </c>
      <c r="DV93" s="62">
        <v>0.0</v>
      </c>
      <c r="DW93" s="62">
        <v>0.0</v>
      </c>
      <c r="DX93" s="62">
        <v>38.0</v>
      </c>
      <c r="DY93" s="62">
        <v>0.0</v>
      </c>
      <c r="DZ93" s="62">
        <v>0.0</v>
      </c>
      <c r="EA93" s="62">
        <v>0.0</v>
      </c>
      <c r="EB93" s="62">
        <v>0.0</v>
      </c>
      <c r="EC93" s="62">
        <v>0.0</v>
      </c>
      <c r="ED93" s="62">
        <v>32701.0</v>
      </c>
      <c r="EE93" s="62">
        <v>0.0</v>
      </c>
      <c r="EF93" s="62">
        <v>0.0</v>
      </c>
      <c r="EG93" s="62">
        <v>0.0</v>
      </c>
      <c r="EH93" s="62">
        <v>0.0</v>
      </c>
      <c r="EI93" s="62">
        <v>173532.0</v>
      </c>
      <c r="EJ93" s="62">
        <v>30.0</v>
      </c>
      <c r="EK93" s="62">
        <v>75.0</v>
      </c>
      <c r="EL93" s="62">
        <v>114.0</v>
      </c>
      <c r="EM93" s="62">
        <v>3702.0</v>
      </c>
      <c r="EN93" s="62">
        <v>0.0</v>
      </c>
      <c r="EO93" s="62">
        <v>20625.0</v>
      </c>
      <c r="EP93" s="62">
        <v>1082.0</v>
      </c>
      <c r="EQ93" s="62">
        <v>0.0</v>
      </c>
      <c r="ER93" s="62">
        <v>0.0</v>
      </c>
      <c r="ES93" s="62">
        <v>0.0</v>
      </c>
      <c r="ET93" s="62">
        <v>0.0</v>
      </c>
      <c r="EU93" s="62">
        <v>3.2864113E7</v>
      </c>
      <c r="EV93" s="62">
        <v>4448658.0</v>
      </c>
      <c r="EW93" s="62">
        <v>371591.0</v>
      </c>
      <c r="EX93" s="62">
        <v>766202.0</v>
      </c>
      <c r="EY93" s="62">
        <v>3782296.0</v>
      </c>
      <c r="EZ93" s="62">
        <v>0.0</v>
      </c>
      <c r="FA93" s="62">
        <v>0.0</v>
      </c>
      <c r="FB93" s="62">
        <v>0.0</v>
      </c>
      <c r="FC93" s="62">
        <v>0.0</v>
      </c>
      <c r="FD93" s="62">
        <v>0.0</v>
      </c>
      <c r="FE93" s="62">
        <v>0.0</v>
      </c>
      <c r="FF93" s="62">
        <v>0.0</v>
      </c>
      <c r="FG93" s="62">
        <v>0.0</v>
      </c>
      <c r="FH93" s="62">
        <v>0.0</v>
      </c>
      <c r="FI93" s="62">
        <v>0.0</v>
      </c>
      <c r="FJ93" s="62">
        <v>7798.0</v>
      </c>
      <c r="FK93" s="62">
        <v>1436.0</v>
      </c>
      <c r="FL93" s="62">
        <v>0.0</v>
      </c>
      <c r="FM93" s="62">
        <v>0.0</v>
      </c>
      <c r="FN93" s="62">
        <v>0.0</v>
      </c>
      <c r="FO93" s="62">
        <v>0.0</v>
      </c>
      <c r="FP93" s="62">
        <v>0.0</v>
      </c>
      <c r="FQ93" s="62">
        <v>0.0</v>
      </c>
      <c r="FR93" s="62">
        <v>0.0</v>
      </c>
      <c r="FS93" s="62">
        <v>0.0</v>
      </c>
      <c r="FT93" s="62">
        <v>9708.0</v>
      </c>
      <c r="FU93" s="62">
        <v>40932.0</v>
      </c>
      <c r="FV93" s="62">
        <v>0.0</v>
      </c>
      <c r="FW93" s="62">
        <v>3783.0</v>
      </c>
      <c r="FX93" s="62">
        <v>0.0</v>
      </c>
      <c r="FY93" s="62">
        <v>431.0</v>
      </c>
      <c r="FZ93" s="62">
        <v>0.0</v>
      </c>
      <c r="GA93" s="62">
        <v>0.0</v>
      </c>
      <c r="GB93" s="62">
        <v>0.0</v>
      </c>
      <c r="GC93" s="62">
        <v>0.0</v>
      </c>
      <c r="GD93" s="62">
        <v>6254.0</v>
      </c>
      <c r="GE93" s="62">
        <v>11257.0</v>
      </c>
      <c r="GF93" s="63">
        <v>4.4564593E7</v>
      </c>
      <c r="GG93" s="64">
        <v>0.0</v>
      </c>
      <c r="GH93" s="65">
        <v>0.0</v>
      </c>
      <c r="GI93" s="64">
        <v>0.0</v>
      </c>
      <c r="GJ93" s="64">
        <v>0.0</v>
      </c>
      <c r="GK93" s="64">
        <v>3104982.0</v>
      </c>
      <c r="GL93" s="64">
        <v>6880396.0</v>
      </c>
      <c r="GM93" s="64">
        <v>0.0</v>
      </c>
      <c r="GN93" s="63">
        <v>9985378.0</v>
      </c>
      <c r="GO93" s="66">
        <v>5.4549971E7</v>
      </c>
      <c r="GP93" s="64">
        <v>119482.0</v>
      </c>
      <c r="GQ93" s="64">
        <v>0.0</v>
      </c>
      <c r="GR93" s="65">
        <v>0.0</v>
      </c>
      <c r="GS93" s="63">
        <v>119482.0</v>
      </c>
      <c r="GT93" s="67">
        <v>3073058.0</v>
      </c>
      <c r="GU93" s="67">
        <v>3111295.0</v>
      </c>
      <c r="GV93" s="67">
        <v>888959.0</v>
      </c>
      <c r="GW93" s="63">
        <v>7073312.0</v>
      </c>
      <c r="GX93" s="63">
        <v>8795.0</v>
      </c>
      <c r="GY93" s="63">
        <v>4.7348382E7</v>
      </c>
      <c r="GZ93" s="66">
        <v>5.4549971E7</v>
      </c>
      <c r="HH93" s="106"/>
    </row>
    <row r="94" ht="15.75" customHeight="1">
      <c r="A94" s="60">
        <v>89.0</v>
      </c>
      <c r="B94" s="111" t="s">
        <v>595</v>
      </c>
      <c r="C94" s="62">
        <v>3615.0</v>
      </c>
      <c r="D94" s="62">
        <v>2664.0</v>
      </c>
      <c r="E94" s="62">
        <v>137.0</v>
      </c>
      <c r="F94" s="62">
        <v>1564.0</v>
      </c>
      <c r="G94" s="62">
        <v>32.0</v>
      </c>
      <c r="H94" s="62">
        <v>481.0</v>
      </c>
      <c r="I94" s="62">
        <v>245.0</v>
      </c>
      <c r="J94" s="62">
        <v>197.0</v>
      </c>
      <c r="K94" s="62">
        <v>0.0</v>
      </c>
      <c r="L94" s="62">
        <v>21819.0</v>
      </c>
      <c r="M94" s="62">
        <v>84.0</v>
      </c>
      <c r="N94" s="62">
        <v>327.0</v>
      </c>
      <c r="O94" s="62">
        <v>240.0</v>
      </c>
      <c r="P94" s="62">
        <v>322.0</v>
      </c>
      <c r="Q94" s="62">
        <v>3802.0</v>
      </c>
      <c r="R94" s="62">
        <v>66890.0</v>
      </c>
      <c r="S94" s="62">
        <v>161.0</v>
      </c>
      <c r="T94" s="62">
        <v>0.0</v>
      </c>
      <c r="U94" s="62">
        <v>5836.0</v>
      </c>
      <c r="V94" s="62">
        <v>73.0</v>
      </c>
      <c r="W94" s="62">
        <v>100.0</v>
      </c>
      <c r="X94" s="62">
        <v>1128.0</v>
      </c>
      <c r="Y94" s="62">
        <v>660.0</v>
      </c>
      <c r="Z94" s="62">
        <v>224.0</v>
      </c>
      <c r="AA94" s="62">
        <v>120.0</v>
      </c>
      <c r="AB94" s="62">
        <v>798.0</v>
      </c>
      <c r="AC94" s="62">
        <v>285.0</v>
      </c>
      <c r="AD94" s="62">
        <v>5067.0</v>
      </c>
      <c r="AE94" s="62">
        <v>2716.0</v>
      </c>
      <c r="AF94" s="62">
        <v>551.0</v>
      </c>
      <c r="AG94" s="62">
        <v>37346.0</v>
      </c>
      <c r="AH94" s="62">
        <v>7320.0</v>
      </c>
      <c r="AI94" s="62">
        <v>56019.0</v>
      </c>
      <c r="AJ94" s="62">
        <v>1898.0</v>
      </c>
      <c r="AK94" s="62">
        <v>172.0</v>
      </c>
      <c r="AL94" s="62">
        <v>672.0</v>
      </c>
      <c r="AM94" s="62">
        <v>0.0</v>
      </c>
      <c r="AN94" s="62">
        <v>0.0</v>
      </c>
      <c r="AO94" s="62">
        <v>0.0</v>
      </c>
      <c r="AP94" s="62">
        <v>5.0</v>
      </c>
      <c r="AQ94" s="62">
        <v>3991.0</v>
      </c>
      <c r="AR94" s="62">
        <v>13.0</v>
      </c>
      <c r="AS94" s="62">
        <v>12.0</v>
      </c>
      <c r="AT94" s="62">
        <v>63.0</v>
      </c>
      <c r="AU94" s="62">
        <v>0.0</v>
      </c>
      <c r="AV94" s="62">
        <v>0.0</v>
      </c>
      <c r="AW94" s="62">
        <v>0.0</v>
      </c>
      <c r="AX94" s="62">
        <v>318324.0</v>
      </c>
      <c r="AY94" s="62">
        <v>78894.0</v>
      </c>
      <c r="AZ94" s="62">
        <v>125.0</v>
      </c>
      <c r="BA94" s="62">
        <v>228.0</v>
      </c>
      <c r="BB94" s="62">
        <v>2757.0</v>
      </c>
      <c r="BC94" s="62">
        <v>1007.0</v>
      </c>
      <c r="BD94" s="62">
        <v>2.0</v>
      </c>
      <c r="BE94" s="62">
        <v>3229.0</v>
      </c>
      <c r="BF94" s="62">
        <v>11683.0</v>
      </c>
      <c r="BG94" s="62">
        <v>790.0</v>
      </c>
      <c r="BH94" s="62">
        <v>2861.0</v>
      </c>
      <c r="BI94" s="62">
        <v>954.0</v>
      </c>
      <c r="BJ94" s="62">
        <v>13558.0</v>
      </c>
      <c r="BK94" s="62">
        <v>823.0</v>
      </c>
      <c r="BL94" s="62">
        <v>89.0</v>
      </c>
      <c r="BM94" s="62">
        <v>19.0</v>
      </c>
      <c r="BN94" s="62">
        <v>0.0</v>
      </c>
      <c r="BO94" s="62">
        <v>1727.0</v>
      </c>
      <c r="BP94" s="62">
        <v>0.0</v>
      </c>
      <c r="BQ94" s="62">
        <v>0.0</v>
      </c>
      <c r="BR94" s="62">
        <v>0.0</v>
      </c>
      <c r="BS94" s="62">
        <v>0.0</v>
      </c>
      <c r="BT94" s="62">
        <v>6804.0</v>
      </c>
      <c r="BU94" s="62">
        <v>11829.0</v>
      </c>
      <c r="BV94" s="62">
        <v>593.0</v>
      </c>
      <c r="BW94" s="62">
        <v>220.0</v>
      </c>
      <c r="BX94" s="62">
        <v>4225.0</v>
      </c>
      <c r="BY94" s="62">
        <v>24982.0</v>
      </c>
      <c r="BZ94" s="62">
        <v>1502.0</v>
      </c>
      <c r="CA94" s="62">
        <v>15924.0</v>
      </c>
      <c r="CB94" s="62">
        <v>8146.0</v>
      </c>
      <c r="CC94" s="62">
        <v>1081.0</v>
      </c>
      <c r="CD94" s="62">
        <v>659.0</v>
      </c>
      <c r="CE94" s="62">
        <v>811.0</v>
      </c>
      <c r="CF94" s="62">
        <v>4281.0</v>
      </c>
      <c r="CG94" s="62">
        <v>76.0</v>
      </c>
      <c r="CH94" s="62">
        <v>179.0</v>
      </c>
      <c r="CI94" s="62">
        <v>120.0</v>
      </c>
      <c r="CJ94" s="62">
        <v>45052.0</v>
      </c>
      <c r="CK94" s="62">
        <v>177181.0</v>
      </c>
      <c r="CL94" s="62">
        <v>58408.0</v>
      </c>
      <c r="CM94" s="62">
        <v>20549.0</v>
      </c>
      <c r="CN94" s="62">
        <v>13956.0</v>
      </c>
      <c r="CO94" s="62">
        <v>65221.0</v>
      </c>
      <c r="CP94" s="62">
        <v>53741.0</v>
      </c>
      <c r="CQ94" s="62">
        <v>50.0</v>
      </c>
      <c r="CR94" s="62">
        <v>583.0</v>
      </c>
      <c r="CS94" s="62">
        <v>0.0</v>
      </c>
      <c r="CT94" s="62">
        <v>14680.0</v>
      </c>
      <c r="CU94" s="62">
        <v>439.0</v>
      </c>
      <c r="CV94" s="62">
        <v>9295.0</v>
      </c>
      <c r="CW94" s="62">
        <v>940.0</v>
      </c>
      <c r="CX94" s="62">
        <v>2438.0</v>
      </c>
      <c r="CY94" s="62">
        <v>166.0</v>
      </c>
      <c r="CZ94" s="62">
        <v>17752.0</v>
      </c>
      <c r="DA94" s="62">
        <v>3526.0</v>
      </c>
      <c r="DB94" s="62">
        <v>3519.0</v>
      </c>
      <c r="DC94" s="62">
        <v>4410.0</v>
      </c>
      <c r="DD94" s="62">
        <v>1316.0</v>
      </c>
      <c r="DE94" s="62">
        <v>1250.0</v>
      </c>
      <c r="DF94" s="62">
        <v>1904.0</v>
      </c>
      <c r="DG94" s="62">
        <v>386.0</v>
      </c>
      <c r="DH94" s="62">
        <v>7817.0</v>
      </c>
      <c r="DI94" s="62">
        <v>10950.0</v>
      </c>
      <c r="DJ94" s="62">
        <v>6226.0</v>
      </c>
      <c r="DK94" s="62">
        <v>0.0</v>
      </c>
      <c r="DL94" s="62">
        <v>3365.0</v>
      </c>
      <c r="DM94" s="62">
        <v>1423.0</v>
      </c>
      <c r="DN94" s="62">
        <v>155.0</v>
      </c>
      <c r="DO94" s="62">
        <v>88782.0</v>
      </c>
      <c r="DP94" s="62">
        <v>9535.0</v>
      </c>
      <c r="DQ94" s="62">
        <v>47781.0</v>
      </c>
      <c r="DR94" s="62">
        <v>120909.0</v>
      </c>
      <c r="DS94" s="62">
        <v>508392.0</v>
      </c>
      <c r="DT94" s="62">
        <v>17713.0</v>
      </c>
      <c r="DU94" s="62">
        <v>62449.0</v>
      </c>
      <c r="DV94" s="62">
        <v>184841.0</v>
      </c>
      <c r="DW94" s="62">
        <v>0.0</v>
      </c>
      <c r="DX94" s="62">
        <v>99590.0</v>
      </c>
      <c r="DY94" s="62">
        <v>342520.0</v>
      </c>
      <c r="DZ94" s="62">
        <v>75965.0</v>
      </c>
      <c r="EA94" s="62">
        <v>0.0</v>
      </c>
      <c r="EB94" s="62">
        <v>1366.0</v>
      </c>
      <c r="EC94" s="62">
        <v>17857.0</v>
      </c>
      <c r="ED94" s="62">
        <v>447.0</v>
      </c>
      <c r="EE94" s="62">
        <v>0.0</v>
      </c>
      <c r="EF94" s="62">
        <v>0.0</v>
      </c>
      <c r="EG94" s="62">
        <v>1005.0</v>
      </c>
      <c r="EH94" s="62">
        <v>8372.0</v>
      </c>
      <c r="EI94" s="62">
        <v>289237.0</v>
      </c>
      <c r="EJ94" s="62">
        <v>66.0</v>
      </c>
      <c r="EK94" s="62">
        <v>39.0</v>
      </c>
      <c r="EL94" s="62">
        <v>53579.0</v>
      </c>
      <c r="EM94" s="62">
        <v>23366.0</v>
      </c>
      <c r="EN94" s="62">
        <v>237.0</v>
      </c>
      <c r="EO94" s="62">
        <v>5518.0</v>
      </c>
      <c r="EP94" s="62">
        <v>777.0</v>
      </c>
      <c r="EQ94" s="62">
        <v>0.0</v>
      </c>
      <c r="ER94" s="62">
        <v>0.0</v>
      </c>
      <c r="ES94" s="62">
        <v>0.0</v>
      </c>
      <c r="ET94" s="62">
        <v>0.0</v>
      </c>
      <c r="EU94" s="62">
        <v>792701.0</v>
      </c>
      <c r="EV94" s="62">
        <v>19892.0</v>
      </c>
      <c r="EW94" s="62">
        <v>99069.0</v>
      </c>
      <c r="EX94" s="62">
        <v>119455.0</v>
      </c>
      <c r="EY94" s="62">
        <v>434012.0</v>
      </c>
      <c r="EZ94" s="62">
        <v>5227.0</v>
      </c>
      <c r="FA94" s="62">
        <v>980.0</v>
      </c>
      <c r="FB94" s="62">
        <v>1602424.0</v>
      </c>
      <c r="FC94" s="62">
        <v>0.0</v>
      </c>
      <c r="FD94" s="62">
        <v>0.0</v>
      </c>
      <c r="FE94" s="62">
        <v>0.0</v>
      </c>
      <c r="FF94" s="62">
        <v>0.0</v>
      </c>
      <c r="FG94" s="62">
        <v>0.0</v>
      </c>
      <c r="FH94" s="62">
        <v>75155.0</v>
      </c>
      <c r="FI94" s="62">
        <v>3986.0</v>
      </c>
      <c r="FJ94" s="62">
        <v>333.0</v>
      </c>
      <c r="FK94" s="62">
        <v>13026.0</v>
      </c>
      <c r="FL94" s="62">
        <v>146247.0</v>
      </c>
      <c r="FM94" s="62">
        <v>544.0</v>
      </c>
      <c r="FN94" s="62">
        <v>9670.0</v>
      </c>
      <c r="FO94" s="62">
        <v>609.0</v>
      </c>
      <c r="FP94" s="62">
        <v>29.0</v>
      </c>
      <c r="FQ94" s="62">
        <v>0.0</v>
      </c>
      <c r="FR94" s="62">
        <v>13.0</v>
      </c>
      <c r="FS94" s="62">
        <v>14.0</v>
      </c>
      <c r="FT94" s="62">
        <v>0.0</v>
      </c>
      <c r="FU94" s="62">
        <v>2279.0</v>
      </c>
      <c r="FV94" s="62">
        <v>14738.0</v>
      </c>
      <c r="FW94" s="62">
        <v>1158.0</v>
      </c>
      <c r="FX94" s="62">
        <v>1440.0</v>
      </c>
      <c r="FY94" s="62">
        <v>2261.0</v>
      </c>
      <c r="FZ94" s="62">
        <v>126.0</v>
      </c>
      <c r="GA94" s="62">
        <v>877.0</v>
      </c>
      <c r="GB94" s="62">
        <v>234.0</v>
      </c>
      <c r="GC94" s="62">
        <v>7089.0</v>
      </c>
      <c r="GD94" s="62">
        <v>5955.0</v>
      </c>
      <c r="GE94" s="62">
        <v>1067.0</v>
      </c>
      <c r="GF94" s="63">
        <v>6593802.0</v>
      </c>
      <c r="GG94" s="64">
        <v>6239279.0</v>
      </c>
      <c r="GH94" s="65">
        <v>0.0</v>
      </c>
      <c r="GI94" s="64">
        <v>0.0</v>
      </c>
      <c r="GJ94" s="64">
        <v>2.0028622E7</v>
      </c>
      <c r="GK94" s="64">
        <v>-3062297.0</v>
      </c>
      <c r="GL94" s="64">
        <v>3719228.0</v>
      </c>
      <c r="GM94" s="64">
        <v>0.0</v>
      </c>
      <c r="GN94" s="63">
        <v>2.6924832E7</v>
      </c>
      <c r="GO94" s="66">
        <v>3.3518634E7</v>
      </c>
      <c r="GP94" s="64">
        <v>526699.0</v>
      </c>
      <c r="GQ94" s="64">
        <v>0.0</v>
      </c>
      <c r="GR94" s="65">
        <v>0.0</v>
      </c>
      <c r="GS94" s="63">
        <v>526699.0</v>
      </c>
      <c r="GT94" s="67">
        <v>6460968.0</v>
      </c>
      <c r="GU94" s="67">
        <v>5736380.0</v>
      </c>
      <c r="GV94" s="67">
        <v>736920.0</v>
      </c>
      <c r="GW94" s="63">
        <v>1.2934268E7</v>
      </c>
      <c r="GX94" s="63">
        <v>1139335.0</v>
      </c>
      <c r="GY94" s="63">
        <v>1.8918332E7</v>
      </c>
      <c r="GZ94" s="66">
        <v>3.3518634E7</v>
      </c>
      <c r="HH94" s="106"/>
    </row>
    <row r="95" ht="15.75" customHeight="1">
      <c r="A95" s="68">
        <v>90.0</v>
      </c>
      <c r="B95" s="111" t="s">
        <v>360</v>
      </c>
      <c r="C95" s="70">
        <v>0.0</v>
      </c>
      <c r="D95" s="70">
        <v>0.0</v>
      </c>
      <c r="E95" s="70">
        <v>0.0</v>
      </c>
      <c r="F95" s="70">
        <v>0.0</v>
      </c>
      <c r="G95" s="70">
        <v>0.0</v>
      </c>
      <c r="H95" s="70">
        <v>0.0</v>
      </c>
      <c r="I95" s="70">
        <v>0.0</v>
      </c>
      <c r="J95" s="70">
        <v>0.0</v>
      </c>
      <c r="K95" s="70">
        <v>0.0</v>
      </c>
      <c r="L95" s="70">
        <v>0.0</v>
      </c>
      <c r="M95" s="70">
        <v>0.0</v>
      </c>
      <c r="N95" s="70">
        <v>0.0</v>
      </c>
      <c r="O95" s="70">
        <v>0.0</v>
      </c>
      <c r="P95" s="70">
        <v>0.0</v>
      </c>
      <c r="Q95" s="70">
        <v>0.0</v>
      </c>
      <c r="R95" s="70">
        <v>0.0</v>
      </c>
      <c r="S95" s="70">
        <v>0.0</v>
      </c>
      <c r="T95" s="70">
        <v>0.0</v>
      </c>
      <c r="U95" s="70">
        <v>0.0</v>
      </c>
      <c r="V95" s="70">
        <v>0.0</v>
      </c>
      <c r="W95" s="70">
        <v>0.0</v>
      </c>
      <c r="X95" s="70">
        <v>0.0</v>
      </c>
      <c r="Y95" s="70">
        <v>0.0</v>
      </c>
      <c r="Z95" s="70">
        <v>0.0</v>
      </c>
      <c r="AA95" s="70">
        <v>0.0</v>
      </c>
      <c r="AB95" s="70">
        <v>0.0</v>
      </c>
      <c r="AC95" s="70">
        <v>0.0</v>
      </c>
      <c r="AD95" s="70">
        <v>0.0</v>
      </c>
      <c r="AE95" s="70">
        <v>0.0</v>
      </c>
      <c r="AF95" s="70">
        <v>0.0</v>
      </c>
      <c r="AG95" s="70">
        <v>0.0</v>
      </c>
      <c r="AH95" s="70">
        <v>0.0</v>
      </c>
      <c r="AI95" s="70">
        <v>0.0</v>
      </c>
      <c r="AJ95" s="70">
        <v>0.0</v>
      </c>
      <c r="AK95" s="70">
        <v>0.0</v>
      </c>
      <c r="AL95" s="70">
        <v>0.0</v>
      </c>
      <c r="AM95" s="70">
        <v>0.0</v>
      </c>
      <c r="AN95" s="70">
        <v>0.0</v>
      </c>
      <c r="AO95" s="70">
        <v>0.0</v>
      </c>
      <c r="AP95" s="70">
        <v>0.0</v>
      </c>
      <c r="AQ95" s="70">
        <v>0.0</v>
      </c>
      <c r="AR95" s="70">
        <v>0.0</v>
      </c>
      <c r="AS95" s="70">
        <v>0.0</v>
      </c>
      <c r="AT95" s="70">
        <v>0.0</v>
      </c>
      <c r="AU95" s="70">
        <v>0.0</v>
      </c>
      <c r="AV95" s="70">
        <v>0.0</v>
      </c>
      <c r="AW95" s="70">
        <v>0.0</v>
      </c>
      <c r="AX95" s="70">
        <v>0.0</v>
      </c>
      <c r="AY95" s="70">
        <v>0.0</v>
      </c>
      <c r="AZ95" s="70">
        <v>0.0</v>
      </c>
      <c r="BA95" s="70">
        <v>0.0</v>
      </c>
      <c r="BB95" s="70">
        <v>0.0</v>
      </c>
      <c r="BC95" s="70">
        <v>0.0</v>
      </c>
      <c r="BD95" s="70">
        <v>0.0</v>
      </c>
      <c r="BE95" s="70">
        <v>0.0</v>
      </c>
      <c r="BF95" s="70">
        <v>0.0</v>
      </c>
      <c r="BG95" s="70">
        <v>0.0</v>
      </c>
      <c r="BH95" s="70">
        <v>0.0</v>
      </c>
      <c r="BI95" s="70">
        <v>0.0</v>
      </c>
      <c r="BJ95" s="70">
        <v>0.0</v>
      </c>
      <c r="BK95" s="70">
        <v>0.0</v>
      </c>
      <c r="BL95" s="70">
        <v>0.0</v>
      </c>
      <c r="BM95" s="70">
        <v>0.0</v>
      </c>
      <c r="BN95" s="70">
        <v>0.0</v>
      </c>
      <c r="BO95" s="70">
        <v>0.0</v>
      </c>
      <c r="BP95" s="70">
        <v>0.0</v>
      </c>
      <c r="BQ95" s="70">
        <v>0.0</v>
      </c>
      <c r="BR95" s="70">
        <v>0.0</v>
      </c>
      <c r="BS95" s="70">
        <v>0.0</v>
      </c>
      <c r="BT95" s="70">
        <v>0.0</v>
      </c>
      <c r="BU95" s="70">
        <v>0.0</v>
      </c>
      <c r="BV95" s="70">
        <v>0.0</v>
      </c>
      <c r="BW95" s="70">
        <v>0.0</v>
      </c>
      <c r="BX95" s="70">
        <v>0.0</v>
      </c>
      <c r="BY95" s="70">
        <v>0.0</v>
      </c>
      <c r="BZ95" s="70">
        <v>0.0</v>
      </c>
      <c r="CA95" s="70">
        <v>0.0</v>
      </c>
      <c r="CB95" s="70">
        <v>0.0</v>
      </c>
      <c r="CC95" s="70">
        <v>0.0</v>
      </c>
      <c r="CD95" s="70">
        <v>0.0</v>
      </c>
      <c r="CE95" s="70">
        <v>0.0</v>
      </c>
      <c r="CF95" s="70">
        <v>0.0</v>
      </c>
      <c r="CG95" s="70">
        <v>0.0</v>
      </c>
      <c r="CH95" s="70">
        <v>0.0</v>
      </c>
      <c r="CI95" s="70">
        <v>0.0</v>
      </c>
      <c r="CJ95" s="70">
        <v>0.0</v>
      </c>
      <c r="CK95" s="70">
        <v>0.0</v>
      </c>
      <c r="CL95" s="70">
        <v>0.0</v>
      </c>
      <c r="CM95" s="70">
        <v>0.0</v>
      </c>
      <c r="CN95" s="70">
        <v>3367119.0</v>
      </c>
      <c r="CO95" s="70">
        <v>1.7621124E7</v>
      </c>
      <c r="CP95" s="70">
        <v>1.8636121E7</v>
      </c>
      <c r="CQ95" s="70">
        <v>0.0</v>
      </c>
      <c r="CR95" s="70">
        <v>0.0</v>
      </c>
      <c r="CS95" s="70">
        <v>0.0</v>
      </c>
      <c r="CT95" s="70">
        <v>0.0</v>
      </c>
      <c r="CU95" s="70">
        <v>0.0</v>
      </c>
      <c r="CV95" s="70">
        <v>0.0</v>
      </c>
      <c r="CW95" s="70">
        <v>0.0</v>
      </c>
      <c r="CX95" s="70">
        <v>0.0</v>
      </c>
      <c r="CY95" s="70">
        <v>0.0</v>
      </c>
      <c r="CZ95" s="70">
        <v>0.0</v>
      </c>
      <c r="DA95" s="70">
        <v>0.0</v>
      </c>
      <c r="DB95" s="70">
        <v>0.0</v>
      </c>
      <c r="DC95" s="70">
        <v>0.0</v>
      </c>
      <c r="DD95" s="70">
        <v>0.0</v>
      </c>
      <c r="DE95" s="70">
        <v>0.0</v>
      </c>
      <c r="DF95" s="70">
        <v>0.0</v>
      </c>
      <c r="DG95" s="70">
        <v>0.0</v>
      </c>
      <c r="DH95" s="70">
        <v>0.0</v>
      </c>
      <c r="DI95" s="70">
        <v>0.0</v>
      </c>
      <c r="DJ95" s="70">
        <v>0.0</v>
      </c>
      <c r="DK95" s="70">
        <v>0.0</v>
      </c>
      <c r="DL95" s="70">
        <v>0.0</v>
      </c>
      <c r="DM95" s="70">
        <v>0.0</v>
      </c>
      <c r="DN95" s="70">
        <v>0.0</v>
      </c>
      <c r="DO95" s="70">
        <v>0.0</v>
      </c>
      <c r="DP95" s="70">
        <v>0.0</v>
      </c>
      <c r="DQ95" s="70">
        <v>16646.0</v>
      </c>
      <c r="DR95" s="70">
        <v>0.0</v>
      </c>
      <c r="DS95" s="70">
        <v>0.0</v>
      </c>
      <c r="DT95" s="70">
        <v>0.0</v>
      </c>
      <c r="DU95" s="70">
        <v>0.0</v>
      </c>
      <c r="DV95" s="70">
        <v>0.0</v>
      </c>
      <c r="DW95" s="70">
        <v>0.0</v>
      </c>
      <c r="DX95" s="70">
        <v>0.0</v>
      </c>
      <c r="DY95" s="70">
        <v>0.0</v>
      </c>
      <c r="DZ95" s="70">
        <v>0.0</v>
      </c>
      <c r="EA95" s="70">
        <v>0.0</v>
      </c>
      <c r="EB95" s="70">
        <v>0.0</v>
      </c>
      <c r="EC95" s="70">
        <v>0.0</v>
      </c>
      <c r="ED95" s="70">
        <v>0.0</v>
      </c>
      <c r="EE95" s="70">
        <v>0.0</v>
      </c>
      <c r="EF95" s="70">
        <v>0.0</v>
      </c>
      <c r="EG95" s="70">
        <v>0.0</v>
      </c>
      <c r="EH95" s="70">
        <v>0.0</v>
      </c>
      <c r="EI95" s="70">
        <v>0.0</v>
      </c>
      <c r="EJ95" s="70">
        <v>0.0</v>
      </c>
      <c r="EK95" s="70">
        <v>0.0</v>
      </c>
      <c r="EL95" s="70">
        <v>0.0</v>
      </c>
      <c r="EM95" s="70">
        <v>482.0</v>
      </c>
      <c r="EN95" s="70">
        <v>0.0</v>
      </c>
      <c r="EO95" s="70">
        <v>0.0</v>
      </c>
      <c r="EP95" s="70">
        <v>0.0</v>
      </c>
      <c r="EQ95" s="70">
        <v>0.0</v>
      </c>
      <c r="ER95" s="70">
        <v>0.0</v>
      </c>
      <c r="ES95" s="70">
        <v>0.0</v>
      </c>
      <c r="ET95" s="70">
        <v>0.0</v>
      </c>
      <c r="EU95" s="70">
        <v>0.0</v>
      </c>
      <c r="EV95" s="70">
        <v>0.0</v>
      </c>
      <c r="EW95" s="70">
        <v>0.0</v>
      </c>
      <c r="EX95" s="70">
        <v>0.0</v>
      </c>
      <c r="EY95" s="70">
        <v>0.0</v>
      </c>
      <c r="EZ95" s="70">
        <v>0.0</v>
      </c>
      <c r="FA95" s="70">
        <v>0.0</v>
      </c>
      <c r="FB95" s="70">
        <v>0.0</v>
      </c>
      <c r="FC95" s="70">
        <v>0.0</v>
      </c>
      <c r="FD95" s="70">
        <v>0.0</v>
      </c>
      <c r="FE95" s="70">
        <v>0.0</v>
      </c>
      <c r="FF95" s="70">
        <v>0.0</v>
      </c>
      <c r="FG95" s="70">
        <v>0.0</v>
      </c>
      <c r="FH95" s="70">
        <v>0.0</v>
      </c>
      <c r="FI95" s="70">
        <v>0.0</v>
      </c>
      <c r="FJ95" s="70">
        <v>0.0</v>
      </c>
      <c r="FK95" s="70">
        <v>0.0</v>
      </c>
      <c r="FL95" s="70">
        <v>0.0</v>
      </c>
      <c r="FM95" s="70">
        <v>0.0</v>
      </c>
      <c r="FN95" s="70">
        <v>0.0</v>
      </c>
      <c r="FO95" s="70">
        <v>0.0</v>
      </c>
      <c r="FP95" s="70">
        <v>0.0</v>
      </c>
      <c r="FQ95" s="70">
        <v>0.0</v>
      </c>
      <c r="FR95" s="70">
        <v>0.0</v>
      </c>
      <c r="FS95" s="70">
        <v>0.0</v>
      </c>
      <c r="FT95" s="70">
        <v>0.0</v>
      </c>
      <c r="FU95" s="70">
        <v>0.0</v>
      </c>
      <c r="FV95" s="70">
        <v>0.0</v>
      </c>
      <c r="FW95" s="70">
        <v>0.0</v>
      </c>
      <c r="FX95" s="70">
        <v>0.0</v>
      </c>
      <c r="FY95" s="70">
        <v>0.0</v>
      </c>
      <c r="FZ95" s="70">
        <v>0.0</v>
      </c>
      <c r="GA95" s="70">
        <v>0.0</v>
      </c>
      <c r="GB95" s="70">
        <v>0.0</v>
      </c>
      <c r="GC95" s="70">
        <v>0.0</v>
      </c>
      <c r="GD95" s="70">
        <v>0.0</v>
      </c>
      <c r="GE95" s="70">
        <v>0.0</v>
      </c>
      <c r="GF95" s="71">
        <v>3.9641492E7</v>
      </c>
      <c r="GG95" s="72">
        <v>0.0</v>
      </c>
      <c r="GH95" s="73">
        <v>0.0</v>
      </c>
      <c r="GI95" s="72">
        <v>0.0</v>
      </c>
      <c r="GJ95" s="72">
        <v>0.0</v>
      </c>
      <c r="GK95" s="72">
        <v>66421.0</v>
      </c>
      <c r="GL95" s="72">
        <v>3.6930054E7</v>
      </c>
      <c r="GM95" s="72">
        <v>0.0</v>
      </c>
      <c r="GN95" s="71">
        <v>3.6996475E7</v>
      </c>
      <c r="GO95" s="74">
        <v>7.6637967E7</v>
      </c>
      <c r="GP95" s="72">
        <v>1.2532315E7</v>
      </c>
      <c r="GQ95" s="72">
        <v>0.0</v>
      </c>
      <c r="GR95" s="73">
        <v>0.0</v>
      </c>
      <c r="GS95" s="71">
        <v>1.2532315E7</v>
      </c>
      <c r="GT95" s="75">
        <v>1728154.0</v>
      </c>
      <c r="GU95" s="75">
        <v>0.0</v>
      </c>
      <c r="GV95" s="75">
        <v>2075943.0</v>
      </c>
      <c r="GW95" s="71">
        <v>3804097.0</v>
      </c>
      <c r="GX95" s="71">
        <v>863219.0</v>
      </c>
      <c r="GY95" s="71">
        <v>5.9438336E7</v>
      </c>
      <c r="GZ95" s="74">
        <v>7.6637967E7</v>
      </c>
      <c r="HH95" s="106"/>
    </row>
    <row r="96" ht="15.75" customHeight="1">
      <c r="A96" s="52">
        <v>91.0</v>
      </c>
      <c r="B96" s="111" t="s">
        <v>361</v>
      </c>
      <c r="C96" s="54">
        <v>0.0</v>
      </c>
      <c r="D96" s="54">
        <v>0.0</v>
      </c>
      <c r="E96" s="54">
        <v>0.0</v>
      </c>
      <c r="F96" s="54">
        <v>0.0</v>
      </c>
      <c r="G96" s="54">
        <v>0.0</v>
      </c>
      <c r="H96" s="54">
        <v>0.0</v>
      </c>
      <c r="I96" s="54">
        <v>0.0</v>
      </c>
      <c r="J96" s="54">
        <v>0.0</v>
      </c>
      <c r="K96" s="54">
        <v>0.0</v>
      </c>
      <c r="L96" s="54">
        <v>8858.0</v>
      </c>
      <c r="M96" s="54">
        <v>20.0</v>
      </c>
      <c r="N96" s="54">
        <v>0.0</v>
      </c>
      <c r="O96" s="54">
        <v>110.0</v>
      </c>
      <c r="P96" s="54">
        <v>0.0</v>
      </c>
      <c r="Q96" s="54">
        <v>599.0</v>
      </c>
      <c r="R96" s="54">
        <v>35686.0</v>
      </c>
      <c r="S96" s="54">
        <v>72.0</v>
      </c>
      <c r="T96" s="54">
        <v>361.0</v>
      </c>
      <c r="U96" s="54">
        <v>0.0</v>
      </c>
      <c r="V96" s="54">
        <v>0.0</v>
      </c>
      <c r="W96" s="54">
        <v>0.0</v>
      </c>
      <c r="X96" s="54">
        <v>0.0</v>
      </c>
      <c r="Y96" s="54">
        <v>0.0</v>
      </c>
      <c r="Z96" s="54">
        <v>0.0</v>
      </c>
      <c r="AA96" s="54">
        <v>0.0</v>
      </c>
      <c r="AB96" s="54">
        <v>154.0</v>
      </c>
      <c r="AC96" s="54">
        <v>938.0</v>
      </c>
      <c r="AD96" s="54">
        <v>600.0</v>
      </c>
      <c r="AE96" s="54">
        <v>60.0</v>
      </c>
      <c r="AF96" s="54">
        <v>510.0</v>
      </c>
      <c r="AG96" s="54">
        <v>25550.0</v>
      </c>
      <c r="AH96" s="54">
        <v>6835.0</v>
      </c>
      <c r="AI96" s="54">
        <v>1729.0</v>
      </c>
      <c r="AJ96" s="54">
        <v>483.0</v>
      </c>
      <c r="AK96" s="54">
        <v>36.0</v>
      </c>
      <c r="AL96" s="54">
        <v>135.0</v>
      </c>
      <c r="AM96" s="54">
        <v>32517.0</v>
      </c>
      <c r="AN96" s="54">
        <v>32286.0</v>
      </c>
      <c r="AO96" s="54">
        <v>2457.0</v>
      </c>
      <c r="AP96" s="54">
        <v>56.0</v>
      </c>
      <c r="AQ96" s="54">
        <v>1392.0</v>
      </c>
      <c r="AR96" s="54">
        <v>100.0</v>
      </c>
      <c r="AS96" s="54">
        <v>1320.0</v>
      </c>
      <c r="AT96" s="54">
        <v>779.0</v>
      </c>
      <c r="AU96" s="54">
        <v>665.0</v>
      </c>
      <c r="AV96" s="54">
        <v>3180.0</v>
      </c>
      <c r="AW96" s="54">
        <v>91.0</v>
      </c>
      <c r="AX96" s="54">
        <v>21957.0</v>
      </c>
      <c r="AY96" s="54">
        <v>615.0</v>
      </c>
      <c r="AZ96" s="54">
        <v>203.0</v>
      </c>
      <c r="BA96" s="54">
        <v>8835.0</v>
      </c>
      <c r="BB96" s="54">
        <v>3224.0</v>
      </c>
      <c r="BC96" s="54">
        <v>14030.0</v>
      </c>
      <c r="BD96" s="54">
        <v>11774.0</v>
      </c>
      <c r="BE96" s="54">
        <v>2663.0</v>
      </c>
      <c r="BF96" s="54">
        <v>23462.0</v>
      </c>
      <c r="BG96" s="54">
        <v>540.0</v>
      </c>
      <c r="BH96" s="54">
        <v>2993.0</v>
      </c>
      <c r="BI96" s="54">
        <v>997.0</v>
      </c>
      <c r="BJ96" s="54">
        <v>1565.0</v>
      </c>
      <c r="BK96" s="54">
        <v>470.0</v>
      </c>
      <c r="BL96" s="54">
        <v>240.0</v>
      </c>
      <c r="BM96" s="54">
        <v>17.0</v>
      </c>
      <c r="BN96" s="54">
        <v>120.0</v>
      </c>
      <c r="BO96" s="54">
        <v>9876.0</v>
      </c>
      <c r="BP96" s="54">
        <v>5429.0</v>
      </c>
      <c r="BQ96" s="54">
        <v>1146.0</v>
      </c>
      <c r="BR96" s="54">
        <v>46.0</v>
      </c>
      <c r="BS96" s="54">
        <v>24176.0</v>
      </c>
      <c r="BT96" s="54">
        <v>17170.0</v>
      </c>
      <c r="BU96" s="54">
        <v>55501.0</v>
      </c>
      <c r="BV96" s="54">
        <v>5265.0</v>
      </c>
      <c r="BW96" s="54">
        <v>743.0</v>
      </c>
      <c r="BX96" s="54">
        <v>140158.0</v>
      </c>
      <c r="BY96" s="54">
        <v>1556729.0</v>
      </c>
      <c r="BZ96" s="54">
        <v>65548.0</v>
      </c>
      <c r="CA96" s="54">
        <v>120812.0</v>
      </c>
      <c r="CB96" s="54">
        <v>91862.0</v>
      </c>
      <c r="CC96" s="54">
        <v>18619.0</v>
      </c>
      <c r="CD96" s="54">
        <v>13745.0</v>
      </c>
      <c r="CE96" s="54">
        <v>16214.0</v>
      </c>
      <c r="CF96" s="54">
        <v>159681.0</v>
      </c>
      <c r="CG96" s="54">
        <v>333.0</v>
      </c>
      <c r="CH96" s="54">
        <v>8563.0</v>
      </c>
      <c r="CI96" s="54">
        <v>138744.0</v>
      </c>
      <c r="CJ96" s="54">
        <v>10839.0</v>
      </c>
      <c r="CK96" s="54">
        <v>25307.0</v>
      </c>
      <c r="CL96" s="54">
        <v>11043.0</v>
      </c>
      <c r="CM96" s="54">
        <v>12174.0</v>
      </c>
      <c r="CN96" s="54">
        <v>3280133.0</v>
      </c>
      <c r="CO96" s="54">
        <v>1668975.0</v>
      </c>
      <c r="CP96" s="54">
        <v>1.2247027E7</v>
      </c>
      <c r="CQ96" s="54">
        <v>9668416.0</v>
      </c>
      <c r="CR96" s="54">
        <v>138190.0</v>
      </c>
      <c r="CS96" s="54">
        <v>51026.0</v>
      </c>
      <c r="CT96" s="54">
        <v>209648.0</v>
      </c>
      <c r="CU96" s="54">
        <v>63722.0</v>
      </c>
      <c r="CV96" s="54">
        <v>106594.0</v>
      </c>
      <c r="CW96" s="54">
        <v>36505.0</v>
      </c>
      <c r="CX96" s="54">
        <v>46566.0</v>
      </c>
      <c r="CY96" s="54">
        <v>2015.0</v>
      </c>
      <c r="CZ96" s="54">
        <v>745.0</v>
      </c>
      <c r="DA96" s="54">
        <v>9296.0</v>
      </c>
      <c r="DB96" s="54">
        <v>59980.0</v>
      </c>
      <c r="DC96" s="54">
        <v>678909.0</v>
      </c>
      <c r="DD96" s="54">
        <v>6706.0</v>
      </c>
      <c r="DE96" s="54">
        <v>11784.0</v>
      </c>
      <c r="DF96" s="54">
        <v>8.0</v>
      </c>
      <c r="DG96" s="54">
        <v>1372.0</v>
      </c>
      <c r="DH96" s="54">
        <v>29819.0</v>
      </c>
      <c r="DI96" s="54">
        <v>44209.0</v>
      </c>
      <c r="DJ96" s="54">
        <v>27828.0</v>
      </c>
      <c r="DK96" s="54">
        <v>1345.0</v>
      </c>
      <c r="DL96" s="54">
        <v>99288.0</v>
      </c>
      <c r="DM96" s="54">
        <v>723.0</v>
      </c>
      <c r="DN96" s="54">
        <v>3767.0</v>
      </c>
      <c r="DO96" s="54">
        <v>58416.0</v>
      </c>
      <c r="DP96" s="54">
        <v>6042.0</v>
      </c>
      <c r="DQ96" s="54">
        <v>33662.0</v>
      </c>
      <c r="DR96" s="54">
        <v>78318.0</v>
      </c>
      <c r="DS96" s="54">
        <v>830114.0</v>
      </c>
      <c r="DT96" s="54">
        <v>73579.0</v>
      </c>
      <c r="DU96" s="54">
        <v>102027.0</v>
      </c>
      <c r="DV96" s="54">
        <v>301986.0</v>
      </c>
      <c r="DW96" s="54">
        <v>193883.0</v>
      </c>
      <c r="DX96" s="54">
        <v>164529.0</v>
      </c>
      <c r="DY96" s="54">
        <v>559633.0</v>
      </c>
      <c r="DZ96" s="54">
        <v>247524.0</v>
      </c>
      <c r="EA96" s="54">
        <v>19403.0</v>
      </c>
      <c r="EB96" s="54">
        <v>221954.0</v>
      </c>
      <c r="EC96" s="54">
        <v>21390.0</v>
      </c>
      <c r="ED96" s="54">
        <v>8236.0</v>
      </c>
      <c r="EE96" s="54">
        <v>91.0</v>
      </c>
      <c r="EF96" s="54">
        <v>41.0</v>
      </c>
      <c r="EG96" s="54">
        <v>3655.0</v>
      </c>
      <c r="EH96" s="54">
        <v>4072.0</v>
      </c>
      <c r="EI96" s="54">
        <v>328331.0</v>
      </c>
      <c r="EJ96" s="54">
        <v>8231.0</v>
      </c>
      <c r="EK96" s="54">
        <v>6484.0</v>
      </c>
      <c r="EL96" s="54">
        <v>39384.0</v>
      </c>
      <c r="EM96" s="54">
        <v>32739.0</v>
      </c>
      <c r="EN96" s="54">
        <v>63530.0</v>
      </c>
      <c r="EO96" s="54">
        <v>233817.0</v>
      </c>
      <c r="EP96" s="54">
        <v>4321.0</v>
      </c>
      <c r="EQ96" s="54">
        <v>18579.0</v>
      </c>
      <c r="ER96" s="54">
        <v>430.0</v>
      </c>
      <c r="ES96" s="54">
        <v>6323.0</v>
      </c>
      <c r="ET96" s="54">
        <v>159766.0</v>
      </c>
      <c r="EU96" s="54">
        <v>736409.0</v>
      </c>
      <c r="EV96" s="54">
        <v>7807.0</v>
      </c>
      <c r="EW96" s="54">
        <v>11056.0</v>
      </c>
      <c r="EX96" s="54">
        <v>30236.0</v>
      </c>
      <c r="EY96" s="54">
        <v>227208.0</v>
      </c>
      <c r="EZ96" s="54">
        <v>155300.0</v>
      </c>
      <c r="FA96" s="54">
        <v>44310.0</v>
      </c>
      <c r="FB96" s="54">
        <v>3328496.0</v>
      </c>
      <c r="FC96" s="54">
        <v>9489.0</v>
      </c>
      <c r="FD96" s="54">
        <v>1112334.0</v>
      </c>
      <c r="FE96" s="54">
        <v>167721.0</v>
      </c>
      <c r="FF96" s="54">
        <v>121852.0</v>
      </c>
      <c r="FG96" s="54">
        <v>390569.0</v>
      </c>
      <c r="FH96" s="54">
        <v>513530.0</v>
      </c>
      <c r="FI96" s="54">
        <v>167883.0</v>
      </c>
      <c r="FJ96" s="54">
        <v>6068.0</v>
      </c>
      <c r="FK96" s="54">
        <v>2312.0</v>
      </c>
      <c r="FL96" s="54">
        <v>3168131.0</v>
      </c>
      <c r="FM96" s="54">
        <v>18082.0</v>
      </c>
      <c r="FN96" s="54">
        <v>7395.0</v>
      </c>
      <c r="FO96" s="54">
        <v>46740.0</v>
      </c>
      <c r="FP96" s="54">
        <v>17602.0</v>
      </c>
      <c r="FQ96" s="54">
        <v>77452.0</v>
      </c>
      <c r="FR96" s="54">
        <v>14.0</v>
      </c>
      <c r="FS96" s="54">
        <v>1027.0</v>
      </c>
      <c r="FT96" s="54">
        <v>31046.0</v>
      </c>
      <c r="FU96" s="54">
        <v>361277.0</v>
      </c>
      <c r="FV96" s="54">
        <v>363868.0</v>
      </c>
      <c r="FW96" s="54">
        <v>1930432.0</v>
      </c>
      <c r="FX96" s="54">
        <v>653115.0</v>
      </c>
      <c r="FY96" s="54">
        <v>2007340.0</v>
      </c>
      <c r="FZ96" s="54">
        <v>11521.0</v>
      </c>
      <c r="GA96" s="54">
        <v>782462.0</v>
      </c>
      <c r="GB96" s="54">
        <v>494464.0</v>
      </c>
      <c r="GC96" s="54">
        <v>32319.0</v>
      </c>
      <c r="GD96" s="54">
        <v>10467.0</v>
      </c>
      <c r="GE96" s="54">
        <v>2067095.0</v>
      </c>
      <c r="GF96" s="55">
        <v>5.4200522E7</v>
      </c>
      <c r="GG96" s="56">
        <v>1356062.0</v>
      </c>
      <c r="GH96" s="57">
        <v>0.0</v>
      </c>
      <c r="GI96" s="56">
        <v>0.0</v>
      </c>
      <c r="GJ96" s="56">
        <v>0.0</v>
      </c>
      <c r="GK96" s="56">
        <v>334124.0</v>
      </c>
      <c r="GL96" s="56">
        <v>5.4424514E7</v>
      </c>
      <c r="GM96" s="56">
        <v>0.0</v>
      </c>
      <c r="GN96" s="55">
        <v>5.61147E7</v>
      </c>
      <c r="GO96" s="58">
        <v>1.10315222E8</v>
      </c>
      <c r="GP96" s="56">
        <v>1.2844256E7</v>
      </c>
      <c r="GQ96" s="56">
        <v>0.0</v>
      </c>
      <c r="GR96" s="57">
        <v>0.0</v>
      </c>
      <c r="GS96" s="55">
        <v>1.2844256E7</v>
      </c>
      <c r="GT96" s="59">
        <v>6598562.0</v>
      </c>
      <c r="GU96" s="59">
        <v>6148745.0</v>
      </c>
      <c r="GV96" s="59">
        <v>2434084.0</v>
      </c>
      <c r="GW96" s="55">
        <v>1.5181391E7</v>
      </c>
      <c r="GX96" s="55">
        <v>1216336.0</v>
      </c>
      <c r="GY96" s="55">
        <v>8.1073239E7</v>
      </c>
      <c r="GZ96" s="58">
        <v>1.10315222E8</v>
      </c>
      <c r="HH96" s="106"/>
    </row>
    <row r="97" ht="15.75" customHeight="1">
      <c r="A97" s="60">
        <v>92.0</v>
      </c>
      <c r="B97" s="111" t="s">
        <v>362</v>
      </c>
      <c r="C97" s="62">
        <v>15766.0</v>
      </c>
      <c r="D97" s="62">
        <v>13078.0</v>
      </c>
      <c r="E97" s="62">
        <v>306.0</v>
      </c>
      <c r="F97" s="62">
        <v>14060.0</v>
      </c>
      <c r="G97" s="62">
        <v>403.0</v>
      </c>
      <c r="H97" s="62">
        <v>3377.0</v>
      </c>
      <c r="I97" s="62">
        <v>1643.0</v>
      </c>
      <c r="J97" s="62">
        <v>1008.0</v>
      </c>
      <c r="K97" s="62">
        <v>9.0</v>
      </c>
      <c r="L97" s="62">
        <v>363824.0</v>
      </c>
      <c r="M97" s="62">
        <v>5681.0</v>
      </c>
      <c r="N97" s="62">
        <v>3010.0</v>
      </c>
      <c r="O97" s="62">
        <v>20047.0</v>
      </c>
      <c r="P97" s="62">
        <v>246.0</v>
      </c>
      <c r="Q97" s="62">
        <v>1560.0</v>
      </c>
      <c r="R97" s="62">
        <v>74792.0</v>
      </c>
      <c r="S97" s="62">
        <v>238.0</v>
      </c>
      <c r="T97" s="62">
        <v>900.0</v>
      </c>
      <c r="U97" s="62">
        <v>439.0</v>
      </c>
      <c r="V97" s="62">
        <v>15609.0</v>
      </c>
      <c r="W97" s="62">
        <v>389.0</v>
      </c>
      <c r="X97" s="62">
        <v>231.0</v>
      </c>
      <c r="Y97" s="62">
        <v>421.0</v>
      </c>
      <c r="Z97" s="62">
        <v>983.0</v>
      </c>
      <c r="AA97" s="62">
        <v>701.0</v>
      </c>
      <c r="AB97" s="62">
        <v>2323.0</v>
      </c>
      <c r="AC97" s="62">
        <v>44.0</v>
      </c>
      <c r="AD97" s="62">
        <v>6177.0</v>
      </c>
      <c r="AE97" s="62">
        <v>419.0</v>
      </c>
      <c r="AF97" s="62">
        <v>177139.0</v>
      </c>
      <c r="AG97" s="62">
        <v>36015.0</v>
      </c>
      <c r="AH97" s="62">
        <v>20504.0</v>
      </c>
      <c r="AI97" s="62">
        <v>35155.0</v>
      </c>
      <c r="AJ97" s="62">
        <v>3564.0</v>
      </c>
      <c r="AK97" s="62">
        <v>409.0</v>
      </c>
      <c r="AL97" s="62">
        <v>1114.0</v>
      </c>
      <c r="AM97" s="62">
        <v>66259.0</v>
      </c>
      <c r="AN97" s="62">
        <v>36870.0</v>
      </c>
      <c r="AO97" s="62">
        <v>3138.0</v>
      </c>
      <c r="AP97" s="62">
        <v>83.0</v>
      </c>
      <c r="AQ97" s="62">
        <v>1774.0</v>
      </c>
      <c r="AR97" s="62">
        <v>244.0</v>
      </c>
      <c r="AS97" s="62">
        <v>2735.0</v>
      </c>
      <c r="AT97" s="62">
        <v>1252.0</v>
      </c>
      <c r="AU97" s="62">
        <v>3418.0</v>
      </c>
      <c r="AV97" s="62">
        <v>87146.0</v>
      </c>
      <c r="AW97" s="62">
        <v>403.0</v>
      </c>
      <c r="AX97" s="62">
        <v>494333.0</v>
      </c>
      <c r="AY97" s="62">
        <v>246.0</v>
      </c>
      <c r="AZ97" s="62">
        <v>232.0</v>
      </c>
      <c r="BA97" s="62">
        <v>140379.0</v>
      </c>
      <c r="BB97" s="62">
        <v>23356.0</v>
      </c>
      <c r="BC97" s="62">
        <v>10651.0</v>
      </c>
      <c r="BD97" s="62">
        <v>1735.0</v>
      </c>
      <c r="BE97" s="62">
        <v>13513.0</v>
      </c>
      <c r="BF97" s="62">
        <v>26808.0</v>
      </c>
      <c r="BG97" s="62">
        <v>22492.0</v>
      </c>
      <c r="BH97" s="62">
        <v>91448.0</v>
      </c>
      <c r="BI97" s="62">
        <v>5930.0</v>
      </c>
      <c r="BJ97" s="62">
        <v>107236.0</v>
      </c>
      <c r="BK97" s="62">
        <v>3115.0</v>
      </c>
      <c r="BL97" s="62">
        <v>568.0</v>
      </c>
      <c r="BM97" s="62">
        <v>17.0</v>
      </c>
      <c r="BN97" s="62">
        <v>761.0</v>
      </c>
      <c r="BO97" s="62">
        <v>11335.0</v>
      </c>
      <c r="BP97" s="62">
        <v>6238.0</v>
      </c>
      <c r="BQ97" s="62">
        <v>1698.0</v>
      </c>
      <c r="BR97" s="62">
        <v>7686.0</v>
      </c>
      <c r="BS97" s="62">
        <v>48829.0</v>
      </c>
      <c r="BT97" s="62">
        <v>3758.0</v>
      </c>
      <c r="BU97" s="62">
        <v>76538.0</v>
      </c>
      <c r="BV97" s="62">
        <v>12401.0</v>
      </c>
      <c r="BW97" s="62">
        <v>51.0</v>
      </c>
      <c r="BX97" s="62">
        <v>320190.0</v>
      </c>
      <c r="BY97" s="62">
        <v>5563540.0</v>
      </c>
      <c r="BZ97" s="62">
        <v>391411.0</v>
      </c>
      <c r="CA97" s="62">
        <v>359668.0</v>
      </c>
      <c r="CB97" s="62">
        <v>130555.0</v>
      </c>
      <c r="CC97" s="62">
        <v>23632.0</v>
      </c>
      <c r="CD97" s="62">
        <v>12977.0</v>
      </c>
      <c r="CE97" s="62">
        <v>20886.0</v>
      </c>
      <c r="CF97" s="62">
        <v>183001.0</v>
      </c>
      <c r="CG97" s="62">
        <v>5345.0</v>
      </c>
      <c r="CH97" s="62">
        <v>69995.0</v>
      </c>
      <c r="CI97" s="62">
        <v>243511.0</v>
      </c>
      <c r="CJ97" s="62">
        <v>15968.0</v>
      </c>
      <c r="CK97" s="62">
        <v>34684.0</v>
      </c>
      <c r="CL97" s="62">
        <v>24936.0</v>
      </c>
      <c r="CM97" s="62">
        <v>28667.0</v>
      </c>
      <c r="CN97" s="62">
        <v>2426094.0</v>
      </c>
      <c r="CO97" s="62">
        <v>2738480.0</v>
      </c>
      <c r="CP97" s="62">
        <v>4482583.0</v>
      </c>
      <c r="CQ97" s="62">
        <v>7663136.0</v>
      </c>
      <c r="CR97" s="62">
        <v>86367.0</v>
      </c>
      <c r="CS97" s="62">
        <v>20992.0</v>
      </c>
      <c r="CT97" s="62">
        <v>389105.0</v>
      </c>
      <c r="CU97" s="62">
        <v>124619.0</v>
      </c>
      <c r="CV97" s="62">
        <v>261429.0</v>
      </c>
      <c r="CW97" s="62">
        <v>287802.0</v>
      </c>
      <c r="CX97" s="62">
        <v>24118.0</v>
      </c>
      <c r="CY97" s="62">
        <v>4370.0</v>
      </c>
      <c r="CZ97" s="62">
        <v>492116.0</v>
      </c>
      <c r="DA97" s="62">
        <v>543243.0</v>
      </c>
      <c r="DB97" s="62">
        <v>74524.0</v>
      </c>
      <c r="DC97" s="62">
        <v>642407.0</v>
      </c>
      <c r="DD97" s="62">
        <v>178524.0</v>
      </c>
      <c r="DE97" s="62">
        <v>22143.0</v>
      </c>
      <c r="DF97" s="62">
        <v>5272.0</v>
      </c>
      <c r="DG97" s="62">
        <v>9751.0</v>
      </c>
      <c r="DH97" s="62">
        <v>77938.0</v>
      </c>
      <c r="DI97" s="62">
        <v>302415.0</v>
      </c>
      <c r="DJ97" s="62">
        <v>68423.0</v>
      </c>
      <c r="DK97" s="62">
        <v>162321.0</v>
      </c>
      <c r="DL97" s="62">
        <v>116606.0</v>
      </c>
      <c r="DM97" s="62">
        <v>129251.0</v>
      </c>
      <c r="DN97" s="62">
        <v>7121.0</v>
      </c>
      <c r="DO97" s="62">
        <v>5051.0</v>
      </c>
      <c r="DP97" s="62">
        <v>10222.0</v>
      </c>
      <c r="DQ97" s="62">
        <v>5108.0</v>
      </c>
      <c r="DR97" s="62">
        <v>4422.0</v>
      </c>
      <c r="DS97" s="62">
        <v>413787.0</v>
      </c>
      <c r="DT97" s="62">
        <v>15212.0</v>
      </c>
      <c r="DU97" s="62">
        <v>1340.0</v>
      </c>
      <c r="DV97" s="62">
        <v>10395.0</v>
      </c>
      <c r="DW97" s="62">
        <v>107175.0</v>
      </c>
      <c r="DX97" s="62">
        <v>3203.0</v>
      </c>
      <c r="DY97" s="62">
        <v>156.0</v>
      </c>
      <c r="DZ97" s="62">
        <v>283706.0</v>
      </c>
      <c r="EA97" s="62">
        <v>52681.0</v>
      </c>
      <c r="EB97" s="62">
        <v>441199.0</v>
      </c>
      <c r="EC97" s="62">
        <v>23362.0</v>
      </c>
      <c r="ED97" s="62">
        <v>5035.0</v>
      </c>
      <c r="EE97" s="62">
        <v>832.0</v>
      </c>
      <c r="EF97" s="62">
        <v>418.0</v>
      </c>
      <c r="EG97" s="62">
        <v>12583.0</v>
      </c>
      <c r="EH97" s="62">
        <v>25411.0</v>
      </c>
      <c r="EI97" s="62">
        <v>104345.0</v>
      </c>
      <c r="EJ97" s="62">
        <v>37783.0</v>
      </c>
      <c r="EK97" s="62">
        <v>12330.0</v>
      </c>
      <c r="EL97" s="62">
        <v>23976.0</v>
      </c>
      <c r="EM97" s="62">
        <v>72028.0</v>
      </c>
      <c r="EN97" s="62">
        <v>104320.0</v>
      </c>
      <c r="EO97" s="62">
        <v>330286.0</v>
      </c>
      <c r="EP97" s="62">
        <v>9630.0</v>
      </c>
      <c r="EQ97" s="62">
        <v>35649.0</v>
      </c>
      <c r="ER97" s="62">
        <v>1379.0</v>
      </c>
      <c r="ES97" s="62">
        <v>33345.0</v>
      </c>
      <c r="ET97" s="62">
        <v>483919.0</v>
      </c>
      <c r="EU97" s="62">
        <v>2646189.0</v>
      </c>
      <c r="EV97" s="62">
        <v>13344.0</v>
      </c>
      <c r="EW97" s="62">
        <v>17444.0</v>
      </c>
      <c r="EX97" s="62">
        <v>43181.0</v>
      </c>
      <c r="EY97" s="62">
        <v>1987597.0</v>
      </c>
      <c r="EZ97" s="62">
        <v>3428108.0</v>
      </c>
      <c r="FA97" s="62">
        <v>232811.0</v>
      </c>
      <c r="FB97" s="62">
        <v>3.7480501E7</v>
      </c>
      <c r="FC97" s="62">
        <v>20629.0</v>
      </c>
      <c r="FD97" s="62">
        <v>3936825.0</v>
      </c>
      <c r="FE97" s="62">
        <v>819478.0</v>
      </c>
      <c r="FF97" s="62">
        <v>368467.0</v>
      </c>
      <c r="FG97" s="62">
        <v>1371405.0</v>
      </c>
      <c r="FH97" s="62">
        <v>2396412.0</v>
      </c>
      <c r="FI97" s="62">
        <v>720984.0</v>
      </c>
      <c r="FJ97" s="62">
        <v>10863.0</v>
      </c>
      <c r="FK97" s="62">
        <v>237075.0</v>
      </c>
      <c r="FL97" s="62">
        <v>5260434.0</v>
      </c>
      <c r="FM97" s="62">
        <v>31745.0</v>
      </c>
      <c r="FN97" s="62">
        <v>1135279.0</v>
      </c>
      <c r="FO97" s="62">
        <v>151085.0</v>
      </c>
      <c r="FP97" s="62">
        <v>5984232.0</v>
      </c>
      <c r="FQ97" s="62">
        <v>1064180.0</v>
      </c>
      <c r="FR97" s="62">
        <v>6041.0</v>
      </c>
      <c r="FS97" s="62">
        <v>545788.0</v>
      </c>
      <c r="FT97" s="62">
        <v>3309411.0</v>
      </c>
      <c r="FU97" s="62">
        <v>5293010.0</v>
      </c>
      <c r="FV97" s="62">
        <v>2192512.0</v>
      </c>
      <c r="FW97" s="62">
        <v>1958861.0</v>
      </c>
      <c r="FX97" s="62">
        <v>1578093.0</v>
      </c>
      <c r="FY97" s="62">
        <v>2441306.0</v>
      </c>
      <c r="FZ97" s="62">
        <v>39739.0</v>
      </c>
      <c r="GA97" s="62">
        <v>7953849.0</v>
      </c>
      <c r="GB97" s="62">
        <v>345953.0</v>
      </c>
      <c r="GC97" s="62">
        <v>61501.0</v>
      </c>
      <c r="GD97" s="62">
        <v>19706.0</v>
      </c>
      <c r="GE97" s="62">
        <v>1100798.0</v>
      </c>
      <c r="GF97" s="63">
        <v>1.297815E8</v>
      </c>
      <c r="GG97" s="64">
        <v>1.2778356E7</v>
      </c>
      <c r="GH97" s="65">
        <v>0.0</v>
      </c>
      <c r="GI97" s="64">
        <v>0.0</v>
      </c>
      <c r="GJ97" s="64">
        <v>0.0</v>
      </c>
      <c r="GK97" s="64">
        <v>78384.0</v>
      </c>
      <c r="GL97" s="64">
        <v>8396777.0</v>
      </c>
      <c r="GM97" s="64">
        <v>0.0</v>
      </c>
      <c r="GN97" s="63">
        <v>2.1253517E7</v>
      </c>
      <c r="GO97" s="66">
        <v>1.51035017E8</v>
      </c>
      <c r="GP97" s="64">
        <v>1.3893609E7</v>
      </c>
      <c r="GQ97" s="64">
        <v>0.0</v>
      </c>
      <c r="GR97" s="65">
        <v>0.0</v>
      </c>
      <c r="GS97" s="63">
        <v>1.3893609E7</v>
      </c>
      <c r="GT97" s="67">
        <v>1.314556E7</v>
      </c>
      <c r="GU97" s="67">
        <v>1.25081E7</v>
      </c>
      <c r="GV97" s="67">
        <v>5668498.0</v>
      </c>
      <c r="GW97" s="63">
        <v>3.1322158E7</v>
      </c>
      <c r="GX97" s="63">
        <v>1551788.0</v>
      </c>
      <c r="GY97" s="63">
        <v>1.04267462E8</v>
      </c>
      <c r="GZ97" s="66">
        <v>1.51035017E8</v>
      </c>
      <c r="HH97" s="106"/>
    </row>
    <row r="98" ht="15.75" customHeight="1">
      <c r="A98" s="60">
        <v>93.0</v>
      </c>
      <c r="B98" s="111" t="s">
        <v>596</v>
      </c>
      <c r="C98" s="62">
        <v>0.0</v>
      </c>
      <c r="D98" s="62">
        <v>0.0</v>
      </c>
      <c r="E98" s="62">
        <v>0.0</v>
      </c>
      <c r="F98" s="62">
        <v>0.0</v>
      </c>
      <c r="G98" s="62">
        <v>0.0</v>
      </c>
      <c r="H98" s="62">
        <v>0.0</v>
      </c>
      <c r="I98" s="62">
        <v>0.0</v>
      </c>
      <c r="J98" s="62">
        <v>0.0</v>
      </c>
      <c r="K98" s="62">
        <v>0.0</v>
      </c>
      <c r="L98" s="62">
        <v>3066.0</v>
      </c>
      <c r="M98" s="62">
        <v>317.0</v>
      </c>
      <c r="N98" s="62">
        <v>128.0</v>
      </c>
      <c r="O98" s="62">
        <v>1115.0</v>
      </c>
      <c r="P98" s="62">
        <v>22.0</v>
      </c>
      <c r="Q98" s="62">
        <v>153.0</v>
      </c>
      <c r="R98" s="62">
        <v>4113.0</v>
      </c>
      <c r="S98" s="62">
        <v>84.0</v>
      </c>
      <c r="T98" s="62">
        <v>271.0</v>
      </c>
      <c r="U98" s="62">
        <v>17.0</v>
      </c>
      <c r="V98" s="62">
        <v>1264.0</v>
      </c>
      <c r="W98" s="62">
        <v>15.0</v>
      </c>
      <c r="X98" s="62">
        <v>423.0</v>
      </c>
      <c r="Y98" s="62">
        <v>63.0</v>
      </c>
      <c r="Z98" s="62">
        <v>87.0</v>
      </c>
      <c r="AA98" s="62">
        <v>50.0</v>
      </c>
      <c r="AB98" s="62">
        <v>87.0</v>
      </c>
      <c r="AC98" s="62">
        <v>104.0</v>
      </c>
      <c r="AD98" s="62">
        <v>588.0</v>
      </c>
      <c r="AE98" s="62">
        <v>112.0</v>
      </c>
      <c r="AF98" s="62">
        <v>175.0</v>
      </c>
      <c r="AG98" s="62">
        <v>1068.0</v>
      </c>
      <c r="AH98" s="62">
        <v>593.0</v>
      </c>
      <c r="AI98" s="62">
        <v>617.0</v>
      </c>
      <c r="AJ98" s="62">
        <v>147.0</v>
      </c>
      <c r="AK98" s="62">
        <v>75.0</v>
      </c>
      <c r="AL98" s="62">
        <v>61.0</v>
      </c>
      <c r="AM98" s="62">
        <v>28885.0</v>
      </c>
      <c r="AN98" s="62">
        <v>5670.0</v>
      </c>
      <c r="AO98" s="62">
        <v>5842.0</v>
      </c>
      <c r="AP98" s="62">
        <v>6.0</v>
      </c>
      <c r="AQ98" s="62">
        <v>394.0</v>
      </c>
      <c r="AR98" s="62">
        <v>20.0</v>
      </c>
      <c r="AS98" s="62">
        <v>1650.0</v>
      </c>
      <c r="AT98" s="62">
        <v>103.0</v>
      </c>
      <c r="AU98" s="62">
        <v>3848.0</v>
      </c>
      <c r="AV98" s="62">
        <v>16991.0</v>
      </c>
      <c r="AW98" s="62">
        <v>180.0</v>
      </c>
      <c r="AX98" s="62">
        <v>2806.0</v>
      </c>
      <c r="AY98" s="62">
        <v>929.0</v>
      </c>
      <c r="AZ98" s="62">
        <v>12.0</v>
      </c>
      <c r="BA98" s="62">
        <v>1308.0</v>
      </c>
      <c r="BB98" s="62">
        <v>2461.0</v>
      </c>
      <c r="BC98" s="62">
        <v>183.0</v>
      </c>
      <c r="BD98" s="62">
        <v>10.0</v>
      </c>
      <c r="BE98" s="62">
        <v>49.0</v>
      </c>
      <c r="BF98" s="62">
        <v>238.0</v>
      </c>
      <c r="BG98" s="62">
        <v>207.0</v>
      </c>
      <c r="BH98" s="62">
        <v>82594.0</v>
      </c>
      <c r="BI98" s="62">
        <v>25.0</v>
      </c>
      <c r="BJ98" s="62">
        <v>3589.0</v>
      </c>
      <c r="BK98" s="62">
        <v>163.0</v>
      </c>
      <c r="BL98" s="62">
        <v>85.0</v>
      </c>
      <c r="BM98" s="62">
        <v>15.0</v>
      </c>
      <c r="BN98" s="62">
        <v>75.0</v>
      </c>
      <c r="BO98" s="62">
        <v>1012.0</v>
      </c>
      <c r="BP98" s="62">
        <v>431.0</v>
      </c>
      <c r="BQ98" s="62">
        <v>1339.0</v>
      </c>
      <c r="BR98" s="62">
        <v>40.0</v>
      </c>
      <c r="BS98" s="62">
        <v>20174.0</v>
      </c>
      <c r="BT98" s="62">
        <v>3047.0</v>
      </c>
      <c r="BU98" s="62">
        <v>163.0</v>
      </c>
      <c r="BV98" s="62">
        <v>86.0</v>
      </c>
      <c r="BW98" s="62">
        <v>6.0</v>
      </c>
      <c r="BX98" s="62">
        <v>1317.0</v>
      </c>
      <c r="BY98" s="62">
        <v>3564.0</v>
      </c>
      <c r="BZ98" s="62">
        <v>2273.0</v>
      </c>
      <c r="CA98" s="62">
        <v>4605.0</v>
      </c>
      <c r="CB98" s="62">
        <v>7513.0</v>
      </c>
      <c r="CC98" s="62">
        <v>1571.0</v>
      </c>
      <c r="CD98" s="62">
        <v>2175.0</v>
      </c>
      <c r="CE98" s="62">
        <v>703.0</v>
      </c>
      <c r="CF98" s="62">
        <v>47243.0</v>
      </c>
      <c r="CG98" s="62">
        <v>656.0</v>
      </c>
      <c r="CH98" s="62">
        <v>141.0</v>
      </c>
      <c r="CI98" s="62">
        <v>2805.0</v>
      </c>
      <c r="CJ98" s="62">
        <v>5355.0</v>
      </c>
      <c r="CK98" s="62">
        <v>4411.0</v>
      </c>
      <c r="CL98" s="62">
        <v>5120.0</v>
      </c>
      <c r="CM98" s="62">
        <v>1507.0</v>
      </c>
      <c r="CN98" s="62">
        <v>37768.0</v>
      </c>
      <c r="CO98" s="62">
        <v>25665.0</v>
      </c>
      <c r="CP98" s="62">
        <v>60859.0</v>
      </c>
      <c r="CQ98" s="62">
        <v>967756.0</v>
      </c>
      <c r="CR98" s="62">
        <v>1134.0</v>
      </c>
      <c r="CS98" s="62">
        <v>104368.0</v>
      </c>
      <c r="CT98" s="62">
        <v>13906.0</v>
      </c>
      <c r="CU98" s="62">
        <v>873.0</v>
      </c>
      <c r="CV98" s="62">
        <v>2838.0</v>
      </c>
      <c r="CW98" s="62">
        <v>254.0</v>
      </c>
      <c r="CX98" s="62">
        <v>1164.0</v>
      </c>
      <c r="CY98" s="62">
        <v>85.0</v>
      </c>
      <c r="CZ98" s="62">
        <v>264.0</v>
      </c>
      <c r="DA98" s="62">
        <v>1192.0</v>
      </c>
      <c r="DB98" s="62">
        <v>1132.0</v>
      </c>
      <c r="DC98" s="62">
        <v>4382.0</v>
      </c>
      <c r="DD98" s="62">
        <v>95.0</v>
      </c>
      <c r="DE98" s="62">
        <v>164.0</v>
      </c>
      <c r="DF98" s="62">
        <v>70736.0</v>
      </c>
      <c r="DG98" s="62">
        <v>5092.0</v>
      </c>
      <c r="DH98" s="62">
        <v>25423.0</v>
      </c>
      <c r="DI98" s="62">
        <v>1955.0</v>
      </c>
      <c r="DJ98" s="62">
        <v>927.0</v>
      </c>
      <c r="DK98" s="62">
        <v>2289.0</v>
      </c>
      <c r="DL98" s="62">
        <v>3245.0</v>
      </c>
      <c r="DM98" s="62">
        <v>202.0</v>
      </c>
      <c r="DN98" s="62">
        <v>367.0</v>
      </c>
      <c r="DO98" s="62">
        <v>3489.0</v>
      </c>
      <c r="DP98" s="62">
        <v>793.0</v>
      </c>
      <c r="DQ98" s="62">
        <v>442.0</v>
      </c>
      <c r="DR98" s="62">
        <v>1431.0</v>
      </c>
      <c r="DS98" s="62">
        <v>5623.0</v>
      </c>
      <c r="DT98" s="62">
        <v>756.0</v>
      </c>
      <c r="DU98" s="62">
        <v>212.0</v>
      </c>
      <c r="DV98" s="62">
        <v>269.0</v>
      </c>
      <c r="DW98" s="62">
        <v>1067.0</v>
      </c>
      <c r="DX98" s="62">
        <v>2092.0</v>
      </c>
      <c r="DY98" s="62">
        <v>2743.0</v>
      </c>
      <c r="DZ98" s="62">
        <v>13950.0</v>
      </c>
      <c r="EA98" s="62">
        <v>1878.0</v>
      </c>
      <c r="EB98" s="62">
        <v>13517.0</v>
      </c>
      <c r="EC98" s="62">
        <v>32414.0</v>
      </c>
      <c r="ED98" s="62">
        <v>13754.0</v>
      </c>
      <c r="EE98" s="62">
        <v>792.0</v>
      </c>
      <c r="EF98" s="62">
        <v>190.0</v>
      </c>
      <c r="EG98" s="62">
        <v>16054.0</v>
      </c>
      <c r="EH98" s="62">
        <v>90724.0</v>
      </c>
      <c r="EI98" s="62">
        <v>204.0</v>
      </c>
      <c r="EJ98" s="62">
        <v>1488.0</v>
      </c>
      <c r="EK98" s="62">
        <v>265.0</v>
      </c>
      <c r="EL98" s="62">
        <v>1830.0</v>
      </c>
      <c r="EM98" s="62">
        <v>3975.0</v>
      </c>
      <c r="EN98" s="62">
        <v>6092.0</v>
      </c>
      <c r="EO98" s="62">
        <v>2873.0</v>
      </c>
      <c r="EP98" s="62">
        <v>7338.0</v>
      </c>
      <c r="EQ98" s="62">
        <v>8764.0</v>
      </c>
      <c r="ER98" s="62">
        <v>3967.0</v>
      </c>
      <c r="ES98" s="62">
        <v>14075.0</v>
      </c>
      <c r="ET98" s="62">
        <v>18541.0</v>
      </c>
      <c r="EU98" s="62">
        <v>352975.0</v>
      </c>
      <c r="EV98" s="62">
        <v>3293.0</v>
      </c>
      <c r="EW98" s="62">
        <v>2813.0</v>
      </c>
      <c r="EX98" s="62">
        <v>7905.0</v>
      </c>
      <c r="EY98" s="62">
        <v>59530.0</v>
      </c>
      <c r="EZ98" s="62">
        <v>102711.0</v>
      </c>
      <c r="FA98" s="62">
        <v>6165.0</v>
      </c>
      <c r="FB98" s="62">
        <v>1514420.0</v>
      </c>
      <c r="FC98" s="62">
        <v>14556.0</v>
      </c>
      <c r="FD98" s="62">
        <v>1908527.0</v>
      </c>
      <c r="FE98" s="62">
        <v>404796.0</v>
      </c>
      <c r="FF98" s="62">
        <v>269726.0</v>
      </c>
      <c r="FG98" s="62">
        <v>806486.0</v>
      </c>
      <c r="FH98" s="62">
        <v>1894580.0</v>
      </c>
      <c r="FI98" s="62">
        <v>208432.0</v>
      </c>
      <c r="FJ98" s="62">
        <v>10571.0</v>
      </c>
      <c r="FK98" s="62">
        <v>41307.0</v>
      </c>
      <c r="FL98" s="62">
        <v>1656863.0</v>
      </c>
      <c r="FM98" s="62">
        <v>881791.0</v>
      </c>
      <c r="FN98" s="62">
        <v>22392.0</v>
      </c>
      <c r="FO98" s="62">
        <v>30350.0</v>
      </c>
      <c r="FP98" s="62">
        <v>3596031.0</v>
      </c>
      <c r="FQ98" s="62">
        <v>342691.0</v>
      </c>
      <c r="FR98" s="62">
        <v>125.0</v>
      </c>
      <c r="FS98" s="62">
        <v>447301.0</v>
      </c>
      <c r="FT98" s="62">
        <v>74938.0</v>
      </c>
      <c r="FU98" s="62">
        <v>2017143.0</v>
      </c>
      <c r="FV98" s="62">
        <v>941915.0</v>
      </c>
      <c r="FW98" s="62">
        <v>1.2139343E7</v>
      </c>
      <c r="FX98" s="62">
        <v>5570898.0</v>
      </c>
      <c r="FY98" s="62">
        <v>8697682.0</v>
      </c>
      <c r="FZ98" s="62">
        <v>22142.0</v>
      </c>
      <c r="GA98" s="62">
        <v>9063552.0</v>
      </c>
      <c r="GB98" s="62">
        <v>46667.0</v>
      </c>
      <c r="GC98" s="62">
        <v>34562.0</v>
      </c>
      <c r="GD98" s="62">
        <v>1386.0</v>
      </c>
      <c r="GE98" s="62">
        <v>153677.0</v>
      </c>
      <c r="GF98" s="63">
        <v>5.5246389E7</v>
      </c>
      <c r="GG98" s="64">
        <v>3363490.0</v>
      </c>
      <c r="GH98" s="65">
        <v>0.0</v>
      </c>
      <c r="GI98" s="64">
        <v>0.0</v>
      </c>
      <c r="GJ98" s="64">
        <v>1.3590217E7</v>
      </c>
      <c r="GK98" s="64">
        <v>-141130.0</v>
      </c>
      <c r="GL98" s="64">
        <v>1270881.0</v>
      </c>
      <c r="GM98" s="64">
        <v>0.0</v>
      </c>
      <c r="GN98" s="63">
        <v>1.8083458E7</v>
      </c>
      <c r="GO98" s="66">
        <v>7.3329847E7</v>
      </c>
      <c r="GP98" s="64">
        <v>2285255.0</v>
      </c>
      <c r="GQ98" s="64">
        <v>0.0</v>
      </c>
      <c r="GR98" s="65">
        <v>0.0</v>
      </c>
      <c r="GS98" s="63">
        <v>2285255.0</v>
      </c>
      <c r="GT98" s="67">
        <v>6519745.0</v>
      </c>
      <c r="GU98" s="67">
        <v>1.2999661E7</v>
      </c>
      <c r="GV98" s="67">
        <v>1478670.0</v>
      </c>
      <c r="GW98" s="63">
        <v>2.0998076E7</v>
      </c>
      <c r="GX98" s="63">
        <v>525867.0</v>
      </c>
      <c r="GY98" s="63">
        <v>4.9520649E7</v>
      </c>
      <c r="GZ98" s="66">
        <v>7.3329847E7</v>
      </c>
      <c r="HH98" s="106"/>
    </row>
    <row r="99" ht="15.75" customHeight="1">
      <c r="A99" s="60">
        <v>94.0</v>
      </c>
      <c r="B99" s="111" t="s">
        <v>597</v>
      </c>
      <c r="C99" s="62">
        <v>0.0</v>
      </c>
      <c r="D99" s="62">
        <v>0.0</v>
      </c>
      <c r="E99" s="62">
        <v>0.0</v>
      </c>
      <c r="F99" s="62">
        <v>0.0</v>
      </c>
      <c r="G99" s="62">
        <v>0.0</v>
      </c>
      <c r="H99" s="62">
        <v>0.0</v>
      </c>
      <c r="I99" s="62">
        <v>0.0</v>
      </c>
      <c r="J99" s="62">
        <v>0.0</v>
      </c>
      <c r="K99" s="62">
        <v>0.0</v>
      </c>
      <c r="L99" s="62">
        <v>0.0</v>
      </c>
      <c r="M99" s="62">
        <v>0.0</v>
      </c>
      <c r="N99" s="62">
        <v>0.0</v>
      </c>
      <c r="O99" s="62">
        <v>0.0</v>
      </c>
      <c r="P99" s="62">
        <v>0.0</v>
      </c>
      <c r="Q99" s="62">
        <v>0.0</v>
      </c>
      <c r="R99" s="62">
        <v>0.0</v>
      </c>
      <c r="S99" s="62">
        <v>0.0</v>
      </c>
      <c r="T99" s="62">
        <v>0.0</v>
      </c>
      <c r="U99" s="62">
        <v>0.0</v>
      </c>
      <c r="V99" s="62">
        <v>0.0</v>
      </c>
      <c r="W99" s="62">
        <v>0.0</v>
      </c>
      <c r="X99" s="62">
        <v>0.0</v>
      </c>
      <c r="Y99" s="62">
        <v>0.0</v>
      </c>
      <c r="Z99" s="62">
        <v>0.0</v>
      </c>
      <c r="AA99" s="62">
        <v>0.0</v>
      </c>
      <c r="AB99" s="62">
        <v>0.0</v>
      </c>
      <c r="AC99" s="62">
        <v>0.0</v>
      </c>
      <c r="AD99" s="62">
        <v>0.0</v>
      </c>
      <c r="AE99" s="62">
        <v>0.0</v>
      </c>
      <c r="AF99" s="62">
        <v>0.0</v>
      </c>
      <c r="AG99" s="62">
        <v>0.0</v>
      </c>
      <c r="AH99" s="62">
        <v>0.0</v>
      </c>
      <c r="AI99" s="62">
        <v>0.0</v>
      </c>
      <c r="AJ99" s="62">
        <v>0.0</v>
      </c>
      <c r="AK99" s="62">
        <v>0.0</v>
      </c>
      <c r="AL99" s="62">
        <v>0.0</v>
      </c>
      <c r="AM99" s="62">
        <v>0.0</v>
      </c>
      <c r="AN99" s="62">
        <v>0.0</v>
      </c>
      <c r="AO99" s="62">
        <v>0.0</v>
      </c>
      <c r="AP99" s="62">
        <v>69.0</v>
      </c>
      <c r="AQ99" s="62">
        <v>2040.0</v>
      </c>
      <c r="AR99" s="62">
        <v>178.0</v>
      </c>
      <c r="AS99" s="62">
        <v>170.0</v>
      </c>
      <c r="AT99" s="62">
        <v>895.0</v>
      </c>
      <c r="AU99" s="62">
        <v>0.0</v>
      </c>
      <c r="AV99" s="62">
        <v>66.0</v>
      </c>
      <c r="AW99" s="62">
        <v>0.0</v>
      </c>
      <c r="AX99" s="62">
        <v>0.0</v>
      </c>
      <c r="AY99" s="62">
        <v>0.0</v>
      </c>
      <c r="AZ99" s="62">
        <v>0.0</v>
      </c>
      <c r="BA99" s="62">
        <v>0.0</v>
      </c>
      <c r="BB99" s="62">
        <v>0.0</v>
      </c>
      <c r="BC99" s="62">
        <v>9903.0</v>
      </c>
      <c r="BD99" s="62">
        <v>0.0</v>
      </c>
      <c r="BE99" s="62">
        <v>12651.0</v>
      </c>
      <c r="BF99" s="62">
        <v>49937.0</v>
      </c>
      <c r="BG99" s="62">
        <v>0.0</v>
      </c>
      <c r="BH99" s="62">
        <v>10376.0</v>
      </c>
      <c r="BI99" s="62">
        <v>231.0</v>
      </c>
      <c r="BJ99" s="62">
        <v>0.0</v>
      </c>
      <c r="BK99" s="62">
        <v>0.0</v>
      </c>
      <c r="BL99" s="62">
        <v>0.0</v>
      </c>
      <c r="BM99" s="62">
        <v>0.0</v>
      </c>
      <c r="BN99" s="62">
        <v>0.0</v>
      </c>
      <c r="BO99" s="62">
        <v>37471.0</v>
      </c>
      <c r="BP99" s="62">
        <v>141.0</v>
      </c>
      <c r="BQ99" s="62">
        <v>0.0</v>
      </c>
      <c r="BR99" s="62">
        <v>6606.0</v>
      </c>
      <c r="BS99" s="62">
        <v>0.0</v>
      </c>
      <c r="BT99" s="62">
        <v>0.0</v>
      </c>
      <c r="BU99" s="62">
        <v>14650.0</v>
      </c>
      <c r="BV99" s="62">
        <v>21118.0</v>
      </c>
      <c r="BW99" s="62">
        <v>2199.0</v>
      </c>
      <c r="BX99" s="62">
        <v>2741.0</v>
      </c>
      <c r="BY99" s="62">
        <v>280.0</v>
      </c>
      <c r="BZ99" s="62">
        <v>2888.0</v>
      </c>
      <c r="CA99" s="62">
        <v>245918.0</v>
      </c>
      <c r="CB99" s="62">
        <v>128024.0</v>
      </c>
      <c r="CC99" s="62">
        <v>0.0</v>
      </c>
      <c r="CD99" s="62">
        <v>14075.0</v>
      </c>
      <c r="CE99" s="62">
        <v>10957.0</v>
      </c>
      <c r="CF99" s="62">
        <v>21447.0</v>
      </c>
      <c r="CG99" s="62">
        <v>1119.0</v>
      </c>
      <c r="CH99" s="62">
        <v>12317.0</v>
      </c>
      <c r="CI99" s="62">
        <v>157005.0</v>
      </c>
      <c r="CJ99" s="62">
        <v>22424.0</v>
      </c>
      <c r="CK99" s="62">
        <v>97438.0</v>
      </c>
      <c r="CL99" s="62">
        <v>26320.0</v>
      </c>
      <c r="CM99" s="62">
        <v>17596.0</v>
      </c>
      <c r="CN99" s="62">
        <v>1233.0</v>
      </c>
      <c r="CO99" s="62">
        <v>20814.0</v>
      </c>
      <c r="CP99" s="62">
        <v>17439.0</v>
      </c>
      <c r="CQ99" s="62">
        <v>3741.0</v>
      </c>
      <c r="CR99" s="62">
        <v>872178.0</v>
      </c>
      <c r="CS99" s="62">
        <v>158345.0</v>
      </c>
      <c r="CT99" s="62">
        <v>93573.0</v>
      </c>
      <c r="CU99" s="62">
        <v>117370.0</v>
      </c>
      <c r="CV99" s="62">
        <v>136048.0</v>
      </c>
      <c r="CW99" s="62">
        <v>14570.0</v>
      </c>
      <c r="CX99" s="62">
        <v>26616.0</v>
      </c>
      <c r="CY99" s="62">
        <v>2536.0</v>
      </c>
      <c r="CZ99" s="62">
        <v>7269.0</v>
      </c>
      <c r="DA99" s="62">
        <v>9915.0</v>
      </c>
      <c r="DB99" s="62">
        <v>17252.0</v>
      </c>
      <c r="DC99" s="62">
        <v>468718.0</v>
      </c>
      <c r="DD99" s="62">
        <v>61569.0</v>
      </c>
      <c r="DE99" s="62">
        <v>25456.0</v>
      </c>
      <c r="DF99" s="62">
        <v>30438.0</v>
      </c>
      <c r="DG99" s="62">
        <v>7283.0</v>
      </c>
      <c r="DH99" s="62">
        <v>13157.0</v>
      </c>
      <c r="DI99" s="62">
        <v>67017.0</v>
      </c>
      <c r="DJ99" s="62">
        <v>279338.0</v>
      </c>
      <c r="DK99" s="62">
        <v>96995.0</v>
      </c>
      <c r="DL99" s="62">
        <v>193965.0</v>
      </c>
      <c r="DM99" s="62">
        <v>105160.0</v>
      </c>
      <c r="DN99" s="62">
        <v>11506.0</v>
      </c>
      <c r="DO99" s="62">
        <v>1007651.0</v>
      </c>
      <c r="DP99" s="62">
        <v>0.0</v>
      </c>
      <c r="DQ99" s="62">
        <v>748.0</v>
      </c>
      <c r="DR99" s="62">
        <v>6799.0</v>
      </c>
      <c r="DS99" s="62">
        <v>118176.0</v>
      </c>
      <c r="DT99" s="62">
        <v>941.0</v>
      </c>
      <c r="DU99" s="62">
        <v>0.0</v>
      </c>
      <c r="DV99" s="62">
        <v>0.0</v>
      </c>
      <c r="DW99" s="62">
        <v>0.0</v>
      </c>
      <c r="DX99" s="62">
        <v>4278.0</v>
      </c>
      <c r="DY99" s="62">
        <v>9.0</v>
      </c>
      <c r="DZ99" s="62">
        <v>469643.0</v>
      </c>
      <c r="EA99" s="62">
        <v>53397.0</v>
      </c>
      <c r="EB99" s="62">
        <v>87412.0</v>
      </c>
      <c r="EC99" s="62">
        <v>90845.0</v>
      </c>
      <c r="ED99" s="62">
        <v>6322.0</v>
      </c>
      <c r="EE99" s="62">
        <v>2609.0</v>
      </c>
      <c r="EF99" s="62">
        <v>7901.0</v>
      </c>
      <c r="EG99" s="62">
        <v>127320.0</v>
      </c>
      <c r="EH99" s="62">
        <v>43118.0</v>
      </c>
      <c r="EI99" s="62">
        <v>1264.0</v>
      </c>
      <c r="EJ99" s="62">
        <v>54929.0</v>
      </c>
      <c r="EK99" s="62">
        <v>303295.0</v>
      </c>
      <c r="EL99" s="62">
        <v>133123.0</v>
      </c>
      <c r="EM99" s="62">
        <v>99144.0</v>
      </c>
      <c r="EN99" s="62">
        <v>139936.0</v>
      </c>
      <c r="EO99" s="62">
        <v>18639.0</v>
      </c>
      <c r="EP99" s="62">
        <v>14170.0</v>
      </c>
      <c r="EQ99" s="62">
        <v>18259.0</v>
      </c>
      <c r="ER99" s="62">
        <v>0.0</v>
      </c>
      <c r="ES99" s="62">
        <v>39916.0</v>
      </c>
      <c r="ET99" s="62">
        <v>42325.0</v>
      </c>
      <c r="EU99" s="62">
        <v>9.9233888E7</v>
      </c>
      <c r="EV99" s="62">
        <v>3414390.0</v>
      </c>
      <c r="EW99" s="62">
        <v>1992373.0</v>
      </c>
      <c r="EX99" s="62">
        <v>9043704.0</v>
      </c>
      <c r="EY99" s="62">
        <v>1.2825519E7</v>
      </c>
      <c r="EZ99" s="62">
        <v>36626.0</v>
      </c>
      <c r="FA99" s="62">
        <v>25581.0</v>
      </c>
      <c r="FB99" s="62">
        <v>477980.0</v>
      </c>
      <c r="FC99" s="62">
        <v>195.0</v>
      </c>
      <c r="FD99" s="62">
        <v>0.0</v>
      </c>
      <c r="FE99" s="62">
        <v>0.0</v>
      </c>
      <c r="FF99" s="62">
        <v>0.0</v>
      </c>
      <c r="FG99" s="62">
        <v>0.0</v>
      </c>
      <c r="FH99" s="62">
        <v>9177.0</v>
      </c>
      <c r="FI99" s="62">
        <v>1572.0</v>
      </c>
      <c r="FJ99" s="62">
        <v>4406.0</v>
      </c>
      <c r="FK99" s="62">
        <v>83515.0</v>
      </c>
      <c r="FL99" s="62">
        <v>8569.0</v>
      </c>
      <c r="FM99" s="62">
        <v>18.0</v>
      </c>
      <c r="FN99" s="62">
        <v>0.0</v>
      </c>
      <c r="FO99" s="62">
        <v>126.0</v>
      </c>
      <c r="FP99" s="62">
        <v>76.0</v>
      </c>
      <c r="FQ99" s="62">
        <v>28.0</v>
      </c>
      <c r="FR99" s="62">
        <v>0.0</v>
      </c>
      <c r="FS99" s="62">
        <v>0.0</v>
      </c>
      <c r="FT99" s="62">
        <v>574311.0</v>
      </c>
      <c r="FU99" s="62">
        <v>84291.0</v>
      </c>
      <c r="FV99" s="62">
        <v>153795.0</v>
      </c>
      <c r="FW99" s="62">
        <v>1169887.0</v>
      </c>
      <c r="FX99" s="62">
        <v>574955.0</v>
      </c>
      <c r="FY99" s="62">
        <v>935724.0</v>
      </c>
      <c r="FZ99" s="62">
        <v>87.0</v>
      </c>
      <c r="GA99" s="62">
        <v>93249.0</v>
      </c>
      <c r="GB99" s="62">
        <v>85032.0</v>
      </c>
      <c r="GC99" s="62">
        <v>0.0</v>
      </c>
      <c r="GD99" s="62">
        <v>0.0</v>
      </c>
      <c r="GE99" s="62">
        <v>0.0</v>
      </c>
      <c r="GF99" s="63">
        <v>1.37509994E8</v>
      </c>
      <c r="GG99" s="64">
        <v>760091.0</v>
      </c>
      <c r="GH99" s="65">
        <v>0.0</v>
      </c>
      <c r="GI99" s="64">
        <v>0.0</v>
      </c>
      <c r="GJ99" s="64">
        <v>2479490.0</v>
      </c>
      <c r="GK99" s="64">
        <v>-1.5541314E7</v>
      </c>
      <c r="GL99" s="64">
        <v>2975843.0</v>
      </c>
      <c r="GM99" s="64">
        <v>25672.0</v>
      </c>
      <c r="GN99" s="63">
        <v>-9300218.0</v>
      </c>
      <c r="GO99" s="66">
        <v>1.28209776E8</v>
      </c>
      <c r="GP99" s="64">
        <v>9360653.0</v>
      </c>
      <c r="GQ99" s="64">
        <v>39782.0</v>
      </c>
      <c r="GR99" s="65">
        <v>0.0</v>
      </c>
      <c r="GS99" s="63">
        <v>9400435.0</v>
      </c>
      <c r="GT99" s="67">
        <v>1.6312374E7</v>
      </c>
      <c r="GU99" s="67">
        <v>1.4601122E7</v>
      </c>
      <c r="GV99" s="67">
        <v>2817759.0</v>
      </c>
      <c r="GW99" s="63">
        <v>3.3731255E7</v>
      </c>
      <c r="GX99" s="63">
        <v>1037386.0</v>
      </c>
      <c r="GY99" s="63">
        <v>8.40407E7</v>
      </c>
      <c r="GZ99" s="66">
        <v>1.28209776E8</v>
      </c>
      <c r="HH99" s="106"/>
    </row>
    <row r="100" ht="15.75" customHeight="1">
      <c r="A100" s="68">
        <v>95.0</v>
      </c>
      <c r="B100" s="111" t="s">
        <v>501</v>
      </c>
      <c r="C100" s="70">
        <v>17531.0</v>
      </c>
      <c r="D100" s="70">
        <v>16399.0</v>
      </c>
      <c r="E100" s="70">
        <v>1454.0</v>
      </c>
      <c r="F100" s="70">
        <v>12074.0</v>
      </c>
      <c r="G100" s="70">
        <v>93.0</v>
      </c>
      <c r="H100" s="70">
        <v>3848.0</v>
      </c>
      <c r="I100" s="70">
        <v>2155.0</v>
      </c>
      <c r="J100" s="70">
        <v>1422.0</v>
      </c>
      <c r="K100" s="70">
        <v>23.0</v>
      </c>
      <c r="L100" s="70">
        <v>127992.0</v>
      </c>
      <c r="M100" s="70">
        <v>16710.0</v>
      </c>
      <c r="N100" s="70">
        <v>14470.0</v>
      </c>
      <c r="O100" s="70">
        <v>366226.0</v>
      </c>
      <c r="P100" s="70">
        <v>1865.0</v>
      </c>
      <c r="Q100" s="70">
        <v>243201.0</v>
      </c>
      <c r="R100" s="70">
        <v>237308.0</v>
      </c>
      <c r="S100" s="70">
        <v>80750.0</v>
      </c>
      <c r="T100" s="70">
        <v>487751.0</v>
      </c>
      <c r="U100" s="70">
        <v>71276.0</v>
      </c>
      <c r="V100" s="70">
        <v>1375031.0</v>
      </c>
      <c r="W100" s="70">
        <v>9670.0</v>
      </c>
      <c r="X100" s="70">
        <v>74383.0</v>
      </c>
      <c r="Y100" s="70">
        <v>321468.0</v>
      </c>
      <c r="Z100" s="70">
        <v>358462.0</v>
      </c>
      <c r="AA100" s="70">
        <v>17093.0</v>
      </c>
      <c r="AB100" s="70">
        <v>70836.0</v>
      </c>
      <c r="AC100" s="70">
        <v>16362.0</v>
      </c>
      <c r="AD100" s="70">
        <v>318769.0</v>
      </c>
      <c r="AE100" s="70">
        <v>31496.0</v>
      </c>
      <c r="AF100" s="70">
        <v>2389141.0</v>
      </c>
      <c r="AG100" s="70">
        <v>1202914.0</v>
      </c>
      <c r="AH100" s="70">
        <v>696557.0</v>
      </c>
      <c r="AI100" s="70">
        <v>1.0062959E7</v>
      </c>
      <c r="AJ100" s="70">
        <v>934076.0</v>
      </c>
      <c r="AK100" s="70">
        <v>308278.0</v>
      </c>
      <c r="AL100" s="70">
        <v>122598.0</v>
      </c>
      <c r="AM100" s="70">
        <v>1.259964E7</v>
      </c>
      <c r="AN100" s="70">
        <v>2666486.0</v>
      </c>
      <c r="AO100" s="70">
        <v>4533965.0</v>
      </c>
      <c r="AP100" s="70">
        <v>91248.0</v>
      </c>
      <c r="AQ100" s="70">
        <v>339012.0</v>
      </c>
      <c r="AR100" s="70">
        <v>210420.0</v>
      </c>
      <c r="AS100" s="70">
        <v>1671839.0</v>
      </c>
      <c r="AT100" s="70">
        <v>184598.0</v>
      </c>
      <c r="AU100" s="70">
        <v>103775.0</v>
      </c>
      <c r="AV100" s="70">
        <v>1748769.0</v>
      </c>
      <c r="AW100" s="70">
        <v>40263.0</v>
      </c>
      <c r="AX100" s="70">
        <v>6037906.0</v>
      </c>
      <c r="AY100" s="70">
        <v>477215.0</v>
      </c>
      <c r="AZ100" s="70">
        <v>42231.0</v>
      </c>
      <c r="BA100" s="70">
        <v>639123.0</v>
      </c>
      <c r="BB100" s="70">
        <v>653735.0</v>
      </c>
      <c r="BC100" s="70">
        <v>2005206.0</v>
      </c>
      <c r="BD100" s="70">
        <v>1459845.0</v>
      </c>
      <c r="BE100" s="70">
        <v>19667.0</v>
      </c>
      <c r="BF100" s="70">
        <v>67389.0</v>
      </c>
      <c r="BG100" s="70">
        <v>172940.0</v>
      </c>
      <c r="BH100" s="70">
        <v>330434.0</v>
      </c>
      <c r="BI100" s="70">
        <v>18346.0</v>
      </c>
      <c r="BJ100" s="70">
        <v>89700.0</v>
      </c>
      <c r="BK100" s="70">
        <v>57740.0</v>
      </c>
      <c r="BL100" s="70">
        <v>3357.0</v>
      </c>
      <c r="BM100" s="70">
        <v>148820.0</v>
      </c>
      <c r="BN100" s="70">
        <v>101530.0</v>
      </c>
      <c r="BO100" s="70">
        <v>1536470.0</v>
      </c>
      <c r="BP100" s="70">
        <v>16285.0</v>
      </c>
      <c r="BQ100" s="70">
        <v>88487.0</v>
      </c>
      <c r="BR100" s="70">
        <v>98792.0</v>
      </c>
      <c r="BS100" s="70">
        <v>176651.0</v>
      </c>
      <c r="BT100" s="70">
        <v>713055.0</v>
      </c>
      <c r="BU100" s="70">
        <v>147624.0</v>
      </c>
      <c r="BV100" s="70">
        <v>41851.0</v>
      </c>
      <c r="BW100" s="70">
        <v>290.0</v>
      </c>
      <c r="BX100" s="70">
        <v>59714.0</v>
      </c>
      <c r="BY100" s="70">
        <v>1688385.0</v>
      </c>
      <c r="BZ100" s="70">
        <v>150713.0</v>
      </c>
      <c r="CA100" s="70">
        <v>2637898.0</v>
      </c>
      <c r="CB100" s="70">
        <v>313688.0</v>
      </c>
      <c r="CC100" s="70">
        <v>165657.0</v>
      </c>
      <c r="CD100" s="70">
        <v>125229.0</v>
      </c>
      <c r="CE100" s="70">
        <v>132515.0</v>
      </c>
      <c r="CF100" s="70">
        <v>933946.0</v>
      </c>
      <c r="CG100" s="70">
        <v>119465.0</v>
      </c>
      <c r="CH100" s="70">
        <v>72998.0</v>
      </c>
      <c r="CI100" s="70">
        <v>439806.0</v>
      </c>
      <c r="CJ100" s="70">
        <v>385945.0</v>
      </c>
      <c r="CK100" s="70">
        <v>769351.0</v>
      </c>
      <c r="CL100" s="70">
        <v>424832.0</v>
      </c>
      <c r="CM100" s="70">
        <v>158390.0</v>
      </c>
      <c r="CN100" s="70">
        <v>348020.0</v>
      </c>
      <c r="CO100" s="70">
        <v>328392.0</v>
      </c>
      <c r="CP100" s="70">
        <v>341513.0</v>
      </c>
      <c r="CQ100" s="70">
        <v>58835.0</v>
      </c>
      <c r="CR100" s="70">
        <v>3720952.0</v>
      </c>
      <c r="CS100" s="70">
        <v>3.276886E7</v>
      </c>
      <c r="CT100" s="70">
        <v>3684248.0</v>
      </c>
      <c r="CU100" s="70">
        <v>1588894.0</v>
      </c>
      <c r="CV100" s="70">
        <v>1565911.0</v>
      </c>
      <c r="CW100" s="70">
        <v>243987.0</v>
      </c>
      <c r="CX100" s="70">
        <v>591159.0</v>
      </c>
      <c r="CY100" s="70">
        <v>219660.0</v>
      </c>
      <c r="CZ100" s="70">
        <v>445695.0</v>
      </c>
      <c r="DA100" s="70">
        <v>517389.0</v>
      </c>
      <c r="DB100" s="70">
        <v>1875965.0</v>
      </c>
      <c r="DC100" s="70">
        <v>979575.0</v>
      </c>
      <c r="DD100" s="70">
        <v>201574.0</v>
      </c>
      <c r="DE100" s="70">
        <v>196408.0</v>
      </c>
      <c r="DF100" s="70">
        <v>260579.0</v>
      </c>
      <c r="DG100" s="70">
        <v>57662.0</v>
      </c>
      <c r="DH100" s="70">
        <v>322954.0</v>
      </c>
      <c r="DI100" s="70">
        <v>1735270.0</v>
      </c>
      <c r="DJ100" s="70">
        <v>1139926.0</v>
      </c>
      <c r="DK100" s="70">
        <v>1156816.0</v>
      </c>
      <c r="DL100" s="70">
        <v>3013638.0</v>
      </c>
      <c r="DM100" s="70">
        <v>787632.0</v>
      </c>
      <c r="DN100" s="70">
        <v>135650.0</v>
      </c>
      <c r="DO100" s="70">
        <v>718132.0</v>
      </c>
      <c r="DP100" s="70">
        <v>285656.0</v>
      </c>
      <c r="DQ100" s="70">
        <v>644502.0</v>
      </c>
      <c r="DR100" s="70">
        <v>1393779.0</v>
      </c>
      <c r="DS100" s="70">
        <v>102983.0</v>
      </c>
      <c r="DT100" s="70">
        <v>17337.0</v>
      </c>
      <c r="DU100" s="70">
        <v>1315.0</v>
      </c>
      <c r="DV100" s="70">
        <v>585.0</v>
      </c>
      <c r="DW100" s="70">
        <v>118148.0</v>
      </c>
      <c r="DX100" s="70">
        <v>18783.0</v>
      </c>
      <c r="DY100" s="70">
        <v>2542.0</v>
      </c>
      <c r="DZ100" s="70">
        <v>453200.0</v>
      </c>
      <c r="EA100" s="70">
        <v>162753.0</v>
      </c>
      <c r="EB100" s="70">
        <v>2026.0</v>
      </c>
      <c r="EC100" s="70">
        <v>1005009.0</v>
      </c>
      <c r="ED100" s="70">
        <v>259610.0</v>
      </c>
      <c r="EE100" s="70">
        <v>37494.0</v>
      </c>
      <c r="EF100" s="70">
        <v>19639.0</v>
      </c>
      <c r="EG100" s="70">
        <v>410203.0</v>
      </c>
      <c r="EH100" s="70">
        <v>2437196.0</v>
      </c>
      <c r="EI100" s="70">
        <v>1140255.0</v>
      </c>
      <c r="EJ100" s="70">
        <v>172834.0</v>
      </c>
      <c r="EK100" s="70">
        <v>75952.0</v>
      </c>
      <c r="EL100" s="70">
        <v>81046.0</v>
      </c>
      <c r="EM100" s="70">
        <v>455861.0</v>
      </c>
      <c r="EN100" s="70">
        <v>401468.0</v>
      </c>
      <c r="EO100" s="70">
        <v>83082.0</v>
      </c>
      <c r="EP100" s="70">
        <v>184426.0</v>
      </c>
      <c r="EQ100" s="70">
        <v>8823585.0</v>
      </c>
      <c r="ER100" s="70">
        <v>446577.0</v>
      </c>
      <c r="ES100" s="70">
        <v>1385137.0</v>
      </c>
      <c r="ET100" s="70">
        <v>880318.0</v>
      </c>
      <c r="EU100" s="70">
        <v>3.6265398E7</v>
      </c>
      <c r="EV100" s="70">
        <v>2536490.0</v>
      </c>
      <c r="EW100" s="70">
        <v>1065754.0</v>
      </c>
      <c r="EX100" s="70">
        <v>2840676.0</v>
      </c>
      <c r="EY100" s="70">
        <v>1.5473064E7</v>
      </c>
      <c r="EZ100" s="70">
        <v>8384342.0</v>
      </c>
      <c r="FA100" s="70">
        <v>4522949.0</v>
      </c>
      <c r="FB100" s="70">
        <v>9.5234651E7</v>
      </c>
      <c r="FC100" s="70">
        <v>1498585.0</v>
      </c>
      <c r="FD100" s="70">
        <v>1.51311375E8</v>
      </c>
      <c r="FE100" s="70">
        <v>2.0261785E7</v>
      </c>
      <c r="FF100" s="70">
        <v>4515695.0</v>
      </c>
      <c r="FG100" s="70">
        <v>5.8975308E7</v>
      </c>
      <c r="FH100" s="70">
        <v>5117327.0</v>
      </c>
      <c r="FI100" s="70">
        <v>3445361.0</v>
      </c>
      <c r="FJ100" s="70">
        <v>282843.0</v>
      </c>
      <c r="FK100" s="70">
        <v>4131551.0</v>
      </c>
      <c r="FL100" s="70">
        <v>1297129.0</v>
      </c>
      <c r="FM100" s="70">
        <v>708739.0</v>
      </c>
      <c r="FN100" s="70">
        <v>4227061.0</v>
      </c>
      <c r="FO100" s="70">
        <v>1607476.0</v>
      </c>
      <c r="FP100" s="70">
        <v>389520.0</v>
      </c>
      <c r="FQ100" s="70">
        <v>425508.0</v>
      </c>
      <c r="FR100" s="70">
        <v>21.0</v>
      </c>
      <c r="FS100" s="70">
        <v>315803.0</v>
      </c>
      <c r="FT100" s="70">
        <v>4540024.0</v>
      </c>
      <c r="FU100" s="70">
        <v>4000995.0</v>
      </c>
      <c r="FV100" s="70">
        <v>9465240.0</v>
      </c>
      <c r="FW100" s="70">
        <v>1.2924998E7</v>
      </c>
      <c r="FX100" s="70">
        <v>451790.0</v>
      </c>
      <c r="FY100" s="70">
        <v>4499221.0</v>
      </c>
      <c r="FZ100" s="70">
        <v>112376.0</v>
      </c>
      <c r="GA100" s="70">
        <v>3601826.0</v>
      </c>
      <c r="GB100" s="70">
        <v>3109218.0</v>
      </c>
      <c r="GC100" s="70">
        <v>429593.0</v>
      </c>
      <c r="GD100" s="70">
        <v>568991.0</v>
      </c>
      <c r="GE100" s="70">
        <v>4493845.0</v>
      </c>
      <c r="GF100" s="71">
        <v>6.21467002E8</v>
      </c>
      <c r="GG100" s="72">
        <v>2.518197E8</v>
      </c>
      <c r="GH100" s="73">
        <v>0.0</v>
      </c>
      <c r="GI100" s="72">
        <v>0.0</v>
      </c>
      <c r="GJ100" s="72">
        <v>0.0</v>
      </c>
      <c r="GK100" s="72">
        <v>2301491.0</v>
      </c>
      <c r="GL100" s="72">
        <v>3.2297027E7</v>
      </c>
      <c r="GM100" s="72">
        <v>0.0</v>
      </c>
      <c r="GN100" s="71">
        <v>2.86418218E8</v>
      </c>
      <c r="GO100" s="74">
        <v>9.0788522E8</v>
      </c>
      <c r="GP100" s="72">
        <v>1.75108043E8</v>
      </c>
      <c r="GQ100" s="72">
        <v>0.0</v>
      </c>
      <c r="GR100" s="73">
        <v>0.0</v>
      </c>
      <c r="GS100" s="71">
        <v>1.75108043E8</v>
      </c>
      <c r="GT100" s="75">
        <v>2.7646122E7</v>
      </c>
      <c r="GU100" s="75">
        <v>1.06878308E8</v>
      </c>
      <c r="GV100" s="75">
        <v>1.7798528E7</v>
      </c>
      <c r="GW100" s="71">
        <v>1.52322958E8</v>
      </c>
      <c r="GX100" s="71">
        <v>-5488537.0</v>
      </c>
      <c r="GY100" s="71">
        <v>5.85942756E8</v>
      </c>
      <c r="GZ100" s="74">
        <v>9.0788522E8</v>
      </c>
      <c r="HH100" s="106"/>
    </row>
    <row r="101" ht="15.75" customHeight="1">
      <c r="A101" s="52">
        <v>96.0</v>
      </c>
      <c r="B101" s="111" t="s">
        <v>366</v>
      </c>
      <c r="C101" s="54">
        <v>43269.0</v>
      </c>
      <c r="D101" s="54">
        <v>30796.0</v>
      </c>
      <c r="E101" s="54">
        <v>130.0</v>
      </c>
      <c r="F101" s="54">
        <v>1913.0</v>
      </c>
      <c r="G101" s="54">
        <v>91.0</v>
      </c>
      <c r="H101" s="54">
        <v>20014.0</v>
      </c>
      <c r="I101" s="54">
        <v>176.0</v>
      </c>
      <c r="J101" s="54">
        <v>6862.0</v>
      </c>
      <c r="K101" s="54">
        <v>16.0</v>
      </c>
      <c r="L101" s="54">
        <v>28368.0</v>
      </c>
      <c r="M101" s="54">
        <v>7133.0</v>
      </c>
      <c r="N101" s="54">
        <v>305229.0</v>
      </c>
      <c r="O101" s="54">
        <v>523.0</v>
      </c>
      <c r="P101" s="54">
        <v>45.0</v>
      </c>
      <c r="Q101" s="54">
        <v>25755.0</v>
      </c>
      <c r="R101" s="54">
        <v>6458.0</v>
      </c>
      <c r="S101" s="54">
        <v>169.0</v>
      </c>
      <c r="T101" s="54">
        <v>6491.0</v>
      </c>
      <c r="U101" s="54">
        <v>86995.0</v>
      </c>
      <c r="V101" s="54">
        <v>1412.0</v>
      </c>
      <c r="W101" s="54">
        <v>9385.0</v>
      </c>
      <c r="X101" s="54">
        <v>664.0</v>
      </c>
      <c r="Y101" s="54">
        <v>668.0</v>
      </c>
      <c r="Z101" s="54">
        <v>703.0</v>
      </c>
      <c r="AA101" s="54">
        <v>240.0</v>
      </c>
      <c r="AB101" s="54">
        <v>0.0</v>
      </c>
      <c r="AC101" s="54">
        <v>20.0</v>
      </c>
      <c r="AD101" s="54">
        <v>1651.0</v>
      </c>
      <c r="AE101" s="54">
        <v>0.0</v>
      </c>
      <c r="AF101" s="54">
        <v>37.0</v>
      </c>
      <c r="AG101" s="54">
        <v>1654.0</v>
      </c>
      <c r="AH101" s="54">
        <v>481.0</v>
      </c>
      <c r="AI101" s="54">
        <v>0.0</v>
      </c>
      <c r="AJ101" s="54">
        <v>0.0</v>
      </c>
      <c r="AK101" s="54">
        <v>0.0</v>
      </c>
      <c r="AL101" s="54">
        <v>0.0</v>
      </c>
      <c r="AM101" s="54">
        <v>730726.0</v>
      </c>
      <c r="AN101" s="54">
        <v>1421367.0</v>
      </c>
      <c r="AO101" s="54">
        <v>3095181.0</v>
      </c>
      <c r="AP101" s="54">
        <v>874.0</v>
      </c>
      <c r="AQ101" s="54">
        <v>104192.0</v>
      </c>
      <c r="AR101" s="54">
        <v>248183.0</v>
      </c>
      <c r="AS101" s="54">
        <v>479516.0</v>
      </c>
      <c r="AT101" s="54">
        <v>63672.0</v>
      </c>
      <c r="AU101" s="54">
        <v>6767.0</v>
      </c>
      <c r="AV101" s="54">
        <v>1243825.0</v>
      </c>
      <c r="AW101" s="54">
        <v>71133.0</v>
      </c>
      <c r="AX101" s="54">
        <v>501355.0</v>
      </c>
      <c r="AY101" s="54">
        <v>1151.0</v>
      </c>
      <c r="AZ101" s="54">
        <v>31352.0</v>
      </c>
      <c r="BA101" s="54">
        <v>63152.0</v>
      </c>
      <c r="BB101" s="54">
        <v>693389.0</v>
      </c>
      <c r="BC101" s="54">
        <v>470404.0</v>
      </c>
      <c r="BD101" s="54">
        <v>48227.0</v>
      </c>
      <c r="BE101" s="54">
        <v>60644.0</v>
      </c>
      <c r="BF101" s="54">
        <v>287389.0</v>
      </c>
      <c r="BG101" s="54">
        <v>658548.0</v>
      </c>
      <c r="BH101" s="54">
        <v>426751.0</v>
      </c>
      <c r="BI101" s="54">
        <v>13038.0</v>
      </c>
      <c r="BJ101" s="54">
        <v>995663.0</v>
      </c>
      <c r="BK101" s="54">
        <v>351076.0</v>
      </c>
      <c r="BL101" s="54">
        <v>5169.0</v>
      </c>
      <c r="BM101" s="54">
        <v>0.0</v>
      </c>
      <c r="BN101" s="54">
        <v>0.0</v>
      </c>
      <c r="BO101" s="54">
        <v>7519977.0</v>
      </c>
      <c r="BP101" s="54">
        <v>19186.0</v>
      </c>
      <c r="BQ101" s="54">
        <v>726998.0</v>
      </c>
      <c r="BR101" s="54">
        <v>2808.0</v>
      </c>
      <c r="BS101" s="54">
        <v>68630.0</v>
      </c>
      <c r="BT101" s="54">
        <v>612305.0</v>
      </c>
      <c r="BU101" s="54">
        <v>1294309.0</v>
      </c>
      <c r="BV101" s="54">
        <v>5905136.0</v>
      </c>
      <c r="BW101" s="54">
        <v>62481.0</v>
      </c>
      <c r="BX101" s="54">
        <v>1566015.0</v>
      </c>
      <c r="BY101" s="54">
        <v>1068051.0</v>
      </c>
      <c r="BZ101" s="54">
        <v>19413.0</v>
      </c>
      <c r="CA101" s="54">
        <v>1.1820797E7</v>
      </c>
      <c r="CB101" s="54">
        <v>2562430.0</v>
      </c>
      <c r="CC101" s="54">
        <v>672098.0</v>
      </c>
      <c r="CD101" s="54">
        <v>28381.0</v>
      </c>
      <c r="CE101" s="54">
        <v>68261.0</v>
      </c>
      <c r="CF101" s="54">
        <v>1645736.0</v>
      </c>
      <c r="CG101" s="54">
        <v>2108607.0</v>
      </c>
      <c r="CH101" s="54">
        <v>550913.0</v>
      </c>
      <c r="CI101" s="54">
        <v>2262598.0</v>
      </c>
      <c r="CJ101" s="54">
        <v>373860.0</v>
      </c>
      <c r="CK101" s="54">
        <v>2106738.0</v>
      </c>
      <c r="CL101" s="54">
        <v>1173003.0</v>
      </c>
      <c r="CM101" s="54">
        <v>332337.0</v>
      </c>
      <c r="CN101" s="54">
        <v>4213421.0</v>
      </c>
      <c r="CO101" s="54">
        <v>5765175.0</v>
      </c>
      <c r="CP101" s="54">
        <v>5289174.0</v>
      </c>
      <c r="CQ101" s="54">
        <v>627245.0</v>
      </c>
      <c r="CR101" s="54">
        <v>7355547.0</v>
      </c>
      <c r="CS101" s="54">
        <v>7070743.0</v>
      </c>
      <c r="CT101" s="54">
        <v>1.9162232E7</v>
      </c>
      <c r="CU101" s="54">
        <v>7012814.0</v>
      </c>
      <c r="CV101" s="54">
        <v>2.9375144E7</v>
      </c>
      <c r="CW101" s="54">
        <v>6673268.0</v>
      </c>
      <c r="CX101" s="54">
        <v>1.2435917E7</v>
      </c>
      <c r="CY101" s="54">
        <v>879509.0</v>
      </c>
      <c r="CZ101" s="54">
        <v>1.2320332E7</v>
      </c>
      <c r="DA101" s="54">
        <v>1.3995789E7</v>
      </c>
      <c r="DB101" s="54">
        <v>1.5072852E7</v>
      </c>
      <c r="DC101" s="54">
        <v>1.8889715E7</v>
      </c>
      <c r="DD101" s="54">
        <v>2061486.0</v>
      </c>
      <c r="DE101" s="54">
        <v>2000029.0</v>
      </c>
      <c r="DF101" s="54">
        <v>1903218.0</v>
      </c>
      <c r="DG101" s="54">
        <v>345278.0</v>
      </c>
      <c r="DH101" s="54">
        <v>2.1088337E7</v>
      </c>
      <c r="DI101" s="54">
        <v>6259470.0</v>
      </c>
      <c r="DJ101" s="54">
        <v>2847029.0</v>
      </c>
      <c r="DK101" s="54">
        <v>1918326.0</v>
      </c>
      <c r="DL101" s="54">
        <v>2826914.0</v>
      </c>
      <c r="DM101" s="54">
        <v>830099.0</v>
      </c>
      <c r="DN101" s="54">
        <v>133315.0</v>
      </c>
      <c r="DO101" s="54">
        <v>812303.0</v>
      </c>
      <c r="DP101" s="54">
        <v>419287.0</v>
      </c>
      <c r="DQ101" s="54">
        <v>796693.0</v>
      </c>
      <c r="DR101" s="54">
        <v>1305341.0</v>
      </c>
      <c r="DS101" s="54">
        <v>1866979.0</v>
      </c>
      <c r="DT101" s="54">
        <v>529789.0</v>
      </c>
      <c r="DU101" s="54">
        <v>2990284.0</v>
      </c>
      <c r="DV101" s="54">
        <v>4026518.0</v>
      </c>
      <c r="DW101" s="54">
        <v>6644320.0</v>
      </c>
      <c r="DX101" s="54">
        <v>1951094.0</v>
      </c>
      <c r="DY101" s="54">
        <v>3576769.0</v>
      </c>
      <c r="DZ101" s="54">
        <v>9162800.0</v>
      </c>
      <c r="EA101" s="54">
        <v>366501.0</v>
      </c>
      <c r="EB101" s="54">
        <v>5030899.0</v>
      </c>
      <c r="EC101" s="54">
        <v>138065.0</v>
      </c>
      <c r="ED101" s="54">
        <v>362027.0</v>
      </c>
      <c r="EE101" s="54">
        <v>0.0</v>
      </c>
      <c r="EF101" s="54">
        <v>26985.0</v>
      </c>
      <c r="EG101" s="54">
        <v>77352.0</v>
      </c>
      <c r="EH101" s="54">
        <v>254521.0</v>
      </c>
      <c r="EI101" s="54">
        <v>678296.0</v>
      </c>
      <c r="EJ101" s="54">
        <v>63853.0</v>
      </c>
      <c r="EK101" s="54">
        <v>31447.0</v>
      </c>
      <c r="EL101" s="54">
        <v>655452.0</v>
      </c>
      <c r="EM101" s="54">
        <v>119937.0</v>
      </c>
      <c r="EN101" s="54">
        <v>136854.0</v>
      </c>
      <c r="EO101" s="54">
        <v>3112313.0</v>
      </c>
      <c r="EP101" s="54">
        <v>64666.0</v>
      </c>
      <c r="EQ101" s="54">
        <v>219928.0</v>
      </c>
      <c r="ER101" s="54">
        <v>330.0</v>
      </c>
      <c r="ES101" s="54">
        <v>3600276.0</v>
      </c>
      <c r="ET101" s="54">
        <v>1609246.0</v>
      </c>
      <c r="EU101" s="54">
        <v>3499575.0</v>
      </c>
      <c r="EV101" s="54">
        <v>110843.0</v>
      </c>
      <c r="EW101" s="54">
        <v>15887.0</v>
      </c>
      <c r="EX101" s="54">
        <v>357797.0</v>
      </c>
      <c r="EY101" s="54">
        <v>2049303.0</v>
      </c>
      <c r="EZ101" s="54">
        <v>1455.0</v>
      </c>
      <c r="FA101" s="54">
        <v>1889571.0</v>
      </c>
      <c r="FB101" s="54">
        <v>2614891.0</v>
      </c>
      <c r="FC101" s="54">
        <v>0.0</v>
      </c>
      <c r="FD101" s="54">
        <v>706450.0</v>
      </c>
      <c r="FE101" s="54">
        <v>520586.0</v>
      </c>
      <c r="FF101" s="54">
        <v>6283.0</v>
      </c>
      <c r="FG101" s="54">
        <v>1358621.0</v>
      </c>
      <c r="FH101" s="54">
        <v>720322.0</v>
      </c>
      <c r="FI101" s="54">
        <v>2932.0</v>
      </c>
      <c r="FJ101" s="54">
        <v>10908.0</v>
      </c>
      <c r="FK101" s="54">
        <v>285565.0</v>
      </c>
      <c r="FL101" s="54">
        <v>0.0</v>
      </c>
      <c r="FM101" s="54">
        <v>0.0</v>
      </c>
      <c r="FN101" s="54">
        <v>0.0</v>
      </c>
      <c r="FO101" s="54">
        <v>0.0</v>
      </c>
      <c r="FP101" s="54">
        <v>0.0</v>
      </c>
      <c r="FQ101" s="54">
        <v>0.0</v>
      </c>
      <c r="FR101" s="54">
        <v>0.0</v>
      </c>
      <c r="FS101" s="54">
        <v>0.0</v>
      </c>
      <c r="FT101" s="54">
        <v>693.0</v>
      </c>
      <c r="FU101" s="54">
        <v>619416.0</v>
      </c>
      <c r="FV101" s="54">
        <v>457006.0</v>
      </c>
      <c r="FW101" s="54">
        <v>896975.0</v>
      </c>
      <c r="FX101" s="54">
        <v>219053.0</v>
      </c>
      <c r="FY101" s="54">
        <v>3.4627539E7</v>
      </c>
      <c r="FZ101" s="54">
        <v>14892.0</v>
      </c>
      <c r="GA101" s="54">
        <v>645022.0</v>
      </c>
      <c r="GB101" s="54">
        <v>1.3322264E7</v>
      </c>
      <c r="GC101" s="54">
        <v>33384.0</v>
      </c>
      <c r="GD101" s="54">
        <v>190480.0</v>
      </c>
      <c r="GE101" s="54">
        <v>1025891.0</v>
      </c>
      <c r="GF101" s="55">
        <v>3.82418267E8</v>
      </c>
      <c r="GG101" s="56">
        <v>510470.0</v>
      </c>
      <c r="GH101" s="57">
        <v>0.0</v>
      </c>
      <c r="GI101" s="56">
        <v>0.0</v>
      </c>
      <c r="GJ101" s="56">
        <v>0.0</v>
      </c>
      <c r="GK101" s="56">
        <v>-1.4117207E7</v>
      </c>
      <c r="GL101" s="56">
        <v>1.1104116E8</v>
      </c>
      <c r="GM101" s="56">
        <v>0.0</v>
      </c>
      <c r="GN101" s="55">
        <v>9.7434423E7</v>
      </c>
      <c r="GO101" s="58">
        <v>4.7985269E8</v>
      </c>
      <c r="GP101" s="56">
        <v>1.57593543E8</v>
      </c>
      <c r="GQ101" s="56">
        <v>0.0</v>
      </c>
      <c r="GR101" s="57">
        <v>0.0</v>
      </c>
      <c r="GS101" s="55">
        <v>1.57593543E8</v>
      </c>
      <c r="GT101" s="59">
        <v>3.5214043E7</v>
      </c>
      <c r="GU101" s="59">
        <v>7772417.0</v>
      </c>
      <c r="GV101" s="59">
        <v>7427009.0</v>
      </c>
      <c r="GW101" s="55">
        <v>5.0413469E7</v>
      </c>
      <c r="GX101" s="55">
        <v>6007189.0</v>
      </c>
      <c r="GY101" s="55">
        <v>2.65838489E8</v>
      </c>
      <c r="GZ101" s="58">
        <v>4.7985269E8</v>
      </c>
      <c r="HH101" s="106"/>
    </row>
    <row r="102" ht="15.75" customHeight="1">
      <c r="A102" s="60">
        <v>97.0</v>
      </c>
      <c r="B102" s="111" t="s">
        <v>367</v>
      </c>
      <c r="C102" s="62">
        <v>2.2783535E7</v>
      </c>
      <c r="D102" s="62">
        <v>5076418.0</v>
      </c>
      <c r="E102" s="62">
        <v>173009.0</v>
      </c>
      <c r="F102" s="62">
        <v>1334402.0</v>
      </c>
      <c r="G102" s="62">
        <v>77097.0</v>
      </c>
      <c r="H102" s="62">
        <v>201549.0</v>
      </c>
      <c r="I102" s="62">
        <v>146840.0</v>
      </c>
      <c r="J102" s="62">
        <v>364231.0</v>
      </c>
      <c r="K102" s="62">
        <v>3957.0</v>
      </c>
      <c r="L102" s="62">
        <v>1.0867124E7</v>
      </c>
      <c r="M102" s="62">
        <v>344173.0</v>
      </c>
      <c r="N102" s="62">
        <v>1230692.0</v>
      </c>
      <c r="O102" s="62">
        <v>1280030.0</v>
      </c>
      <c r="P102" s="62">
        <v>25113.0</v>
      </c>
      <c r="Q102" s="62">
        <v>898819.0</v>
      </c>
      <c r="R102" s="62">
        <v>9762141.0</v>
      </c>
      <c r="S102" s="62">
        <v>228273.0</v>
      </c>
      <c r="T102" s="62">
        <v>1480039.0</v>
      </c>
      <c r="U102" s="62">
        <v>1547080.0</v>
      </c>
      <c r="V102" s="62">
        <v>1.2978341E7</v>
      </c>
      <c r="W102" s="62">
        <v>758640.0</v>
      </c>
      <c r="X102" s="62">
        <v>512651.0</v>
      </c>
      <c r="Y102" s="62">
        <v>2203346.0</v>
      </c>
      <c r="Z102" s="62">
        <v>1044975.0</v>
      </c>
      <c r="AA102" s="62">
        <v>109992.0</v>
      </c>
      <c r="AB102" s="62">
        <v>0.0</v>
      </c>
      <c r="AC102" s="62">
        <v>0.0</v>
      </c>
      <c r="AD102" s="62">
        <v>0.0</v>
      </c>
      <c r="AE102" s="62">
        <v>0.0</v>
      </c>
      <c r="AF102" s="62">
        <v>151422.0</v>
      </c>
      <c r="AG102" s="62">
        <v>117061.0</v>
      </c>
      <c r="AH102" s="62">
        <v>56543.0</v>
      </c>
      <c r="AI102" s="62">
        <v>214906.0</v>
      </c>
      <c r="AJ102" s="62">
        <v>32874.0</v>
      </c>
      <c r="AK102" s="62">
        <v>20911.0</v>
      </c>
      <c r="AL102" s="62">
        <v>9336.0</v>
      </c>
      <c r="AM102" s="62">
        <v>0.0</v>
      </c>
      <c r="AN102" s="62">
        <v>0.0</v>
      </c>
      <c r="AO102" s="62">
        <v>0.0</v>
      </c>
      <c r="AP102" s="62">
        <v>0.0</v>
      </c>
      <c r="AQ102" s="62">
        <v>0.0</v>
      </c>
      <c r="AR102" s="62">
        <v>0.0</v>
      </c>
      <c r="AS102" s="62">
        <v>0.0</v>
      </c>
      <c r="AT102" s="62">
        <v>0.0</v>
      </c>
      <c r="AU102" s="62">
        <v>0.0</v>
      </c>
      <c r="AV102" s="62">
        <v>0.0</v>
      </c>
      <c r="AW102" s="62">
        <v>0.0</v>
      </c>
      <c r="AX102" s="62">
        <v>0.0</v>
      </c>
      <c r="AY102" s="62">
        <v>0.0</v>
      </c>
      <c r="AZ102" s="62">
        <v>0.0</v>
      </c>
      <c r="BA102" s="62">
        <v>0.0</v>
      </c>
      <c r="BB102" s="62">
        <v>0.0</v>
      </c>
      <c r="BC102" s="62">
        <v>0.0</v>
      </c>
      <c r="BD102" s="62">
        <v>0.0</v>
      </c>
      <c r="BE102" s="62">
        <v>0.0</v>
      </c>
      <c r="BF102" s="62">
        <v>126.0</v>
      </c>
      <c r="BG102" s="62">
        <v>0.0</v>
      </c>
      <c r="BH102" s="62">
        <v>0.0</v>
      </c>
      <c r="BI102" s="62">
        <v>0.0</v>
      </c>
      <c r="BJ102" s="62">
        <v>0.0</v>
      </c>
      <c r="BK102" s="62">
        <v>0.0</v>
      </c>
      <c r="BL102" s="62">
        <v>0.0</v>
      </c>
      <c r="BM102" s="62">
        <v>0.0</v>
      </c>
      <c r="BN102" s="62">
        <v>0.0</v>
      </c>
      <c r="BO102" s="62">
        <v>675.0</v>
      </c>
      <c r="BP102" s="62">
        <v>0.0</v>
      </c>
      <c r="BQ102" s="62">
        <v>0.0</v>
      </c>
      <c r="BR102" s="62">
        <v>0.0</v>
      </c>
      <c r="BS102" s="62">
        <v>0.0</v>
      </c>
      <c r="BT102" s="62">
        <v>0.0</v>
      </c>
      <c r="BU102" s="62">
        <v>0.0</v>
      </c>
      <c r="BV102" s="62">
        <v>0.0</v>
      </c>
      <c r="BW102" s="62">
        <v>0.0</v>
      </c>
      <c r="BX102" s="62">
        <v>0.0</v>
      </c>
      <c r="BY102" s="62">
        <v>0.0</v>
      </c>
      <c r="BZ102" s="62">
        <v>0.0</v>
      </c>
      <c r="CA102" s="62">
        <v>0.0</v>
      </c>
      <c r="CB102" s="62">
        <v>0.0</v>
      </c>
      <c r="CC102" s="62">
        <v>0.0</v>
      </c>
      <c r="CD102" s="62">
        <v>0.0</v>
      </c>
      <c r="CE102" s="62">
        <v>0.0</v>
      </c>
      <c r="CF102" s="62">
        <v>0.0</v>
      </c>
      <c r="CG102" s="62">
        <v>0.0</v>
      </c>
      <c r="CH102" s="62">
        <v>0.0</v>
      </c>
      <c r="CI102" s="62">
        <v>0.0</v>
      </c>
      <c r="CJ102" s="62">
        <v>0.0</v>
      </c>
      <c r="CK102" s="62">
        <v>0.0</v>
      </c>
      <c r="CL102" s="62">
        <v>0.0</v>
      </c>
      <c r="CM102" s="62">
        <v>0.0</v>
      </c>
      <c r="CN102" s="62">
        <v>0.0</v>
      </c>
      <c r="CO102" s="62">
        <v>0.0</v>
      </c>
      <c r="CP102" s="62">
        <v>0.0</v>
      </c>
      <c r="CQ102" s="62">
        <v>0.0</v>
      </c>
      <c r="CR102" s="62">
        <v>0.0</v>
      </c>
      <c r="CS102" s="62">
        <v>0.0</v>
      </c>
      <c r="CT102" s="62">
        <v>0.0</v>
      </c>
      <c r="CU102" s="62">
        <v>3014307.0</v>
      </c>
      <c r="CV102" s="62">
        <v>0.0</v>
      </c>
      <c r="CW102" s="62">
        <v>62014.0</v>
      </c>
      <c r="CX102" s="62">
        <v>0.0</v>
      </c>
      <c r="CY102" s="62">
        <v>0.0</v>
      </c>
      <c r="CZ102" s="62">
        <v>0.0</v>
      </c>
      <c r="DA102" s="62">
        <v>0.0</v>
      </c>
      <c r="DB102" s="62">
        <v>0.0</v>
      </c>
      <c r="DC102" s="62">
        <v>0.0</v>
      </c>
      <c r="DD102" s="62">
        <v>0.0</v>
      </c>
      <c r="DE102" s="62">
        <v>0.0</v>
      </c>
      <c r="DF102" s="62">
        <v>0.0</v>
      </c>
      <c r="DG102" s="62">
        <v>0.0</v>
      </c>
      <c r="DH102" s="62">
        <v>0.0</v>
      </c>
      <c r="DI102" s="62">
        <v>0.0</v>
      </c>
      <c r="DJ102" s="62">
        <v>0.0</v>
      </c>
      <c r="DK102" s="62">
        <v>0.0</v>
      </c>
      <c r="DL102" s="62">
        <v>0.0</v>
      </c>
      <c r="DM102" s="62">
        <v>0.0</v>
      </c>
      <c r="DN102" s="62">
        <v>0.0</v>
      </c>
      <c r="DO102" s="62">
        <v>0.0</v>
      </c>
      <c r="DP102" s="62">
        <v>0.0</v>
      </c>
      <c r="DQ102" s="62">
        <v>0.0</v>
      </c>
      <c r="DR102" s="62">
        <v>0.0</v>
      </c>
      <c r="DS102" s="62">
        <v>0.0</v>
      </c>
      <c r="DT102" s="62">
        <v>0.0</v>
      </c>
      <c r="DU102" s="62">
        <v>0.0</v>
      </c>
      <c r="DV102" s="62">
        <v>0.0</v>
      </c>
      <c r="DW102" s="62">
        <v>0.0</v>
      </c>
      <c r="DX102" s="62">
        <v>0.0</v>
      </c>
      <c r="DY102" s="62">
        <v>0.0</v>
      </c>
      <c r="DZ102" s="62">
        <v>8391.0</v>
      </c>
      <c r="EA102" s="62">
        <v>0.0</v>
      </c>
      <c r="EB102" s="62">
        <v>1252.0</v>
      </c>
      <c r="EC102" s="62">
        <v>0.0</v>
      </c>
      <c r="ED102" s="62">
        <v>0.0</v>
      </c>
      <c r="EE102" s="62">
        <v>0.0</v>
      </c>
      <c r="EF102" s="62">
        <v>0.0</v>
      </c>
      <c r="EG102" s="62">
        <v>0.0</v>
      </c>
      <c r="EH102" s="62">
        <v>0.0</v>
      </c>
      <c r="EI102" s="62">
        <v>0.0</v>
      </c>
      <c r="EJ102" s="62">
        <v>0.0</v>
      </c>
      <c r="EK102" s="62">
        <v>0.0</v>
      </c>
      <c r="EL102" s="62">
        <v>0.0</v>
      </c>
      <c r="EM102" s="62">
        <v>0.0</v>
      </c>
      <c r="EN102" s="62">
        <v>0.0</v>
      </c>
      <c r="EO102" s="62">
        <v>0.0</v>
      </c>
      <c r="EP102" s="62">
        <v>0.0</v>
      </c>
      <c r="EQ102" s="62">
        <v>10.0</v>
      </c>
      <c r="ER102" s="62">
        <v>0.0</v>
      </c>
      <c r="ES102" s="62">
        <v>0.0</v>
      </c>
      <c r="ET102" s="62">
        <v>279.0</v>
      </c>
      <c r="EU102" s="62">
        <v>25404.0</v>
      </c>
      <c r="EV102" s="62">
        <v>0.0</v>
      </c>
      <c r="EW102" s="62">
        <v>0.0</v>
      </c>
      <c r="EX102" s="62">
        <v>0.0</v>
      </c>
      <c r="EY102" s="62">
        <v>0.0</v>
      </c>
      <c r="EZ102" s="62">
        <v>0.0</v>
      </c>
      <c r="FA102" s="62">
        <v>0.0</v>
      </c>
      <c r="FB102" s="62">
        <v>0.0</v>
      </c>
      <c r="FC102" s="62">
        <v>0.0</v>
      </c>
      <c r="FD102" s="62">
        <v>0.0</v>
      </c>
      <c r="FE102" s="62">
        <v>0.0</v>
      </c>
      <c r="FF102" s="62">
        <v>0.0</v>
      </c>
      <c r="FG102" s="62">
        <v>0.0</v>
      </c>
      <c r="FH102" s="62">
        <v>274609.0</v>
      </c>
      <c r="FI102" s="62">
        <v>0.0</v>
      </c>
      <c r="FJ102" s="62">
        <v>11450.0</v>
      </c>
      <c r="FK102" s="62">
        <v>250.0</v>
      </c>
      <c r="FL102" s="62">
        <v>0.0</v>
      </c>
      <c r="FM102" s="62">
        <v>0.0</v>
      </c>
      <c r="FN102" s="62">
        <v>0.0</v>
      </c>
      <c r="FO102" s="62">
        <v>0.0</v>
      </c>
      <c r="FP102" s="62">
        <v>0.0</v>
      </c>
      <c r="FQ102" s="62">
        <v>0.0</v>
      </c>
      <c r="FR102" s="62">
        <v>0.0</v>
      </c>
      <c r="FS102" s="62">
        <v>0.0</v>
      </c>
      <c r="FT102" s="62">
        <v>42453.0</v>
      </c>
      <c r="FU102" s="62">
        <v>226786.0</v>
      </c>
      <c r="FV102" s="62">
        <v>64986.0</v>
      </c>
      <c r="FW102" s="62">
        <v>1225762.0</v>
      </c>
      <c r="FX102" s="62">
        <v>2699.0</v>
      </c>
      <c r="FY102" s="62">
        <v>211.0</v>
      </c>
      <c r="FZ102" s="62">
        <v>302.0</v>
      </c>
      <c r="GA102" s="62">
        <v>287.0</v>
      </c>
      <c r="GB102" s="62">
        <v>1636.0</v>
      </c>
      <c r="GC102" s="62">
        <v>8323.0</v>
      </c>
      <c r="GD102" s="62">
        <v>0.0</v>
      </c>
      <c r="GE102" s="62">
        <v>13375.0</v>
      </c>
      <c r="GF102" s="63">
        <v>8.1021107E7</v>
      </c>
      <c r="GG102" s="64">
        <v>3947750.0</v>
      </c>
      <c r="GH102" s="65">
        <v>0.0</v>
      </c>
      <c r="GI102" s="64">
        <v>0.0</v>
      </c>
      <c r="GJ102" s="64">
        <v>0.0</v>
      </c>
      <c r="GK102" s="64">
        <v>946869.0</v>
      </c>
      <c r="GL102" s="64">
        <v>1.5842135E7</v>
      </c>
      <c r="GM102" s="64">
        <v>0.0</v>
      </c>
      <c r="GN102" s="63">
        <v>2.0736754E7</v>
      </c>
      <c r="GO102" s="66">
        <v>1.01757861E8</v>
      </c>
      <c r="GP102" s="64">
        <v>3.0500014E7</v>
      </c>
      <c r="GQ102" s="64">
        <v>0.0</v>
      </c>
      <c r="GR102" s="65">
        <v>0.0</v>
      </c>
      <c r="GS102" s="63">
        <v>3.0500014E7</v>
      </c>
      <c r="GT102" s="67">
        <v>1.2898641E7</v>
      </c>
      <c r="GU102" s="67">
        <v>1.1609875E7</v>
      </c>
      <c r="GV102" s="67">
        <v>3187786.0</v>
      </c>
      <c r="GW102" s="63">
        <v>2.7696302E7</v>
      </c>
      <c r="GX102" s="63">
        <v>-2.8134492E7</v>
      </c>
      <c r="GY102" s="63">
        <v>7.1696037E7</v>
      </c>
      <c r="GZ102" s="66">
        <v>1.01757861E8</v>
      </c>
      <c r="HH102" s="106"/>
    </row>
    <row r="103" ht="15.75" customHeight="1">
      <c r="A103" s="60">
        <v>98.0</v>
      </c>
      <c r="B103" s="111" t="s">
        <v>368</v>
      </c>
      <c r="C103" s="62">
        <v>0.0</v>
      </c>
      <c r="D103" s="62">
        <v>0.0</v>
      </c>
      <c r="E103" s="62">
        <v>0.0</v>
      </c>
      <c r="F103" s="62">
        <v>0.0</v>
      </c>
      <c r="G103" s="62">
        <v>0.0</v>
      </c>
      <c r="H103" s="62">
        <v>0.0</v>
      </c>
      <c r="I103" s="62">
        <v>0.0</v>
      </c>
      <c r="J103" s="62">
        <v>0.0</v>
      </c>
      <c r="K103" s="62">
        <v>0.0</v>
      </c>
      <c r="L103" s="62">
        <v>0.0</v>
      </c>
      <c r="M103" s="62">
        <v>0.0</v>
      </c>
      <c r="N103" s="62">
        <v>0.0</v>
      </c>
      <c r="O103" s="62">
        <v>0.0</v>
      </c>
      <c r="P103" s="62">
        <v>0.0</v>
      </c>
      <c r="Q103" s="62">
        <v>0.0</v>
      </c>
      <c r="R103" s="62">
        <v>0.0</v>
      </c>
      <c r="S103" s="62">
        <v>0.0</v>
      </c>
      <c r="T103" s="62">
        <v>0.0</v>
      </c>
      <c r="U103" s="62">
        <v>0.0</v>
      </c>
      <c r="V103" s="62">
        <v>0.0</v>
      </c>
      <c r="W103" s="62">
        <v>0.0</v>
      </c>
      <c r="X103" s="62">
        <v>0.0</v>
      </c>
      <c r="Y103" s="62">
        <v>0.0</v>
      </c>
      <c r="Z103" s="62">
        <v>0.0</v>
      </c>
      <c r="AA103" s="62">
        <v>0.0</v>
      </c>
      <c r="AB103" s="62">
        <v>0.0</v>
      </c>
      <c r="AC103" s="62">
        <v>0.0</v>
      </c>
      <c r="AD103" s="62">
        <v>0.0</v>
      </c>
      <c r="AE103" s="62">
        <v>0.0</v>
      </c>
      <c r="AF103" s="62">
        <v>0.0</v>
      </c>
      <c r="AG103" s="62">
        <v>0.0</v>
      </c>
      <c r="AH103" s="62">
        <v>0.0</v>
      </c>
      <c r="AI103" s="62">
        <v>0.0</v>
      </c>
      <c r="AJ103" s="62">
        <v>0.0</v>
      </c>
      <c r="AK103" s="62">
        <v>0.0</v>
      </c>
      <c r="AL103" s="62">
        <v>0.0</v>
      </c>
      <c r="AM103" s="62">
        <v>0.0</v>
      </c>
      <c r="AN103" s="62">
        <v>0.0</v>
      </c>
      <c r="AO103" s="62">
        <v>0.0</v>
      </c>
      <c r="AP103" s="62">
        <v>0.0</v>
      </c>
      <c r="AQ103" s="62">
        <v>0.0</v>
      </c>
      <c r="AR103" s="62">
        <v>0.0</v>
      </c>
      <c r="AS103" s="62">
        <v>0.0</v>
      </c>
      <c r="AT103" s="62">
        <v>0.0</v>
      </c>
      <c r="AU103" s="62">
        <v>0.0</v>
      </c>
      <c r="AV103" s="62">
        <v>0.0</v>
      </c>
      <c r="AW103" s="62">
        <v>0.0</v>
      </c>
      <c r="AX103" s="62">
        <v>0.0</v>
      </c>
      <c r="AY103" s="62">
        <v>0.0</v>
      </c>
      <c r="AZ103" s="62">
        <v>0.0</v>
      </c>
      <c r="BA103" s="62">
        <v>0.0</v>
      </c>
      <c r="BB103" s="62">
        <v>0.0</v>
      </c>
      <c r="BC103" s="62">
        <v>0.0</v>
      </c>
      <c r="BD103" s="62">
        <v>0.0</v>
      </c>
      <c r="BE103" s="62">
        <v>0.0</v>
      </c>
      <c r="BF103" s="62">
        <v>0.0</v>
      </c>
      <c r="BG103" s="62">
        <v>0.0</v>
      </c>
      <c r="BH103" s="62">
        <v>0.0</v>
      </c>
      <c r="BI103" s="62">
        <v>0.0</v>
      </c>
      <c r="BJ103" s="62">
        <v>0.0</v>
      </c>
      <c r="BK103" s="62">
        <v>0.0</v>
      </c>
      <c r="BL103" s="62">
        <v>0.0</v>
      </c>
      <c r="BM103" s="62">
        <v>0.0</v>
      </c>
      <c r="BN103" s="62">
        <v>0.0</v>
      </c>
      <c r="BO103" s="62">
        <v>145.0</v>
      </c>
      <c r="BP103" s="62">
        <v>0.0</v>
      </c>
      <c r="BQ103" s="62">
        <v>0.0</v>
      </c>
      <c r="BR103" s="62">
        <v>0.0</v>
      </c>
      <c r="BS103" s="62">
        <v>93.0</v>
      </c>
      <c r="BT103" s="62">
        <v>0.0</v>
      </c>
      <c r="BU103" s="62">
        <v>0.0</v>
      </c>
      <c r="BV103" s="62">
        <v>0.0</v>
      </c>
      <c r="BW103" s="62">
        <v>0.0</v>
      </c>
      <c r="BX103" s="62">
        <v>0.0</v>
      </c>
      <c r="BY103" s="62">
        <v>0.0</v>
      </c>
      <c r="BZ103" s="62">
        <v>0.0</v>
      </c>
      <c r="CA103" s="62">
        <v>5222860.0</v>
      </c>
      <c r="CB103" s="62">
        <v>2610190.0</v>
      </c>
      <c r="CC103" s="62">
        <v>1005793.0</v>
      </c>
      <c r="CD103" s="62">
        <v>1031829.0</v>
      </c>
      <c r="CE103" s="62">
        <v>970523.0</v>
      </c>
      <c r="CF103" s="62">
        <v>723064.0</v>
      </c>
      <c r="CG103" s="62">
        <v>464257.0</v>
      </c>
      <c r="CH103" s="62">
        <v>445289.0</v>
      </c>
      <c r="CI103" s="62">
        <v>4513609.0</v>
      </c>
      <c r="CJ103" s="62">
        <v>8234.0</v>
      </c>
      <c r="CK103" s="62">
        <v>13109.0</v>
      </c>
      <c r="CL103" s="62">
        <v>34248.0</v>
      </c>
      <c r="CM103" s="62">
        <v>64726.0</v>
      </c>
      <c r="CN103" s="62">
        <v>643773.0</v>
      </c>
      <c r="CO103" s="62">
        <v>380552.0</v>
      </c>
      <c r="CP103" s="62">
        <v>523125.0</v>
      </c>
      <c r="CQ103" s="62">
        <v>27758.0</v>
      </c>
      <c r="CR103" s="62">
        <v>1819702.0</v>
      </c>
      <c r="CS103" s="62">
        <v>0.0</v>
      </c>
      <c r="CT103" s="62">
        <v>810693.0</v>
      </c>
      <c r="CU103" s="62">
        <v>796.0</v>
      </c>
      <c r="CV103" s="62">
        <v>7897134.0</v>
      </c>
      <c r="CW103" s="62">
        <v>47643.0</v>
      </c>
      <c r="CX103" s="62">
        <v>1548614.0</v>
      </c>
      <c r="CY103" s="62">
        <v>44977.0</v>
      </c>
      <c r="CZ103" s="62">
        <v>1368.0</v>
      </c>
      <c r="DA103" s="62">
        <v>241.0</v>
      </c>
      <c r="DB103" s="62">
        <v>157376.0</v>
      </c>
      <c r="DC103" s="62">
        <v>0.0</v>
      </c>
      <c r="DD103" s="62">
        <v>117591.0</v>
      </c>
      <c r="DE103" s="62">
        <v>2974840.0</v>
      </c>
      <c r="DF103" s="62">
        <v>397938.0</v>
      </c>
      <c r="DG103" s="62">
        <v>1240578.0</v>
      </c>
      <c r="DH103" s="62">
        <v>6.7005738E7</v>
      </c>
      <c r="DI103" s="62">
        <v>636.0</v>
      </c>
      <c r="DJ103" s="62">
        <v>30618.0</v>
      </c>
      <c r="DK103" s="62">
        <v>273661.0</v>
      </c>
      <c r="DL103" s="62">
        <v>1935272.0</v>
      </c>
      <c r="DM103" s="62">
        <v>0.0</v>
      </c>
      <c r="DN103" s="62">
        <v>36827.0</v>
      </c>
      <c r="DO103" s="62">
        <v>41421.0</v>
      </c>
      <c r="DP103" s="62">
        <v>0.0</v>
      </c>
      <c r="DQ103" s="62">
        <v>1087349.0</v>
      </c>
      <c r="DR103" s="62">
        <v>59002.0</v>
      </c>
      <c r="DS103" s="62">
        <v>3379375.0</v>
      </c>
      <c r="DT103" s="62">
        <v>1016206.0</v>
      </c>
      <c r="DU103" s="62">
        <v>55.0</v>
      </c>
      <c r="DV103" s="62">
        <v>0.0</v>
      </c>
      <c r="DW103" s="62">
        <v>1024769.0</v>
      </c>
      <c r="DX103" s="62">
        <v>37445.0</v>
      </c>
      <c r="DY103" s="62">
        <v>600598.0</v>
      </c>
      <c r="DZ103" s="62">
        <v>4542088.0</v>
      </c>
      <c r="EA103" s="62">
        <v>910168.0</v>
      </c>
      <c r="EB103" s="62">
        <v>3062773.0</v>
      </c>
      <c r="EC103" s="62">
        <v>927738.0</v>
      </c>
      <c r="ED103" s="62">
        <v>1021253.0</v>
      </c>
      <c r="EE103" s="62">
        <v>23740.0</v>
      </c>
      <c r="EF103" s="62">
        <v>2274.0</v>
      </c>
      <c r="EG103" s="62">
        <v>515443.0</v>
      </c>
      <c r="EH103" s="62">
        <v>1728557.0</v>
      </c>
      <c r="EI103" s="62">
        <v>679746.0</v>
      </c>
      <c r="EJ103" s="62">
        <v>128802.0</v>
      </c>
      <c r="EK103" s="62">
        <v>784341.0</v>
      </c>
      <c r="EL103" s="62">
        <v>1796596.0</v>
      </c>
      <c r="EM103" s="62">
        <v>2962297.0</v>
      </c>
      <c r="EN103" s="62">
        <v>43269.0</v>
      </c>
      <c r="EO103" s="62">
        <v>1277557.0</v>
      </c>
      <c r="EP103" s="62">
        <v>79253.0</v>
      </c>
      <c r="EQ103" s="62">
        <v>0.0</v>
      </c>
      <c r="ER103" s="62">
        <v>0.0</v>
      </c>
      <c r="ES103" s="62">
        <v>0.0</v>
      </c>
      <c r="ET103" s="62">
        <v>0.0</v>
      </c>
      <c r="EU103" s="62">
        <v>2517.0</v>
      </c>
      <c r="EV103" s="62">
        <v>20.0</v>
      </c>
      <c r="EW103" s="62">
        <v>259.0</v>
      </c>
      <c r="EX103" s="62">
        <v>30.0</v>
      </c>
      <c r="EY103" s="62">
        <v>44294.0</v>
      </c>
      <c r="EZ103" s="62">
        <v>0.0</v>
      </c>
      <c r="FA103" s="62">
        <v>0.0</v>
      </c>
      <c r="FB103" s="62">
        <v>0.0</v>
      </c>
      <c r="FC103" s="62">
        <v>0.0</v>
      </c>
      <c r="FD103" s="62">
        <v>0.0</v>
      </c>
      <c r="FE103" s="62">
        <v>0.0</v>
      </c>
      <c r="FF103" s="62">
        <v>0.0</v>
      </c>
      <c r="FG103" s="62">
        <v>0.0</v>
      </c>
      <c r="FH103" s="62">
        <v>0.0</v>
      </c>
      <c r="FI103" s="62">
        <v>0.0</v>
      </c>
      <c r="FJ103" s="62">
        <v>0.0</v>
      </c>
      <c r="FK103" s="62">
        <v>0.0</v>
      </c>
      <c r="FL103" s="62">
        <v>12235.0</v>
      </c>
      <c r="FM103" s="62">
        <v>0.0</v>
      </c>
      <c r="FN103" s="62">
        <v>0.0</v>
      </c>
      <c r="FO103" s="62">
        <v>0.0</v>
      </c>
      <c r="FP103" s="62">
        <v>0.0</v>
      </c>
      <c r="FQ103" s="62">
        <v>0.0</v>
      </c>
      <c r="FR103" s="62">
        <v>0.0</v>
      </c>
      <c r="FS103" s="62">
        <v>0.0</v>
      </c>
      <c r="FT103" s="62">
        <v>0.0</v>
      </c>
      <c r="FU103" s="62">
        <v>128234.0</v>
      </c>
      <c r="FV103" s="62">
        <v>0.0</v>
      </c>
      <c r="FW103" s="62">
        <v>4196.0</v>
      </c>
      <c r="FX103" s="62">
        <v>123.0</v>
      </c>
      <c r="FY103" s="62">
        <v>500941.0</v>
      </c>
      <c r="FZ103" s="62">
        <v>171.0</v>
      </c>
      <c r="GA103" s="62">
        <v>2537.0</v>
      </c>
      <c r="GB103" s="62">
        <v>0.0</v>
      </c>
      <c r="GC103" s="62">
        <v>0.0</v>
      </c>
      <c r="GD103" s="62">
        <v>0.0</v>
      </c>
      <c r="GE103" s="62">
        <v>0.0</v>
      </c>
      <c r="GF103" s="63">
        <v>1.33453092E8</v>
      </c>
      <c r="GG103" s="64">
        <v>0.0</v>
      </c>
      <c r="GH103" s="65">
        <v>0.0</v>
      </c>
      <c r="GI103" s="64">
        <v>0.0</v>
      </c>
      <c r="GJ103" s="64">
        <v>0.0</v>
      </c>
      <c r="GK103" s="64">
        <v>2438800.0</v>
      </c>
      <c r="GL103" s="64">
        <v>2.6910409E7</v>
      </c>
      <c r="GM103" s="64">
        <v>0.0</v>
      </c>
      <c r="GN103" s="63">
        <v>2.9349209E7</v>
      </c>
      <c r="GO103" s="66">
        <v>1.62802301E8</v>
      </c>
      <c r="GP103" s="64">
        <v>4.4873821E7</v>
      </c>
      <c r="GQ103" s="64">
        <v>0.0</v>
      </c>
      <c r="GR103" s="65">
        <v>0.0</v>
      </c>
      <c r="GS103" s="63">
        <v>4.4873821E7</v>
      </c>
      <c r="GT103" s="67">
        <v>1.0294687E7</v>
      </c>
      <c r="GU103" s="67">
        <v>0.0</v>
      </c>
      <c r="GV103" s="67">
        <v>956573.0</v>
      </c>
      <c r="GW103" s="63">
        <v>1.125126E7</v>
      </c>
      <c r="GX103" s="63">
        <v>3235977.0</v>
      </c>
      <c r="GY103" s="63">
        <v>1.03441243E8</v>
      </c>
      <c r="GZ103" s="66">
        <v>1.62802301E8</v>
      </c>
      <c r="HH103" s="106"/>
    </row>
    <row r="104" ht="15.75" customHeight="1">
      <c r="A104" s="60">
        <v>99.0</v>
      </c>
      <c r="B104" s="111" t="s">
        <v>369</v>
      </c>
      <c r="C104" s="62">
        <v>1105071.0</v>
      </c>
      <c r="D104" s="62">
        <v>338863.0</v>
      </c>
      <c r="E104" s="62">
        <v>92256.0</v>
      </c>
      <c r="F104" s="62">
        <v>481592.0</v>
      </c>
      <c r="G104" s="62">
        <v>38591.0</v>
      </c>
      <c r="H104" s="62">
        <v>143876.0</v>
      </c>
      <c r="I104" s="62">
        <v>131159.0</v>
      </c>
      <c r="J104" s="62">
        <v>579092.0</v>
      </c>
      <c r="K104" s="62">
        <v>2427.0</v>
      </c>
      <c r="L104" s="62">
        <v>8540198.0</v>
      </c>
      <c r="M104" s="62">
        <v>219141.0</v>
      </c>
      <c r="N104" s="62">
        <v>442181.0</v>
      </c>
      <c r="O104" s="62">
        <v>912801.0</v>
      </c>
      <c r="P104" s="62">
        <v>19161.0</v>
      </c>
      <c r="Q104" s="62">
        <v>551639.0</v>
      </c>
      <c r="R104" s="62">
        <v>8325040.0</v>
      </c>
      <c r="S104" s="62">
        <v>156747.0</v>
      </c>
      <c r="T104" s="62">
        <v>1301900.0</v>
      </c>
      <c r="U104" s="62">
        <v>445967.0</v>
      </c>
      <c r="V104" s="62">
        <v>4739578.0</v>
      </c>
      <c r="W104" s="62">
        <v>90173.0</v>
      </c>
      <c r="X104" s="62">
        <v>229008.0</v>
      </c>
      <c r="Y104" s="62">
        <v>1489648.0</v>
      </c>
      <c r="Z104" s="62">
        <v>617737.0</v>
      </c>
      <c r="AA104" s="62">
        <v>47359.0</v>
      </c>
      <c r="AB104" s="62">
        <v>2.0</v>
      </c>
      <c r="AC104" s="62">
        <v>405.0</v>
      </c>
      <c r="AD104" s="62">
        <v>34563.0</v>
      </c>
      <c r="AE104" s="62">
        <v>5.0</v>
      </c>
      <c r="AF104" s="62">
        <v>112471.0</v>
      </c>
      <c r="AG104" s="62">
        <v>55253.0</v>
      </c>
      <c r="AH104" s="62">
        <v>29043.0</v>
      </c>
      <c r="AI104" s="62">
        <v>147937.0</v>
      </c>
      <c r="AJ104" s="62">
        <v>22030.0</v>
      </c>
      <c r="AK104" s="62">
        <v>4916.0</v>
      </c>
      <c r="AL104" s="62">
        <v>3320.0</v>
      </c>
      <c r="AM104" s="62">
        <v>8442.0</v>
      </c>
      <c r="AN104" s="62">
        <v>5236.0</v>
      </c>
      <c r="AO104" s="62">
        <v>17755.0</v>
      </c>
      <c r="AP104" s="62">
        <v>87.0</v>
      </c>
      <c r="AQ104" s="62">
        <v>503.0</v>
      </c>
      <c r="AR104" s="62">
        <v>169.0</v>
      </c>
      <c r="AS104" s="62">
        <v>407.0</v>
      </c>
      <c r="AT104" s="62">
        <v>636.0</v>
      </c>
      <c r="AU104" s="62">
        <v>130.0</v>
      </c>
      <c r="AV104" s="62">
        <v>248.0</v>
      </c>
      <c r="AW104" s="62">
        <v>218.0</v>
      </c>
      <c r="AX104" s="62">
        <v>1607.0</v>
      </c>
      <c r="AY104" s="62">
        <v>943.0</v>
      </c>
      <c r="AZ104" s="62">
        <v>65.0</v>
      </c>
      <c r="BA104" s="62">
        <v>65.0</v>
      </c>
      <c r="BB104" s="62">
        <v>51.0</v>
      </c>
      <c r="BC104" s="62">
        <v>2207.0</v>
      </c>
      <c r="BD104" s="62">
        <v>159.0</v>
      </c>
      <c r="BE104" s="62">
        <v>77.0</v>
      </c>
      <c r="BF104" s="62">
        <v>268.0</v>
      </c>
      <c r="BG104" s="62">
        <v>691.0</v>
      </c>
      <c r="BH104" s="62">
        <v>3867.0</v>
      </c>
      <c r="BI104" s="62">
        <v>167.0</v>
      </c>
      <c r="BJ104" s="62">
        <v>345.0</v>
      </c>
      <c r="BK104" s="62">
        <v>243.0</v>
      </c>
      <c r="BL104" s="62">
        <v>66.0</v>
      </c>
      <c r="BM104" s="62">
        <v>21.0</v>
      </c>
      <c r="BN104" s="62">
        <v>8058.0</v>
      </c>
      <c r="BO104" s="62">
        <v>1983.0</v>
      </c>
      <c r="BP104" s="62">
        <v>338.0</v>
      </c>
      <c r="BQ104" s="62">
        <v>347.0</v>
      </c>
      <c r="BR104" s="62">
        <v>535.0</v>
      </c>
      <c r="BS104" s="62">
        <v>145.0</v>
      </c>
      <c r="BT104" s="62">
        <v>2511.0</v>
      </c>
      <c r="BU104" s="62">
        <v>5375.0</v>
      </c>
      <c r="BV104" s="62">
        <v>26212.0</v>
      </c>
      <c r="BW104" s="62">
        <v>122.0</v>
      </c>
      <c r="BX104" s="62">
        <v>684.0</v>
      </c>
      <c r="BY104" s="62">
        <v>750.0</v>
      </c>
      <c r="BZ104" s="62">
        <v>56.0</v>
      </c>
      <c r="CA104" s="62">
        <v>0.0</v>
      </c>
      <c r="CB104" s="62">
        <v>0.0</v>
      </c>
      <c r="CC104" s="62">
        <v>0.0</v>
      </c>
      <c r="CD104" s="62">
        <v>0.0</v>
      </c>
      <c r="CE104" s="62">
        <v>0.0</v>
      </c>
      <c r="CF104" s="62">
        <v>0.0</v>
      </c>
      <c r="CG104" s="62">
        <v>0.0</v>
      </c>
      <c r="CH104" s="62">
        <v>0.0</v>
      </c>
      <c r="CI104" s="62">
        <v>0.0</v>
      </c>
      <c r="CJ104" s="62">
        <v>928.0</v>
      </c>
      <c r="CK104" s="62">
        <v>709.0</v>
      </c>
      <c r="CL104" s="62">
        <v>14971.0</v>
      </c>
      <c r="CM104" s="62">
        <v>422.0</v>
      </c>
      <c r="CN104" s="62">
        <v>0.0</v>
      </c>
      <c r="CO104" s="62">
        <v>0.0</v>
      </c>
      <c r="CP104" s="62">
        <v>0.0</v>
      </c>
      <c r="CQ104" s="62">
        <v>0.0</v>
      </c>
      <c r="CR104" s="62">
        <v>129.0</v>
      </c>
      <c r="CS104" s="62">
        <v>828.0</v>
      </c>
      <c r="CT104" s="62">
        <v>93.0</v>
      </c>
      <c r="CU104" s="62">
        <v>6076.0</v>
      </c>
      <c r="CV104" s="62">
        <v>505.0</v>
      </c>
      <c r="CW104" s="62">
        <v>8451.0</v>
      </c>
      <c r="CX104" s="62">
        <v>1494.0</v>
      </c>
      <c r="CY104" s="62">
        <v>73.0</v>
      </c>
      <c r="CZ104" s="62">
        <v>0.0</v>
      </c>
      <c r="DA104" s="62">
        <v>4734.0</v>
      </c>
      <c r="DB104" s="62">
        <v>311.0</v>
      </c>
      <c r="DC104" s="62">
        <v>1933.0</v>
      </c>
      <c r="DD104" s="62">
        <v>52.0</v>
      </c>
      <c r="DE104" s="62">
        <v>15.0</v>
      </c>
      <c r="DF104" s="62">
        <v>0.0</v>
      </c>
      <c r="DG104" s="62">
        <v>1146.0</v>
      </c>
      <c r="DH104" s="62">
        <v>7542.0</v>
      </c>
      <c r="DI104" s="62">
        <v>533.0</v>
      </c>
      <c r="DJ104" s="62">
        <v>427.0</v>
      </c>
      <c r="DK104" s="62">
        <v>843.0</v>
      </c>
      <c r="DL104" s="62">
        <v>146.0</v>
      </c>
      <c r="DM104" s="62">
        <v>730.0</v>
      </c>
      <c r="DN104" s="62">
        <v>1191.0</v>
      </c>
      <c r="DO104" s="62">
        <v>6615.0</v>
      </c>
      <c r="DP104" s="62">
        <v>3103.0</v>
      </c>
      <c r="DQ104" s="62">
        <v>4957.0</v>
      </c>
      <c r="DR104" s="62">
        <v>16597.0</v>
      </c>
      <c r="DS104" s="62">
        <v>10573.0</v>
      </c>
      <c r="DT104" s="62">
        <v>12275.0</v>
      </c>
      <c r="DU104" s="62">
        <v>689.0</v>
      </c>
      <c r="DV104" s="62">
        <v>790.0</v>
      </c>
      <c r="DW104" s="62">
        <v>972.0</v>
      </c>
      <c r="DX104" s="62">
        <v>3237.0</v>
      </c>
      <c r="DY104" s="62">
        <v>1074.0</v>
      </c>
      <c r="DZ104" s="62">
        <v>1227.0</v>
      </c>
      <c r="EA104" s="62">
        <v>8.0</v>
      </c>
      <c r="EB104" s="62">
        <v>7.0</v>
      </c>
      <c r="EC104" s="62">
        <v>9.0</v>
      </c>
      <c r="ED104" s="62">
        <v>9.0</v>
      </c>
      <c r="EE104" s="62">
        <v>17.0</v>
      </c>
      <c r="EF104" s="62">
        <v>163.0</v>
      </c>
      <c r="EG104" s="62">
        <v>718.0</v>
      </c>
      <c r="EH104" s="62">
        <v>2836.0</v>
      </c>
      <c r="EI104" s="62">
        <v>427.0</v>
      </c>
      <c r="EJ104" s="62">
        <v>146.0</v>
      </c>
      <c r="EK104" s="62">
        <v>508.0</v>
      </c>
      <c r="EL104" s="62">
        <v>257.0</v>
      </c>
      <c r="EM104" s="62">
        <v>274.0</v>
      </c>
      <c r="EN104" s="62">
        <v>315.0</v>
      </c>
      <c r="EO104" s="62">
        <v>275.0</v>
      </c>
      <c r="EP104" s="62">
        <v>0.0</v>
      </c>
      <c r="EQ104" s="62">
        <v>218.0</v>
      </c>
      <c r="ER104" s="62">
        <v>162.0</v>
      </c>
      <c r="ES104" s="62">
        <v>145187.0</v>
      </c>
      <c r="ET104" s="62">
        <v>307.0</v>
      </c>
      <c r="EU104" s="62">
        <v>22881.0</v>
      </c>
      <c r="EV104" s="62">
        <v>44.0</v>
      </c>
      <c r="EW104" s="62">
        <v>172.0</v>
      </c>
      <c r="EX104" s="62">
        <v>429.0</v>
      </c>
      <c r="EY104" s="62">
        <v>68.0</v>
      </c>
      <c r="EZ104" s="62">
        <v>4771.0</v>
      </c>
      <c r="FA104" s="62">
        <v>16867.0</v>
      </c>
      <c r="FB104" s="62">
        <v>102412.0</v>
      </c>
      <c r="FC104" s="62">
        <v>157.0</v>
      </c>
      <c r="FD104" s="62">
        <v>237.0</v>
      </c>
      <c r="FE104" s="62">
        <v>184.0</v>
      </c>
      <c r="FF104" s="62">
        <v>170.0</v>
      </c>
      <c r="FG104" s="62">
        <v>0.0</v>
      </c>
      <c r="FH104" s="62">
        <v>1265.0</v>
      </c>
      <c r="FI104" s="62">
        <v>103.0</v>
      </c>
      <c r="FJ104" s="62">
        <v>3407.0</v>
      </c>
      <c r="FK104" s="62">
        <v>125.0</v>
      </c>
      <c r="FL104" s="62">
        <v>196.0</v>
      </c>
      <c r="FM104" s="62">
        <v>214.0</v>
      </c>
      <c r="FN104" s="62">
        <v>57.0</v>
      </c>
      <c r="FO104" s="62">
        <v>166.0</v>
      </c>
      <c r="FP104" s="62">
        <v>101850.0</v>
      </c>
      <c r="FQ104" s="62">
        <v>172.0</v>
      </c>
      <c r="FR104" s="62">
        <v>4.0</v>
      </c>
      <c r="FS104" s="62">
        <v>8.0</v>
      </c>
      <c r="FT104" s="62">
        <v>17571.0</v>
      </c>
      <c r="FU104" s="62">
        <v>3825.0</v>
      </c>
      <c r="FV104" s="62">
        <v>441.0</v>
      </c>
      <c r="FW104" s="62">
        <v>217978.0</v>
      </c>
      <c r="FX104" s="62">
        <v>31597.0</v>
      </c>
      <c r="FY104" s="62">
        <v>87423.0</v>
      </c>
      <c r="FZ104" s="62">
        <v>72.0</v>
      </c>
      <c r="GA104" s="62">
        <v>2839.0</v>
      </c>
      <c r="GB104" s="62">
        <v>19169.0</v>
      </c>
      <c r="GC104" s="62">
        <v>2970.0</v>
      </c>
      <c r="GD104" s="62">
        <v>76.0</v>
      </c>
      <c r="GE104" s="62">
        <v>8686.0</v>
      </c>
      <c r="GF104" s="63">
        <v>3.2459779E7</v>
      </c>
      <c r="GG104" s="64">
        <v>1798346.0</v>
      </c>
      <c r="GH104" s="65">
        <v>0.0</v>
      </c>
      <c r="GI104" s="64">
        <v>0.0</v>
      </c>
      <c r="GJ104" s="64">
        <v>0.0</v>
      </c>
      <c r="GK104" s="64">
        <v>19457.0</v>
      </c>
      <c r="GL104" s="64">
        <v>4240981.0</v>
      </c>
      <c r="GM104" s="64">
        <v>0.0</v>
      </c>
      <c r="GN104" s="63">
        <v>6058784.0</v>
      </c>
      <c r="GO104" s="66">
        <v>3.8518563E7</v>
      </c>
      <c r="GP104" s="64">
        <v>1.4234043E7</v>
      </c>
      <c r="GQ104" s="64">
        <v>0.0</v>
      </c>
      <c r="GR104" s="65">
        <v>0.0</v>
      </c>
      <c r="GS104" s="63">
        <v>1.4234043E7</v>
      </c>
      <c r="GT104" s="67">
        <v>4137673.0</v>
      </c>
      <c r="GU104" s="67">
        <v>2197415.0</v>
      </c>
      <c r="GV104" s="67">
        <v>1044055.0</v>
      </c>
      <c r="GW104" s="63">
        <v>7379143.0</v>
      </c>
      <c r="GX104" s="63">
        <v>1456773.0</v>
      </c>
      <c r="GY104" s="63">
        <v>1.5448604E7</v>
      </c>
      <c r="GZ104" s="66">
        <v>3.8518563E7</v>
      </c>
      <c r="HH104" s="106"/>
    </row>
    <row r="105" ht="15.75" customHeight="1">
      <c r="A105" s="68">
        <v>100.0</v>
      </c>
      <c r="B105" s="111" t="s">
        <v>598</v>
      </c>
      <c r="C105" s="70">
        <v>0.0</v>
      </c>
      <c r="D105" s="70">
        <v>0.0</v>
      </c>
      <c r="E105" s="70">
        <v>0.0</v>
      </c>
      <c r="F105" s="70">
        <v>0.0</v>
      </c>
      <c r="G105" s="70">
        <v>0.0</v>
      </c>
      <c r="H105" s="70">
        <v>0.0</v>
      </c>
      <c r="I105" s="70">
        <v>0.0</v>
      </c>
      <c r="J105" s="70">
        <v>0.0</v>
      </c>
      <c r="K105" s="70">
        <v>0.0</v>
      </c>
      <c r="L105" s="70">
        <v>0.0</v>
      </c>
      <c r="M105" s="70">
        <v>0.0</v>
      </c>
      <c r="N105" s="70">
        <v>0.0</v>
      </c>
      <c r="O105" s="70">
        <v>0.0</v>
      </c>
      <c r="P105" s="70">
        <v>0.0</v>
      </c>
      <c r="Q105" s="70">
        <v>0.0</v>
      </c>
      <c r="R105" s="70">
        <v>0.0</v>
      </c>
      <c r="S105" s="70">
        <v>0.0</v>
      </c>
      <c r="T105" s="70">
        <v>0.0</v>
      </c>
      <c r="U105" s="70">
        <v>0.0</v>
      </c>
      <c r="V105" s="70">
        <v>0.0</v>
      </c>
      <c r="W105" s="70">
        <v>0.0</v>
      </c>
      <c r="X105" s="70">
        <v>0.0</v>
      </c>
      <c r="Y105" s="70">
        <v>0.0</v>
      </c>
      <c r="Z105" s="70">
        <v>0.0</v>
      </c>
      <c r="AA105" s="70">
        <v>0.0</v>
      </c>
      <c r="AB105" s="70">
        <v>0.0</v>
      </c>
      <c r="AC105" s="70">
        <v>0.0</v>
      </c>
      <c r="AD105" s="70">
        <v>0.0</v>
      </c>
      <c r="AE105" s="70">
        <v>0.0</v>
      </c>
      <c r="AF105" s="70">
        <v>0.0</v>
      </c>
      <c r="AG105" s="70">
        <v>0.0</v>
      </c>
      <c r="AH105" s="70">
        <v>0.0</v>
      </c>
      <c r="AI105" s="70">
        <v>257644.0</v>
      </c>
      <c r="AJ105" s="70">
        <v>0.0</v>
      </c>
      <c r="AK105" s="70">
        <v>0.0</v>
      </c>
      <c r="AL105" s="70">
        <v>0.0</v>
      </c>
      <c r="AM105" s="70">
        <v>0.0</v>
      </c>
      <c r="AN105" s="70">
        <v>0.0</v>
      </c>
      <c r="AO105" s="70">
        <v>0.0</v>
      </c>
      <c r="AP105" s="70">
        <v>0.0</v>
      </c>
      <c r="AQ105" s="70">
        <v>0.0</v>
      </c>
      <c r="AR105" s="70">
        <v>0.0</v>
      </c>
      <c r="AS105" s="70">
        <v>0.0</v>
      </c>
      <c r="AT105" s="70">
        <v>0.0</v>
      </c>
      <c r="AU105" s="70">
        <v>0.0</v>
      </c>
      <c r="AV105" s="70">
        <v>0.0</v>
      </c>
      <c r="AW105" s="70">
        <v>0.0</v>
      </c>
      <c r="AX105" s="70">
        <v>0.0</v>
      </c>
      <c r="AY105" s="70">
        <v>0.0</v>
      </c>
      <c r="AZ105" s="70">
        <v>0.0</v>
      </c>
      <c r="BA105" s="70">
        <v>0.0</v>
      </c>
      <c r="BB105" s="70">
        <v>0.0</v>
      </c>
      <c r="BC105" s="70">
        <v>0.0</v>
      </c>
      <c r="BD105" s="70">
        <v>0.0</v>
      </c>
      <c r="BE105" s="70">
        <v>0.0</v>
      </c>
      <c r="BF105" s="70">
        <v>0.0</v>
      </c>
      <c r="BG105" s="70">
        <v>0.0</v>
      </c>
      <c r="BH105" s="70">
        <v>0.0</v>
      </c>
      <c r="BI105" s="70">
        <v>0.0</v>
      </c>
      <c r="BJ105" s="70">
        <v>0.0</v>
      </c>
      <c r="BK105" s="70">
        <v>0.0</v>
      </c>
      <c r="BL105" s="70">
        <v>0.0</v>
      </c>
      <c r="BM105" s="70">
        <v>0.0</v>
      </c>
      <c r="BN105" s="70">
        <v>0.0</v>
      </c>
      <c r="BO105" s="70">
        <v>0.0</v>
      </c>
      <c r="BP105" s="70">
        <v>0.0</v>
      </c>
      <c r="BQ105" s="70">
        <v>0.0</v>
      </c>
      <c r="BR105" s="70">
        <v>0.0</v>
      </c>
      <c r="BS105" s="70">
        <v>0.0</v>
      </c>
      <c r="BT105" s="70">
        <v>0.0</v>
      </c>
      <c r="BU105" s="70">
        <v>0.0</v>
      </c>
      <c r="BV105" s="70">
        <v>0.0</v>
      </c>
      <c r="BW105" s="70">
        <v>0.0</v>
      </c>
      <c r="BX105" s="70">
        <v>0.0</v>
      </c>
      <c r="BY105" s="70">
        <v>629.0</v>
      </c>
      <c r="BZ105" s="70">
        <v>26.0</v>
      </c>
      <c r="CA105" s="70">
        <v>4505.0</v>
      </c>
      <c r="CB105" s="70">
        <v>119503.0</v>
      </c>
      <c r="CC105" s="70">
        <v>235.0</v>
      </c>
      <c r="CD105" s="70">
        <v>334.0</v>
      </c>
      <c r="CE105" s="70">
        <v>10.0</v>
      </c>
      <c r="CF105" s="70">
        <v>80277.0</v>
      </c>
      <c r="CG105" s="70">
        <v>0.0</v>
      </c>
      <c r="CH105" s="70">
        <v>0.0</v>
      </c>
      <c r="CI105" s="70">
        <v>2603.0</v>
      </c>
      <c r="CJ105" s="70">
        <v>403925.0</v>
      </c>
      <c r="CK105" s="70">
        <v>633631.0</v>
      </c>
      <c r="CL105" s="70">
        <v>495851.0</v>
      </c>
      <c r="CM105" s="70">
        <v>326040.0</v>
      </c>
      <c r="CN105" s="70">
        <v>440659.0</v>
      </c>
      <c r="CO105" s="70">
        <v>398937.0</v>
      </c>
      <c r="CP105" s="70">
        <v>825600.0</v>
      </c>
      <c r="CQ105" s="70">
        <v>3095985.0</v>
      </c>
      <c r="CR105" s="70">
        <v>9016.0</v>
      </c>
      <c r="CS105" s="70">
        <v>0.0</v>
      </c>
      <c r="CT105" s="70">
        <v>0.0</v>
      </c>
      <c r="CU105" s="70">
        <v>0.0</v>
      </c>
      <c r="CV105" s="70">
        <v>0.0</v>
      </c>
      <c r="CW105" s="70">
        <v>0.0</v>
      </c>
      <c r="CX105" s="70">
        <v>0.0</v>
      </c>
      <c r="CY105" s="70">
        <v>0.0</v>
      </c>
      <c r="CZ105" s="70">
        <v>0.0</v>
      </c>
      <c r="DA105" s="70">
        <v>0.0</v>
      </c>
      <c r="DB105" s="70">
        <v>0.0</v>
      </c>
      <c r="DC105" s="70">
        <v>0.0</v>
      </c>
      <c r="DD105" s="70">
        <v>0.0</v>
      </c>
      <c r="DE105" s="70">
        <v>0.0</v>
      </c>
      <c r="DF105" s="70">
        <v>0.0</v>
      </c>
      <c r="DG105" s="70">
        <v>2428.0</v>
      </c>
      <c r="DH105" s="70">
        <v>6236.0</v>
      </c>
      <c r="DI105" s="70">
        <v>635.0</v>
      </c>
      <c r="DJ105" s="70">
        <v>48771.0</v>
      </c>
      <c r="DK105" s="70">
        <v>0.0</v>
      </c>
      <c r="DL105" s="70">
        <v>0.0</v>
      </c>
      <c r="DM105" s="70">
        <v>0.0</v>
      </c>
      <c r="DN105" s="70">
        <v>0.0</v>
      </c>
      <c r="DO105" s="70">
        <v>303397.0</v>
      </c>
      <c r="DP105" s="70">
        <v>0.0</v>
      </c>
      <c r="DQ105" s="70">
        <v>74.0</v>
      </c>
      <c r="DR105" s="70">
        <v>172938.0</v>
      </c>
      <c r="DS105" s="70">
        <v>0.0</v>
      </c>
      <c r="DT105" s="70">
        <v>0.0</v>
      </c>
      <c r="DU105" s="70">
        <v>0.0</v>
      </c>
      <c r="DV105" s="70">
        <v>0.0</v>
      </c>
      <c r="DW105" s="70">
        <v>0.0</v>
      </c>
      <c r="DX105" s="70">
        <v>5655.0</v>
      </c>
      <c r="DY105" s="70">
        <v>29.0</v>
      </c>
      <c r="DZ105" s="70">
        <v>0.0</v>
      </c>
      <c r="EA105" s="70">
        <v>0.0</v>
      </c>
      <c r="EB105" s="70">
        <v>191.0</v>
      </c>
      <c r="EC105" s="70">
        <v>1726800.0</v>
      </c>
      <c r="ED105" s="70">
        <v>243412.0</v>
      </c>
      <c r="EE105" s="70">
        <v>49692.0</v>
      </c>
      <c r="EF105" s="70">
        <v>19378.0</v>
      </c>
      <c r="EG105" s="70">
        <v>203143.0</v>
      </c>
      <c r="EH105" s="70">
        <v>2437185.0</v>
      </c>
      <c r="EI105" s="70">
        <v>296672.0</v>
      </c>
      <c r="EJ105" s="70">
        <v>19848.0</v>
      </c>
      <c r="EK105" s="70">
        <v>124355.0</v>
      </c>
      <c r="EL105" s="70">
        <v>85227.0</v>
      </c>
      <c r="EM105" s="70">
        <v>22320.0</v>
      </c>
      <c r="EN105" s="70">
        <v>15139.0</v>
      </c>
      <c r="EO105" s="70">
        <v>3287.0</v>
      </c>
      <c r="EP105" s="70">
        <v>50646.0</v>
      </c>
      <c r="EQ105" s="70">
        <v>1775.0</v>
      </c>
      <c r="ER105" s="70">
        <v>501.0</v>
      </c>
      <c r="ES105" s="70">
        <v>21144.0</v>
      </c>
      <c r="ET105" s="70">
        <v>5179.0</v>
      </c>
      <c r="EU105" s="70">
        <v>6506229.0</v>
      </c>
      <c r="EV105" s="70">
        <v>1283342.0</v>
      </c>
      <c r="EW105" s="70">
        <v>189443.0</v>
      </c>
      <c r="EX105" s="70">
        <v>1022247.0</v>
      </c>
      <c r="EY105" s="70">
        <v>3450437.0</v>
      </c>
      <c r="EZ105" s="70">
        <v>564.0</v>
      </c>
      <c r="FA105" s="70">
        <v>1921666.0</v>
      </c>
      <c r="FB105" s="70">
        <v>181002.0</v>
      </c>
      <c r="FC105" s="70">
        <v>467.0</v>
      </c>
      <c r="FD105" s="70">
        <v>146990.0</v>
      </c>
      <c r="FE105" s="70">
        <v>15160.0</v>
      </c>
      <c r="FF105" s="70">
        <v>882.0</v>
      </c>
      <c r="FG105" s="70">
        <v>141898.0</v>
      </c>
      <c r="FH105" s="70">
        <v>42523.0</v>
      </c>
      <c r="FI105" s="70">
        <v>6960.0</v>
      </c>
      <c r="FJ105" s="70">
        <v>3710.0</v>
      </c>
      <c r="FK105" s="70">
        <v>370.0</v>
      </c>
      <c r="FL105" s="70">
        <v>4397446.0</v>
      </c>
      <c r="FM105" s="70">
        <v>253049.0</v>
      </c>
      <c r="FN105" s="70">
        <v>730333.0</v>
      </c>
      <c r="FO105" s="70">
        <v>483329.0</v>
      </c>
      <c r="FP105" s="70">
        <v>47028.0</v>
      </c>
      <c r="FQ105" s="70">
        <v>488.0</v>
      </c>
      <c r="FR105" s="70">
        <v>20.0</v>
      </c>
      <c r="FS105" s="70">
        <v>4.0</v>
      </c>
      <c r="FT105" s="70">
        <v>333706.0</v>
      </c>
      <c r="FU105" s="70">
        <v>1205301.0</v>
      </c>
      <c r="FV105" s="70">
        <v>1400746.0</v>
      </c>
      <c r="FW105" s="70">
        <v>2175244.0</v>
      </c>
      <c r="FX105" s="70">
        <v>739218.0</v>
      </c>
      <c r="FY105" s="70">
        <v>961734.0</v>
      </c>
      <c r="FZ105" s="70">
        <v>29759.0</v>
      </c>
      <c r="GA105" s="70">
        <v>2434550.0</v>
      </c>
      <c r="GB105" s="70">
        <v>200323.0</v>
      </c>
      <c r="GC105" s="70">
        <v>1203.0</v>
      </c>
      <c r="GD105" s="70">
        <v>15115.0</v>
      </c>
      <c r="GE105" s="70">
        <v>5559.0</v>
      </c>
      <c r="GF105" s="71">
        <v>4.3289512E7</v>
      </c>
      <c r="GG105" s="72">
        <v>1.1762172E7</v>
      </c>
      <c r="GH105" s="73">
        <v>0.0</v>
      </c>
      <c r="GI105" s="72">
        <v>0.0</v>
      </c>
      <c r="GJ105" s="72">
        <v>0.0</v>
      </c>
      <c r="GK105" s="72">
        <v>5254784.0</v>
      </c>
      <c r="GL105" s="72">
        <v>1231635.0</v>
      </c>
      <c r="GM105" s="72">
        <v>0.0</v>
      </c>
      <c r="GN105" s="71">
        <v>1.8248591E7</v>
      </c>
      <c r="GO105" s="74">
        <v>6.1538103E7</v>
      </c>
      <c r="GP105" s="72">
        <v>2734325.0</v>
      </c>
      <c r="GQ105" s="72">
        <v>0.0</v>
      </c>
      <c r="GR105" s="73">
        <v>0.0</v>
      </c>
      <c r="GS105" s="71">
        <v>2734325.0</v>
      </c>
      <c r="GT105" s="75">
        <v>2456944.0</v>
      </c>
      <c r="GU105" s="75">
        <v>7251003.0</v>
      </c>
      <c r="GV105" s="75">
        <v>2005966.0</v>
      </c>
      <c r="GW105" s="71">
        <v>1.1713913E7</v>
      </c>
      <c r="GX105" s="71">
        <v>667325.0</v>
      </c>
      <c r="GY105" s="71">
        <v>4.642254E7</v>
      </c>
      <c r="GZ105" s="74">
        <v>6.1538103E7</v>
      </c>
      <c r="HH105" s="106"/>
    </row>
    <row r="106" ht="15.75" customHeight="1">
      <c r="A106" s="52">
        <v>101.0</v>
      </c>
      <c r="B106" s="111" t="s">
        <v>371</v>
      </c>
      <c r="C106" s="54">
        <v>0.0</v>
      </c>
      <c r="D106" s="54">
        <v>0.0</v>
      </c>
      <c r="E106" s="54">
        <v>0.0</v>
      </c>
      <c r="F106" s="54">
        <v>0.0</v>
      </c>
      <c r="G106" s="54">
        <v>0.0</v>
      </c>
      <c r="H106" s="54">
        <v>0.0</v>
      </c>
      <c r="I106" s="54">
        <v>0.0</v>
      </c>
      <c r="J106" s="54">
        <v>0.0</v>
      </c>
      <c r="K106" s="54">
        <v>0.0</v>
      </c>
      <c r="L106" s="54">
        <v>0.0</v>
      </c>
      <c r="M106" s="54">
        <v>0.0</v>
      </c>
      <c r="N106" s="54">
        <v>0.0</v>
      </c>
      <c r="O106" s="54">
        <v>0.0</v>
      </c>
      <c r="P106" s="54">
        <v>0.0</v>
      </c>
      <c r="Q106" s="54">
        <v>0.0</v>
      </c>
      <c r="R106" s="54">
        <v>0.0</v>
      </c>
      <c r="S106" s="54">
        <v>0.0</v>
      </c>
      <c r="T106" s="54">
        <v>0.0</v>
      </c>
      <c r="U106" s="54">
        <v>0.0</v>
      </c>
      <c r="V106" s="54">
        <v>0.0</v>
      </c>
      <c r="W106" s="54">
        <v>0.0</v>
      </c>
      <c r="X106" s="54">
        <v>0.0</v>
      </c>
      <c r="Y106" s="54">
        <v>0.0</v>
      </c>
      <c r="Z106" s="54">
        <v>0.0</v>
      </c>
      <c r="AA106" s="54">
        <v>0.0</v>
      </c>
      <c r="AB106" s="54">
        <v>0.0</v>
      </c>
      <c r="AC106" s="54">
        <v>0.0</v>
      </c>
      <c r="AD106" s="54">
        <v>0.0</v>
      </c>
      <c r="AE106" s="54">
        <v>0.0</v>
      </c>
      <c r="AF106" s="54">
        <v>0.0</v>
      </c>
      <c r="AG106" s="54">
        <v>0.0</v>
      </c>
      <c r="AH106" s="54">
        <v>0.0</v>
      </c>
      <c r="AI106" s="54">
        <v>0.0</v>
      </c>
      <c r="AJ106" s="54">
        <v>0.0</v>
      </c>
      <c r="AK106" s="54">
        <v>0.0</v>
      </c>
      <c r="AL106" s="54">
        <v>0.0</v>
      </c>
      <c r="AM106" s="54">
        <v>0.0</v>
      </c>
      <c r="AN106" s="54">
        <v>0.0</v>
      </c>
      <c r="AO106" s="54">
        <v>0.0</v>
      </c>
      <c r="AP106" s="54">
        <v>0.0</v>
      </c>
      <c r="AQ106" s="54">
        <v>0.0</v>
      </c>
      <c r="AR106" s="54">
        <v>0.0</v>
      </c>
      <c r="AS106" s="54">
        <v>0.0</v>
      </c>
      <c r="AT106" s="54">
        <v>0.0</v>
      </c>
      <c r="AU106" s="54">
        <v>0.0</v>
      </c>
      <c r="AV106" s="54">
        <v>0.0</v>
      </c>
      <c r="AW106" s="54">
        <v>0.0</v>
      </c>
      <c r="AX106" s="54">
        <v>0.0</v>
      </c>
      <c r="AY106" s="54">
        <v>0.0</v>
      </c>
      <c r="AZ106" s="54">
        <v>0.0</v>
      </c>
      <c r="BA106" s="54">
        <v>0.0</v>
      </c>
      <c r="BB106" s="54">
        <v>0.0</v>
      </c>
      <c r="BC106" s="54">
        <v>0.0</v>
      </c>
      <c r="BD106" s="54">
        <v>0.0</v>
      </c>
      <c r="BE106" s="54">
        <v>0.0</v>
      </c>
      <c r="BF106" s="54">
        <v>0.0</v>
      </c>
      <c r="BG106" s="54">
        <v>0.0</v>
      </c>
      <c r="BH106" s="54">
        <v>0.0</v>
      </c>
      <c r="BI106" s="54">
        <v>0.0</v>
      </c>
      <c r="BJ106" s="54">
        <v>0.0</v>
      </c>
      <c r="BK106" s="54">
        <v>0.0</v>
      </c>
      <c r="BL106" s="54">
        <v>0.0</v>
      </c>
      <c r="BM106" s="54">
        <v>0.0</v>
      </c>
      <c r="BN106" s="54">
        <v>0.0</v>
      </c>
      <c r="BO106" s="54">
        <v>0.0</v>
      </c>
      <c r="BP106" s="54">
        <v>0.0</v>
      </c>
      <c r="BQ106" s="54">
        <v>0.0</v>
      </c>
      <c r="BR106" s="54">
        <v>0.0</v>
      </c>
      <c r="BS106" s="54">
        <v>0.0</v>
      </c>
      <c r="BT106" s="54">
        <v>0.0</v>
      </c>
      <c r="BU106" s="54">
        <v>0.0</v>
      </c>
      <c r="BV106" s="54">
        <v>0.0</v>
      </c>
      <c r="BW106" s="54">
        <v>0.0</v>
      </c>
      <c r="BX106" s="54">
        <v>0.0</v>
      </c>
      <c r="BY106" s="54">
        <v>190.0</v>
      </c>
      <c r="BZ106" s="54">
        <v>0.0</v>
      </c>
      <c r="CA106" s="54">
        <v>0.0</v>
      </c>
      <c r="CB106" s="54">
        <v>0.0</v>
      </c>
      <c r="CC106" s="54">
        <v>337.0</v>
      </c>
      <c r="CD106" s="54">
        <v>106.0</v>
      </c>
      <c r="CE106" s="54">
        <v>0.0</v>
      </c>
      <c r="CF106" s="54">
        <v>2405.0</v>
      </c>
      <c r="CG106" s="54">
        <v>13.0</v>
      </c>
      <c r="CH106" s="54">
        <v>474.0</v>
      </c>
      <c r="CI106" s="54">
        <v>10621.0</v>
      </c>
      <c r="CJ106" s="54">
        <v>740237.0</v>
      </c>
      <c r="CK106" s="54">
        <v>1300522.0</v>
      </c>
      <c r="CL106" s="54">
        <v>705522.0</v>
      </c>
      <c r="CM106" s="54">
        <v>363969.0</v>
      </c>
      <c r="CN106" s="54">
        <v>36334.0</v>
      </c>
      <c r="CO106" s="54">
        <v>53814.0</v>
      </c>
      <c r="CP106" s="54">
        <v>262876.0</v>
      </c>
      <c r="CQ106" s="54">
        <v>557919.0</v>
      </c>
      <c r="CR106" s="54">
        <v>28917.0</v>
      </c>
      <c r="CS106" s="54">
        <v>0.0</v>
      </c>
      <c r="CT106" s="54">
        <v>0.0</v>
      </c>
      <c r="CU106" s="54">
        <v>0.0</v>
      </c>
      <c r="CV106" s="54">
        <v>0.0</v>
      </c>
      <c r="CW106" s="54">
        <v>0.0</v>
      </c>
      <c r="CX106" s="54">
        <v>58228.0</v>
      </c>
      <c r="CY106" s="54">
        <v>1691.0</v>
      </c>
      <c r="CZ106" s="54">
        <v>0.0</v>
      </c>
      <c r="DA106" s="54">
        <v>0.0</v>
      </c>
      <c r="DB106" s="54">
        <v>0.0</v>
      </c>
      <c r="DC106" s="54">
        <v>0.0</v>
      </c>
      <c r="DD106" s="54">
        <v>0.0</v>
      </c>
      <c r="DE106" s="54">
        <v>0.0</v>
      </c>
      <c r="DF106" s="54">
        <v>0.0</v>
      </c>
      <c r="DG106" s="54">
        <v>282.0</v>
      </c>
      <c r="DH106" s="54">
        <v>15558.0</v>
      </c>
      <c r="DI106" s="54">
        <v>2211.0</v>
      </c>
      <c r="DJ106" s="54">
        <v>12701.0</v>
      </c>
      <c r="DK106" s="54">
        <v>0.0</v>
      </c>
      <c r="DL106" s="54">
        <v>164221.0</v>
      </c>
      <c r="DM106" s="54">
        <v>24109.0</v>
      </c>
      <c r="DN106" s="54">
        <v>3558.0</v>
      </c>
      <c r="DO106" s="54">
        <v>56606.0</v>
      </c>
      <c r="DP106" s="54">
        <v>0.0</v>
      </c>
      <c r="DQ106" s="54">
        <v>460.0</v>
      </c>
      <c r="DR106" s="54">
        <v>11469.0</v>
      </c>
      <c r="DS106" s="54">
        <v>540.0</v>
      </c>
      <c r="DT106" s="54">
        <v>971.0</v>
      </c>
      <c r="DU106" s="54">
        <v>0.0</v>
      </c>
      <c r="DV106" s="54">
        <v>0.0</v>
      </c>
      <c r="DW106" s="54">
        <v>29998.0</v>
      </c>
      <c r="DX106" s="54">
        <v>1502.0</v>
      </c>
      <c r="DY106" s="54">
        <v>49.0</v>
      </c>
      <c r="DZ106" s="54">
        <v>203194.0</v>
      </c>
      <c r="EA106" s="54">
        <v>310.0</v>
      </c>
      <c r="EB106" s="54">
        <v>293527.0</v>
      </c>
      <c r="EC106" s="54">
        <v>519065.0</v>
      </c>
      <c r="ED106" s="54">
        <v>455361.0</v>
      </c>
      <c r="EE106" s="54">
        <v>0.0</v>
      </c>
      <c r="EF106" s="54">
        <v>0.0</v>
      </c>
      <c r="EG106" s="54">
        <v>51982.0</v>
      </c>
      <c r="EH106" s="54">
        <v>222332.0</v>
      </c>
      <c r="EI106" s="54">
        <v>2166552.0</v>
      </c>
      <c r="EJ106" s="54">
        <v>542.0</v>
      </c>
      <c r="EK106" s="54">
        <v>166121.0</v>
      </c>
      <c r="EL106" s="54">
        <v>207454.0</v>
      </c>
      <c r="EM106" s="54">
        <v>44521.0</v>
      </c>
      <c r="EN106" s="54">
        <v>11869.0</v>
      </c>
      <c r="EO106" s="54">
        <v>12306.0</v>
      </c>
      <c r="EP106" s="54">
        <v>24648.0</v>
      </c>
      <c r="EQ106" s="54">
        <v>269.0</v>
      </c>
      <c r="ER106" s="54">
        <v>0.0</v>
      </c>
      <c r="ES106" s="54">
        <v>42873.0</v>
      </c>
      <c r="ET106" s="54">
        <v>0.0</v>
      </c>
      <c r="EU106" s="54">
        <v>1271102.0</v>
      </c>
      <c r="EV106" s="54">
        <v>435071.0</v>
      </c>
      <c r="EW106" s="54">
        <v>3123.0</v>
      </c>
      <c r="EX106" s="54">
        <v>182227.0</v>
      </c>
      <c r="EY106" s="54">
        <v>26123.0</v>
      </c>
      <c r="EZ106" s="54">
        <v>0.0</v>
      </c>
      <c r="FA106" s="54">
        <v>874666.0</v>
      </c>
      <c r="FB106" s="54">
        <v>0.0</v>
      </c>
      <c r="FC106" s="54">
        <v>0.0</v>
      </c>
      <c r="FD106" s="54">
        <v>0.0</v>
      </c>
      <c r="FE106" s="54">
        <v>0.0</v>
      </c>
      <c r="FF106" s="54">
        <v>0.0</v>
      </c>
      <c r="FG106" s="54">
        <v>0.0</v>
      </c>
      <c r="FH106" s="54">
        <v>0.0</v>
      </c>
      <c r="FI106" s="54">
        <v>0.0</v>
      </c>
      <c r="FJ106" s="54">
        <v>0.0</v>
      </c>
      <c r="FK106" s="54">
        <v>0.0</v>
      </c>
      <c r="FL106" s="54">
        <v>0.0</v>
      </c>
      <c r="FM106" s="54">
        <v>0.0</v>
      </c>
      <c r="FN106" s="54">
        <v>0.0</v>
      </c>
      <c r="FO106" s="54">
        <v>0.0</v>
      </c>
      <c r="FP106" s="54">
        <v>0.0</v>
      </c>
      <c r="FQ106" s="54">
        <v>0.0</v>
      </c>
      <c r="FR106" s="54">
        <v>0.0</v>
      </c>
      <c r="FS106" s="54">
        <v>0.0</v>
      </c>
      <c r="FT106" s="54">
        <v>1204.0</v>
      </c>
      <c r="FU106" s="54">
        <v>38465.0</v>
      </c>
      <c r="FV106" s="54">
        <v>5795.0</v>
      </c>
      <c r="FW106" s="54">
        <v>7834.0</v>
      </c>
      <c r="FX106" s="54">
        <v>227.0</v>
      </c>
      <c r="FY106" s="54">
        <v>806.0</v>
      </c>
      <c r="FZ106" s="54">
        <v>58.0</v>
      </c>
      <c r="GA106" s="54">
        <v>22819.0</v>
      </c>
      <c r="GB106" s="54">
        <v>0.0</v>
      </c>
      <c r="GC106" s="54">
        <v>0.0</v>
      </c>
      <c r="GD106" s="54">
        <v>0.0</v>
      </c>
      <c r="GE106" s="54">
        <v>0.0</v>
      </c>
      <c r="GF106" s="55">
        <v>1.1740856E7</v>
      </c>
      <c r="GG106" s="56">
        <v>663400.0</v>
      </c>
      <c r="GH106" s="57">
        <v>0.0</v>
      </c>
      <c r="GI106" s="56">
        <v>0.0</v>
      </c>
      <c r="GJ106" s="56">
        <v>0.0</v>
      </c>
      <c r="GK106" s="56">
        <v>-217164.0</v>
      </c>
      <c r="GL106" s="56">
        <v>1512876.0</v>
      </c>
      <c r="GM106" s="56">
        <v>0.0</v>
      </c>
      <c r="GN106" s="55">
        <v>1959112.0</v>
      </c>
      <c r="GO106" s="58">
        <v>1.3699968E7</v>
      </c>
      <c r="GP106" s="56">
        <v>5946732.0</v>
      </c>
      <c r="GQ106" s="56">
        <v>0.0</v>
      </c>
      <c r="GR106" s="57">
        <v>0.0</v>
      </c>
      <c r="GS106" s="55">
        <v>5946732.0</v>
      </c>
      <c r="GT106" s="59">
        <v>1732735.0</v>
      </c>
      <c r="GU106" s="59">
        <v>1048039.0</v>
      </c>
      <c r="GV106" s="59">
        <v>1173229.0</v>
      </c>
      <c r="GW106" s="55">
        <v>3954003.0</v>
      </c>
      <c r="GX106" s="55">
        <v>594065.0</v>
      </c>
      <c r="GY106" s="55">
        <v>3205168.0</v>
      </c>
      <c r="GZ106" s="58">
        <v>1.3699968E7</v>
      </c>
      <c r="HH106" s="106"/>
    </row>
    <row r="107" ht="15.75" customHeight="1">
      <c r="A107" s="60">
        <v>102.0</v>
      </c>
      <c r="B107" s="111" t="s">
        <v>599</v>
      </c>
      <c r="C107" s="62">
        <v>46.0</v>
      </c>
      <c r="D107" s="62">
        <v>682.0</v>
      </c>
      <c r="E107" s="62">
        <v>145.0</v>
      </c>
      <c r="F107" s="62">
        <v>371.0</v>
      </c>
      <c r="G107" s="62">
        <v>74.0</v>
      </c>
      <c r="H107" s="62">
        <v>79.0</v>
      </c>
      <c r="I107" s="62">
        <v>90.0</v>
      </c>
      <c r="J107" s="62">
        <v>151.0</v>
      </c>
      <c r="K107" s="62">
        <v>15.0</v>
      </c>
      <c r="L107" s="62">
        <v>6321.0</v>
      </c>
      <c r="M107" s="62">
        <v>1425.0</v>
      </c>
      <c r="N107" s="62">
        <v>124.0</v>
      </c>
      <c r="O107" s="62">
        <v>3165.0</v>
      </c>
      <c r="P107" s="62">
        <v>21.0</v>
      </c>
      <c r="Q107" s="62">
        <v>1249.0</v>
      </c>
      <c r="R107" s="62">
        <v>9726.0</v>
      </c>
      <c r="S107" s="62">
        <v>234.0</v>
      </c>
      <c r="T107" s="62">
        <v>1488.0</v>
      </c>
      <c r="U107" s="62">
        <v>1288.0</v>
      </c>
      <c r="V107" s="62">
        <v>1378.0</v>
      </c>
      <c r="W107" s="62">
        <v>479.0</v>
      </c>
      <c r="X107" s="62">
        <v>1097.0</v>
      </c>
      <c r="Y107" s="62">
        <v>2297.0</v>
      </c>
      <c r="Z107" s="62">
        <v>883.0</v>
      </c>
      <c r="AA107" s="62">
        <v>144.0</v>
      </c>
      <c r="AB107" s="62">
        <v>387.0</v>
      </c>
      <c r="AC107" s="62">
        <v>672.0</v>
      </c>
      <c r="AD107" s="62">
        <v>2331.0</v>
      </c>
      <c r="AE107" s="62">
        <v>1730.0</v>
      </c>
      <c r="AF107" s="62">
        <v>163955.0</v>
      </c>
      <c r="AG107" s="62">
        <v>624.0</v>
      </c>
      <c r="AH107" s="62">
        <v>172.0</v>
      </c>
      <c r="AI107" s="62">
        <v>634991.0</v>
      </c>
      <c r="AJ107" s="62">
        <v>22579.0</v>
      </c>
      <c r="AK107" s="62">
        <v>1271.0</v>
      </c>
      <c r="AL107" s="62">
        <v>65.0</v>
      </c>
      <c r="AM107" s="62">
        <v>32822.0</v>
      </c>
      <c r="AN107" s="62">
        <v>11243.0</v>
      </c>
      <c r="AO107" s="62">
        <v>24362.0</v>
      </c>
      <c r="AP107" s="62">
        <v>1245.0</v>
      </c>
      <c r="AQ107" s="62">
        <v>10243.0</v>
      </c>
      <c r="AR107" s="62">
        <v>22.0</v>
      </c>
      <c r="AS107" s="62">
        <v>208394.0</v>
      </c>
      <c r="AT107" s="62">
        <v>934.0</v>
      </c>
      <c r="AU107" s="62">
        <v>31331.0</v>
      </c>
      <c r="AV107" s="62">
        <v>96734.0</v>
      </c>
      <c r="AW107" s="62">
        <v>1444.0</v>
      </c>
      <c r="AX107" s="62">
        <v>411106.0</v>
      </c>
      <c r="AY107" s="62">
        <v>526.0</v>
      </c>
      <c r="AZ107" s="62">
        <v>570.0</v>
      </c>
      <c r="BA107" s="62">
        <v>1524.0</v>
      </c>
      <c r="BB107" s="62">
        <v>40729.0</v>
      </c>
      <c r="BC107" s="62">
        <v>4495.0</v>
      </c>
      <c r="BD107" s="62">
        <v>2089.0</v>
      </c>
      <c r="BE107" s="62">
        <v>15526.0</v>
      </c>
      <c r="BF107" s="62">
        <v>305.0</v>
      </c>
      <c r="BG107" s="62">
        <v>3441.0</v>
      </c>
      <c r="BH107" s="62">
        <v>38137.0</v>
      </c>
      <c r="BI107" s="62">
        <v>7182.0</v>
      </c>
      <c r="BJ107" s="62">
        <v>4650.0</v>
      </c>
      <c r="BK107" s="62">
        <v>5090.0</v>
      </c>
      <c r="BL107" s="62">
        <v>748.0</v>
      </c>
      <c r="BM107" s="62">
        <v>21.0</v>
      </c>
      <c r="BN107" s="62">
        <v>389.0</v>
      </c>
      <c r="BO107" s="62">
        <v>1310.0</v>
      </c>
      <c r="BP107" s="62">
        <v>224.0</v>
      </c>
      <c r="BQ107" s="62">
        <v>248.0</v>
      </c>
      <c r="BR107" s="62">
        <v>183.0</v>
      </c>
      <c r="BS107" s="62">
        <v>292.0</v>
      </c>
      <c r="BT107" s="62">
        <v>45052.0</v>
      </c>
      <c r="BU107" s="62">
        <v>3944.0</v>
      </c>
      <c r="BV107" s="62">
        <v>15374.0</v>
      </c>
      <c r="BW107" s="62">
        <v>11.0</v>
      </c>
      <c r="BX107" s="62">
        <v>580.0</v>
      </c>
      <c r="BY107" s="62">
        <v>639.0</v>
      </c>
      <c r="BZ107" s="62">
        <v>47.0</v>
      </c>
      <c r="CA107" s="62">
        <v>87619.0</v>
      </c>
      <c r="CB107" s="62">
        <v>561.0</v>
      </c>
      <c r="CC107" s="62">
        <v>3981.0</v>
      </c>
      <c r="CD107" s="62">
        <v>1082.0</v>
      </c>
      <c r="CE107" s="62">
        <v>142.0</v>
      </c>
      <c r="CF107" s="62">
        <v>104355.0</v>
      </c>
      <c r="CG107" s="62">
        <v>44.0</v>
      </c>
      <c r="CH107" s="62">
        <v>541.0</v>
      </c>
      <c r="CI107" s="62">
        <v>1390.0</v>
      </c>
      <c r="CJ107" s="62">
        <v>116108.0</v>
      </c>
      <c r="CK107" s="62">
        <v>178579.0</v>
      </c>
      <c r="CL107" s="62">
        <v>76004.0</v>
      </c>
      <c r="CM107" s="62">
        <v>34750.0</v>
      </c>
      <c r="CN107" s="62">
        <v>45624.0</v>
      </c>
      <c r="CO107" s="62">
        <v>16559.0</v>
      </c>
      <c r="CP107" s="62">
        <v>32602.0</v>
      </c>
      <c r="CQ107" s="62">
        <v>6194.0</v>
      </c>
      <c r="CR107" s="62">
        <v>739.0</v>
      </c>
      <c r="CS107" s="62">
        <v>1627.0</v>
      </c>
      <c r="CT107" s="62">
        <v>13098.0</v>
      </c>
      <c r="CU107" s="62">
        <v>69246.0</v>
      </c>
      <c r="CV107" s="62">
        <v>142433.0</v>
      </c>
      <c r="CW107" s="62">
        <v>29955.0</v>
      </c>
      <c r="CX107" s="62">
        <v>1788.0</v>
      </c>
      <c r="CY107" s="62">
        <v>614.0</v>
      </c>
      <c r="CZ107" s="62">
        <v>3669.0</v>
      </c>
      <c r="DA107" s="62">
        <v>27830.0</v>
      </c>
      <c r="DB107" s="62">
        <v>4087.0</v>
      </c>
      <c r="DC107" s="62">
        <v>468174.0</v>
      </c>
      <c r="DD107" s="62">
        <v>50017.0</v>
      </c>
      <c r="DE107" s="62">
        <v>581.0</v>
      </c>
      <c r="DF107" s="62">
        <v>3070.0</v>
      </c>
      <c r="DG107" s="62">
        <v>499.0</v>
      </c>
      <c r="DH107" s="62">
        <v>6080.0</v>
      </c>
      <c r="DI107" s="62">
        <v>347592.0</v>
      </c>
      <c r="DJ107" s="62">
        <v>7435.0</v>
      </c>
      <c r="DK107" s="62">
        <v>54418.0</v>
      </c>
      <c r="DL107" s="62">
        <v>7810.0</v>
      </c>
      <c r="DM107" s="62">
        <v>53.0</v>
      </c>
      <c r="DN107" s="62">
        <v>1687.0</v>
      </c>
      <c r="DO107" s="62">
        <v>169.0</v>
      </c>
      <c r="DP107" s="62">
        <v>3844.0</v>
      </c>
      <c r="DQ107" s="62">
        <v>121.0</v>
      </c>
      <c r="DR107" s="62">
        <v>1376.0</v>
      </c>
      <c r="DS107" s="62">
        <v>1339.0</v>
      </c>
      <c r="DT107" s="62">
        <v>6616.0</v>
      </c>
      <c r="DU107" s="62">
        <v>136.0</v>
      </c>
      <c r="DV107" s="62">
        <v>2681.0</v>
      </c>
      <c r="DW107" s="62">
        <v>394.0</v>
      </c>
      <c r="DX107" s="62">
        <v>725.0</v>
      </c>
      <c r="DY107" s="62">
        <v>1148.0</v>
      </c>
      <c r="DZ107" s="62">
        <v>28166.0</v>
      </c>
      <c r="EA107" s="62">
        <v>442.0</v>
      </c>
      <c r="EB107" s="62">
        <v>326.0</v>
      </c>
      <c r="EC107" s="62">
        <v>72855.0</v>
      </c>
      <c r="ED107" s="62">
        <v>171.0</v>
      </c>
      <c r="EE107" s="62">
        <v>1005.0</v>
      </c>
      <c r="EF107" s="62">
        <v>338.0</v>
      </c>
      <c r="EG107" s="62">
        <v>993.0</v>
      </c>
      <c r="EH107" s="62">
        <v>3775.0</v>
      </c>
      <c r="EI107" s="62">
        <v>3276.0</v>
      </c>
      <c r="EJ107" s="62">
        <v>497.0</v>
      </c>
      <c r="EK107" s="62">
        <v>13043.0</v>
      </c>
      <c r="EL107" s="62">
        <v>5522.0</v>
      </c>
      <c r="EM107" s="62">
        <v>28928.0</v>
      </c>
      <c r="EN107" s="62">
        <v>11054.0</v>
      </c>
      <c r="EO107" s="62">
        <v>1364.0</v>
      </c>
      <c r="EP107" s="62">
        <v>2855.0</v>
      </c>
      <c r="EQ107" s="62">
        <v>8392.0</v>
      </c>
      <c r="ER107" s="62">
        <v>190.0</v>
      </c>
      <c r="ES107" s="62">
        <v>11368.0</v>
      </c>
      <c r="ET107" s="62">
        <v>146826.0</v>
      </c>
      <c r="EU107" s="62">
        <v>64485.0</v>
      </c>
      <c r="EV107" s="62">
        <v>1993.0</v>
      </c>
      <c r="EW107" s="62">
        <v>15752.0</v>
      </c>
      <c r="EX107" s="62">
        <v>4874.0</v>
      </c>
      <c r="EY107" s="62">
        <v>54158.0</v>
      </c>
      <c r="EZ107" s="62">
        <v>219217.0</v>
      </c>
      <c r="FA107" s="62">
        <v>972504.0</v>
      </c>
      <c r="FB107" s="62">
        <v>1846222.0</v>
      </c>
      <c r="FC107" s="62">
        <v>95363.0</v>
      </c>
      <c r="FD107" s="62">
        <v>1006373.0</v>
      </c>
      <c r="FE107" s="62">
        <v>339885.0</v>
      </c>
      <c r="FF107" s="62">
        <v>48360.0</v>
      </c>
      <c r="FG107" s="62">
        <v>444906.0</v>
      </c>
      <c r="FH107" s="62">
        <v>584408.0</v>
      </c>
      <c r="FI107" s="62">
        <v>44340.0</v>
      </c>
      <c r="FJ107" s="62">
        <v>120491.0</v>
      </c>
      <c r="FK107" s="62">
        <v>85358.0</v>
      </c>
      <c r="FL107" s="62">
        <v>33191.0</v>
      </c>
      <c r="FM107" s="62">
        <v>13369.0</v>
      </c>
      <c r="FN107" s="62">
        <v>3154.0</v>
      </c>
      <c r="FO107" s="62">
        <v>2408.0</v>
      </c>
      <c r="FP107" s="62">
        <v>8862.0</v>
      </c>
      <c r="FQ107" s="62">
        <v>124.0</v>
      </c>
      <c r="FR107" s="62">
        <v>4.0</v>
      </c>
      <c r="FS107" s="62">
        <v>485.0</v>
      </c>
      <c r="FT107" s="62">
        <v>248867.0</v>
      </c>
      <c r="FU107" s="62">
        <v>579100.0</v>
      </c>
      <c r="FV107" s="62">
        <v>264527.0</v>
      </c>
      <c r="FW107" s="62">
        <v>2631246.0</v>
      </c>
      <c r="FX107" s="62">
        <v>2122728.0</v>
      </c>
      <c r="FY107" s="62">
        <v>1044721.0</v>
      </c>
      <c r="FZ107" s="62">
        <v>550.0</v>
      </c>
      <c r="GA107" s="62">
        <v>182670.0</v>
      </c>
      <c r="GB107" s="62">
        <v>1002922.0</v>
      </c>
      <c r="GC107" s="62">
        <v>45248.0</v>
      </c>
      <c r="GD107" s="62">
        <v>7541.0</v>
      </c>
      <c r="GE107" s="62">
        <v>2433849.0</v>
      </c>
      <c r="GF107" s="63">
        <v>2.0767782E7</v>
      </c>
      <c r="GG107" s="64">
        <v>9.8974992E7</v>
      </c>
      <c r="GH107" s="65">
        <v>0.0</v>
      </c>
      <c r="GI107" s="64">
        <v>0.0</v>
      </c>
      <c r="GJ107" s="64">
        <v>0.0</v>
      </c>
      <c r="GK107" s="64">
        <v>411821.0</v>
      </c>
      <c r="GL107" s="64">
        <v>1.3978518E7</v>
      </c>
      <c r="GM107" s="64">
        <v>172624.0</v>
      </c>
      <c r="GN107" s="63">
        <v>1.13537955E8</v>
      </c>
      <c r="GO107" s="66">
        <v>1.34305737E8</v>
      </c>
      <c r="GP107" s="64">
        <v>3337827.0</v>
      </c>
      <c r="GQ107" s="64">
        <v>121812.0</v>
      </c>
      <c r="GR107" s="65">
        <v>0.0</v>
      </c>
      <c r="GS107" s="63">
        <v>3459639.0</v>
      </c>
      <c r="GT107" s="67">
        <v>1.7839684E7</v>
      </c>
      <c r="GU107" s="67">
        <v>1.8223287E7</v>
      </c>
      <c r="GV107" s="67">
        <v>8319049.0</v>
      </c>
      <c r="GW107" s="63">
        <v>4.438202E7</v>
      </c>
      <c r="GX107" s="63">
        <v>4393170.0</v>
      </c>
      <c r="GY107" s="63">
        <v>8.2070908E7</v>
      </c>
      <c r="GZ107" s="66">
        <v>1.34305737E8</v>
      </c>
      <c r="HH107" s="106"/>
    </row>
    <row r="108" ht="15.75" customHeight="1">
      <c r="A108" s="60">
        <v>103.0</v>
      </c>
      <c r="B108" s="111" t="s">
        <v>373</v>
      </c>
      <c r="C108" s="62">
        <v>0.0</v>
      </c>
      <c r="D108" s="62">
        <v>0.0</v>
      </c>
      <c r="E108" s="62">
        <v>0.0</v>
      </c>
      <c r="F108" s="62">
        <v>0.0</v>
      </c>
      <c r="G108" s="62">
        <v>0.0</v>
      </c>
      <c r="H108" s="62">
        <v>0.0</v>
      </c>
      <c r="I108" s="62">
        <v>0.0</v>
      </c>
      <c r="J108" s="62">
        <v>0.0</v>
      </c>
      <c r="K108" s="62">
        <v>0.0</v>
      </c>
      <c r="L108" s="62">
        <v>0.0</v>
      </c>
      <c r="M108" s="62">
        <v>0.0</v>
      </c>
      <c r="N108" s="62">
        <v>0.0</v>
      </c>
      <c r="O108" s="62">
        <v>0.0</v>
      </c>
      <c r="P108" s="62">
        <v>0.0</v>
      </c>
      <c r="Q108" s="62">
        <v>0.0</v>
      </c>
      <c r="R108" s="62">
        <v>0.0</v>
      </c>
      <c r="S108" s="62">
        <v>0.0</v>
      </c>
      <c r="T108" s="62">
        <v>0.0</v>
      </c>
      <c r="U108" s="62">
        <v>0.0</v>
      </c>
      <c r="V108" s="62">
        <v>0.0</v>
      </c>
      <c r="W108" s="62">
        <v>0.0</v>
      </c>
      <c r="X108" s="62">
        <v>0.0</v>
      </c>
      <c r="Y108" s="62">
        <v>0.0</v>
      </c>
      <c r="Z108" s="62">
        <v>0.0</v>
      </c>
      <c r="AA108" s="62">
        <v>0.0</v>
      </c>
      <c r="AB108" s="62">
        <v>0.0</v>
      </c>
      <c r="AC108" s="62">
        <v>0.0</v>
      </c>
      <c r="AD108" s="62">
        <v>0.0</v>
      </c>
      <c r="AE108" s="62">
        <v>0.0</v>
      </c>
      <c r="AF108" s="62">
        <v>0.0</v>
      </c>
      <c r="AG108" s="62">
        <v>0.0</v>
      </c>
      <c r="AH108" s="62">
        <v>0.0</v>
      </c>
      <c r="AI108" s="62">
        <v>0.0</v>
      </c>
      <c r="AJ108" s="62">
        <v>0.0</v>
      </c>
      <c r="AK108" s="62">
        <v>0.0</v>
      </c>
      <c r="AL108" s="62">
        <v>0.0</v>
      </c>
      <c r="AM108" s="62">
        <v>0.0</v>
      </c>
      <c r="AN108" s="62">
        <v>0.0</v>
      </c>
      <c r="AO108" s="62">
        <v>0.0</v>
      </c>
      <c r="AP108" s="62">
        <v>0.0</v>
      </c>
      <c r="AQ108" s="62">
        <v>0.0</v>
      </c>
      <c r="AR108" s="62">
        <v>0.0</v>
      </c>
      <c r="AS108" s="62">
        <v>0.0</v>
      </c>
      <c r="AT108" s="62">
        <v>0.0</v>
      </c>
      <c r="AU108" s="62">
        <v>0.0</v>
      </c>
      <c r="AV108" s="62">
        <v>0.0</v>
      </c>
      <c r="AW108" s="62">
        <v>0.0</v>
      </c>
      <c r="AX108" s="62">
        <v>0.0</v>
      </c>
      <c r="AY108" s="62">
        <v>0.0</v>
      </c>
      <c r="AZ108" s="62">
        <v>0.0</v>
      </c>
      <c r="BA108" s="62">
        <v>0.0</v>
      </c>
      <c r="BB108" s="62">
        <v>0.0</v>
      </c>
      <c r="BC108" s="62">
        <v>0.0</v>
      </c>
      <c r="BD108" s="62">
        <v>0.0</v>
      </c>
      <c r="BE108" s="62">
        <v>0.0</v>
      </c>
      <c r="BF108" s="62">
        <v>0.0</v>
      </c>
      <c r="BG108" s="62">
        <v>0.0</v>
      </c>
      <c r="BH108" s="62">
        <v>0.0</v>
      </c>
      <c r="BI108" s="62">
        <v>0.0</v>
      </c>
      <c r="BJ108" s="62">
        <v>21097.0</v>
      </c>
      <c r="BK108" s="62">
        <v>0.0</v>
      </c>
      <c r="BL108" s="62">
        <v>0.0</v>
      </c>
      <c r="BM108" s="62">
        <v>0.0</v>
      </c>
      <c r="BN108" s="62">
        <v>0.0</v>
      </c>
      <c r="BO108" s="62">
        <v>0.0</v>
      </c>
      <c r="BP108" s="62">
        <v>0.0</v>
      </c>
      <c r="BQ108" s="62">
        <v>11931.0</v>
      </c>
      <c r="BR108" s="62">
        <v>223.0</v>
      </c>
      <c r="BS108" s="62">
        <v>9028.0</v>
      </c>
      <c r="BT108" s="62">
        <v>0.0</v>
      </c>
      <c r="BU108" s="62">
        <v>624.0</v>
      </c>
      <c r="BV108" s="62">
        <v>0.0</v>
      </c>
      <c r="BW108" s="62">
        <v>0.0</v>
      </c>
      <c r="BX108" s="62">
        <v>0.0</v>
      </c>
      <c r="BY108" s="62">
        <v>0.0</v>
      </c>
      <c r="BZ108" s="62">
        <v>0.0</v>
      </c>
      <c r="CA108" s="62">
        <v>0.0</v>
      </c>
      <c r="CB108" s="62">
        <v>0.0</v>
      </c>
      <c r="CC108" s="62">
        <v>0.0</v>
      </c>
      <c r="CD108" s="62">
        <v>0.0</v>
      </c>
      <c r="CE108" s="62">
        <v>0.0</v>
      </c>
      <c r="CF108" s="62">
        <v>0.0</v>
      </c>
      <c r="CG108" s="62">
        <v>0.0</v>
      </c>
      <c r="CH108" s="62">
        <v>0.0</v>
      </c>
      <c r="CI108" s="62">
        <v>0.0</v>
      </c>
      <c r="CJ108" s="62">
        <v>0.0</v>
      </c>
      <c r="CK108" s="62">
        <v>0.0</v>
      </c>
      <c r="CL108" s="62">
        <v>0.0</v>
      </c>
      <c r="CM108" s="62">
        <v>0.0</v>
      </c>
      <c r="CN108" s="62">
        <v>0.0</v>
      </c>
      <c r="CO108" s="62">
        <v>0.0</v>
      </c>
      <c r="CP108" s="62">
        <v>0.0</v>
      </c>
      <c r="CQ108" s="62">
        <v>0.0</v>
      </c>
      <c r="CR108" s="62">
        <v>0.0</v>
      </c>
      <c r="CS108" s="62">
        <v>0.0</v>
      </c>
      <c r="CT108" s="62">
        <v>0.0</v>
      </c>
      <c r="CU108" s="62">
        <v>0.0</v>
      </c>
      <c r="CV108" s="62">
        <v>0.0</v>
      </c>
      <c r="CW108" s="62">
        <v>0.0</v>
      </c>
      <c r="CX108" s="62">
        <v>0.0</v>
      </c>
      <c r="CY108" s="62">
        <v>0.0</v>
      </c>
      <c r="CZ108" s="62">
        <v>0.0</v>
      </c>
      <c r="DA108" s="62">
        <v>331138.0</v>
      </c>
      <c r="DB108" s="62">
        <v>0.0</v>
      </c>
      <c r="DC108" s="62">
        <v>1283.0</v>
      </c>
      <c r="DD108" s="62">
        <v>6065.0</v>
      </c>
      <c r="DE108" s="62">
        <v>0.0</v>
      </c>
      <c r="DF108" s="62">
        <v>0.0</v>
      </c>
      <c r="DG108" s="62">
        <v>0.0</v>
      </c>
      <c r="DH108" s="62">
        <v>0.0</v>
      </c>
      <c r="DI108" s="62">
        <v>0.0</v>
      </c>
      <c r="DJ108" s="62">
        <v>0.0</v>
      </c>
      <c r="DK108" s="62">
        <v>0.0</v>
      </c>
      <c r="DL108" s="62">
        <v>0.0</v>
      </c>
      <c r="DM108" s="62">
        <v>0.0</v>
      </c>
      <c r="DN108" s="62">
        <v>0.0</v>
      </c>
      <c r="DO108" s="62">
        <v>0.0</v>
      </c>
      <c r="DP108" s="62">
        <v>0.0</v>
      </c>
      <c r="DQ108" s="62">
        <v>0.0</v>
      </c>
      <c r="DR108" s="62">
        <v>0.0</v>
      </c>
      <c r="DS108" s="62">
        <v>0.0</v>
      </c>
      <c r="DT108" s="62">
        <v>0.0</v>
      </c>
      <c r="DU108" s="62">
        <v>0.0</v>
      </c>
      <c r="DV108" s="62">
        <v>0.0</v>
      </c>
      <c r="DW108" s="62">
        <v>0.0</v>
      </c>
      <c r="DX108" s="62">
        <v>0.0</v>
      </c>
      <c r="DY108" s="62">
        <v>0.0</v>
      </c>
      <c r="DZ108" s="62">
        <v>0.0</v>
      </c>
      <c r="EA108" s="62">
        <v>0.0</v>
      </c>
      <c r="EB108" s="62">
        <v>0.0</v>
      </c>
      <c r="EC108" s="62">
        <v>0.0</v>
      </c>
      <c r="ED108" s="62">
        <v>0.0</v>
      </c>
      <c r="EE108" s="62">
        <v>0.0</v>
      </c>
      <c r="EF108" s="62">
        <v>0.0</v>
      </c>
      <c r="EG108" s="62">
        <v>0.0</v>
      </c>
      <c r="EH108" s="62">
        <v>0.0</v>
      </c>
      <c r="EI108" s="62">
        <v>99.0</v>
      </c>
      <c r="EJ108" s="62">
        <v>1541.0</v>
      </c>
      <c r="EK108" s="62">
        <v>322.0</v>
      </c>
      <c r="EL108" s="62">
        <v>38094.0</v>
      </c>
      <c r="EM108" s="62">
        <v>194505.0</v>
      </c>
      <c r="EN108" s="62">
        <v>365.0</v>
      </c>
      <c r="EO108" s="62">
        <v>2999.0</v>
      </c>
      <c r="EP108" s="62">
        <v>1081.0</v>
      </c>
      <c r="EQ108" s="62">
        <v>0.0</v>
      </c>
      <c r="ER108" s="62">
        <v>0.0</v>
      </c>
      <c r="ES108" s="62">
        <v>12812.0</v>
      </c>
      <c r="ET108" s="62">
        <v>0.0</v>
      </c>
      <c r="EU108" s="62">
        <v>0.0</v>
      </c>
      <c r="EV108" s="62">
        <v>0.0</v>
      </c>
      <c r="EW108" s="62">
        <v>0.0</v>
      </c>
      <c r="EX108" s="62">
        <v>0.0</v>
      </c>
      <c r="EY108" s="62">
        <v>0.0</v>
      </c>
      <c r="EZ108" s="62">
        <v>1268627.0</v>
      </c>
      <c r="FA108" s="62">
        <v>1626503.0</v>
      </c>
      <c r="FB108" s="62">
        <v>713268.0</v>
      </c>
      <c r="FC108" s="62">
        <v>404.0</v>
      </c>
      <c r="FD108" s="62">
        <v>10938.0</v>
      </c>
      <c r="FE108" s="62">
        <v>444.0</v>
      </c>
      <c r="FF108" s="62">
        <v>268.0</v>
      </c>
      <c r="FG108" s="62">
        <v>614.0</v>
      </c>
      <c r="FH108" s="62">
        <v>399551.0</v>
      </c>
      <c r="FI108" s="62">
        <v>2066.0</v>
      </c>
      <c r="FJ108" s="62">
        <v>189141.0</v>
      </c>
      <c r="FK108" s="62">
        <v>166214.0</v>
      </c>
      <c r="FL108" s="62">
        <v>79446.0</v>
      </c>
      <c r="FM108" s="62">
        <v>103931.0</v>
      </c>
      <c r="FN108" s="62">
        <v>0.0</v>
      </c>
      <c r="FO108" s="62">
        <v>0.0</v>
      </c>
      <c r="FP108" s="62">
        <v>37714.0</v>
      </c>
      <c r="FQ108" s="62">
        <v>268.0</v>
      </c>
      <c r="FR108" s="62">
        <v>3.0</v>
      </c>
      <c r="FS108" s="62">
        <v>0.0</v>
      </c>
      <c r="FT108" s="62">
        <v>78665.0</v>
      </c>
      <c r="FU108" s="62">
        <v>947301.0</v>
      </c>
      <c r="FV108" s="62">
        <v>91724.0</v>
      </c>
      <c r="FW108" s="62">
        <v>266671.0</v>
      </c>
      <c r="FX108" s="62">
        <v>92625.0</v>
      </c>
      <c r="FY108" s="62">
        <v>42193.0</v>
      </c>
      <c r="FZ108" s="62">
        <v>13.0</v>
      </c>
      <c r="GA108" s="62">
        <v>534594.0</v>
      </c>
      <c r="GB108" s="62">
        <v>23979.0</v>
      </c>
      <c r="GC108" s="62">
        <v>645346.0</v>
      </c>
      <c r="GD108" s="62">
        <v>2450.0</v>
      </c>
      <c r="GE108" s="62">
        <v>5926822.0</v>
      </c>
      <c r="GF108" s="63">
        <v>1.388499E7</v>
      </c>
      <c r="GG108" s="64">
        <v>9.4729714E7</v>
      </c>
      <c r="GH108" s="65">
        <v>0.0</v>
      </c>
      <c r="GI108" s="64">
        <v>0.0</v>
      </c>
      <c r="GJ108" s="64">
        <v>0.0</v>
      </c>
      <c r="GK108" s="64">
        <v>1736511.0</v>
      </c>
      <c r="GL108" s="64">
        <v>5514571.0</v>
      </c>
      <c r="GM108" s="64">
        <v>196628.0</v>
      </c>
      <c r="GN108" s="63">
        <v>1.02177424E8</v>
      </c>
      <c r="GO108" s="66">
        <v>1.16062414E8</v>
      </c>
      <c r="GP108" s="64">
        <v>7994900.0</v>
      </c>
      <c r="GQ108" s="64">
        <v>141277.0</v>
      </c>
      <c r="GR108" s="65">
        <v>0.0</v>
      </c>
      <c r="GS108" s="63">
        <v>8136177.0</v>
      </c>
      <c r="GT108" s="67">
        <v>9665106.0</v>
      </c>
      <c r="GU108" s="67">
        <v>1.6212155E7</v>
      </c>
      <c r="GV108" s="67">
        <v>8205998.0</v>
      </c>
      <c r="GW108" s="63">
        <v>3.4083259E7</v>
      </c>
      <c r="GX108" s="63">
        <v>4864358.0</v>
      </c>
      <c r="GY108" s="63">
        <v>6.897862E7</v>
      </c>
      <c r="GZ108" s="66">
        <v>1.16062414E8</v>
      </c>
      <c r="HH108" s="106"/>
    </row>
    <row r="109" ht="15.75" customHeight="1">
      <c r="A109" s="60">
        <v>104.0</v>
      </c>
      <c r="B109" s="111" t="s">
        <v>374</v>
      </c>
      <c r="C109" s="62">
        <v>29534.0</v>
      </c>
      <c r="D109" s="62">
        <v>10976.0</v>
      </c>
      <c r="E109" s="62">
        <v>788.0</v>
      </c>
      <c r="F109" s="62">
        <v>2199.0</v>
      </c>
      <c r="G109" s="62">
        <v>193.0</v>
      </c>
      <c r="H109" s="62">
        <v>359.0</v>
      </c>
      <c r="I109" s="62">
        <v>263.0</v>
      </c>
      <c r="J109" s="62">
        <v>496.0</v>
      </c>
      <c r="K109" s="62">
        <v>9.0</v>
      </c>
      <c r="L109" s="62">
        <v>0.0</v>
      </c>
      <c r="M109" s="62">
        <v>0.0</v>
      </c>
      <c r="N109" s="62">
        <v>111.0</v>
      </c>
      <c r="O109" s="62">
        <v>233.0</v>
      </c>
      <c r="P109" s="62">
        <v>0.0</v>
      </c>
      <c r="Q109" s="62">
        <v>0.0</v>
      </c>
      <c r="R109" s="62">
        <v>0.0</v>
      </c>
      <c r="S109" s="62">
        <v>0.0</v>
      </c>
      <c r="T109" s="62">
        <v>0.0</v>
      </c>
      <c r="U109" s="62">
        <v>3895.0</v>
      </c>
      <c r="V109" s="62">
        <v>800.0</v>
      </c>
      <c r="W109" s="62">
        <v>1472.0</v>
      </c>
      <c r="X109" s="62">
        <v>0.0</v>
      </c>
      <c r="Y109" s="62">
        <v>0.0</v>
      </c>
      <c r="Z109" s="62">
        <v>0.0</v>
      </c>
      <c r="AA109" s="62">
        <v>0.0</v>
      </c>
      <c r="AB109" s="62">
        <v>1176.0</v>
      </c>
      <c r="AC109" s="62">
        <v>138.0</v>
      </c>
      <c r="AD109" s="62">
        <v>15269.0</v>
      </c>
      <c r="AE109" s="62">
        <v>0.0</v>
      </c>
      <c r="AF109" s="62">
        <v>9931.0</v>
      </c>
      <c r="AG109" s="62">
        <v>92362.0</v>
      </c>
      <c r="AH109" s="62">
        <v>25827.0</v>
      </c>
      <c r="AI109" s="62">
        <v>41336.0</v>
      </c>
      <c r="AJ109" s="62">
        <v>8177.0</v>
      </c>
      <c r="AK109" s="62">
        <v>700.0</v>
      </c>
      <c r="AL109" s="62">
        <v>59.0</v>
      </c>
      <c r="AM109" s="62">
        <v>346216.0</v>
      </c>
      <c r="AN109" s="62">
        <v>587569.0</v>
      </c>
      <c r="AO109" s="62">
        <v>58526.0</v>
      </c>
      <c r="AP109" s="62">
        <v>97279.0</v>
      </c>
      <c r="AQ109" s="62">
        <v>189506.0</v>
      </c>
      <c r="AR109" s="62">
        <v>4672.0</v>
      </c>
      <c r="AS109" s="62">
        <v>1071996.0</v>
      </c>
      <c r="AT109" s="62">
        <v>221110.0</v>
      </c>
      <c r="AU109" s="62">
        <v>3343.0</v>
      </c>
      <c r="AV109" s="62">
        <v>1072539.0</v>
      </c>
      <c r="AW109" s="62">
        <v>113306.0</v>
      </c>
      <c r="AX109" s="62">
        <v>9781980.0</v>
      </c>
      <c r="AY109" s="62">
        <v>658288.0</v>
      </c>
      <c r="AZ109" s="62">
        <v>31860.0</v>
      </c>
      <c r="BA109" s="62">
        <v>865506.0</v>
      </c>
      <c r="BB109" s="62">
        <v>791496.0</v>
      </c>
      <c r="BC109" s="62">
        <v>8184.0</v>
      </c>
      <c r="BD109" s="62">
        <v>10793.0</v>
      </c>
      <c r="BE109" s="62">
        <v>0.0</v>
      </c>
      <c r="BF109" s="62">
        <v>0.0</v>
      </c>
      <c r="BG109" s="62">
        <v>2138.0</v>
      </c>
      <c r="BH109" s="62">
        <v>11570.0</v>
      </c>
      <c r="BI109" s="62">
        <v>4075.0</v>
      </c>
      <c r="BJ109" s="62">
        <v>16997.0</v>
      </c>
      <c r="BK109" s="62">
        <v>120418.0</v>
      </c>
      <c r="BL109" s="62">
        <v>2439.0</v>
      </c>
      <c r="BM109" s="62">
        <v>45.0</v>
      </c>
      <c r="BN109" s="62">
        <v>0.0</v>
      </c>
      <c r="BO109" s="62">
        <v>0.0</v>
      </c>
      <c r="BP109" s="62">
        <v>116256.0</v>
      </c>
      <c r="BQ109" s="62">
        <v>0.0</v>
      </c>
      <c r="BR109" s="62">
        <v>0.0</v>
      </c>
      <c r="BS109" s="62">
        <v>100651.0</v>
      </c>
      <c r="BT109" s="62">
        <v>0.0</v>
      </c>
      <c r="BU109" s="62">
        <v>1167657.0</v>
      </c>
      <c r="BV109" s="62">
        <v>761.0</v>
      </c>
      <c r="BW109" s="62">
        <v>52.0</v>
      </c>
      <c r="BX109" s="62">
        <v>22547.0</v>
      </c>
      <c r="BY109" s="62">
        <v>569735.0</v>
      </c>
      <c r="BZ109" s="62">
        <v>80557.0</v>
      </c>
      <c r="CA109" s="62">
        <v>324215.0</v>
      </c>
      <c r="CB109" s="62">
        <v>137317.0</v>
      </c>
      <c r="CC109" s="62">
        <v>14959.0</v>
      </c>
      <c r="CD109" s="62">
        <v>4178.0</v>
      </c>
      <c r="CE109" s="62">
        <v>6906.0</v>
      </c>
      <c r="CF109" s="62">
        <v>227855.0</v>
      </c>
      <c r="CG109" s="62">
        <v>6444.0</v>
      </c>
      <c r="CH109" s="62">
        <v>160934.0</v>
      </c>
      <c r="CI109" s="62">
        <v>407786.0</v>
      </c>
      <c r="CJ109" s="62">
        <v>1415319.0</v>
      </c>
      <c r="CK109" s="62">
        <v>2475451.0</v>
      </c>
      <c r="CL109" s="62">
        <v>1233677.0</v>
      </c>
      <c r="CM109" s="62">
        <v>453901.0</v>
      </c>
      <c r="CN109" s="62">
        <v>843156.0</v>
      </c>
      <c r="CO109" s="62">
        <v>1326258.0</v>
      </c>
      <c r="CP109" s="62">
        <v>1736894.0</v>
      </c>
      <c r="CQ109" s="62">
        <v>4216488.0</v>
      </c>
      <c r="CR109" s="62">
        <v>507638.0</v>
      </c>
      <c r="CS109" s="62">
        <v>2078910.0</v>
      </c>
      <c r="CT109" s="62">
        <v>1374286.0</v>
      </c>
      <c r="CU109" s="62">
        <v>19867.0</v>
      </c>
      <c r="CV109" s="62">
        <v>16741.0</v>
      </c>
      <c r="CW109" s="62">
        <v>65533.0</v>
      </c>
      <c r="CX109" s="62">
        <v>258071.0</v>
      </c>
      <c r="CY109" s="62">
        <v>6703.0</v>
      </c>
      <c r="CZ109" s="62">
        <v>74252.0</v>
      </c>
      <c r="DA109" s="62">
        <v>76261.0</v>
      </c>
      <c r="DB109" s="62">
        <v>1377509.0</v>
      </c>
      <c r="DC109" s="62">
        <v>822300.0</v>
      </c>
      <c r="DD109" s="62">
        <v>184302.0</v>
      </c>
      <c r="DE109" s="62">
        <v>342975.0</v>
      </c>
      <c r="DF109" s="62">
        <v>58780.0</v>
      </c>
      <c r="DG109" s="62">
        <v>43368.0</v>
      </c>
      <c r="DH109" s="62">
        <v>579953.0</v>
      </c>
      <c r="DI109" s="62">
        <v>89376.0</v>
      </c>
      <c r="DJ109" s="62">
        <v>452280.0</v>
      </c>
      <c r="DK109" s="62">
        <v>292163.0</v>
      </c>
      <c r="DL109" s="62">
        <v>32385.0</v>
      </c>
      <c r="DM109" s="62">
        <v>59243.0</v>
      </c>
      <c r="DN109" s="62">
        <v>14497.0</v>
      </c>
      <c r="DO109" s="62">
        <v>651575.0</v>
      </c>
      <c r="DP109" s="62">
        <v>0.0</v>
      </c>
      <c r="DQ109" s="62">
        <v>14042.0</v>
      </c>
      <c r="DR109" s="62">
        <v>120381.0</v>
      </c>
      <c r="DS109" s="62">
        <v>5106.0</v>
      </c>
      <c r="DT109" s="62">
        <v>500559.0</v>
      </c>
      <c r="DU109" s="62">
        <v>45.0</v>
      </c>
      <c r="DV109" s="62">
        <v>0.0</v>
      </c>
      <c r="DW109" s="62">
        <v>6127493.0</v>
      </c>
      <c r="DX109" s="62">
        <v>2485.0</v>
      </c>
      <c r="DY109" s="62">
        <v>207.0</v>
      </c>
      <c r="DZ109" s="62">
        <v>456336.0</v>
      </c>
      <c r="EA109" s="62">
        <v>200.0</v>
      </c>
      <c r="EB109" s="62">
        <v>2250644.0</v>
      </c>
      <c r="EC109" s="62">
        <v>250556.0</v>
      </c>
      <c r="ED109" s="62">
        <v>152309.0</v>
      </c>
      <c r="EE109" s="62">
        <v>3934.0</v>
      </c>
      <c r="EF109" s="62">
        <v>3744.0</v>
      </c>
      <c r="EG109" s="62">
        <v>134165.0</v>
      </c>
      <c r="EH109" s="62">
        <v>51881.0</v>
      </c>
      <c r="EI109" s="62">
        <v>1484050.0</v>
      </c>
      <c r="EJ109" s="62">
        <v>43237.0</v>
      </c>
      <c r="EK109" s="62">
        <v>250856.0</v>
      </c>
      <c r="EL109" s="62">
        <v>84323.0</v>
      </c>
      <c r="EM109" s="62">
        <v>365123.0</v>
      </c>
      <c r="EN109" s="62">
        <v>27593.0</v>
      </c>
      <c r="EO109" s="62">
        <v>197314.0</v>
      </c>
      <c r="EP109" s="62">
        <v>20139.0</v>
      </c>
      <c r="EQ109" s="62">
        <v>489277.0</v>
      </c>
      <c r="ER109" s="62">
        <v>197.0</v>
      </c>
      <c r="ES109" s="62">
        <v>358135.0</v>
      </c>
      <c r="ET109" s="62">
        <v>191612.0</v>
      </c>
      <c r="EU109" s="62">
        <v>2862025.0</v>
      </c>
      <c r="EV109" s="62">
        <v>194370.0</v>
      </c>
      <c r="EW109" s="62">
        <v>443628.0</v>
      </c>
      <c r="EX109" s="62">
        <v>185992.0</v>
      </c>
      <c r="EY109" s="62">
        <v>3792274.0</v>
      </c>
      <c r="EZ109" s="62">
        <v>217090.0</v>
      </c>
      <c r="FA109" s="62">
        <v>278146.0</v>
      </c>
      <c r="FB109" s="62">
        <v>1.3687732E7</v>
      </c>
      <c r="FC109" s="62">
        <v>5631.0</v>
      </c>
      <c r="FD109" s="62">
        <v>3779737.0</v>
      </c>
      <c r="FE109" s="62">
        <v>301040.0</v>
      </c>
      <c r="FF109" s="62">
        <v>69534.0</v>
      </c>
      <c r="FG109" s="62">
        <v>1155857.0</v>
      </c>
      <c r="FH109" s="62">
        <v>499448.0</v>
      </c>
      <c r="FI109" s="62">
        <v>68697.0</v>
      </c>
      <c r="FJ109" s="62">
        <v>18245.0</v>
      </c>
      <c r="FK109" s="62">
        <v>278470.0</v>
      </c>
      <c r="FL109" s="62">
        <v>411912.0</v>
      </c>
      <c r="FM109" s="62">
        <v>20.0</v>
      </c>
      <c r="FN109" s="62">
        <v>0.0</v>
      </c>
      <c r="FO109" s="62">
        <v>6698.0</v>
      </c>
      <c r="FP109" s="62">
        <v>1805729.0</v>
      </c>
      <c r="FQ109" s="62">
        <v>256586.0</v>
      </c>
      <c r="FR109" s="62">
        <v>23.0</v>
      </c>
      <c r="FS109" s="62">
        <v>191992.0</v>
      </c>
      <c r="FT109" s="62">
        <v>1349297.0</v>
      </c>
      <c r="FU109" s="62">
        <v>1794341.0</v>
      </c>
      <c r="FV109" s="62">
        <v>925636.0</v>
      </c>
      <c r="FW109" s="62">
        <v>14517.0</v>
      </c>
      <c r="FX109" s="62">
        <v>8839.0</v>
      </c>
      <c r="FY109" s="62">
        <v>2076571.0</v>
      </c>
      <c r="FZ109" s="62">
        <v>69.0</v>
      </c>
      <c r="GA109" s="62">
        <v>4678578.0</v>
      </c>
      <c r="GB109" s="62">
        <v>940880.0</v>
      </c>
      <c r="GC109" s="62">
        <v>193803.0</v>
      </c>
      <c r="GD109" s="62">
        <v>18671.0</v>
      </c>
      <c r="GE109" s="62">
        <v>952819.0</v>
      </c>
      <c r="GF109" s="63">
        <v>9.9897916E7</v>
      </c>
      <c r="GG109" s="64">
        <v>2342253.0</v>
      </c>
      <c r="GH109" s="65">
        <v>0.0</v>
      </c>
      <c r="GI109" s="64">
        <v>0.0</v>
      </c>
      <c r="GJ109" s="64">
        <v>0.0</v>
      </c>
      <c r="GK109" s="64">
        <v>1313059.0</v>
      </c>
      <c r="GL109" s="64">
        <v>1.5643563E7</v>
      </c>
      <c r="GM109" s="64">
        <v>16967.0</v>
      </c>
      <c r="GN109" s="63">
        <v>1.9315842E7</v>
      </c>
      <c r="GO109" s="66">
        <v>1.19213758E8</v>
      </c>
      <c r="GP109" s="64">
        <v>3.4383374E7</v>
      </c>
      <c r="GQ109" s="64">
        <v>50797.0</v>
      </c>
      <c r="GR109" s="65">
        <v>0.0</v>
      </c>
      <c r="GS109" s="63">
        <v>3.4434171E7</v>
      </c>
      <c r="GT109" s="67">
        <v>1.0585217E7</v>
      </c>
      <c r="GU109" s="67">
        <v>8633371.0</v>
      </c>
      <c r="GV109" s="67">
        <v>9566526.0</v>
      </c>
      <c r="GW109" s="63">
        <v>2.8785114E7</v>
      </c>
      <c r="GX109" s="63">
        <v>3326426.0</v>
      </c>
      <c r="GY109" s="63">
        <v>5.2668047E7</v>
      </c>
      <c r="GZ109" s="66">
        <v>1.19213758E8</v>
      </c>
      <c r="HH109" s="106"/>
    </row>
    <row r="110" ht="15.75" customHeight="1">
      <c r="A110" s="68">
        <v>105.0</v>
      </c>
      <c r="B110" s="111" t="s">
        <v>375</v>
      </c>
      <c r="C110" s="70">
        <v>4955.0</v>
      </c>
      <c r="D110" s="70">
        <v>2793.0</v>
      </c>
      <c r="E110" s="70">
        <v>0.0</v>
      </c>
      <c r="F110" s="70">
        <v>0.0</v>
      </c>
      <c r="G110" s="70">
        <v>3.0</v>
      </c>
      <c r="H110" s="70">
        <v>724.0</v>
      </c>
      <c r="I110" s="70">
        <v>1952.0</v>
      </c>
      <c r="J110" s="70">
        <v>1499.0</v>
      </c>
      <c r="K110" s="70">
        <v>10.0</v>
      </c>
      <c r="L110" s="70">
        <v>578.0</v>
      </c>
      <c r="M110" s="70">
        <v>1923.0</v>
      </c>
      <c r="N110" s="70">
        <v>303.0</v>
      </c>
      <c r="O110" s="70">
        <v>11090.0</v>
      </c>
      <c r="P110" s="70">
        <v>22.0</v>
      </c>
      <c r="Q110" s="70">
        <v>456.0</v>
      </c>
      <c r="R110" s="70">
        <v>385.0</v>
      </c>
      <c r="S110" s="70">
        <v>103.0</v>
      </c>
      <c r="T110" s="70">
        <v>241.0</v>
      </c>
      <c r="U110" s="70">
        <v>16421.0</v>
      </c>
      <c r="V110" s="70">
        <v>4835.0</v>
      </c>
      <c r="W110" s="70">
        <v>771.0</v>
      </c>
      <c r="X110" s="70">
        <v>113.0</v>
      </c>
      <c r="Y110" s="70">
        <v>578.0</v>
      </c>
      <c r="Z110" s="70">
        <v>443.0</v>
      </c>
      <c r="AA110" s="70">
        <v>76.0</v>
      </c>
      <c r="AB110" s="70">
        <v>329220.0</v>
      </c>
      <c r="AC110" s="70">
        <v>58531.0</v>
      </c>
      <c r="AD110" s="70">
        <v>1212409.0</v>
      </c>
      <c r="AE110" s="70">
        <v>117068.0</v>
      </c>
      <c r="AF110" s="70">
        <v>20773.0</v>
      </c>
      <c r="AG110" s="70">
        <v>26089.0</v>
      </c>
      <c r="AH110" s="70">
        <v>4552.0</v>
      </c>
      <c r="AI110" s="70">
        <v>150146.0</v>
      </c>
      <c r="AJ110" s="70">
        <v>47456.0</v>
      </c>
      <c r="AK110" s="70">
        <v>4351.0</v>
      </c>
      <c r="AL110" s="70">
        <v>2089.0</v>
      </c>
      <c r="AM110" s="70">
        <v>1133.0</v>
      </c>
      <c r="AN110" s="70">
        <v>9109.0</v>
      </c>
      <c r="AO110" s="70">
        <v>3069.0</v>
      </c>
      <c r="AP110" s="70">
        <v>38.0</v>
      </c>
      <c r="AQ110" s="70">
        <v>150.0</v>
      </c>
      <c r="AR110" s="70">
        <v>79.0</v>
      </c>
      <c r="AS110" s="70">
        <v>581.0</v>
      </c>
      <c r="AT110" s="70">
        <v>69.0</v>
      </c>
      <c r="AU110" s="70">
        <v>51.0</v>
      </c>
      <c r="AV110" s="70">
        <v>957.0</v>
      </c>
      <c r="AW110" s="70">
        <v>122.0</v>
      </c>
      <c r="AX110" s="70">
        <v>438850.0</v>
      </c>
      <c r="AY110" s="70">
        <v>15218.0</v>
      </c>
      <c r="AZ110" s="70">
        <v>135.0</v>
      </c>
      <c r="BA110" s="70">
        <v>1160.0</v>
      </c>
      <c r="BB110" s="70">
        <v>7728.0</v>
      </c>
      <c r="BC110" s="70">
        <v>6750.0</v>
      </c>
      <c r="BD110" s="70">
        <v>13.0</v>
      </c>
      <c r="BE110" s="70">
        <v>13.0</v>
      </c>
      <c r="BF110" s="70">
        <v>31.0</v>
      </c>
      <c r="BG110" s="70">
        <v>280.0</v>
      </c>
      <c r="BH110" s="70">
        <v>1906.0</v>
      </c>
      <c r="BI110" s="70">
        <v>328.0</v>
      </c>
      <c r="BJ110" s="70">
        <v>170.0</v>
      </c>
      <c r="BK110" s="70">
        <v>251.0</v>
      </c>
      <c r="BL110" s="70">
        <v>3798.0</v>
      </c>
      <c r="BM110" s="70">
        <v>39.0</v>
      </c>
      <c r="BN110" s="70">
        <v>314.0</v>
      </c>
      <c r="BO110" s="70">
        <v>4346.0</v>
      </c>
      <c r="BP110" s="70">
        <v>2553.0</v>
      </c>
      <c r="BQ110" s="70">
        <v>79.0</v>
      </c>
      <c r="BR110" s="70">
        <v>654.0</v>
      </c>
      <c r="BS110" s="70">
        <v>138.0</v>
      </c>
      <c r="BT110" s="70">
        <v>1351.0</v>
      </c>
      <c r="BU110" s="70">
        <v>2061.0</v>
      </c>
      <c r="BV110" s="70">
        <v>28610.0</v>
      </c>
      <c r="BW110" s="70">
        <v>23.0</v>
      </c>
      <c r="BX110" s="70">
        <v>51581.0</v>
      </c>
      <c r="BY110" s="70">
        <v>860.0</v>
      </c>
      <c r="BZ110" s="70">
        <v>50.0</v>
      </c>
      <c r="CA110" s="70">
        <v>332.0</v>
      </c>
      <c r="CB110" s="70">
        <v>117.0</v>
      </c>
      <c r="CC110" s="70">
        <v>0.0</v>
      </c>
      <c r="CD110" s="70">
        <v>49.0</v>
      </c>
      <c r="CE110" s="70">
        <v>7.0</v>
      </c>
      <c r="CF110" s="70">
        <v>4860.0</v>
      </c>
      <c r="CG110" s="70">
        <v>1587.0</v>
      </c>
      <c r="CH110" s="70">
        <v>1999.0</v>
      </c>
      <c r="CI110" s="70">
        <v>3843.0</v>
      </c>
      <c r="CJ110" s="70">
        <v>14118.0</v>
      </c>
      <c r="CK110" s="70">
        <v>45875.0</v>
      </c>
      <c r="CL110" s="70">
        <v>19199.0</v>
      </c>
      <c r="CM110" s="70">
        <v>8949.0</v>
      </c>
      <c r="CN110" s="70">
        <v>508534.0</v>
      </c>
      <c r="CO110" s="70">
        <v>146817.0</v>
      </c>
      <c r="CP110" s="70">
        <v>166364.0</v>
      </c>
      <c r="CQ110" s="70">
        <v>2003.0</v>
      </c>
      <c r="CR110" s="70">
        <v>583.0</v>
      </c>
      <c r="CS110" s="70">
        <v>115346.0</v>
      </c>
      <c r="CT110" s="70">
        <v>5385.0</v>
      </c>
      <c r="CU110" s="70">
        <v>88.0</v>
      </c>
      <c r="CV110" s="70">
        <v>67604.0</v>
      </c>
      <c r="CW110" s="70">
        <v>2657.0</v>
      </c>
      <c r="CX110" s="70">
        <v>1091.0</v>
      </c>
      <c r="CY110" s="70">
        <v>32.0</v>
      </c>
      <c r="CZ110" s="70">
        <v>103.0</v>
      </c>
      <c r="DA110" s="70">
        <v>597508.0</v>
      </c>
      <c r="DB110" s="70">
        <v>865088.0</v>
      </c>
      <c r="DC110" s="70">
        <v>5684637.0</v>
      </c>
      <c r="DD110" s="70">
        <v>1141036.0</v>
      </c>
      <c r="DE110" s="70">
        <v>499.0</v>
      </c>
      <c r="DF110" s="70">
        <v>18185.0</v>
      </c>
      <c r="DG110" s="70">
        <v>5019.0</v>
      </c>
      <c r="DH110" s="70">
        <v>8662.0</v>
      </c>
      <c r="DI110" s="70">
        <v>2685.0</v>
      </c>
      <c r="DJ110" s="70">
        <v>2236.0</v>
      </c>
      <c r="DK110" s="70">
        <v>35.0</v>
      </c>
      <c r="DL110" s="70">
        <v>8078.0</v>
      </c>
      <c r="DM110" s="70">
        <v>33547.0</v>
      </c>
      <c r="DN110" s="70">
        <v>24.0</v>
      </c>
      <c r="DO110" s="70">
        <v>196859.0</v>
      </c>
      <c r="DP110" s="70">
        <v>5607.0</v>
      </c>
      <c r="DQ110" s="70">
        <v>123.0</v>
      </c>
      <c r="DR110" s="70">
        <v>1848.0</v>
      </c>
      <c r="DS110" s="70">
        <v>25236.0</v>
      </c>
      <c r="DT110" s="70">
        <v>279549.0</v>
      </c>
      <c r="DU110" s="70">
        <v>4843.0</v>
      </c>
      <c r="DV110" s="70">
        <v>48754.0</v>
      </c>
      <c r="DW110" s="70">
        <v>31151.0</v>
      </c>
      <c r="DX110" s="70">
        <v>1987.0</v>
      </c>
      <c r="DY110" s="70">
        <v>1416.0</v>
      </c>
      <c r="DZ110" s="70">
        <v>30729.0</v>
      </c>
      <c r="EA110" s="70">
        <v>18.0</v>
      </c>
      <c r="EB110" s="70">
        <v>890.0</v>
      </c>
      <c r="EC110" s="70">
        <v>54803.0</v>
      </c>
      <c r="ED110" s="70">
        <v>84.0</v>
      </c>
      <c r="EE110" s="70">
        <v>29.0</v>
      </c>
      <c r="EF110" s="70">
        <v>2078.0</v>
      </c>
      <c r="EG110" s="70">
        <v>234.0</v>
      </c>
      <c r="EH110" s="70">
        <v>8828.0</v>
      </c>
      <c r="EI110" s="70">
        <v>64434.0</v>
      </c>
      <c r="EJ110" s="70">
        <v>709.0</v>
      </c>
      <c r="EK110" s="70">
        <v>501.0</v>
      </c>
      <c r="EL110" s="70">
        <v>638.0</v>
      </c>
      <c r="EM110" s="70">
        <v>191.0</v>
      </c>
      <c r="EN110" s="70">
        <v>279.0</v>
      </c>
      <c r="EO110" s="70">
        <v>1399.0</v>
      </c>
      <c r="EP110" s="70">
        <v>0.0</v>
      </c>
      <c r="EQ110" s="70">
        <v>3057.0</v>
      </c>
      <c r="ER110" s="70">
        <v>269.0</v>
      </c>
      <c r="ES110" s="70">
        <v>4528.0</v>
      </c>
      <c r="ET110" s="70">
        <v>421957.0</v>
      </c>
      <c r="EU110" s="70">
        <v>91492.0</v>
      </c>
      <c r="EV110" s="70">
        <v>19.0</v>
      </c>
      <c r="EW110" s="70">
        <v>150.0</v>
      </c>
      <c r="EX110" s="70">
        <v>163.0</v>
      </c>
      <c r="EY110" s="70">
        <v>0.0</v>
      </c>
      <c r="EZ110" s="70">
        <v>116972.0</v>
      </c>
      <c r="FA110" s="70">
        <v>4770.0</v>
      </c>
      <c r="FB110" s="70">
        <v>688354.0</v>
      </c>
      <c r="FC110" s="70">
        <v>5798.0</v>
      </c>
      <c r="FD110" s="70">
        <v>1182822.0</v>
      </c>
      <c r="FE110" s="70">
        <v>203026.0</v>
      </c>
      <c r="FF110" s="70">
        <v>33160.0</v>
      </c>
      <c r="FG110" s="70">
        <v>117619.0</v>
      </c>
      <c r="FH110" s="70">
        <v>673722.0</v>
      </c>
      <c r="FI110" s="70">
        <v>4235.0</v>
      </c>
      <c r="FJ110" s="70">
        <v>1386.0</v>
      </c>
      <c r="FK110" s="70">
        <v>58709.0</v>
      </c>
      <c r="FL110" s="70">
        <v>38963.0</v>
      </c>
      <c r="FM110" s="70">
        <v>1753.0</v>
      </c>
      <c r="FN110" s="70">
        <v>38610.0</v>
      </c>
      <c r="FO110" s="70">
        <v>36486.0</v>
      </c>
      <c r="FP110" s="70">
        <v>52181.0</v>
      </c>
      <c r="FQ110" s="70">
        <v>1282.0</v>
      </c>
      <c r="FR110" s="70">
        <v>3.0</v>
      </c>
      <c r="FS110" s="70">
        <v>2831.0</v>
      </c>
      <c r="FT110" s="70">
        <v>31125.0</v>
      </c>
      <c r="FU110" s="70">
        <v>455596.0</v>
      </c>
      <c r="FV110" s="70">
        <v>259626.0</v>
      </c>
      <c r="FW110" s="70">
        <v>2433527.0</v>
      </c>
      <c r="FX110" s="70">
        <v>205962.0</v>
      </c>
      <c r="FY110" s="70">
        <v>3.9226849E7</v>
      </c>
      <c r="FZ110" s="70">
        <v>4080.0</v>
      </c>
      <c r="GA110" s="70">
        <v>745880.0</v>
      </c>
      <c r="GB110" s="70">
        <v>2.1278765E7</v>
      </c>
      <c r="GC110" s="70">
        <v>48384.0</v>
      </c>
      <c r="GD110" s="70">
        <v>1224.0</v>
      </c>
      <c r="GE110" s="70">
        <v>1928466.0</v>
      </c>
      <c r="GF110" s="71">
        <v>8.3259405E7</v>
      </c>
      <c r="GG110" s="72">
        <v>6.2051612E7</v>
      </c>
      <c r="GH110" s="73">
        <v>0.0</v>
      </c>
      <c r="GI110" s="72">
        <v>0.0</v>
      </c>
      <c r="GJ110" s="72">
        <v>0.0</v>
      </c>
      <c r="GK110" s="72">
        <v>1.4714504E7</v>
      </c>
      <c r="GL110" s="72">
        <v>8856625.0</v>
      </c>
      <c r="GM110" s="72">
        <v>190279.0</v>
      </c>
      <c r="GN110" s="71">
        <v>8.581302E7</v>
      </c>
      <c r="GO110" s="74">
        <v>1.69072425E8</v>
      </c>
      <c r="GP110" s="72">
        <v>1.7230216E7</v>
      </c>
      <c r="GQ110" s="72">
        <v>169017.0</v>
      </c>
      <c r="GR110" s="73">
        <v>0.0</v>
      </c>
      <c r="GS110" s="71">
        <v>1.7399233E7</v>
      </c>
      <c r="GT110" s="75">
        <v>2.3364288E7</v>
      </c>
      <c r="GU110" s="75">
        <v>1.9247057E7</v>
      </c>
      <c r="GV110" s="75">
        <v>1.0785843E7</v>
      </c>
      <c r="GW110" s="71">
        <v>5.3397188E7</v>
      </c>
      <c r="GX110" s="71">
        <v>4230340.0</v>
      </c>
      <c r="GY110" s="71">
        <v>9.4045664E7</v>
      </c>
      <c r="GZ110" s="74">
        <v>1.69072425E8</v>
      </c>
      <c r="HH110" s="106"/>
    </row>
    <row r="111" ht="15.75" customHeight="1">
      <c r="A111" s="52">
        <v>106.0</v>
      </c>
      <c r="B111" s="111" t="s">
        <v>376</v>
      </c>
      <c r="C111" s="54">
        <v>0.0</v>
      </c>
      <c r="D111" s="54">
        <v>0.0</v>
      </c>
      <c r="E111" s="54">
        <v>0.0</v>
      </c>
      <c r="F111" s="54">
        <v>0.0</v>
      </c>
      <c r="G111" s="54">
        <v>0.0</v>
      </c>
      <c r="H111" s="54">
        <v>0.0</v>
      </c>
      <c r="I111" s="54">
        <v>0.0</v>
      </c>
      <c r="J111" s="54">
        <v>0.0</v>
      </c>
      <c r="K111" s="54">
        <v>0.0</v>
      </c>
      <c r="L111" s="54">
        <v>0.0</v>
      </c>
      <c r="M111" s="54">
        <v>0.0</v>
      </c>
      <c r="N111" s="54">
        <v>0.0</v>
      </c>
      <c r="O111" s="54">
        <v>0.0</v>
      </c>
      <c r="P111" s="54">
        <v>0.0</v>
      </c>
      <c r="Q111" s="54">
        <v>0.0</v>
      </c>
      <c r="R111" s="54">
        <v>0.0</v>
      </c>
      <c r="S111" s="54">
        <v>0.0</v>
      </c>
      <c r="T111" s="54">
        <v>0.0</v>
      </c>
      <c r="U111" s="54">
        <v>0.0</v>
      </c>
      <c r="V111" s="54">
        <v>0.0</v>
      </c>
      <c r="W111" s="54">
        <v>0.0</v>
      </c>
      <c r="X111" s="54">
        <v>0.0</v>
      </c>
      <c r="Y111" s="54">
        <v>0.0</v>
      </c>
      <c r="Z111" s="54">
        <v>0.0</v>
      </c>
      <c r="AA111" s="54">
        <v>0.0</v>
      </c>
      <c r="AB111" s="54">
        <v>0.0</v>
      </c>
      <c r="AC111" s="54">
        <v>0.0</v>
      </c>
      <c r="AD111" s="54">
        <v>0.0</v>
      </c>
      <c r="AE111" s="54">
        <v>0.0</v>
      </c>
      <c r="AF111" s="54">
        <v>0.0</v>
      </c>
      <c r="AG111" s="54">
        <v>0.0</v>
      </c>
      <c r="AH111" s="54">
        <v>0.0</v>
      </c>
      <c r="AI111" s="54">
        <v>0.0</v>
      </c>
      <c r="AJ111" s="54">
        <v>0.0</v>
      </c>
      <c r="AK111" s="54">
        <v>0.0</v>
      </c>
      <c r="AL111" s="54">
        <v>0.0</v>
      </c>
      <c r="AM111" s="54">
        <v>0.0</v>
      </c>
      <c r="AN111" s="54">
        <v>0.0</v>
      </c>
      <c r="AO111" s="54">
        <v>0.0</v>
      </c>
      <c r="AP111" s="54">
        <v>0.0</v>
      </c>
      <c r="AQ111" s="54">
        <v>0.0</v>
      </c>
      <c r="AR111" s="54">
        <v>0.0</v>
      </c>
      <c r="AS111" s="54">
        <v>0.0</v>
      </c>
      <c r="AT111" s="54">
        <v>0.0</v>
      </c>
      <c r="AU111" s="54">
        <v>0.0</v>
      </c>
      <c r="AV111" s="54">
        <v>0.0</v>
      </c>
      <c r="AW111" s="54">
        <v>0.0</v>
      </c>
      <c r="AX111" s="54">
        <v>0.0</v>
      </c>
      <c r="AY111" s="54">
        <v>0.0</v>
      </c>
      <c r="AZ111" s="54">
        <v>0.0</v>
      </c>
      <c r="BA111" s="54">
        <v>0.0</v>
      </c>
      <c r="BB111" s="54">
        <v>0.0</v>
      </c>
      <c r="BC111" s="54">
        <v>0.0</v>
      </c>
      <c r="BD111" s="54">
        <v>0.0</v>
      </c>
      <c r="BE111" s="54">
        <v>0.0</v>
      </c>
      <c r="BF111" s="54">
        <v>0.0</v>
      </c>
      <c r="BG111" s="54">
        <v>0.0</v>
      </c>
      <c r="BH111" s="54">
        <v>0.0</v>
      </c>
      <c r="BI111" s="54">
        <v>0.0</v>
      </c>
      <c r="BJ111" s="54">
        <v>0.0</v>
      </c>
      <c r="BK111" s="54">
        <v>0.0</v>
      </c>
      <c r="BL111" s="54">
        <v>0.0</v>
      </c>
      <c r="BM111" s="54">
        <v>0.0</v>
      </c>
      <c r="BN111" s="54">
        <v>0.0</v>
      </c>
      <c r="BO111" s="54">
        <v>0.0</v>
      </c>
      <c r="BP111" s="54">
        <v>0.0</v>
      </c>
      <c r="BQ111" s="54">
        <v>0.0</v>
      </c>
      <c r="BR111" s="54">
        <v>0.0</v>
      </c>
      <c r="BS111" s="54">
        <v>0.0</v>
      </c>
      <c r="BT111" s="54">
        <v>0.0</v>
      </c>
      <c r="BU111" s="54">
        <v>0.0</v>
      </c>
      <c r="BV111" s="54">
        <v>0.0</v>
      </c>
      <c r="BW111" s="54">
        <v>0.0</v>
      </c>
      <c r="BX111" s="54">
        <v>0.0</v>
      </c>
      <c r="BY111" s="54">
        <v>0.0</v>
      </c>
      <c r="BZ111" s="54">
        <v>0.0</v>
      </c>
      <c r="CA111" s="54">
        <v>0.0</v>
      </c>
      <c r="CB111" s="54">
        <v>0.0</v>
      </c>
      <c r="CC111" s="54">
        <v>0.0</v>
      </c>
      <c r="CD111" s="54">
        <v>0.0</v>
      </c>
      <c r="CE111" s="54">
        <v>0.0</v>
      </c>
      <c r="CF111" s="54">
        <v>0.0</v>
      </c>
      <c r="CG111" s="54">
        <v>0.0</v>
      </c>
      <c r="CH111" s="54">
        <v>0.0</v>
      </c>
      <c r="CI111" s="54">
        <v>0.0</v>
      </c>
      <c r="CJ111" s="54">
        <v>0.0</v>
      </c>
      <c r="CK111" s="54">
        <v>0.0</v>
      </c>
      <c r="CL111" s="54">
        <v>0.0</v>
      </c>
      <c r="CM111" s="54">
        <v>0.0</v>
      </c>
      <c r="CN111" s="54">
        <v>0.0</v>
      </c>
      <c r="CO111" s="54">
        <v>0.0</v>
      </c>
      <c r="CP111" s="54">
        <v>0.0</v>
      </c>
      <c r="CQ111" s="54">
        <v>0.0</v>
      </c>
      <c r="CR111" s="54">
        <v>0.0</v>
      </c>
      <c r="CS111" s="54">
        <v>0.0</v>
      </c>
      <c r="CT111" s="54">
        <v>0.0</v>
      </c>
      <c r="CU111" s="54">
        <v>0.0</v>
      </c>
      <c r="CV111" s="54">
        <v>0.0</v>
      </c>
      <c r="CW111" s="54">
        <v>0.0</v>
      </c>
      <c r="CX111" s="54">
        <v>0.0</v>
      </c>
      <c r="CY111" s="54">
        <v>0.0</v>
      </c>
      <c r="CZ111" s="54">
        <v>0.0</v>
      </c>
      <c r="DA111" s="54">
        <v>0.0</v>
      </c>
      <c r="DB111" s="54">
        <v>0.0</v>
      </c>
      <c r="DC111" s="54">
        <v>0.0</v>
      </c>
      <c r="DD111" s="54">
        <v>0.0</v>
      </c>
      <c r="DE111" s="54">
        <v>0.0</v>
      </c>
      <c r="DF111" s="54">
        <v>0.0</v>
      </c>
      <c r="DG111" s="54">
        <v>0.0</v>
      </c>
      <c r="DH111" s="54">
        <v>0.0</v>
      </c>
      <c r="DI111" s="54">
        <v>0.0</v>
      </c>
      <c r="DJ111" s="54">
        <v>0.0</v>
      </c>
      <c r="DK111" s="54">
        <v>0.0</v>
      </c>
      <c r="DL111" s="54">
        <v>0.0</v>
      </c>
      <c r="DM111" s="54">
        <v>0.0</v>
      </c>
      <c r="DN111" s="54">
        <v>0.0</v>
      </c>
      <c r="DO111" s="54">
        <v>0.0</v>
      </c>
      <c r="DP111" s="54">
        <v>0.0</v>
      </c>
      <c r="DQ111" s="54">
        <v>0.0</v>
      </c>
      <c r="DR111" s="54">
        <v>0.0</v>
      </c>
      <c r="DS111" s="54">
        <v>0.0</v>
      </c>
      <c r="DT111" s="54">
        <v>0.0</v>
      </c>
      <c r="DU111" s="54">
        <v>0.0</v>
      </c>
      <c r="DV111" s="54">
        <v>0.0</v>
      </c>
      <c r="DW111" s="54">
        <v>0.0</v>
      </c>
      <c r="DX111" s="54">
        <v>0.0</v>
      </c>
      <c r="DY111" s="54">
        <v>0.0</v>
      </c>
      <c r="DZ111" s="54">
        <v>0.0</v>
      </c>
      <c r="EA111" s="54">
        <v>0.0</v>
      </c>
      <c r="EB111" s="54">
        <v>0.0</v>
      </c>
      <c r="EC111" s="54">
        <v>0.0</v>
      </c>
      <c r="ED111" s="54">
        <v>0.0</v>
      </c>
      <c r="EE111" s="54">
        <v>0.0</v>
      </c>
      <c r="EF111" s="54">
        <v>0.0</v>
      </c>
      <c r="EG111" s="54">
        <v>0.0</v>
      </c>
      <c r="EH111" s="54">
        <v>0.0</v>
      </c>
      <c r="EI111" s="54">
        <v>0.0</v>
      </c>
      <c r="EJ111" s="54">
        <v>0.0</v>
      </c>
      <c r="EK111" s="54">
        <v>0.0</v>
      </c>
      <c r="EL111" s="54">
        <v>0.0</v>
      </c>
      <c r="EM111" s="54">
        <v>0.0</v>
      </c>
      <c r="EN111" s="54">
        <v>0.0</v>
      </c>
      <c r="EO111" s="54">
        <v>0.0</v>
      </c>
      <c r="EP111" s="54">
        <v>0.0</v>
      </c>
      <c r="EQ111" s="54">
        <v>0.0</v>
      </c>
      <c r="ER111" s="54">
        <v>0.0</v>
      </c>
      <c r="ES111" s="54">
        <v>0.0</v>
      </c>
      <c r="ET111" s="54">
        <v>0.0</v>
      </c>
      <c r="EU111" s="54">
        <v>0.0</v>
      </c>
      <c r="EV111" s="54">
        <v>0.0</v>
      </c>
      <c r="EW111" s="54">
        <v>0.0</v>
      </c>
      <c r="EX111" s="54">
        <v>0.0</v>
      </c>
      <c r="EY111" s="54">
        <v>0.0</v>
      </c>
      <c r="EZ111" s="54">
        <v>0.0</v>
      </c>
      <c r="FA111" s="54">
        <v>0.0</v>
      </c>
      <c r="FB111" s="54">
        <v>0.0</v>
      </c>
      <c r="FC111" s="54">
        <v>0.0</v>
      </c>
      <c r="FD111" s="54">
        <v>0.0</v>
      </c>
      <c r="FE111" s="54">
        <v>0.0</v>
      </c>
      <c r="FF111" s="54">
        <v>0.0</v>
      </c>
      <c r="FG111" s="54">
        <v>0.0</v>
      </c>
      <c r="FH111" s="54">
        <v>0.0</v>
      </c>
      <c r="FI111" s="54">
        <v>0.0</v>
      </c>
      <c r="FJ111" s="54">
        <v>0.0</v>
      </c>
      <c r="FK111" s="54">
        <v>0.0</v>
      </c>
      <c r="FL111" s="54">
        <v>21.0</v>
      </c>
      <c r="FM111" s="54">
        <v>0.0</v>
      </c>
      <c r="FN111" s="54">
        <v>0.0</v>
      </c>
      <c r="FO111" s="54">
        <v>0.0</v>
      </c>
      <c r="FP111" s="54">
        <v>0.0</v>
      </c>
      <c r="FQ111" s="54">
        <v>0.0</v>
      </c>
      <c r="FR111" s="54">
        <v>0.0</v>
      </c>
      <c r="FS111" s="54">
        <v>0.0</v>
      </c>
      <c r="FT111" s="54">
        <v>0.0</v>
      </c>
      <c r="FU111" s="54">
        <v>0.0</v>
      </c>
      <c r="FV111" s="54">
        <v>0.0</v>
      </c>
      <c r="FW111" s="54">
        <v>92764.0</v>
      </c>
      <c r="FX111" s="54">
        <v>14795.0</v>
      </c>
      <c r="FY111" s="54">
        <v>2408574.0</v>
      </c>
      <c r="FZ111" s="54">
        <v>0.0</v>
      </c>
      <c r="GA111" s="54">
        <v>2792.0</v>
      </c>
      <c r="GB111" s="54">
        <v>92441.0</v>
      </c>
      <c r="GC111" s="54">
        <v>4371.0</v>
      </c>
      <c r="GD111" s="54">
        <v>0.0</v>
      </c>
      <c r="GE111" s="54">
        <v>19852.0</v>
      </c>
      <c r="GF111" s="55">
        <v>2635610.0</v>
      </c>
      <c r="GG111" s="56">
        <v>2.6140551E7</v>
      </c>
      <c r="GH111" s="57">
        <v>0.0</v>
      </c>
      <c r="GI111" s="56">
        <v>0.0</v>
      </c>
      <c r="GJ111" s="56">
        <v>0.0</v>
      </c>
      <c r="GK111" s="56">
        <v>24600.0</v>
      </c>
      <c r="GL111" s="56">
        <v>109894.0</v>
      </c>
      <c r="GM111" s="56">
        <v>16625.0</v>
      </c>
      <c r="GN111" s="55">
        <v>2.629167E7</v>
      </c>
      <c r="GO111" s="58">
        <v>2.892728E7</v>
      </c>
      <c r="GP111" s="56">
        <v>1350007.0</v>
      </c>
      <c r="GQ111" s="56">
        <v>11729.0</v>
      </c>
      <c r="GR111" s="57">
        <v>0.0</v>
      </c>
      <c r="GS111" s="55">
        <v>1361736.0</v>
      </c>
      <c r="GT111" s="59">
        <v>3016714.0</v>
      </c>
      <c r="GU111" s="59">
        <v>2882529.0</v>
      </c>
      <c r="GV111" s="59">
        <v>1416327.0</v>
      </c>
      <c r="GW111" s="55">
        <v>7315570.0</v>
      </c>
      <c r="GX111" s="55">
        <v>1193376.0</v>
      </c>
      <c r="GY111" s="55">
        <v>1.9056598E7</v>
      </c>
      <c r="GZ111" s="58">
        <v>2.892728E7</v>
      </c>
      <c r="HH111" s="106"/>
    </row>
    <row r="112" ht="15.75" customHeight="1">
      <c r="A112" s="60">
        <v>107.0</v>
      </c>
      <c r="B112" s="111" t="s">
        <v>377</v>
      </c>
      <c r="C112" s="62">
        <v>356.0</v>
      </c>
      <c r="D112" s="62">
        <v>1590.0</v>
      </c>
      <c r="E112" s="62">
        <v>241.0</v>
      </c>
      <c r="F112" s="62">
        <v>417.0</v>
      </c>
      <c r="G112" s="62">
        <v>36.0</v>
      </c>
      <c r="H112" s="62">
        <v>431.0</v>
      </c>
      <c r="I112" s="62">
        <v>169.0</v>
      </c>
      <c r="J112" s="62">
        <v>189.0</v>
      </c>
      <c r="K112" s="62">
        <v>9.0</v>
      </c>
      <c r="L112" s="62">
        <v>8979.0</v>
      </c>
      <c r="M112" s="62">
        <v>5395.0</v>
      </c>
      <c r="N112" s="62">
        <v>2628.0</v>
      </c>
      <c r="O112" s="62">
        <v>22721.0</v>
      </c>
      <c r="P112" s="62">
        <v>246.0</v>
      </c>
      <c r="Q112" s="62">
        <v>853.0</v>
      </c>
      <c r="R112" s="62">
        <v>12169.0</v>
      </c>
      <c r="S112" s="62">
        <v>346.0</v>
      </c>
      <c r="T112" s="62">
        <v>685.0</v>
      </c>
      <c r="U112" s="62">
        <v>129.0</v>
      </c>
      <c r="V112" s="62">
        <v>4911.0</v>
      </c>
      <c r="W112" s="62">
        <v>111.0</v>
      </c>
      <c r="X112" s="62">
        <v>0.0</v>
      </c>
      <c r="Y112" s="62">
        <v>533.0</v>
      </c>
      <c r="Z112" s="62">
        <v>280.0</v>
      </c>
      <c r="AA112" s="62">
        <v>212.0</v>
      </c>
      <c r="AB112" s="62">
        <v>1226.0</v>
      </c>
      <c r="AC112" s="62">
        <v>26.0</v>
      </c>
      <c r="AD112" s="62">
        <v>3050.0</v>
      </c>
      <c r="AE112" s="62">
        <v>16.0</v>
      </c>
      <c r="AF112" s="62">
        <v>33156.0</v>
      </c>
      <c r="AG112" s="62">
        <v>24218.0</v>
      </c>
      <c r="AH112" s="62">
        <v>3128.0</v>
      </c>
      <c r="AI112" s="62">
        <v>17085.0</v>
      </c>
      <c r="AJ112" s="62">
        <v>5215.0</v>
      </c>
      <c r="AK112" s="62">
        <v>441.0</v>
      </c>
      <c r="AL112" s="62">
        <v>2045.0</v>
      </c>
      <c r="AM112" s="62">
        <v>699750.0</v>
      </c>
      <c r="AN112" s="62">
        <v>12339.0</v>
      </c>
      <c r="AO112" s="62">
        <v>86900.0</v>
      </c>
      <c r="AP112" s="62">
        <v>107.0</v>
      </c>
      <c r="AQ112" s="62">
        <v>7510.0</v>
      </c>
      <c r="AR112" s="62">
        <v>718.0</v>
      </c>
      <c r="AS112" s="62">
        <v>31303.0</v>
      </c>
      <c r="AT112" s="62">
        <v>2299.0</v>
      </c>
      <c r="AU112" s="62">
        <v>30940.0</v>
      </c>
      <c r="AV112" s="62">
        <v>9575.0</v>
      </c>
      <c r="AW112" s="62">
        <v>106.0</v>
      </c>
      <c r="AX112" s="62">
        <v>200655.0</v>
      </c>
      <c r="AY112" s="62">
        <v>888.0</v>
      </c>
      <c r="AZ112" s="62">
        <v>215.0</v>
      </c>
      <c r="BA112" s="62">
        <v>15448.0</v>
      </c>
      <c r="BB112" s="62">
        <v>27472.0</v>
      </c>
      <c r="BC112" s="62">
        <v>1612.0</v>
      </c>
      <c r="BD112" s="62">
        <v>84.0</v>
      </c>
      <c r="BE112" s="62">
        <v>286.0</v>
      </c>
      <c r="BF112" s="62">
        <v>1057.0</v>
      </c>
      <c r="BG112" s="62">
        <v>692.0</v>
      </c>
      <c r="BH112" s="62">
        <v>44196.0</v>
      </c>
      <c r="BI112" s="62">
        <v>448.0</v>
      </c>
      <c r="BJ112" s="62">
        <v>7577.0</v>
      </c>
      <c r="BK112" s="62">
        <v>895.0</v>
      </c>
      <c r="BL112" s="62">
        <v>176.0</v>
      </c>
      <c r="BM112" s="62">
        <v>14.0</v>
      </c>
      <c r="BN112" s="62">
        <v>472.0</v>
      </c>
      <c r="BO112" s="62">
        <v>3787.0</v>
      </c>
      <c r="BP112" s="62">
        <v>414.0</v>
      </c>
      <c r="BQ112" s="62">
        <v>735.0</v>
      </c>
      <c r="BR112" s="62">
        <v>543.0</v>
      </c>
      <c r="BS112" s="62">
        <v>58.0</v>
      </c>
      <c r="BT112" s="62">
        <v>152929.0</v>
      </c>
      <c r="BU112" s="62">
        <v>3906.0</v>
      </c>
      <c r="BV112" s="62">
        <v>2816.0</v>
      </c>
      <c r="BW112" s="62">
        <v>156.0</v>
      </c>
      <c r="BX112" s="62">
        <v>1174.0</v>
      </c>
      <c r="BY112" s="62">
        <v>95381.0</v>
      </c>
      <c r="BZ112" s="62">
        <v>6355.0</v>
      </c>
      <c r="CA112" s="62">
        <v>86813.0</v>
      </c>
      <c r="CB112" s="62">
        <v>34563.0</v>
      </c>
      <c r="CC112" s="62">
        <v>7210.0</v>
      </c>
      <c r="CD112" s="62">
        <v>11543.0</v>
      </c>
      <c r="CE112" s="62">
        <v>0.0</v>
      </c>
      <c r="CF112" s="62">
        <v>0.0</v>
      </c>
      <c r="CG112" s="62">
        <v>1525.0</v>
      </c>
      <c r="CH112" s="62">
        <v>27141.0</v>
      </c>
      <c r="CI112" s="62">
        <v>389505.0</v>
      </c>
      <c r="CJ112" s="62">
        <v>170475.0</v>
      </c>
      <c r="CK112" s="62">
        <v>392649.0</v>
      </c>
      <c r="CL112" s="62">
        <v>89303.0</v>
      </c>
      <c r="CM112" s="62">
        <v>18444.0</v>
      </c>
      <c r="CN112" s="62">
        <v>2860.0</v>
      </c>
      <c r="CO112" s="62">
        <v>42280.0</v>
      </c>
      <c r="CP112" s="62">
        <v>35126.0</v>
      </c>
      <c r="CQ112" s="62">
        <v>0.0</v>
      </c>
      <c r="CR112" s="62">
        <v>55590.0</v>
      </c>
      <c r="CS112" s="62">
        <v>3185.0</v>
      </c>
      <c r="CT112" s="62">
        <v>47276.0</v>
      </c>
      <c r="CU112" s="62">
        <v>18995.0</v>
      </c>
      <c r="CV112" s="62">
        <v>24416.0</v>
      </c>
      <c r="CW112" s="62">
        <v>1527.0</v>
      </c>
      <c r="CX112" s="62">
        <v>15189.0</v>
      </c>
      <c r="CY112" s="62">
        <v>774.0</v>
      </c>
      <c r="CZ112" s="62">
        <v>9097.0</v>
      </c>
      <c r="DA112" s="62">
        <v>18052.0</v>
      </c>
      <c r="DB112" s="62">
        <v>8410.0</v>
      </c>
      <c r="DC112" s="62">
        <v>2042.0</v>
      </c>
      <c r="DD112" s="62">
        <v>3469.0</v>
      </c>
      <c r="DE112" s="62">
        <v>5449.0</v>
      </c>
      <c r="DF112" s="62">
        <v>353215.0</v>
      </c>
      <c r="DG112" s="62">
        <v>24360.0</v>
      </c>
      <c r="DH112" s="62">
        <v>16477.0</v>
      </c>
      <c r="DI112" s="62">
        <v>8011.0</v>
      </c>
      <c r="DJ112" s="62">
        <v>19825.0</v>
      </c>
      <c r="DK112" s="62">
        <v>24987.0</v>
      </c>
      <c r="DL112" s="62">
        <v>24363.0</v>
      </c>
      <c r="DM112" s="62">
        <v>338.0</v>
      </c>
      <c r="DN112" s="62">
        <v>875.0</v>
      </c>
      <c r="DO112" s="62">
        <v>681.0</v>
      </c>
      <c r="DP112" s="62">
        <v>8597.0</v>
      </c>
      <c r="DQ112" s="62">
        <v>719.0</v>
      </c>
      <c r="DR112" s="62">
        <v>346944.0</v>
      </c>
      <c r="DS112" s="62">
        <v>3193.0</v>
      </c>
      <c r="DT112" s="62">
        <v>3897.0</v>
      </c>
      <c r="DU112" s="62">
        <v>111.0</v>
      </c>
      <c r="DV112" s="62">
        <v>262.0</v>
      </c>
      <c r="DW112" s="62">
        <v>337.0</v>
      </c>
      <c r="DX112" s="62">
        <v>52676.0</v>
      </c>
      <c r="DY112" s="62">
        <v>417.0</v>
      </c>
      <c r="DZ112" s="62">
        <v>366545.0</v>
      </c>
      <c r="EA112" s="62">
        <v>15651.0</v>
      </c>
      <c r="EB112" s="62">
        <v>75007.0</v>
      </c>
      <c r="EC112" s="62">
        <v>1.3200717E7</v>
      </c>
      <c r="ED112" s="62">
        <v>41834.0</v>
      </c>
      <c r="EE112" s="62">
        <v>0.0</v>
      </c>
      <c r="EF112" s="62">
        <v>119746.0</v>
      </c>
      <c r="EG112" s="62">
        <v>870406.0</v>
      </c>
      <c r="EH112" s="62">
        <v>7844407.0</v>
      </c>
      <c r="EI112" s="62">
        <v>8614.0</v>
      </c>
      <c r="EJ112" s="62">
        <v>7214.0</v>
      </c>
      <c r="EK112" s="62">
        <v>2689.0</v>
      </c>
      <c r="EL112" s="62">
        <v>15081.0</v>
      </c>
      <c r="EM112" s="62">
        <v>23296.0</v>
      </c>
      <c r="EN112" s="62">
        <v>101147.0</v>
      </c>
      <c r="EO112" s="62">
        <v>16582.0</v>
      </c>
      <c r="EP112" s="62">
        <v>161066.0</v>
      </c>
      <c r="EQ112" s="62">
        <v>35208.0</v>
      </c>
      <c r="ER112" s="62">
        <v>380.0</v>
      </c>
      <c r="ES112" s="62">
        <v>22155.0</v>
      </c>
      <c r="ET112" s="62">
        <v>47668.0</v>
      </c>
      <c r="EU112" s="62">
        <v>142653.0</v>
      </c>
      <c r="EV112" s="62">
        <v>3495.0</v>
      </c>
      <c r="EW112" s="62">
        <v>2062.0</v>
      </c>
      <c r="EX112" s="62">
        <v>17798.0</v>
      </c>
      <c r="EY112" s="62">
        <v>55082.0</v>
      </c>
      <c r="EZ112" s="62">
        <v>571536.0</v>
      </c>
      <c r="FA112" s="62">
        <v>916649.0</v>
      </c>
      <c r="FB112" s="62">
        <v>512046.0</v>
      </c>
      <c r="FC112" s="62">
        <v>432.0</v>
      </c>
      <c r="FD112" s="62">
        <v>8143670.0</v>
      </c>
      <c r="FE112" s="62">
        <v>506990.0</v>
      </c>
      <c r="FF112" s="62">
        <v>303945.0</v>
      </c>
      <c r="FG112" s="62">
        <v>1433341.0</v>
      </c>
      <c r="FH112" s="62">
        <v>504150.0</v>
      </c>
      <c r="FI112" s="62">
        <v>148770.0</v>
      </c>
      <c r="FJ112" s="62">
        <v>28377.0</v>
      </c>
      <c r="FK112" s="62">
        <v>5441.0</v>
      </c>
      <c r="FL112" s="62">
        <v>15801.0</v>
      </c>
      <c r="FM112" s="62">
        <v>4444.0</v>
      </c>
      <c r="FN112" s="62">
        <v>10042.0</v>
      </c>
      <c r="FO112" s="62">
        <v>3805.0</v>
      </c>
      <c r="FP112" s="62">
        <v>6566.0</v>
      </c>
      <c r="FQ112" s="62">
        <v>9181.0</v>
      </c>
      <c r="FR112" s="62">
        <v>10.0</v>
      </c>
      <c r="FS112" s="62">
        <v>1421.0</v>
      </c>
      <c r="FT112" s="62">
        <v>32313.0</v>
      </c>
      <c r="FU112" s="62">
        <v>631810.0</v>
      </c>
      <c r="FV112" s="62">
        <v>1204189.0</v>
      </c>
      <c r="FW112" s="62">
        <v>195489.0</v>
      </c>
      <c r="FX112" s="62">
        <v>1285.0</v>
      </c>
      <c r="FY112" s="62">
        <v>214553.0</v>
      </c>
      <c r="FZ112" s="62">
        <v>475.0</v>
      </c>
      <c r="GA112" s="62">
        <v>8417.0</v>
      </c>
      <c r="GB112" s="62">
        <v>3165.0</v>
      </c>
      <c r="GC112" s="62">
        <v>8810.0</v>
      </c>
      <c r="GD112" s="62">
        <v>27274.0</v>
      </c>
      <c r="GE112" s="62">
        <v>14648.0</v>
      </c>
      <c r="GF112" s="63">
        <v>4.2683971E7</v>
      </c>
      <c r="GG112" s="64">
        <v>4886388.0</v>
      </c>
      <c r="GH112" s="65">
        <v>0.0</v>
      </c>
      <c r="GI112" s="64">
        <v>0.0</v>
      </c>
      <c r="GJ112" s="64">
        <v>0.0</v>
      </c>
      <c r="GK112" s="64">
        <v>-3198770.0</v>
      </c>
      <c r="GL112" s="64">
        <v>2.4722538E7</v>
      </c>
      <c r="GM112" s="64">
        <v>0.0</v>
      </c>
      <c r="GN112" s="63">
        <v>2.6410156E7</v>
      </c>
      <c r="GO112" s="66">
        <v>6.9094127E7</v>
      </c>
      <c r="GP112" s="64">
        <v>1.4052582E7</v>
      </c>
      <c r="GQ112" s="64">
        <v>0.0</v>
      </c>
      <c r="GR112" s="65">
        <v>0.0</v>
      </c>
      <c r="GS112" s="63">
        <v>1.4052582E7</v>
      </c>
      <c r="GT112" s="67">
        <v>2971348.0</v>
      </c>
      <c r="GU112" s="67">
        <v>2748119.0</v>
      </c>
      <c r="GV112" s="67">
        <v>530061.0</v>
      </c>
      <c r="GW112" s="63">
        <v>6249528.0</v>
      </c>
      <c r="GX112" s="63">
        <v>1304187.0</v>
      </c>
      <c r="GY112" s="63">
        <v>4.748783E7</v>
      </c>
      <c r="GZ112" s="66">
        <v>6.9094127E7</v>
      </c>
      <c r="HH112" s="106"/>
    </row>
    <row r="113" ht="15.75" customHeight="1">
      <c r="A113" s="60">
        <v>108.0</v>
      </c>
      <c r="B113" s="111" t="s">
        <v>378</v>
      </c>
      <c r="C113" s="62">
        <v>0.0</v>
      </c>
      <c r="D113" s="62">
        <v>0.0</v>
      </c>
      <c r="E113" s="62">
        <v>0.0</v>
      </c>
      <c r="F113" s="62">
        <v>0.0</v>
      </c>
      <c r="G113" s="62">
        <v>0.0</v>
      </c>
      <c r="H113" s="62">
        <v>0.0</v>
      </c>
      <c r="I113" s="62">
        <v>0.0</v>
      </c>
      <c r="J113" s="62">
        <v>0.0</v>
      </c>
      <c r="K113" s="62">
        <v>0.0</v>
      </c>
      <c r="L113" s="62">
        <v>0.0</v>
      </c>
      <c r="M113" s="62">
        <v>0.0</v>
      </c>
      <c r="N113" s="62">
        <v>0.0</v>
      </c>
      <c r="O113" s="62">
        <v>0.0</v>
      </c>
      <c r="P113" s="62">
        <v>0.0</v>
      </c>
      <c r="Q113" s="62">
        <v>0.0</v>
      </c>
      <c r="R113" s="62">
        <v>0.0</v>
      </c>
      <c r="S113" s="62">
        <v>0.0</v>
      </c>
      <c r="T113" s="62">
        <v>0.0</v>
      </c>
      <c r="U113" s="62">
        <v>0.0</v>
      </c>
      <c r="V113" s="62">
        <v>0.0</v>
      </c>
      <c r="W113" s="62">
        <v>0.0</v>
      </c>
      <c r="X113" s="62">
        <v>0.0</v>
      </c>
      <c r="Y113" s="62">
        <v>0.0</v>
      </c>
      <c r="Z113" s="62">
        <v>0.0</v>
      </c>
      <c r="AA113" s="62">
        <v>0.0</v>
      </c>
      <c r="AB113" s="62">
        <v>0.0</v>
      </c>
      <c r="AC113" s="62">
        <v>0.0</v>
      </c>
      <c r="AD113" s="62">
        <v>0.0</v>
      </c>
      <c r="AE113" s="62">
        <v>0.0</v>
      </c>
      <c r="AF113" s="62">
        <v>0.0</v>
      </c>
      <c r="AG113" s="62">
        <v>0.0</v>
      </c>
      <c r="AH113" s="62">
        <v>0.0</v>
      </c>
      <c r="AI113" s="62">
        <v>0.0</v>
      </c>
      <c r="AJ113" s="62">
        <v>0.0</v>
      </c>
      <c r="AK113" s="62">
        <v>0.0</v>
      </c>
      <c r="AL113" s="62">
        <v>0.0</v>
      </c>
      <c r="AM113" s="62">
        <v>0.0</v>
      </c>
      <c r="AN113" s="62">
        <v>0.0</v>
      </c>
      <c r="AO113" s="62">
        <v>0.0</v>
      </c>
      <c r="AP113" s="62">
        <v>0.0</v>
      </c>
      <c r="AQ113" s="62">
        <v>0.0</v>
      </c>
      <c r="AR113" s="62">
        <v>0.0</v>
      </c>
      <c r="AS113" s="62">
        <v>0.0</v>
      </c>
      <c r="AT113" s="62">
        <v>0.0</v>
      </c>
      <c r="AU113" s="62">
        <v>0.0</v>
      </c>
      <c r="AV113" s="62">
        <v>0.0</v>
      </c>
      <c r="AW113" s="62">
        <v>0.0</v>
      </c>
      <c r="AX113" s="62">
        <v>0.0</v>
      </c>
      <c r="AY113" s="62">
        <v>0.0</v>
      </c>
      <c r="AZ113" s="62">
        <v>0.0</v>
      </c>
      <c r="BA113" s="62">
        <v>0.0</v>
      </c>
      <c r="BB113" s="62">
        <v>0.0</v>
      </c>
      <c r="BC113" s="62">
        <v>0.0</v>
      </c>
      <c r="BD113" s="62">
        <v>0.0</v>
      </c>
      <c r="BE113" s="62">
        <v>0.0</v>
      </c>
      <c r="BF113" s="62">
        <v>0.0</v>
      </c>
      <c r="BG113" s="62">
        <v>0.0</v>
      </c>
      <c r="BH113" s="62">
        <v>0.0</v>
      </c>
      <c r="BI113" s="62">
        <v>0.0</v>
      </c>
      <c r="BJ113" s="62">
        <v>0.0</v>
      </c>
      <c r="BK113" s="62">
        <v>0.0</v>
      </c>
      <c r="BL113" s="62">
        <v>0.0</v>
      </c>
      <c r="BM113" s="62">
        <v>0.0</v>
      </c>
      <c r="BN113" s="62">
        <v>0.0</v>
      </c>
      <c r="BO113" s="62">
        <v>0.0</v>
      </c>
      <c r="BP113" s="62">
        <v>0.0</v>
      </c>
      <c r="BQ113" s="62">
        <v>0.0</v>
      </c>
      <c r="BR113" s="62">
        <v>0.0</v>
      </c>
      <c r="BS113" s="62">
        <v>0.0</v>
      </c>
      <c r="BT113" s="62">
        <v>0.0</v>
      </c>
      <c r="BU113" s="62">
        <v>0.0</v>
      </c>
      <c r="BV113" s="62">
        <v>0.0</v>
      </c>
      <c r="BW113" s="62">
        <v>0.0</v>
      </c>
      <c r="BX113" s="62">
        <v>0.0</v>
      </c>
      <c r="BY113" s="62">
        <v>0.0</v>
      </c>
      <c r="BZ113" s="62">
        <v>0.0</v>
      </c>
      <c r="CA113" s="62">
        <v>0.0</v>
      </c>
      <c r="CB113" s="62">
        <v>0.0</v>
      </c>
      <c r="CC113" s="62">
        <v>31.0</v>
      </c>
      <c r="CD113" s="62">
        <v>23.0</v>
      </c>
      <c r="CE113" s="62">
        <v>3306.0</v>
      </c>
      <c r="CF113" s="62">
        <v>9836.0</v>
      </c>
      <c r="CG113" s="62">
        <v>0.0</v>
      </c>
      <c r="CH113" s="62">
        <v>215500.0</v>
      </c>
      <c r="CI113" s="62">
        <v>4081771.0</v>
      </c>
      <c r="CJ113" s="62">
        <v>0.0</v>
      </c>
      <c r="CK113" s="62">
        <v>0.0</v>
      </c>
      <c r="CL113" s="62">
        <v>0.0</v>
      </c>
      <c r="CM113" s="62">
        <v>0.0</v>
      </c>
      <c r="CN113" s="62">
        <v>0.0</v>
      </c>
      <c r="CO113" s="62">
        <v>0.0</v>
      </c>
      <c r="CP113" s="62">
        <v>0.0</v>
      </c>
      <c r="CQ113" s="62">
        <v>0.0</v>
      </c>
      <c r="CR113" s="62">
        <v>2315.0</v>
      </c>
      <c r="CS113" s="62">
        <v>30.0</v>
      </c>
      <c r="CT113" s="62">
        <v>0.0</v>
      </c>
      <c r="CU113" s="62">
        <v>0.0</v>
      </c>
      <c r="CV113" s="62">
        <v>0.0</v>
      </c>
      <c r="CW113" s="62">
        <v>0.0</v>
      </c>
      <c r="CX113" s="62">
        <v>0.0</v>
      </c>
      <c r="CY113" s="62">
        <v>0.0</v>
      </c>
      <c r="CZ113" s="62">
        <v>0.0</v>
      </c>
      <c r="DA113" s="62">
        <v>0.0</v>
      </c>
      <c r="DB113" s="62">
        <v>0.0</v>
      </c>
      <c r="DC113" s="62">
        <v>0.0</v>
      </c>
      <c r="DD113" s="62">
        <v>0.0</v>
      </c>
      <c r="DE113" s="62">
        <v>1.5250818E7</v>
      </c>
      <c r="DF113" s="62">
        <v>455798.0</v>
      </c>
      <c r="DG113" s="62">
        <v>4781237.0</v>
      </c>
      <c r="DH113" s="62">
        <v>3312764.0</v>
      </c>
      <c r="DI113" s="62">
        <v>394715.0</v>
      </c>
      <c r="DJ113" s="62">
        <v>1019.0</v>
      </c>
      <c r="DK113" s="62">
        <v>0.0</v>
      </c>
      <c r="DL113" s="62">
        <v>0.0</v>
      </c>
      <c r="DM113" s="62">
        <v>0.0</v>
      </c>
      <c r="DN113" s="62">
        <v>0.0</v>
      </c>
      <c r="DO113" s="62">
        <v>0.0</v>
      </c>
      <c r="DP113" s="62">
        <v>80693.0</v>
      </c>
      <c r="DQ113" s="62">
        <v>1331257.0</v>
      </c>
      <c r="DR113" s="62">
        <v>61412.0</v>
      </c>
      <c r="DS113" s="62">
        <v>122565.0</v>
      </c>
      <c r="DT113" s="62">
        <v>0.0</v>
      </c>
      <c r="DU113" s="62">
        <v>0.0</v>
      </c>
      <c r="DV113" s="62">
        <v>40729.0</v>
      </c>
      <c r="DW113" s="62">
        <v>0.0</v>
      </c>
      <c r="DX113" s="62">
        <v>43794.0</v>
      </c>
      <c r="DY113" s="62">
        <v>76724.0</v>
      </c>
      <c r="DZ113" s="62">
        <v>106327.0</v>
      </c>
      <c r="EA113" s="62">
        <v>0.0</v>
      </c>
      <c r="EB113" s="62">
        <v>0.0</v>
      </c>
      <c r="EC113" s="62">
        <v>1152464.0</v>
      </c>
      <c r="ED113" s="62">
        <v>5225.0</v>
      </c>
      <c r="EE113" s="62">
        <v>0.0</v>
      </c>
      <c r="EF113" s="62">
        <v>0.0</v>
      </c>
      <c r="EG113" s="62">
        <v>107312.0</v>
      </c>
      <c r="EH113" s="62">
        <v>24838.0</v>
      </c>
      <c r="EI113" s="62">
        <v>922393.0</v>
      </c>
      <c r="EJ113" s="62">
        <v>259.0</v>
      </c>
      <c r="EK113" s="62">
        <v>24648.0</v>
      </c>
      <c r="EL113" s="62">
        <v>1803833.0</v>
      </c>
      <c r="EM113" s="62">
        <v>813864.0</v>
      </c>
      <c r="EN113" s="62">
        <v>574586.0</v>
      </c>
      <c r="EO113" s="62">
        <v>1790720.0</v>
      </c>
      <c r="EP113" s="62">
        <v>21947.0</v>
      </c>
      <c r="EQ113" s="62">
        <v>0.0</v>
      </c>
      <c r="ER113" s="62">
        <v>0.0</v>
      </c>
      <c r="ES113" s="62">
        <v>0.0</v>
      </c>
      <c r="ET113" s="62">
        <v>0.0</v>
      </c>
      <c r="EU113" s="62">
        <v>11913.0</v>
      </c>
      <c r="EV113" s="62">
        <v>42215.0</v>
      </c>
      <c r="EW113" s="62">
        <v>1481.0</v>
      </c>
      <c r="EX113" s="62">
        <v>390760.0</v>
      </c>
      <c r="EY113" s="62">
        <v>31401.0</v>
      </c>
      <c r="EZ113" s="62">
        <v>0.0</v>
      </c>
      <c r="FA113" s="62">
        <v>0.0</v>
      </c>
      <c r="FB113" s="62">
        <v>0.0</v>
      </c>
      <c r="FC113" s="62">
        <v>0.0</v>
      </c>
      <c r="FD113" s="62">
        <v>0.0</v>
      </c>
      <c r="FE113" s="62">
        <v>0.0</v>
      </c>
      <c r="FF113" s="62">
        <v>0.0</v>
      </c>
      <c r="FG113" s="62">
        <v>0.0</v>
      </c>
      <c r="FH113" s="62">
        <v>0.0</v>
      </c>
      <c r="FI113" s="62">
        <v>0.0</v>
      </c>
      <c r="FJ113" s="62">
        <v>0.0</v>
      </c>
      <c r="FK113" s="62">
        <v>0.0</v>
      </c>
      <c r="FL113" s="62">
        <v>0.0</v>
      </c>
      <c r="FM113" s="62">
        <v>0.0</v>
      </c>
      <c r="FN113" s="62">
        <v>0.0</v>
      </c>
      <c r="FO113" s="62">
        <v>0.0</v>
      </c>
      <c r="FP113" s="62">
        <v>0.0</v>
      </c>
      <c r="FQ113" s="62">
        <v>0.0</v>
      </c>
      <c r="FR113" s="62">
        <v>0.0</v>
      </c>
      <c r="FS113" s="62">
        <v>0.0</v>
      </c>
      <c r="FT113" s="62">
        <v>0.0</v>
      </c>
      <c r="FU113" s="62">
        <v>0.0</v>
      </c>
      <c r="FV113" s="62">
        <v>0.0</v>
      </c>
      <c r="FW113" s="62">
        <v>0.0</v>
      </c>
      <c r="FX113" s="62">
        <v>0.0</v>
      </c>
      <c r="FY113" s="62">
        <v>0.0</v>
      </c>
      <c r="FZ113" s="62">
        <v>0.0</v>
      </c>
      <c r="GA113" s="62">
        <v>0.0</v>
      </c>
      <c r="GB113" s="62">
        <v>0.0</v>
      </c>
      <c r="GC113" s="62">
        <v>0.0</v>
      </c>
      <c r="GD113" s="62">
        <v>0.0</v>
      </c>
      <c r="GE113" s="62">
        <v>0.0</v>
      </c>
      <c r="GF113" s="63">
        <v>3.8092523E7</v>
      </c>
      <c r="GG113" s="64">
        <v>0.0</v>
      </c>
      <c r="GH113" s="65">
        <v>0.0</v>
      </c>
      <c r="GI113" s="64">
        <v>0.0</v>
      </c>
      <c r="GJ113" s="64">
        <v>0.0</v>
      </c>
      <c r="GK113" s="64">
        <v>1334932.0</v>
      </c>
      <c r="GL113" s="64">
        <v>4.3638934E7</v>
      </c>
      <c r="GM113" s="64">
        <v>0.0</v>
      </c>
      <c r="GN113" s="63">
        <v>4.4973866E7</v>
      </c>
      <c r="GO113" s="66">
        <v>8.3066389E7</v>
      </c>
      <c r="GP113" s="64">
        <v>165374.0</v>
      </c>
      <c r="GQ113" s="64">
        <v>0.0</v>
      </c>
      <c r="GR113" s="65">
        <v>0.0</v>
      </c>
      <c r="GS113" s="63">
        <v>165374.0</v>
      </c>
      <c r="GT113" s="67">
        <v>1916277.0</v>
      </c>
      <c r="GU113" s="67">
        <v>160519.0</v>
      </c>
      <c r="GV113" s="67">
        <v>561915.0</v>
      </c>
      <c r="GW113" s="63">
        <v>2638711.0</v>
      </c>
      <c r="GX113" s="63">
        <v>8194.0</v>
      </c>
      <c r="GY113" s="63">
        <v>8.025411E7</v>
      </c>
      <c r="GZ113" s="66">
        <v>8.3066389E7</v>
      </c>
      <c r="HH113" s="106"/>
    </row>
    <row r="114" ht="15.75" customHeight="1">
      <c r="A114" s="60">
        <v>109.0</v>
      </c>
      <c r="B114" s="111" t="s">
        <v>379</v>
      </c>
      <c r="C114" s="62">
        <v>0.0</v>
      </c>
      <c r="D114" s="62">
        <v>643.0</v>
      </c>
      <c r="E114" s="62">
        <v>36.0</v>
      </c>
      <c r="F114" s="62">
        <v>0.0</v>
      </c>
      <c r="G114" s="62">
        <v>0.0</v>
      </c>
      <c r="H114" s="62">
        <v>77.0</v>
      </c>
      <c r="I114" s="62">
        <v>36.0</v>
      </c>
      <c r="J114" s="62">
        <v>20.0</v>
      </c>
      <c r="K114" s="62">
        <v>9.0</v>
      </c>
      <c r="L114" s="62">
        <v>780.0</v>
      </c>
      <c r="M114" s="62">
        <v>252.0</v>
      </c>
      <c r="N114" s="62">
        <v>101.0</v>
      </c>
      <c r="O114" s="62">
        <v>901.0</v>
      </c>
      <c r="P114" s="62">
        <v>0.0</v>
      </c>
      <c r="Q114" s="62">
        <v>0.0</v>
      </c>
      <c r="R114" s="62">
        <v>637.0</v>
      </c>
      <c r="S114" s="62">
        <v>33.0</v>
      </c>
      <c r="T114" s="62">
        <v>0.0</v>
      </c>
      <c r="U114" s="62">
        <v>14.0</v>
      </c>
      <c r="V114" s="62">
        <v>383.0</v>
      </c>
      <c r="W114" s="62">
        <v>12.0</v>
      </c>
      <c r="X114" s="62">
        <v>0.0</v>
      </c>
      <c r="Y114" s="62">
        <v>82.0</v>
      </c>
      <c r="Z114" s="62">
        <v>0.0</v>
      </c>
      <c r="AA114" s="62">
        <v>0.0</v>
      </c>
      <c r="AB114" s="62">
        <v>205.0</v>
      </c>
      <c r="AC114" s="62">
        <v>21.0</v>
      </c>
      <c r="AD114" s="62">
        <v>147.0</v>
      </c>
      <c r="AE114" s="62">
        <v>66.0</v>
      </c>
      <c r="AF114" s="62">
        <v>23125.0</v>
      </c>
      <c r="AG114" s="62">
        <v>3817.0</v>
      </c>
      <c r="AH114" s="62">
        <v>1579.0</v>
      </c>
      <c r="AI114" s="62">
        <v>1792.0</v>
      </c>
      <c r="AJ114" s="62">
        <v>665.0</v>
      </c>
      <c r="AK114" s="62">
        <v>46.0</v>
      </c>
      <c r="AL114" s="62">
        <v>289.0</v>
      </c>
      <c r="AM114" s="62">
        <v>393621.0</v>
      </c>
      <c r="AN114" s="62">
        <v>15450.0</v>
      </c>
      <c r="AO114" s="62">
        <v>50303.0</v>
      </c>
      <c r="AP114" s="62">
        <v>621.0</v>
      </c>
      <c r="AQ114" s="62">
        <v>39080.0</v>
      </c>
      <c r="AR114" s="62">
        <v>524.0</v>
      </c>
      <c r="AS114" s="62">
        <v>20971.0</v>
      </c>
      <c r="AT114" s="62">
        <v>1794.0</v>
      </c>
      <c r="AU114" s="62">
        <v>18960.0</v>
      </c>
      <c r="AV114" s="62">
        <v>9177.0</v>
      </c>
      <c r="AW114" s="62">
        <v>113.0</v>
      </c>
      <c r="AX114" s="62">
        <v>6953.0</v>
      </c>
      <c r="AY114" s="62">
        <v>89.0</v>
      </c>
      <c r="AZ114" s="62">
        <v>30.0</v>
      </c>
      <c r="BA114" s="62">
        <v>4189.0</v>
      </c>
      <c r="BB114" s="62">
        <v>16238.0</v>
      </c>
      <c r="BC114" s="62">
        <v>2547.0</v>
      </c>
      <c r="BD114" s="62">
        <v>198.0</v>
      </c>
      <c r="BE114" s="62">
        <v>1422.0</v>
      </c>
      <c r="BF114" s="62">
        <v>4955.0</v>
      </c>
      <c r="BG114" s="62">
        <v>3313.0</v>
      </c>
      <c r="BH114" s="62">
        <v>884.0</v>
      </c>
      <c r="BI114" s="62">
        <v>1459.0</v>
      </c>
      <c r="BJ114" s="62">
        <v>26824.0</v>
      </c>
      <c r="BK114" s="62">
        <v>2018.0</v>
      </c>
      <c r="BL114" s="62">
        <v>275.0</v>
      </c>
      <c r="BM114" s="62">
        <v>21.0</v>
      </c>
      <c r="BN114" s="62">
        <v>0.0</v>
      </c>
      <c r="BO114" s="62">
        <v>113.0</v>
      </c>
      <c r="BP114" s="62">
        <v>0.0</v>
      </c>
      <c r="BQ114" s="62">
        <v>0.0</v>
      </c>
      <c r="BR114" s="62">
        <v>49.0</v>
      </c>
      <c r="BS114" s="62">
        <v>0.0</v>
      </c>
      <c r="BT114" s="62">
        <v>37299.0</v>
      </c>
      <c r="BU114" s="62">
        <v>20799.0</v>
      </c>
      <c r="BV114" s="62">
        <v>6036.0</v>
      </c>
      <c r="BW114" s="62">
        <v>312.0</v>
      </c>
      <c r="BX114" s="62">
        <v>33792.0</v>
      </c>
      <c r="BY114" s="62">
        <v>17262.0</v>
      </c>
      <c r="BZ114" s="62">
        <v>1151.0</v>
      </c>
      <c r="CA114" s="62">
        <v>120734.0</v>
      </c>
      <c r="CB114" s="62">
        <v>25547.0</v>
      </c>
      <c r="CC114" s="62">
        <v>79336.0</v>
      </c>
      <c r="CD114" s="62">
        <v>1200.0</v>
      </c>
      <c r="CE114" s="62">
        <v>3177.0</v>
      </c>
      <c r="CF114" s="62">
        <v>945.0</v>
      </c>
      <c r="CG114" s="62">
        <v>18197.0</v>
      </c>
      <c r="CH114" s="62">
        <v>236225.0</v>
      </c>
      <c r="CI114" s="62">
        <v>423565.0</v>
      </c>
      <c r="CJ114" s="62">
        <v>59324.0</v>
      </c>
      <c r="CK114" s="62">
        <v>108939.0</v>
      </c>
      <c r="CL114" s="62">
        <v>29184.0</v>
      </c>
      <c r="CM114" s="62">
        <v>7390.0</v>
      </c>
      <c r="CN114" s="62">
        <v>3678.0</v>
      </c>
      <c r="CO114" s="62">
        <v>63551.0</v>
      </c>
      <c r="CP114" s="62">
        <v>51928.0</v>
      </c>
      <c r="CQ114" s="62">
        <v>305.0</v>
      </c>
      <c r="CR114" s="62">
        <v>15631.0</v>
      </c>
      <c r="CS114" s="62">
        <v>6060.0</v>
      </c>
      <c r="CT114" s="62">
        <v>88248.0</v>
      </c>
      <c r="CU114" s="62">
        <v>22280.0</v>
      </c>
      <c r="CV114" s="62">
        <v>58611.0</v>
      </c>
      <c r="CW114" s="62">
        <v>7621.0</v>
      </c>
      <c r="CX114" s="62">
        <v>3213.0</v>
      </c>
      <c r="CY114" s="62">
        <v>561.0</v>
      </c>
      <c r="CZ114" s="62">
        <v>16630.0</v>
      </c>
      <c r="DA114" s="62">
        <v>10944.0</v>
      </c>
      <c r="DB114" s="62">
        <v>21645.0</v>
      </c>
      <c r="DC114" s="62">
        <v>259903.0</v>
      </c>
      <c r="DD114" s="62">
        <v>7958.0</v>
      </c>
      <c r="DE114" s="62">
        <v>3904.0</v>
      </c>
      <c r="DF114" s="62">
        <v>53345.0</v>
      </c>
      <c r="DG114" s="62">
        <v>12511.0</v>
      </c>
      <c r="DH114" s="62">
        <v>659710.0</v>
      </c>
      <c r="DI114" s="62">
        <v>8898.0</v>
      </c>
      <c r="DJ114" s="62">
        <v>19731.0</v>
      </c>
      <c r="DK114" s="62">
        <v>25286.0</v>
      </c>
      <c r="DL114" s="62">
        <v>6551.0</v>
      </c>
      <c r="DM114" s="62">
        <v>13697.0</v>
      </c>
      <c r="DN114" s="62">
        <v>670.0</v>
      </c>
      <c r="DO114" s="62">
        <v>497.0</v>
      </c>
      <c r="DP114" s="62">
        <v>0.0</v>
      </c>
      <c r="DQ114" s="62">
        <v>9480.0</v>
      </c>
      <c r="DR114" s="62">
        <v>9780.0</v>
      </c>
      <c r="DS114" s="62">
        <v>2051.0</v>
      </c>
      <c r="DT114" s="62">
        <v>1776.0</v>
      </c>
      <c r="DU114" s="62">
        <v>270.0</v>
      </c>
      <c r="DV114" s="62">
        <v>0.0</v>
      </c>
      <c r="DW114" s="62">
        <v>20179.0</v>
      </c>
      <c r="DX114" s="62">
        <v>3067.0</v>
      </c>
      <c r="DY114" s="62">
        <v>161.0</v>
      </c>
      <c r="DZ114" s="62">
        <v>30626.0</v>
      </c>
      <c r="EA114" s="62">
        <v>10.0</v>
      </c>
      <c r="EB114" s="62">
        <v>85994.0</v>
      </c>
      <c r="EC114" s="62">
        <v>352597.0</v>
      </c>
      <c r="ED114" s="62">
        <v>66136.0</v>
      </c>
      <c r="EE114" s="62">
        <v>51855.0</v>
      </c>
      <c r="EF114" s="62">
        <v>50745.0</v>
      </c>
      <c r="EG114" s="62">
        <v>251704.0</v>
      </c>
      <c r="EH114" s="62">
        <v>385210.0</v>
      </c>
      <c r="EI114" s="62">
        <v>517.0</v>
      </c>
      <c r="EJ114" s="62">
        <v>7610.0</v>
      </c>
      <c r="EK114" s="62">
        <v>204944.0</v>
      </c>
      <c r="EL114" s="62">
        <v>90672.0</v>
      </c>
      <c r="EM114" s="62">
        <v>273918.0</v>
      </c>
      <c r="EN114" s="62">
        <v>42246.0</v>
      </c>
      <c r="EO114" s="62">
        <v>2827.0</v>
      </c>
      <c r="EP114" s="62">
        <v>60678.0</v>
      </c>
      <c r="EQ114" s="62">
        <v>34308.0</v>
      </c>
      <c r="ER114" s="62">
        <v>1170.0</v>
      </c>
      <c r="ES114" s="62">
        <v>15546.0</v>
      </c>
      <c r="ET114" s="62">
        <v>12261.0</v>
      </c>
      <c r="EU114" s="62">
        <v>990386.0</v>
      </c>
      <c r="EV114" s="62">
        <v>5391.0</v>
      </c>
      <c r="EW114" s="62">
        <v>6175.0</v>
      </c>
      <c r="EX114" s="62">
        <v>22297.0</v>
      </c>
      <c r="EY114" s="62">
        <v>2565135.0</v>
      </c>
      <c r="EZ114" s="62">
        <v>526251.0</v>
      </c>
      <c r="FA114" s="62">
        <v>433535.0</v>
      </c>
      <c r="FB114" s="62">
        <v>2197941.0</v>
      </c>
      <c r="FC114" s="62">
        <v>501.0</v>
      </c>
      <c r="FD114" s="62">
        <v>702800.0</v>
      </c>
      <c r="FE114" s="62">
        <v>445818.0</v>
      </c>
      <c r="FF114" s="62">
        <v>42539.0</v>
      </c>
      <c r="FG114" s="62">
        <v>365256.0</v>
      </c>
      <c r="FH114" s="62">
        <v>367366.0</v>
      </c>
      <c r="FI114" s="62">
        <v>113691.0</v>
      </c>
      <c r="FJ114" s="62">
        <v>6551.0</v>
      </c>
      <c r="FK114" s="62">
        <v>32138.0</v>
      </c>
      <c r="FL114" s="62">
        <v>9928.0</v>
      </c>
      <c r="FM114" s="62">
        <v>122932.0</v>
      </c>
      <c r="FN114" s="62">
        <v>71863.0</v>
      </c>
      <c r="FO114" s="62">
        <v>3347.0</v>
      </c>
      <c r="FP114" s="62">
        <v>14705.0</v>
      </c>
      <c r="FQ114" s="62">
        <v>726.0</v>
      </c>
      <c r="FR114" s="62">
        <v>4.0</v>
      </c>
      <c r="FS114" s="62">
        <v>16355.0</v>
      </c>
      <c r="FT114" s="62">
        <v>94584.0</v>
      </c>
      <c r="FU114" s="62">
        <v>182317.0</v>
      </c>
      <c r="FV114" s="62">
        <v>82584.0</v>
      </c>
      <c r="FW114" s="62">
        <v>67580.0</v>
      </c>
      <c r="FX114" s="62">
        <v>24697.0</v>
      </c>
      <c r="FY114" s="62">
        <v>2105654.0</v>
      </c>
      <c r="FZ114" s="62">
        <v>157.0</v>
      </c>
      <c r="GA114" s="62">
        <v>210151.0</v>
      </c>
      <c r="GB114" s="62">
        <v>76376.0</v>
      </c>
      <c r="GC114" s="62">
        <v>15523.0</v>
      </c>
      <c r="GD114" s="62">
        <v>5969.0</v>
      </c>
      <c r="GE114" s="62">
        <v>16817.0</v>
      </c>
      <c r="GF114" s="63">
        <v>1.7346318E7</v>
      </c>
      <c r="GG114" s="64">
        <v>298916.0</v>
      </c>
      <c r="GH114" s="65">
        <v>0.0</v>
      </c>
      <c r="GI114" s="64">
        <v>0.0</v>
      </c>
      <c r="GJ114" s="64">
        <v>1138564.0</v>
      </c>
      <c r="GK114" s="64">
        <v>-3938097.0</v>
      </c>
      <c r="GL114" s="64">
        <v>8338015.0</v>
      </c>
      <c r="GM114" s="64">
        <v>0.0</v>
      </c>
      <c r="GN114" s="63">
        <v>5837398.0</v>
      </c>
      <c r="GO114" s="66">
        <v>2.3183716E7</v>
      </c>
      <c r="GP114" s="64">
        <v>3913162.0</v>
      </c>
      <c r="GQ114" s="64">
        <v>0.0</v>
      </c>
      <c r="GR114" s="65">
        <v>0.0</v>
      </c>
      <c r="GS114" s="63">
        <v>3913162.0</v>
      </c>
      <c r="GT114" s="67">
        <v>1853534.0</v>
      </c>
      <c r="GU114" s="67">
        <v>1350136.0</v>
      </c>
      <c r="GV114" s="67">
        <v>203055.0</v>
      </c>
      <c r="GW114" s="63">
        <v>3406725.0</v>
      </c>
      <c r="GX114" s="63">
        <v>401110.0</v>
      </c>
      <c r="GY114" s="63">
        <v>1.5462719E7</v>
      </c>
      <c r="GZ114" s="66">
        <v>2.3183716E7</v>
      </c>
      <c r="HH114" s="106"/>
    </row>
    <row r="115" ht="15.75" customHeight="1">
      <c r="A115" s="68">
        <v>110.0</v>
      </c>
      <c r="B115" s="111" t="s">
        <v>380</v>
      </c>
      <c r="C115" s="70">
        <v>35367.0</v>
      </c>
      <c r="D115" s="70">
        <v>28866.0</v>
      </c>
      <c r="E115" s="70">
        <v>3291.0</v>
      </c>
      <c r="F115" s="70">
        <v>366.0</v>
      </c>
      <c r="G115" s="70">
        <v>494.0</v>
      </c>
      <c r="H115" s="70">
        <v>8045.0</v>
      </c>
      <c r="I115" s="70">
        <v>4926.0</v>
      </c>
      <c r="J115" s="70">
        <v>1944.0</v>
      </c>
      <c r="K115" s="70">
        <v>10.0</v>
      </c>
      <c r="L115" s="70">
        <v>317136.0</v>
      </c>
      <c r="M115" s="70">
        <v>12302.0</v>
      </c>
      <c r="N115" s="70">
        <v>19216.0</v>
      </c>
      <c r="O115" s="70">
        <v>71974.0</v>
      </c>
      <c r="P115" s="70">
        <v>1032.0</v>
      </c>
      <c r="Q115" s="70">
        <v>90931.0</v>
      </c>
      <c r="R115" s="70">
        <v>521761.0</v>
      </c>
      <c r="S115" s="70">
        <v>35805.0</v>
      </c>
      <c r="T115" s="70">
        <v>172588.0</v>
      </c>
      <c r="U115" s="70">
        <v>157223.0</v>
      </c>
      <c r="V115" s="70">
        <v>189708.0</v>
      </c>
      <c r="W115" s="70">
        <v>23519.0</v>
      </c>
      <c r="X115" s="70">
        <v>17409.0</v>
      </c>
      <c r="Y115" s="70">
        <v>146753.0</v>
      </c>
      <c r="Z115" s="70">
        <v>203562.0</v>
      </c>
      <c r="AA115" s="70">
        <v>14014.0</v>
      </c>
      <c r="AB115" s="70">
        <v>27342.0</v>
      </c>
      <c r="AC115" s="70">
        <v>4206.0</v>
      </c>
      <c r="AD115" s="70">
        <v>49983.0</v>
      </c>
      <c r="AE115" s="70">
        <v>6018.0</v>
      </c>
      <c r="AF115" s="70">
        <v>364102.0</v>
      </c>
      <c r="AG115" s="70">
        <v>63103.0</v>
      </c>
      <c r="AH115" s="70">
        <v>19427.0</v>
      </c>
      <c r="AI115" s="70">
        <v>276564.0</v>
      </c>
      <c r="AJ115" s="70">
        <v>32879.0</v>
      </c>
      <c r="AK115" s="70">
        <v>3739.0</v>
      </c>
      <c r="AL115" s="70">
        <v>9158.0</v>
      </c>
      <c r="AM115" s="70">
        <v>400899.0</v>
      </c>
      <c r="AN115" s="70">
        <v>190893.0</v>
      </c>
      <c r="AO115" s="70">
        <v>153492.0</v>
      </c>
      <c r="AP115" s="70">
        <v>1273.0</v>
      </c>
      <c r="AQ115" s="70">
        <v>80745.0</v>
      </c>
      <c r="AR115" s="70">
        <v>7534.0</v>
      </c>
      <c r="AS115" s="70">
        <v>224323.0</v>
      </c>
      <c r="AT115" s="70">
        <v>32455.0</v>
      </c>
      <c r="AU115" s="70">
        <v>69601.0</v>
      </c>
      <c r="AV115" s="70">
        <v>129806.0</v>
      </c>
      <c r="AW115" s="70">
        <v>239.0</v>
      </c>
      <c r="AX115" s="70">
        <v>786831.0</v>
      </c>
      <c r="AY115" s="70">
        <v>3744.0</v>
      </c>
      <c r="AZ115" s="70">
        <v>4274.0</v>
      </c>
      <c r="BA115" s="70">
        <v>29442.0</v>
      </c>
      <c r="BB115" s="70">
        <v>79275.0</v>
      </c>
      <c r="BC115" s="70">
        <v>126585.0</v>
      </c>
      <c r="BD115" s="70">
        <v>870659.0</v>
      </c>
      <c r="BE115" s="70">
        <v>18759.0</v>
      </c>
      <c r="BF115" s="70">
        <v>65980.0</v>
      </c>
      <c r="BG115" s="70">
        <v>86448.0</v>
      </c>
      <c r="BH115" s="70">
        <v>99781.0</v>
      </c>
      <c r="BI115" s="70">
        <v>17340.0</v>
      </c>
      <c r="BJ115" s="70">
        <v>94.0</v>
      </c>
      <c r="BK115" s="70">
        <v>20571.0</v>
      </c>
      <c r="BL115" s="70">
        <v>81.0</v>
      </c>
      <c r="BM115" s="70">
        <v>188.0</v>
      </c>
      <c r="BN115" s="70">
        <v>416.0</v>
      </c>
      <c r="BO115" s="70">
        <v>111208.0</v>
      </c>
      <c r="BP115" s="70">
        <v>100.0</v>
      </c>
      <c r="BQ115" s="70">
        <v>21605.0</v>
      </c>
      <c r="BR115" s="70">
        <v>336737.0</v>
      </c>
      <c r="BS115" s="70">
        <v>24189.0</v>
      </c>
      <c r="BT115" s="70">
        <v>821136.0</v>
      </c>
      <c r="BU115" s="70">
        <v>127830.0</v>
      </c>
      <c r="BV115" s="70">
        <v>12186.0</v>
      </c>
      <c r="BW115" s="70">
        <v>3734.0</v>
      </c>
      <c r="BX115" s="70">
        <v>722308.0</v>
      </c>
      <c r="BY115" s="70">
        <v>1263499.0</v>
      </c>
      <c r="BZ115" s="70">
        <v>84215.0</v>
      </c>
      <c r="CA115" s="70">
        <v>161700.0</v>
      </c>
      <c r="CB115" s="70">
        <v>345255.0</v>
      </c>
      <c r="CC115" s="70">
        <v>81082.0</v>
      </c>
      <c r="CD115" s="70">
        <v>37798.0</v>
      </c>
      <c r="CE115" s="70">
        <v>51386.0</v>
      </c>
      <c r="CF115" s="70">
        <v>501677.0</v>
      </c>
      <c r="CG115" s="70">
        <v>892764.0</v>
      </c>
      <c r="CH115" s="70">
        <v>127234.0</v>
      </c>
      <c r="CI115" s="70">
        <v>224042.0</v>
      </c>
      <c r="CJ115" s="70">
        <v>187739.0</v>
      </c>
      <c r="CK115" s="70">
        <v>399724.0</v>
      </c>
      <c r="CL115" s="70">
        <v>228155.0</v>
      </c>
      <c r="CM115" s="70">
        <v>94367.0</v>
      </c>
      <c r="CN115" s="70">
        <v>173801.0</v>
      </c>
      <c r="CO115" s="70">
        <v>203216.0</v>
      </c>
      <c r="CP115" s="70">
        <v>305273.0</v>
      </c>
      <c r="CQ115" s="70">
        <v>167971.0</v>
      </c>
      <c r="CR115" s="70">
        <v>241151.0</v>
      </c>
      <c r="CS115" s="70">
        <v>125269.0</v>
      </c>
      <c r="CT115" s="70">
        <v>834527.0</v>
      </c>
      <c r="CU115" s="70">
        <v>248133.0</v>
      </c>
      <c r="CV115" s="70">
        <v>1360176.0</v>
      </c>
      <c r="CW115" s="70">
        <v>247725.0</v>
      </c>
      <c r="CX115" s="70">
        <v>121755.0</v>
      </c>
      <c r="CY115" s="70">
        <v>5028.0</v>
      </c>
      <c r="CZ115" s="70">
        <v>213492.0</v>
      </c>
      <c r="DA115" s="70">
        <v>703778.0</v>
      </c>
      <c r="DB115" s="70">
        <v>172329.0</v>
      </c>
      <c r="DC115" s="70">
        <v>665458.0</v>
      </c>
      <c r="DD115" s="70">
        <v>364391.0</v>
      </c>
      <c r="DE115" s="70">
        <v>155526.0</v>
      </c>
      <c r="DF115" s="70">
        <v>186743.0</v>
      </c>
      <c r="DG115" s="70">
        <v>59925.0</v>
      </c>
      <c r="DH115" s="70">
        <v>543279.0</v>
      </c>
      <c r="DI115" s="70">
        <v>784042.0</v>
      </c>
      <c r="DJ115" s="70">
        <v>129750.0</v>
      </c>
      <c r="DK115" s="70">
        <v>160713.0</v>
      </c>
      <c r="DL115" s="70">
        <v>535596.0</v>
      </c>
      <c r="DM115" s="70">
        <v>195967.0</v>
      </c>
      <c r="DN115" s="70">
        <v>24208.0</v>
      </c>
      <c r="DO115" s="70">
        <v>293749.0</v>
      </c>
      <c r="DP115" s="70">
        <v>33563.0</v>
      </c>
      <c r="DQ115" s="70">
        <v>210478.0</v>
      </c>
      <c r="DR115" s="70">
        <v>427583.0</v>
      </c>
      <c r="DS115" s="70">
        <v>2613754.0</v>
      </c>
      <c r="DT115" s="70">
        <v>287949.0</v>
      </c>
      <c r="DU115" s="70">
        <v>642477.0</v>
      </c>
      <c r="DV115" s="70">
        <v>1901646.0</v>
      </c>
      <c r="DW115" s="70">
        <v>1220910.0</v>
      </c>
      <c r="DX115" s="70">
        <v>1116455.0</v>
      </c>
      <c r="DY115" s="70">
        <v>3524554.0</v>
      </c>
      <c r="DZ115" s="70">
        <v>2792087.0</v>
      </c>
      <c r="EA115" s="70">
        <v>313577.0</v>
      </c>
      <c r="EB115" s="70">
        <v>2823793.0</v>
      </c>
      <c r="EC115" s="70">
        <v>571323.0</v>
      </c>
      <c r="ED115" s="70">
        <v>99756.0</v>
      </c>
      <c r="EE115" s="70">
        <v>112637.0</v>
      </c>
      <c r="EF115" s="70">
        <v>6634.0</v>
      </c>
      <c r="EG115" s="70">
        <v>520284.0</v>
      </c>
      <c r="EH115" s="70">
        <v>3292214.0</v>
      </c>
      <c r="EI115" s="70">
        <v>1600226.0</v>
      </c>
      <c r="EJ115" s="70">
        <v>103587.0</v>
      </c>
      <c r="EK115" s="70">
        <v>342296.0</v>
      </c>
      <c r="EL115" s="70">
        <v>186518.0</v>
      </c>
      <c r="EM115" s="70">
        <v>649401.0</v>
      </c>
      <c r="EN115" s="70">
        <v>1222639.0</v>
      </c>
      <c r="EO115" s="70">
        <v>3268994.0</v>
      </c>
      <c r="EP115" s="70">
        <v>151837.0</v>
      </c>
      <c r="EQ115" s="70">
        <v>26283.0</v>
      </c>
      <c r="ER115" s="70">
        <v>461.0</v>
      </c>
      <c r="ES115" s="70">
        <v>23391.0</v>
      </c>
      <c r="ET115" s="70">
        <v>139020.0</v>
      </c>
      <c r="EU115" s="70">
        <v>3.4364548E7</v>
      </c>
      <c r="EV115" s="70">
        <v>4906646.0</v>
      </c>
      <c r="EW115" s="70">
        <v>120326.0</v>
      </c>
      <c r="EX115" s="70">
        <v>1614425.0</v>
      </c>
      <c r="EY115" s="70">
        <v>1.638596E7</v>
      </c>
      <c r="EZ115" s="70">
        <v>1706300.0</v>
      </c>
      <c r="FA115" s="70">
        <v>841898.0</v>
      </c>
      <c r="FB115" s="70">
        <v>3.5163448E7</v>
      </c>
      <c r="FC115" s="70">
        <v>7285.0</v>
      </c>
      <c r="FD115" s="70">
        <v>3038358.0</v>
      </c>
      <c r="FE115" s="70">
        <v>310827.0</v>
      </c>
      <c r="FF115" s="70">
        <v>137295.0</v>
      </c>
      <c r="FG115" s="70">
        <v>1472182.0</v>
      </c>
      <c r="FH115" s="70">
        <v>1409467.0</v>
      </c>
      <c r="FI115" s="70">
        <v>812470.0</v>
      </c>
      <c r="FJ115" s="70">
        <v>44494.0</v>
      </c>
      <c r="FK115" s="70">
        <v>443407.0</v>
      </c>
      <c r="FL115" s="70">
        <v>264697.0</v>
      </c>
      <c r="FM115" s="70">
        <v>269719.0</v>
      </c>
      <c r="FN115" s="70">
        <v>1022276.0</v>
      </c>
      <c r="FO115" s="70">
        <v>32515.0</v>
      </c>
      <c r="FP115" s="70">
        <v>3601123.0</v>
      </c>
      <c r="FQ115" s="70">
        <v>242207.0</v>
      </c>
      <c r="FR115" s="70">
        <v>21.0</v>
      </c>
      <c r="FS115" s="70">
        <v>419149.0</v>
      </c>
      <c r="FT115" s="70">
        <v>2586447.0</v>
      </c>
      <c r="FU115" s="70">
        <v>2909525.0</v>
      </c>
      <c r="FV115" s="70">
        <v>333238.0</v>
      </c>
      <c r="FW115" s="70">
        <v>1007054.0</v>
      </c>
      <c r="FX115" s="70">
        <v>426501.0</v>
      </c>
      <c r="FY115" s="70">
        <v>2458820.0</v>
      </c>
      <c r="FZ115" s="70">
        <v>61181.0</v>
      </c>
      <c r="GA115" s="70">
        <v>1887344.0</v>
      </c>
      <c r="GB115" s="70">
        <v>500192.0</v>
      </c>
      <c r="GC115" s="70">
        <v>222805.0</v>
      </c>
      <c r="GD115" s="70">
        <v>95704.0</v>
      </c>
      <c r="GE115" s="70">
        <v>510305.0</v>
      </c>
      <c r="GF115" s="71">
        <v>1.74377618E8</v>
      </c>
      <c r="GG115" s="72">
        <v>5.3866137E7</v>
      </c>
      <c r="GH115" s="73">
        <v>0.0</v>
      </c>
      <c r="GI115" s="72">
        <v>0.0</v>
      </c>
      <c r="GJ115" s="72">
        <v>3.2045694E7</v>
      </c>
      <c r="GK115" s="72">
        <v>-3.4037578E7</v>
      </c>
      <c r="GL115" s="72">
        <v>2.0898873E7</v>
      </c>
      <c r="GM115" s="72">
        <v>238777.0</v>
      </c>
      <c r="GN115" s="71">
        <v>7.3011903E7</v>
      </c>
      <c r="GO115" s="74">
        <v>2.47389521E8</v>
      </c>
      <c r="GP115" s="72">
        <v>4.2015847E7</v>
      </c>
      <c r="GQ115" s="72">
        <v>168467.0</v>
      </c>
      <c r="GR115" s="73">
        <v>0.0</v>
      </c>
      <c r="GS115" s="71">
        <v>4.2184314E7</v>
      </c>
      <c r="GT115" s="75">
        <v>1.0992086E7</v>
      </c>
      <c r="GU115" s="75">
        <v>1.8085211E7</v>
      </c>
      <c r="GV115" s="75">
        <v>1.2025216E7</v>
      </c>
      <c r="GW115" s="71">
        <v>4.1102513E7</v>
      </c>
      <c r="GX115" s="71">
        <v>7538689.0</v>
      </c>
      <c r="GY115" s="71">
        <v>1.56564005E8</v>
      </c>
      <c r="GZ115" s="74">
        <v>2.47389521E8</v>
      </c>
      <c r="HH115" s="106"/>
    </row>
    <row r="116" ht="15.75" customHeight="1">
      <c r="A116" s="52">
        <v>111.0</v>
      </c>
      <c r="B116" s="111" t="s">
        <v>381</v>
      </c>
      <c r="C116" s="54">
        <v>0.0</v>
      </c>
      <c r="D116" s="54">
        <v>0.0</v>
      </c>
      <c r="E116" s="54">
        <v>0.0</v>
      </c>
      <c r="F116" s="54">
        <v>0.0</v>
      </c>
      <c r="G116" s="54">
        <v>0.0</v>
      </c>
      <c r="H116" s="54">
        <v>0.0</v>
      </c>
      <c r="I116" s="54">
        <v>0.0</v>
      </c>
      <c r="J116" s="54">
        <v>0.0</v>
      </c>
      <c r="K116" s="54">
        <v>0.0</v>
      </c>
      <c r="L116" s="54">
        <v>4812.0</v>
      </c>
      <c r="M116" s="54">
        <v>408.0</v>
      </c>
      <c r="N116" s="54">
        <v>0.0</v>
      </c>
      <c r="O116" s="54">
        <v>0.0</v>
      </c>
      <c r="P116" s="54">
        <v>0.0</v>
      </c>
      <c r="Q116" s="54">
        <v>0.0</v>
      </c>
      <c r="R116" s="54">
        <v>20731.0</v>
      </c>
      <c r="S116" s="54">
        <v>24.0</v>
      </c>
      <c r="T116" s="54">
        <v>0.0</v>
      </c>
      <c r="U116" s="54">
        <v>0.0</v>
      </c>
      <c r="V116" s="54">
        <v>0.0</v>
      </c>
      <c r="W116" s="54">
        <v>0.0</v>
      </c>
      <c r="X116" s="54">
        <v>0.0</v>
      </c>
      <c r="Y116" s="54">
        <v>0.0</v>
      </c>
      <c r="Z116" s="54">
        <v>0.0</v>
      </c>
      <c r="AA116" s="54">
        <v>0.0</v>
      </c>
      <c r="AB116" s="54">
        <v>0.0</v>
      </c>
      <c r="AC116" s="54">
        <v>56.0</v>
      </c>
      <c r="AD116" s="54">
        <v>4786.0</v>
      </c>
      <c r="AE116" s="54">
        <v>0.0</v>
      </c>
      <c r="AF116" s="54">
        <v>35.0</v>
      </c>
      <c r="AG116" s="54">
        <v>74.0</v>
      </c>
      <c r="AH116" s="54">
        <v>20.0</v>
      </c>
      <c r="AI116" s="54">
        <v>26915.0</v>
      </c>
      <c r="AJ116" s="54">
        <v>1293.0</v>
      </c>
      <c r="AK116" s="54">
        <v>235.0</v>
      </c>
      <c r="AL116" s="54">
        <v>70.0</v>
      </c>
      <c r="AM116" s="54">
        <v>1292316.0</v>
      </c>
      <c r="AN116" s="54">
        <v>12399.0</v>
      </c>
      <c r="AO116" s="54">
        <v>135908.0</v>
      </c>
      <c r="AP116" s="54">
        <v>964.0</v>
      </c>
      <c r="AQ116" s="54">
        <v>4126.0</v>
      </c>
      <c r="AR116" s="54">
        <v>2014.0</v>
      </c>
      <c r="AS116" s="54">
        <v>14840.0</v>
      </c>
      <c r="AT116" s="54">
        <v>1765.0</v>
      </c>
      <c r="AU116" s="54">
        <v>0.0</v>
      </c>
      <c r="AV116" s="54">
        <v>0.0</v>
      </c>
      <c r="AW116" s="54">
        <v>0.0</v>
      </c>
      <c r="AX116" s="54">
        <v>0.0</v>
      </c>
      <c r="AY116" s="54">
        <v>0.0</v>
      </c>
      <c r="AZ116" s="54">
        <v>0.0</v>
      </c>
      <c r="BA116" s="54">
        <v>0.0</v>
      </c>
      <c r="BB116" s="54">
        <v>0.0</v>
      </c>
      <c r="BC116" s="54">
        <v>0.0</v>
      </c>
      <c r="BD116" s="54">
        <v>0.0</v>
      </c>
      <c r="BE116" s="54">
        <v>4712.0</v>
      </c>
      <c r="BF116" s="54">
        <v>17563.0</v>
      </c>
      <c r="BG116" s="54">
        <v>79859.0</v>
      </c>
      <c r="BH116" s="54">
        <v>10765.0</v>
      </c>
      <c r="BI116" s="54">
        <v>4717.0</v>
      </c>
      <c r="BJ116" s="54">
        <v>75663.0</v>
      </c>
      <c r="BK116" s="54">
        <v>15023.0</v>
      </c>
      <c r="BL116" s="54">
        <v>861.0</v>
      </c>
      <c r="BM116" s="54">
        <v>50.0</v>
      </c>
      <c r="BN116" s="54">
        <v>1068.0</v>
      </c>
      <c r="BO116" s="54">
        <v>400275.0</v>
      </c>
      <c r="BP116" s="54">
        <v>0.0</v>
      </c>
      <c r="BQ116" s="54">
        <v>0.0</v>
      </c>
      <c r="BR116" s="54">
        <v>44.0</v>
      </c>
      <c r="BS116" s="54">
        <v>7059.0</v>
      </c>
      <c r="BT116" s="54">
        <v>154039.0</v>
      </c>
      <c r="BU116" s="54">
        <v>5496.0</v>
      </c>
      <c r="BV116" s="54">
        <v>6159.0</v>
      </c>
      <c r="BW116" s="54">
        <v>8082.0</v>
      </c>
      <c r="BX116" s="54">
        <v>115519.0</v>
      </c>
      <c r="BY116" s="54">
        <v>157432.0</v>
      </c>
      <c r="BZ116" s="54">
        <v>2860.0</v>
      </c>
      <c r="CA116" s="54">
        <v>135353.0</v>
      </c>
      <c r="CB116" s="54">
        <v>84424.0</v>
      </c>
      <c r="CC116" s="54">
        <v>0.0</v>
      </c>
      <c r="CD116" s="54">
        <v>10540.0</v>
      </c>
      <c r="CE116" s="54">
        <v>0.0</v>
      </c>
      <c r="CF116" s="54">
        <v>130959.0</v>
      </c>
      <c r="CG116" s="54">
        <v>0.0</v>
      </c>
      <c r="CH116" s="54">
        <v>7624.0</v>
      </c>
      <c r="CI116" s="54">
        <v>76234.0</v>
      </c>
      <c r="CJ116" s="54">
        <v>0.0</v>
      </c>
      <c r="CK116" s="54">
        <v>0.0</v>
      </c>
      <c r="CL116" s="54">
        <v>131094.0</v>
      </c>
      <c r="CM116" s="54">
        <v>30250.0</v>
      </c>
      <c r="CN116" s="54">
        <v>0.0</v>
      </c>
      <c r="CO116" s="54">
        <v>0.0</v>
      </c>
      <c r="CP116" s="54">
        <v>0.0</v>
      </c>
      <c r="CQ116" s="54">
        <v>880.0</v>
      </c>
      <c r="CR116" s="54">
        <v>27164.0</v>
      </c>
      <c r="CS116" s="54">
        <v>2231.0</v>
      </c>
      <c r="CT116" s="54">
        <v>635184.0</v>
      </c>
      <c r="CU116" s="54">
        <v>61221.0</v>
      </c>
      <c r="CV116" s="54">
        <v>84754.0</v>
      </c>
      <c r="CW116" s="54">
        <v>24316.0</v>
      </c>
      <c r="CX116" s="54">
        <v>82690.0</v>
      </c>
      <c r="CY116" s="54">
        <v>3580.0</v>
      </c>
      <c r="CZ116" s="54">
        <v>34171.0</v>
      </c>
      <c r="DA116" s="54">
        <v>213897.0</v>
      </c>
      <c r="DB116" s="54">
        <v>189030.0</v>
      </c>
      <c r="DC116" s="54">
        <v>174512.0</v>
      </c>
      <c r="DD116" s="54">
        <v>13888.0</v>
      </c>
      <c r="DE116" s="54">
        <v>18260.0</v>
      </c>
      <c r="DF116" s="54">
        <v>12969.0</v>
      </c>
      <c r="DG116" s="54">
        <v>3877.0</v>
      </c>
      <c r="DH116" s="54">
        <v>155690.0</v>
      </c>
      <c r="DI116" s="54">
        <v>1413833.0</v>
      </c>
      <c r="DJ116" s="54">
        <v>331798.0</v>
      </c>
      <c r="DK116" s="54">
        <v>217784.0</v>
      </c>
      <c r="DL116" s="54">
        <v>524779.0</v>
      </c>
      <c r="DM116" s="54">
        <v>102611.0</v>
      </c>
      <c r="DN116" s="54">
        <v>21068.0</v>
      </c>
      <c r="DO116" s="54">
        <v>14321.0</v>
      </c>
      <c r="DP116" s="54">
        <v>0.0</v>
      </c>
      <c r="DQ116" s="54">
        <v>8427.0</v>
      </c>
      <c r="DR116" s="54">
        <v>48926.0</v>
      </c>
      <c r="DS116" s="54">
        <v>5184711.0</v>
      </c>
      <c r="DT116" s="54">
        <v>731589.0</v>
      </c>
      <c r="DU116" s="54">
        <v>792.0</v>
      </c>
      <c r="DV116" s="54">
        <v>3989.0</v>
      </c>
      <c r="DW116" s="54">
        <v>0.0</v>
      </c>
      <c r="DX116" s="54">
        <v>10029.0</v>
      </c>
      <c r="DY116" s="54">
        <v>109.0</v>
      </c>
      <c r="DZ116" s="54">
        <v>449487.0</v>
      </c>
      <c r="EA116" s="54">
        <v>45908.0</v>
      </c>
      <c r="EB116" s="54">
        <v>74935.0</v>
      </c>
      <c r="EC116" s="54">
        <v>1631041.0</v>
      </c>
      <c r="ED116" s="54">
        <v>911067.0</v>
      </c>
      <c r="EE116" s="54">
        <v>17171.0</v>
      </c>
      <c r="EF116" s="54">
        <v>15521.0</v>
      </c>
      <c r="EG116" s="54">
        <v>177353.0</v>
      </c>
      <c r="EH116" s="54">
        <v>1333662.0</v>
      </c>
      <c r="EI116" s="54">
        <v>7423.0</v>
      </c>
      <c r="EJ116" s="54">
        <v>21280.0</v>
      </c>
      <c r="EK116" s="54">
        <v>9402.0</v>
      </c>
      <c r="EL116" s="54">
        <v>12904.0</v>
      </c>
      <c r="EM116" s="54">
        <v>25313.0</v>
      </c>
      <c r="EN116" s="54">
        <v>113332.0</v>
      </c>
      <c r="EO116" s="54">
        <v>275534.0</v>
      </c>
      <c r="EP116" s="54">
        <v>117018.0</v>
      </c>
      <c r="EQ116" s="54">
        <v>0.0</v>
      </c>
      <c r="ER116" s="54">
        <v>0.0</v>
      </c>
      <c r="ES116" s="54">
        <v>0.0</v>
      </c>
      <c r="ET116" s="54">
        <v>8.0</v>
      </c>
      <c r="EU116" s="54">
        <v>1.9795243E7</v>
      </c>
      <c r="EV116" s="54">
        <v>1232905.0</v>
      </c>
      <c r="EW116" s="54">
        <v>40130.0</v>
      </c>
      <c r="EX116" s="54">
        <v>110687.0</v>
      </c>
      <c r="EY116" s="54">
        <v>1.101106E7</v>
      </c>
      <c r="EZ116" s="54">
        <v>24997.0</v>
      </c>
      <c r="FA116" s="54">
        <v>89145.0</v>
      </c>
      <c r="FB116" s="54">
        <v>484606.0</v>
      </c>
      <c r="FC116" s="54">
        <v>299288.0</v>
      </c>
      <c r="FD116" s="54">
        <v>4599231.0</v>
      </c>
      <c r="FE116" s="54">
        <v>718315.0</v>
      </c>
      <c r="FF116" s="54">
        <v>879.0</v>
      </c>
      <c r="FG116" s="54">
        <v>1632785.0</v>
      </c>
      <c r="FH116" s="54">
        <v>1108401.0</v>
      </c>
      <c r="FI116" s="54">
        <v>881.0</v>
      </c>
      <c r="FJ116" s="54">
        <v>6173.0</v>
      </c>
      <c r="FK116" s="54">
        <v>40836.0</v>
      </c>
      <c r="FL116" s="54">
        <v>26788.0</v>
      </c>
      <c r="FM116" s="54">
        <v>403977.0</v>
      </c>
      <c r="FN116" s="54">
        <v>8838.0</v>
      </c>
      <c r="FO116" s="54">
        <v>18117.0</v>
      </c>
      <c r="FP116" s="54">
        <v>3471.0</v>
      </c>
      <c r="FQ116" s="54">
        <v>0.0</v>
      </c>
      <c r="FR116" s="54">
        <v>0.0</v>
      </c>
      <c r="FS116" s="54">
        <v>0.0</v>
      </c>
      <c r="FT116" s="54">
        <v>115375.0</v>
      </c>
      <c r="FU116" s="54">
        <v>896621.0</v>
      </c>
      <c r="FV116" s="54">
        <v>95571.0</v>
      </c>
      <c r="FW116" s="54">
        <v>12686.0</v>
      </c>
      <c r="FX116" s="54">
        <v>26150.0</v>
      </c>
      <c r="FY116" s="54">
        <v>28089.0</v>
      </c>
      <c r="FZ116" s="54">
        <v>168.0</v>
      </c>
      <c r="GA116" s="54">
        <v>333632.0</v>
      </c>
      <c r="GB116" s="54">
        <v>67778.0</v>
      </c>
      <c r="GC116" s="54">
        <v>4892.0</v>
      </c>
      <c r="GD116" s="54">
        <v>4471.0</v>
      </c>
      <c r="GE116" s="54">
        <v>26438.0</v>
      </c>
      <c r="GF116" s="55">
        <v>6.2057578E7</v>
      </c>
      <c r="GG116" s="56">
        <v>3981710.0</v>
      </c>
      <c r="GH116" s="57">
        <v>0.0</v>
      </c>
      <c r="GI116" s="56">
        <v>0.0</v>
      </c>
      <c r="GJ116" s="56">
        <v>5806105.0</v>
      </c>
      <c r="GK116" s="56">
        <v>-2771468.0</v>
      </c>
      <c r="GL116" s="56">
        <v>4034096.0</v>
      </c>
      <c r="GM116" s="56">
        <v>50887.0</v>
      </c>
      <c r="GN116" s="55">
        <v>1.110133E7</v>
      </c>
      <c r="GO116" s="58">
        <v>7.3158908E7</v>
      </c>
      <c r="GP116" s="56">
        <v>5212708.0</v>
      </c>
      <c r="GQ116" s="56">
        <v>35913.0</v>
      </c>
      <c r="GR116" s="57">
        <v>0.0</v>
      </c>
      <c r="GS116" s="55">
        <v>5248621.0</v>
      </c>
      <c r="GT116" s="59">
        <v>1.0791021E7</v>
      </c>
      <c r="GU116" s="59">
        <v>8427628.0</v>
      </c>
      <c r="GV116" s="59">
        <v>1052450.0</v>
      </c>
      <c r="GW116" s="55">
        <v>2.0271099E7</v>
      </c>
      <c r="GX116" s="55">
        <v>893219.0</v>
      </c>
      <c r="GY116" s="55">
        <v>4.6745969E7</v>
      </c>
      <c r="GZ116" s="58">
        <v>7.3158908E7</v>
      </c>
      <c r="HH116" s="106"/>
    </row>
    <row r="117" ht="15.75" customHeight="1">
      <c r="A117" s="60">
        <v>112.0</v>
      </c>
      <c r="B117" s="111" t="s">
        <v>382</v>
      </c>
      <c r="C117" s="62">
        <v>0.0</v>
      </c>
      <c r="D117" s="62">
        <v>0.0</v>
      </c>
      <c r="E117" s="62">
        <v>0.0</v>
      </c>
      <c r="F117" s="62">
        <v>0.0</v>
      </c>
      <c r="G117" s="62">
        <v>0.0</v>
      </c>
      <c r="H117" s="62">
        <v>0.0</v>
      </c>
      <c r="I117" s="62">
        <v>0.0</v>
      </c>
      <c r="J117" s="62">
        <v>0.0</v>
      </c>
      <c r="K117" s="62">
        <v>0.0</v>
      </c>
      <c r="L117" s="62">
        <v>2971.0</v>
      </c>
      <c r="M117" s="62">
        <v>239.0</v>
      </c>
      <c r="N117" s="62">
        <v>119.0</v>
      </c>
      <c r="O117" s="62">
        <v>115.0</v>
      </c>
      <c r="P117" s="62">
        <v>0.0</v>
      </c>
      <c r="Q117" s="62">
        <v>0.0</v>
      </c>
      <c r="R117" s="62">
        <v>9732.0</v>
      </c>
      <c r="S117" s="62">
        <v>195.0</v>
      </c>
      <c r="T117" s="62">
        <v>0.0</v>
      </c>
      <c r="U117" s="62">
        <v>0.0</v>
      </c>
      <c r="V117" s="62">
        <v>0.0</v>
      </c>
      <c r="W117" s="62">
        <v>0.0</v>
      </c>
      <c r="X117" s="62">
        <v>0.0</v>
      </c>
      <c r="Y117" s="62">
        <v>0.0</v>
      </c>
      <c r="Z117" s="62">
        <v>0.0</v>
      </c>
      <c r="AA117" s="62">
        <v>0.0</v>
      </c>
      <c r="AB117" s="62">
        <v>360.0</v>
      </c>
      <c r="AC117" s="62">
        <v>27.0</v>
      </c>
      <c r="AD117" s="62">
        <v>2271.0</v>
      </c>
      <c r="AE117" s="62">
        <v>0.0</v>
      </c>
      <c r="AF117" s="62">
        <v>44.0</v>
      </c>
      <c r="AG117" s="62">
        <v>46.0</v>
      </c>
      <c r="AH117" s="62">
        <v>13.0</v>
      </c>
      <c r="AI117" s="62">
        <v>6416.0</v>
      </c>
      <c r="AJ117" s="62">
        <v>590.0</v>
      </c>
      <c r="AK117" s="62">
        <v>110.0</v>
      </c>
      <c r="AL117" s="62">
        <v>71.0</v>
      </c>
      <c r="AM117" s="62">
        <v>0.0</v>
      </c>
      <c r="AN117" s="62">
        <v>0.0</v>
      </c>
      <c r="AO117" s="62">
        <v>0.0</v>
      </c>
      <c r="AP117" s="62">
        <v>0.0</v>
      </c>
      <c r="AQ117" s="62">
        <v>0.0</v>
      </c>
      <c r="AR117" s="62">
        <v>0.0</v>
      </c>
      <c r="AS117" s="62">
        <v>0.0</v>
      </c>
      <c r="AT117" s="62">
        <v>0.0</v>
      </c>
      <c r="AU117" s="62">
        <v>0.0</v>
      </c>
      <c r="AV117" s="62">
        <v>0.0</v>
      </c>
      <c r="AW117" s="62">
        <v>0.0</v>
      </c>
      <c r="AX117" s="62">
        <v>0.0</v>
      </c>
      <c r="AY117" s="62">
        <v>0.0</v>
      </c>
      <c r="AZ117" s="62">
        <v>0.0</v>
      </c>
      <c r="BA117" s="62">
        <v>0.0</v>
      </c>
      <c r="BB117" s="62">
        <v>0.0</v>
      </c>
      <c r="BC117" s="62">
        <v>0.0</v>
      </c>
      <c r="BD117" s="62">
        <v>0.0</v>
      </c>
      <c r="BE117" s="62">
        <v>2.0</v>
      </c>
      <c r="BF117" s="62">
        <v>46.0</v>
      </c>
      <c r="BG117" s="62">
        <v>0.0</v>
      </c>
      <c r="BH117" s="62">
        <v>0.0</v>
      </c>
      <c r="BI117" s="62">
        <v>0.0</v>
      </c>
      <c r="BJ117" s="62">
        <v>0.0</v>
      </c>
      <c r="BK117" s="62">
        <v>0.0</v>
      </c>
      <c r="BL117" s="62">
        <v>0.0</v>
      </c>
      <c r="BM117" s="62">
        <v>0.0</v>
      </c>
      <c r="BN117" s="62">
        <v>0.0</v>
      </c>
      <c r="BO117" s="62">
        <v>0.0</v>
      </c>
      <c r="BP117" s="62">
        <v>0.0</v>
      </c>
      <c r="BQ117" s="62">
        <v>0.0</v>
      </c>
      <c r="BR117" s="62">
        <v>0.0</v>
      </c>
      <c r="BS117" s="62">
        <v>0.0</v>
      </c>
      <c r="BT117" s="62">
        <v>0.0</v>
      </c>
      <c r="BU117" s="62">
        <v>292.0</v>
      </c>
      <c r="BV117" s="62">
        <v>0.0</v>
      </c>
      <c r="BW117" s="62">
        <v>0.0</v>
      </c>
      <c r="BX117" s="62">
        <v>202.0</v>
      </c>
      <c r="BY117" s="62">
        <v>49.0</v>
      </c>
      <c r="BZ117" s="62">
        <v>0.0</v>
      </c>
      <c r="CA117" s="62">
        <v>0.0</v>
      </c>
      <c r="CB117" s="62">
        <v>0.0</v>
      </c>
      <c r="CC117" s="62">
        <v>0.0</v>
      </c>
      <c r="CD117" s="62">
        <v>0.0</v>
      </c>
      <c r="CE117" s="62">
        <v>0.0</v>
      </c>
      <c r="CF117" s="62">
        <v>0.0</v>
      </c>
      <c r="CG117" s="62">
        <v>0.0</v>
      </c>
      <c r="CH117" s="62">
        <v>0.0</v>
      </c>
      <c r="CI117" s="62">
        <v>0.0</v>
      </c>
      <c r="CJ117" s="62">
        <v>0.0</v>
      </c>
      <c r="CK117" s="62">
        <v>0.0</v>
      </c>
      <c r="CL117" s="62">
        <v>0.0</v>
      </c>
      <c r="CM117" s="62">
        <v>0.0</v>
      </c>
      <c r="CN117" s="62">
        <v>0.0</v>
      </c>
      <c r="CO117" s="62">
        <v>0.0</v>
      </c>
      <c r="CP117" s="62">
        <v>0.0</v>
      </c>
      <c r="CQ117" s="62">
        <v>0.0</v>
      </c>
      <c r="CR117" s="62">
        <v>16893.0</v>
      </c>
      <c r="CS117" s="62">
        <v>0.0</v>
      </c>
      <c r="CT117" s="62">
        <v>0.0</v>
      </c>
      <c r="CU117" s="62">
        <v>0.0</v>
      </c>
      <c r="CV117" s="62">
        <v>0.0</v>
      </c>
      <c r="CW117" s="62">
        <v>0.0</v>
      </c>
      <c r="CX117" s="62">
        <v>0.0</v>
      </c>
      <c r="CY117" s="62">
        <v>0.0</v>
      </c>
      <c r="CZ117" s="62">
        <v>0.0</v>
      </c>
      <c r="DA117" s="62">
        <v>0.0</v>
      </c>
      <c r="DB117" s="62">
        <v>0.0</v>
      </c>
      <c r="DC117" s="62">
        <v>0.0</v>
      </c>
      <c r="DD117" s="62">
        <v>0.0</v>
      </c>
      <c r="DE117" s="62">
        <v>0.0</v>
      </c>
      <c r="DF117" s="62">
        <v>55.0</v>
      </c>
      <c r="DG117" s="62">
        <v>4.0</v>
      </c>
      <c r="DH117" s="62">
        <v>1888.0</v>
      </c>
      <c r="DI117" s="62">
        <v>0.0</v>
      </c>
      <c r="DJ117" s="62">
        <v>444091.0</v>
      </c>
      <c r="DK117" s="62">
        <v>311.0</v>
      </c>
      <c r="DL117" s="62">
        <v>1302.0</v>
      </c>
      <c r="DM117" s="62">
        <v>4.0</v>
      </c>
      <c r="DN117" s="62">
        <v>2456.0</v>
      </c>
      <c r="DO117" s="62">
        <v>609.0</v>
      </c>
      <c r="DP117" s="62">
        <v>0.0</v>
      </c>
      <c r="DQ117" s="62">
        <v>28.0</v>
      </c>
      <c r="DR117" s="62">
        <v>5837.0</v>
      </c>
      <c r="DS117" s="62">
        <v>2499.0</v>
      </c>
      <c r="DT117" s="62">
        <v>92914.0</v>
      </c>
      <c r="DU117" s="62">
        <v>0.0</v>
      </c>
      <c r="DV117" s="62">
        <v>0.0</v>
      </c>
      <c r="DW117" s="62">
        <v>0.0</v>
      </c>
      <c r="DX117" s="62">
        <v>420.0</v>
      </c>
      <c r="DY117" s="62">
        <v>0.0</v>
      </c>
      <c r="DZ117" s="62">
        <v>46.0</v>
      </c>
      <c r="EA117" s="62">
        <v>22.0</v>
      </c>
      <c r="EB117" s="62">
        <v>72835.0</v>
      </c>
      <c r="EC117" s="62">
        <v>0.0</v>
      </c>
      <c r="ED117" s="62">
        <v>349454.0</v>
      </c>
      <c r="EE117" s="62">
        <v>0.0</v>
      </c>
      <c r="EF117" s="62">
        <v>0.0</v>
      </c>
      <c r="EG117" s="62">
        <v>0.0</v>
      </c>
      <c r="EH117" s="62">
        <v>161.0</v>
      </c>
      <c r="EI117" s="62">
        <v>12.0</v>
      </c>
      <c r="EJ117" s="62">
        <v>410.0</v>
      </c>
      <c r="EK117" s="62">
        <v>0.0</v>
      </c>
      <c r="EL117" s="62">
        <v>0.0</v>
      </c>
      <c r="EM117" s="62">
        <v>296.0</v>
      </c>
      <c r="EN117" s="62">
        <v>0.0</v>
      </c>
      <c r="EO117" s="62">
        <v>152.0</v>
      </c>
      <c r="EP117" s="62">
        <v>7807.0</v>
      </c>
      <c r="EQ117" s="62">
        <v>0.0</v>
      </c>
      <c r="ER117" s="62">
        <v>0.0</v>
      </c>
      <c r="ES117" s="62">
        <v>0.0</v>
      </c>
      <c r="ET117" s="62">
        <v>5.0</v>
      </c>
      <c r="EU117" s="62">
        <v>4.7471184E7</v>
      </c>
      <c r="EV117" s="62">
        <v>2379916.0</v>
      </c>
      <c r="EW117" s="62">
        <v>685315.0</v>
      </c>
      <c r="EX117" s="62">
        <v>1044815.0</v>
      </c>
      <c r="EY117" s="62">
        <v>1.0602811E7</v>
      </c>
      <c r="EZ117" s="62">
        <v>0.0</v>
      </c>
      <c r="FA117" s="62">
        <v>0.0</v>
      </c>
      <c r="FB117" s="62">
        <v>0.0</v>
      </c>
      <c r="FC117" s="62">
        <v>0.0</v>
      </c>
      <c r="FD117" s="62">
        <v>0.0</v>
      </c>
      <c r="FE117" s="62">
        <v>0.0</v>
      </c>
      <c r="FF117" s="62">
        <v>0.0</v>
      </c>
      <c r="FG117" s="62">
        <v>0.0</v>
      </c>
      <c r="FH117" s="62">
        <v>3019.0</v>
      </c>
      <c r="FI117" s="62">
        <v>0.0</v>
      </c>
      <c r="FJ117" s="62">
        <v>351.0</v>
      </c>
      <c r="FK117" s="62">
        <v>1312.0</v>
      </c>
      <c r="FL117" s="62">
        <v>96.0</v>
      </c>
      <c r="FM117" s="62">
        <v>41.0</v>
      </c>
      <c r="FN117" s="62">
        <v>0.0</v>
      </c>
      <c r="FO117" s="62">
        <v>0.0</v>
      </c>
      <c r="FP117" s="62">
        <v>8851.0</v>
      </c>
      <c r="FQ117" s="62">
        <v>0.0</v>
      </c>
      <c r="FR117" s="62">
        <v>0.0</v>
      </c>
      <c r="FS117" s="62">
        <v>0.0</v>
      </c>
      <c r="FT117" s="62">
        <v>2435386.0</v>
      </c>
      <c r="FU117" s="62">
        <v>99.0</v>
      </c>
      <c r="FV117" s="62">
        <v>359475.0</v>
      </c>
      <c r="FW117" s="62">
        <v>353.0</v>
      </c>
      <c r="FX117" s="62">
        <v>641.0</v>
      </c>
      <c r="FY117" s="62">
        <v>833.0</v>
      </c>
      <c r="FZ117" s="62">
        <v>92.0</v>
      </c>
      <c r="GA117" s="62">
        <v>253419.0</v>
      </c>
      <c r="GB117" s="62">
        <v>206293.0</v>
      </c>
      <c r="GC117" s="62">
        <v>5063.0</v>
      </c>
      <c r="GD117" s="62">
        <v>152.0</v>
      </c>
      <c r="GE117" s="62">
        <v>1799.0</v>
      </c>
      <c r="GF117" s="63">
        <v>6.6485737E7</v>
      </c>
      <c r="GG117" s="64">
        <v>4845876.0</v>
      </c>
      <c r="GH117" s="65">
        <v>0.0</v>
      </c>
      <c r="GI117" s="64">
        <v>0.0</v>
      </c>
      <c r="GJ117" s="64">
        <v>5712670.0</v>
      </c>
      <c r="GK117" s="64">
        <v>-6105674.0</v>
      </c>
      <c r="GL117" s="64">
        <v>4024886.0</v>
      </c>
      <c r="GM117" s="64">
        <v>254418.0</v>
      </c>
      <c r="GN117" s="63">
        <v>8732176.0</v>
      </c>
      <c r="GO117" s="66">
        <v>7.5217913E7</v>
      </c>
      <c r="GP117" s="64">
        <v>1.0171301E7</v>
      </c>
      <c r="GQ117" s="64">
        <v>82279.0</v>
      </c>
      <c r="GR117" s="65">
        <v>0.0</v>
      </c>
      <c r="GS117" s="63">
        <v>1.025358E7</v>
      </c>
      <c r="GT117" s="67">
        <v>8830687.0</v>
      </c>
      <c r="GU117" s="67">
        <v>6174043.0</v>
      </c>
      <c r="GV117" s="67">
        <v>1338643.0</v>
      </c>
      <c r="GW117" s="63">
        <v>1.6343373E7</v>
      </c>
      <c r="GX117" s="63">
        <v>1446270.0</v>
      </c>
      <c r="GY117" s="63">
        <v>4.717469E7</v>
      </c>
      <c r="GZ117" s="66">
        <v>7.5217913E7</v>
      </c>
      <c r="HH117" s="106"/>
    </row>
    <row r="118" ht="15.75" customHeight="1">
      <c r="A118" s="60">
        <v>113.0</v>
      </c>
      <c r="B118" s="111" t="s">
        <v>383</v>
      </c>
      <c r="C118" s="62">
        <v>0.0</v>
      </c>
      <c r="D118" s="62">
        <v>0.0</v>
      </c>
      <c r="E118" s="62">
        <v>0.0</v>
      </c>
      <c r="F118" s="62">
        <v>0.0</v>
      </c>
      <c r="G118" s="62">
        <v>0.0</v>
      </c>
      <c r="H118" s="62">
        <v>0.0</v>
      </c>
      <c r="I118" s="62">
        <v>0.0</v>
      </c>
      <c r="J118" s="62">
        <v>0.0</v>
      </c>
      <c r="K118" s="62">
        <v>0.0</v>
      </c>
      <c r="L118" s="62">
        <v>0.0</v>
      </c>
      <c r="M118" s="62">
        <v>0.0</v>
      </c>
      <c r="N118" s="62">
        <v>0.0</v>
      </c>
      <c r="O118" s="62">
        <v>0.0</v>
      </c>
      <c r="P118" s="62">
        <v>0.0</v>
      </c>
      <c r="Q118" s="62">
        <v>0.0</v>
      </c>
      <c r="R118" s="62">
        <v>0.0</v>
      </c>
      <c r="S118" s="62">
        <v>0.0</v>
      </c>
      <c r="T118" s="62">
        <v>0.0</v>
      </c>
      <c r="U118" s="62">
        <v>0.0</v>
      </c>
      <c r="V118" s="62">
        <v>0.0</v>
      </c>
      <c r="W118" s="62">
        <v>0.0</v>
      </c>
      <c r="X118" s="62">
        <v>0.0</v>
      </c>
      <c r="Y118" s="62">
        <v>0.0</v>
      </c>
      <c r="Z118" s="62">
        <v>0.0</v>
      </c>
      <c r="AA118" s="62">
        <v>0.0</v>
      </c>
      <c r="AB118" s="62">
        <v>0.0</v>
      </c>
      <c r="AC118" s="62">
        <v>0.0</v>
      </c>
      <c r="AD118" s="62">
        <v>0.0</v>
      </c>
      <c r="AE118" s="62">
        <v>0.0</v>
      </c>
      <c r="AF118" s="62">
        <v>0.0</v>
      </c>
      <c r="AG118" s="62">
        <v>0.0</v>
      </c>
      <c r="AH118" s="62">
        <v>0.0</v>
      </c>
      <c r="AI118" s="62">
        <v>0.0</v>
      </c>
      <c r="AJ118" s="62">
        <v>0.0</v>
      </c>
      <c r="AK118" s="62">
        <v>0.0</v>
      </c>
      <c r="AL118" s="62">
        <v>0.0</v>
      </c>
      <c r="AM118" s="62">
        <v>0.0</v>
      </c>
      <c r="AN118" s="62">
        <v>0.0</v>
      </c>
      <c r="AO118" s="62">
        <v>0.0</v>
      </c>
      <c r="AP118" s="62">
        <v>0.0</v>
      </c>
      <c r="AQ118" s="62">
        <v>0.0</v>
      </c>
      <c r="AR118" s="62">
        <v>0.0</v>
      </c>
      <c r="AS118" s="62">
        <v>0.0</v>
      </c>
      <c r="AT118" s="62">
        <v>0.0</v>
      </c>
      <c r="AU118" s="62">
        <v>0.0</v>
      </c>
      <c r="AV118" s="62">
        <v>0.0</v>
      </c>
      <c r="AW118" s="62">
        <v>0.0</v>
      </c>
      <c r="AX118" s="62">
        <v>0.0</v>
      </c>
      <c r="AY118" s="62">
        <v>0.0</v>
      </c>
      <c r="AZ118" s="62">
        <v>0.0</v>
      </c>
      <c r="BA118" s="62">
        <v>0.0</v>
      </c>
      <c r="BB118" s="62">
        <v>0.0</v>
      </c>
      <c r="BC118" s="62">
        <v>0.0</v>
      </c>
      <c r="BD118" s="62">
        <v>0.0</v>
      </c>
      <c r="BE118" s="62">
        <v>0.0</v>
      </c>
      <c r="BF118" s="62">
        <v>0.0</v>
      </c>
      <c r="BG118" s="62">
        <v>0.0</v>
      </c>
      <c r="BH118" s="62">
        <v>0.0</v>
      </c>
      <c r="BI118" s="62">
        <v>0.0</v>
      </c>
      <c r="BJ118" s="62">
        <v>0.0</v>
      </c>
      <c r="BK118" s="62">
        <v>0.0</v>
      </c>
      <c r="BL118" s="62">
        <v>0.0</v>
      </c>
      <c r="BM118" s="62">
        <v>0.0</v>
      </c>
      <c r="BN118" s="62">
        <v>0.0</v>
      </c>
      <c r="BO118" s="62">
        <v>0.0</v>
      </c>
      <c r="BP118" s="62">
        <v>0.0</v>
      </c>
      <c r="BQ118" s="62">
        <v>0.0</v>
      </c>
      <c r="BR118" s="62">
        <v>0.0</v>
      </c>
      <c r="BS118" s="62">
        <v>0.0</v>
      </c>
      <c r="BT118" s="62">
        <v>0.0</v>
      </c>
      <c r="BU118" s="62">
        <v>0.0</v>
      </c>
      <c r="BV118" s="62">
        <v>0.0</v>
      </c>
      <c r="BW118" s="62">
        <v>0.0</v>
      </c>
      <c r="BX118" s="62">
        <v>0.0</v>
      </c>
      <c r="BY118" s="62">
        <v>0.0</v>
      </c>
      <c r="BZ118" s="62">
        <v>0.0</v>
      </c>
      <c r="CA118" s="62">
        <v>0.0</v>
      </c>
      <c r="CB118" s="62">
        <v>0.0</v>
      </c>
      <c r="CC118" s="62">
        <v>0.0</v>
      </c>
      <c r="CD118" s="62">
        <v>0.0</v>
      </c>
      <c r="CE118" s="62">
        <v>0.0</v>
      </c>
      <c r="CF118" s="62">
        <v>0.0</v>
      </c>
      <c r="CG118" s="62">
        <v>0.0</v>
      </c>
      <c r="CH118" s="62">
        <v>0.0</v>
      </c>
      <c r="CI118" s="62">
        <v>0.0</v>
      </c>
      <c r="CJ118" s="62">
        <v>0.0</v>
      </c>
      <c r="CK118" s="62">
        <v>0.0</v>
      </c>
      <c r="CL118" s="62">
        <v>0.0</v>
      </c>
      <c r="CM118" s="62">
        <v>0.0</v>
      </c>
      <c r="CN118" s="62">
        <v>0.0</v>
      </c>
      <c r="CO118" s="62">
        <v>0.0</v>
      </c>
      <c r="CP118" s="62">
        <v>0.0</v>
      </c>
      <c r="CQ118" s="62">
        <v>0.0</v>
      </c>
      <c r="CR118" s="62">
        <v>1428617.0</v>
      </c>
      <c r="CS118" s="62">
        <v>0.0</v>
      </c>
      <c r="CT118" s="62">
        <v>0.0</v>
      </c>
      <c r="CU118" s="62">
        <v>0.0</v>
      </c>
      <c r="CV118" s="62">
        <v>0.0</v>
      </c>
      <c r="CW118" s="62">
        <v>0.0</v>
      </c>
      <c r="CX118" s="62">
        <v>0.0</v>
      </c>
      <c r="CY118" s="62">
        <v>0.0</v>
      </c>
      <c r="CZ118" s="62">
        <v>0.0</v>
      </c>
      <c r="DA118" s="62">
        <v>0.0</v>
      </c>
      <c r="DB118" s="62">
        <v>0.0</v>
      </c>
      <c r="DC118" s="62">
        <v>0.0</v>
      </c>
      <c r="DD118" s="62">
        <v>0.0</v>
      </c>
      <c r="DE118" s="62">
        <v>0.0</v>
      </c>
      <c r="DF118" s="62">
        <v>0.0</v>
      </c>
      <c r="DG118" s="62">
        <v>0.0</v>
      </c>
      <c r="DH118" s="62">
        <v>0.0</v>
      </c>
      <c r="DI118" s="62">
        <v>0.0</v>
      </c>
      <c r="DJ118" s="62">
        <v>2330996.0</v>
      </c>
      <c r="DK118" s="62">
        <v>1189888.0</v>
      </c>
      <c r="DL118" s="62">
        <v>0.0</v>
      </c>
      <c r="DM118" s="62">
        <v>0.0</v>
      </c>
      <c r="DN118" s="62">
        <v>12246.0</v>
      </c>
      <c r="DO118" s="62">
        <v>588.0</v>
      </c>
      <c r="DP118" s="62">
        <v>0.0</v>
      </c>
      <c r="DQ118" s="62">
        <v>0.0</v>
      </c>
      <c r="DR118" s="62">
        <v>0.0</v>
      </c>
      <c r="DS118" s="62">
        <v>0.0</v>
      </c>
      <c r="DT118" s="62">
        <v>0.0</v>
      </c>
      <c r="DU118" s="62">
        <v>0.0</v>
      </c>
      <c r="DV118" s="62">
        <v>0.0</v>
      </c>
      <c r="DW118" s="62">
        <v>0.0</v>
      </c>
      <c r="DX118" s="62">
        <v>0.0</v>
      </c>
      <c r="DY118" s="62">
        <v>0.0</v>
      </c>
      <c r="DZ118" s="62">
        <v>0.0</v>
      </c>
      <c r="EA118" s="62">
        <v>0.0</v>
      </c>
      <c r="EB118" s="62">
        <v>0.0</v>
      </c>
      <c r="EC118" s="62">
        <v>0.0</v>
      </c>
      <c r="ED118" s="62">
        <v>0.0</v>
      </c>
      <c r="EE118" s="62">
        <v>0.0</v>
      </c>
      <c r="EF118" s="62">
        <v>0.0</v>
      </c>
      <c r="EG118" s="62">
        <v>0.0</v>
      </c>
      <c r="EH118" s="62">
        <v>0.0</v>
      </c>
      <c r="EI118" s="62">
        <v>0.0</v>
      </c>
      <c r="EJ118" s="62">
        <v>0.0</v>
      </c>
      <c r="EK118" s="62">
        <v>0.0</v>
      </c>
      <c r="EL118" s="62">
        <v>0.0</v>
      </c>
      <c r="EM118" s="62">
        <v>0.0</v>
      </c>
      <c r="EN118" s="62">
        <v>0.0</v>
      </c>
      <c r="EO118" s="62">
        <v>2572.0</v>
      </c>
      <c r="EP118" s="62">
        <v>9816.0</v>
      </c>
      <c r="EQ118" s="62">
        <v>0.0</v>
      </c>
      <c r="ER118" s="62">
        <v>0.0</v>
      </c>
      <c r="ES118" s="62">
        <v>0.0</v>
      </c>
      <c r="ET118" s="62">
        <v>0.0</v>
      </c>
      <c r="EU118" s="62">
        <v>6.788239E7</v>
      </c>
      <c r="EV118" s="62">
        <v>1319811.0</v>
      </c>
      <c r="EW118" s="62">
        <v>1339555.0</v>
      </c>
      <c r="EX118" s="62">
        <v>6129043.0</v>
      </c>
      <c r="EY118" s="62">
        <v>9734991.0</v>
      </c>
      <c r="EZ118" s="62">
        <v>0.0</v>
      </c>
      <c r="FA118" s="62">
        <v>0.0</v>
      </c>
      <c r="FB118" s="62">
        <v>0.0</v>
      </c>
      <c r="FC118" s="62">
        <v>0.0</v>
      </c>
      <c r="FD118" s="62">
        <v>0.0</v>
      </c>
      <c r="FE118" s="62">
        <v>0.0</v>
      </c>
      <c r="FF118" s="62">
        <v>0.0</v>
      </c>
      <c r="FG118" s="62">
        <v>0.0</v>
      </c>
      <c r="FH118" s="62">
        <v>0.0</v>
      </c>
      <c r="FI118" s="62">
        <v>0.0</v>
      </c>
      <c r="FJ118" s="62">
        <v>0.0</v>
      </c>
      <c r="FK118" s="62">
        <v>0.0</v>
      </c>
      <c r="FL118" s="62">
        <v>0.0</v>
      </c>
      <c r="FM118" s="62">
        <v>0.0</v>
      </c>
      <c r="FN118" s="62">
        <v>0.0</v>
      </c>
      <c r="FO118" s="62">
        <v>0.0</v>
      </c>
      <c r="FP118" s="62">
        <v>0.0</v>
      </c>
      <c r="FQ118" s="62">
        <v>0.0</v>
      </c>
      <c r="FR118" s="62">
        <v>0.0</v>
      </c>
      <c r="FS118" s="62">
        <v>0.0</v>
      </c>
      <c r="FT118" s="62">
        <v>0.0</v>
      </c>
      <c r="FU118" s="62">
        <v>0.0</v>
      </c>
      <c r="FV118" s="62">
        <v>0.0</v>
      </c>
      <c r="FW118" s="62">
        <v>563532.0</v>
      </c>
      <c r="FX118" s="62">
        <v>0.0</v>
      </c>
      <c r="FY118" s="62">
        <v>339.0</v>
      </c>
      <c r="FZ118" s="62">
        <v>0.0</v>
      </c>
      <c r="GA118" s="62">
        <v>0.0</v>
      </c>
      <c r="GB118" s="62">
        <v>0.0</v>
      </c>
      <c r="GC118" s="62">
        <v>0.0</v>
      </c>
      <c r="GD118" s="62">
        <v>0.0</v>
      </c>
      <c r="GE118" s="62">
        <v>0.0</v>
      </c>
      <c r="GF118" s="63">
        <v>9.1944384E7</v>
      </c>
      <c r="GG118" s="64">
        <v>2269770.0</v>
      </c>
      <c r="GH118" s="65">
        <v>0.0</v>
      </c>
      <c r="GI118" s="64">
        <v>0.0</v>
      </c>
      <c r="GJ118" s="64">
        <v>0.0</v>
      </c>
      <c r="GK118" s="64">
        <v>-3356327.0</v>
      </c>
      <c r="GL118" s="64">
        <v>4692430.0</v>
      </c>
      <c r="GM118" s="64">
        <v>0.0</v>
      </c>
      <c r="GN118" s="63">
        <v>3605873.0</v>
      </c>
      <c r="GO118" s="66">
        <v>9.5550257E7</v>
      </c>
      <c r="GP118" s="64">
        <v>72921.0</v>
      </c>
      <c r="GQ118" s="64">
        <v>0.0</v>
      </c>
      <c r="GR118" s="65">
        <v>0.0</v>
      </c>
      <c r="GS118" s="63">
        <v>72921.0</v>
      </c>
      <c r="GT118" s="67">
        <v>1.5620252E7</v>
      </c>
      <c r="GU118" s="67">
        <v>1.0262897E7</v>
      </c>
      <c r="GV118" s="67">
        <v>2781696.0</v>
      </c>
      <c r="GW118" s="63">
        <v>2.8664845E7</v>
      </c>
      <c r="GX118" s="63">
        <v>99361.0</v>
      </c>
      <c r="GY118" s="63">
        <v>6.671313E7</v>
      </c>
      <c r="GZ118" s="66">
        <v>9.5550257E7</v>
      </c>
      <c r="HH118" s="106"/>
    </row>
    <row r="119" ht="15.75" customHeight="1">
      <c r="A119" s="60">
        <v>114.0</v>
      </c>
      <c r="B119" s="111" t="s">
        <v>384</v>
      </c>
      <c r="C119" s="62">
        <v>0.0</v>
      </c>
      <c r="D119" s="62">
        <v>0.0</v>
      </c>
      <c r="E119" s="62">
        <v>0.0</v>
      </c>
      <c r="F119" s="62">
        <v>0.0</v>
      </c>
      <c r="G119" s="62">
        <v>0.0</v>
      </c>
      <c r="H119" s="62">
        <v>0.0</v>
      </c>
      <c r="I119" s="62">
        <v>0.0</v>
      </c>
      <c r="J119" s="62">
        <v>0.0</v>
      </c>
      <c r="K119" s="62">
        <v>0.0</v>
      </c>
      <c r="L119" s="62">
        <v>0.0</v>
      </c>
      <c r="M119" s="62">
        <v>0.0</v>
      </c>
      <c r="N119" s="62">
        <v>0.0</v>
      </c>
      <c r="O119" s="62">
        <v>0.0</v>
      </c>
      <c r="P119" s="62">
        <v>0.0</v>
      </c>
      <c r="Q119" s="62">
        <v>0.0</v>
      </c>
      <c r="R119" s="62">
        <v>0.0</v>
      </c>
      <c r="S119" s="62">
        <v>0.0</v>
      </c>
      <c r="T119" s="62">
        <v>0.0</v>
      </c>
      <c r="U119" s="62">
        <v>0.0</v>
      </c>
      <c r="V119" s="62">
        <v>0.0</v>
      </c>
      <c r="W119" s="62">
        <v>0.0</v>
      </c>
      <c r="X119" s="62">
        <v>0.0</v>
      </c>
      <c r="Y119" s="62">
        <v>0.0</v>
      </c>
      <c r="Z119" s="62">
        <v>0.0</v>
      </c>
      <c r="AA119" s="62">
        <v>0.0</v>
      </c>
      <c r="AB119" s="62">
        <v>0.0</v>
      </c>
      <c r="AC119" s="62">
        <v>0.0</v>
      </c>
      <c r="AD119" s="62">
        <v>0.0</v>
      </c>
      <c r="AE119" s="62">
        <v>0.0</v>
      </c>
      <c r="AF119" s="62">
        <v>0.0</v>
      </c>
      <c r="AG119" s="62">
        <v>0.0</v>
      </c>
      <c r="AH119" s="62">
        <v>0.0</v>
      </c>
      <c r="AI119" s="62">
        <v>0.0</v>
      </c>
      <c r="AJ119" s="62">
        <v>0.0</v>
      </c>
      <c r="AK119" s="62">
        <v>0.0</v>
      </c>
      <c r="AL119" s="62">
        <v>0.0</v>
      </c>
      <c r="AM119" s="62">
        <v>0.0</v>
      </c>
      <c r="AN119" s="62">
        <v>0.0</v>
      </c>
      <c r="AO119" s="62">
        <v>0.0</v>
      </c>
      <c r="AP119" s="62">
        <v>47.0</v>
      </c>
      <c r="AQ119" s="62">
        <v>11876.0</v>
      </c>
      <c r="AR119" s="62">
        <v>0.0</v>
      </c>
      <c r="AS119" s="62">
        <v>230984.0</v>
      </c>
      <c r="AT119" s="62">
        <v>0.0</v>
      </c>
      <c r="AU119" s="62">
        <v>0.0</v>
      </c>
      <c r="AV119" s="62">
        <v>89762.0</v>
      </c>
      <c r="AW119" s="62">
        <v>0.0</v>
      </c>
      <c r="AX119" s="62">
        <v>0.0</v>
      </c>
      <c r="AY119" s="62">
        <v>0.0</v>
      </c>
      <c r="AZ119" s="62">
        <v>0.0</v>
      </c>
      <c r="BA119" s="62">
        <v>0.0</v>
      </c>
      <c r="BB119" s="62">
        <v>0.0</v>
      </c>
      <c r="BC119" s="62">
        <v>0.0</v>
      </c>
      <c r="BD119" s="62">
        <v>0.0</v>
      </c>
      <c r="BE119" s="62">
        <v>0.0</v>
      </c>
      <c r="BF119" s="62">
        <v>0.0</v>
      </c>
      <c r="BG119" s="62">
        <v>0.0</v>
      </c>
      <c r="BH119" s="62">
        <v>0.0</v>
      </c>
      <c r="BI119" s="62">
        <v>0.0</v>
      </c>
      <c r="BJ119" s="62">
        <v>0.0</v>
      </c>
      <c r="BK119" s="62">
        <v>0.0</v>
      </c>
      <c r="BL119" s="62">
        <v>0.0</v>
      </c>
      <c r="BM119" s="62">
        <v>0.0</v>
      </c>
      <c r="BN119" s="62">
        <v>0.0</v>
      </c>
      <c r="BO119" s="62">
        <v>0.0</v>
      </c>
      <c r="BP119" s="62">
        <v>0.0</v>
      </c>
      <c r="BQ119" s="62">
        <v>0.0</v>
      </c>
      <c r="BR119" s="62">
        <v>0.0</v>
      </c>
      <c r="BS119" s="62">
        <v>0.0</v>
      </c>
      <c r="BT119" s="62">
        <v>0.0</v>
      </c>
      <c r="BU119" s="62">
        <v>0.0</v>
      </c>
      <c r="BV119" s="62">
        <v>0.0</v>
      </c>
      <c r="BW119" s="62">
        <v>0.0</v>
      </c>
      <c r="BX119" s="62">
        <v>0.0</v>
      </c>
      <c r="BY119" s="62">
        <v>0.0</v>
      </c>
      <c r="BZ119" s="62">
        <v>0.0</v>
      </c>
      <c r="CA119" s="62">
        <v>0.0</v>
      </c>
      <c r="CB119" s="62">
        <v>0.0</v>
      </c>
      <c r="CC119" s="62">
        <v>0.0</v>
      </c>
      <c r="CD119" s="62">
        <v>0.0</v>
      </c>
      <c r="CE119" s="62">
        <v>0.0</v>
      </c>
      <c r="CF119" s="62">
        <v>0.0</v>
      </c>
      <c r="CG119" s="62">
        <v>0.0</v>
      </c>
      <c r="CH119" s="62">
        <v>0.0</v>
      </c>
      <c r="CI119" s="62">
        <v>0.0</v>
      </c>
      <c r="CJ119" s="62">
        <v>0.0</v>
      </c>
      <c r="CK119" s="62">
        <v>0.0</v>
      </c>
      <c r="CL119" s="62">
        <v>0.0</v>
      </c>
      <c r="CM119" s="62">
        <v>0.0</v>
      </c>
      <c r="CN119" s="62">
        <v>0.0</v>
      </c>
      <c r="CO119" s="62">
        <v>0.0</v>
      </c>
      <c r="CP119" s="62">
        <v>0.0</v>
      </c>
      <c r="CQ119" s="62">
        <v>0.0</v>
      </c>
      <c r="CR119" s="62">
        <v>14057.0</v>
      </c>
      <c r="CS119" s="62">
        <v>5251.0</v>
      </c>
      <c r="CT119" s="62">
        <v>0.0</v>
      </c>
      <c r="CU119" s="62">
        <v>0.0</v>
      </c>
      <c r="CV119" s="62">
        <v>0.0</v>
      </c>
      <c r="CW119" s="62">
        <v>0.0</v>
      </c>
      <c r="CX119" s="62">
        <v>0.0</v>
      </c>
      <c r="CY119" s="62">
        <v>0.0</v>
      </c>
      <c r="CZ119" s="62">
        <v>0.0</v>
      </c>
      <c r="DA119" s="62">
        <v>0.0</v>
      </c>
      <c r="DB119" s="62">
        <v>0.0</v>
      </c>
      <c r="DC119" s="62">
        <v>0.0</v>
      </c>
      <c r="DD119" s="62">
        <v>0.0</v>
      </c>
      <c r="DE119" s="62">
        <v>1122.0</v>
      </c>
      <c r="DF119" s="62">
        <v>0.0</v>
      </c>
      <c r="DG119" s="62">
        <v>668.0</v>
      </c>
      <c r="DH119" s="62">
        <v>15446.0</v>
      </c>
      <c r="DI119" s="62">
        <v>7026.0</v>
      </c>
      <c r="DJ119" s="62">
        <v>6839.0</v>
      </c>
      <c r="DK119" s="62">
        <v>0.0</v>
      </c>
      <c r="DL119" s="62">
        <v>1.2759949E7</v>
      </c>
      <c r="DM119" s="62">
        <v>34604.0</v>
      </c>
      <c r="DN119" s="62">
        <v>2020567.0</v>
      </c>
      <c r="DO119" s="62">
        <v>1.3194348E7</v>
      </c>
      <c r="DP119" s="62">
        <v>948976.0</v>
      </c>
      <c r="DQ119" s="62">
        <v>7179869.0</v>
      </c>
      <c r="DR119" s="62">
        <v>2.0877816E7</v>
      </c>
      <c r="DS119" s="62">
        <v>717718.0</v>
      </c>
      <c r="DT119" s="62">
        <v>345835.0</v>
      </c>
      <c r="DU119" s="62">
        <v>1940950.0</v>
      </c>
      <c r="DV119" s="62">
        <v>5744949.0</v>
      </c>
      <c r="DW119" s="62">
        <v>369135.0</v>
      </c>
      <c r="DX119" s="62">
        <v>2641738.0</v>
      </c>
      <c r="DY119" s="62">
        <v>8254984.0</v>
      </c>
      <c r="DZ119" s="62">
        <v>7825977.0</v>
      </c>
      <c r="EA119" s="62">
        <v>528658.0</v>
      </c>
      <c r="EB119" s="62">
        <v>5469286.0</v>
      </c>
      <c r="EC119" s="62">
        <v>1.3074899E7</v>
      </c>
      <c r="ED119" s="62">
        <v>2049600.0</v>
      </c>
      <c r="EE119" s="62">
        <v>324068.0</v>
      </c>
      <c r="EF119" s="62">
        <v>754417.0</v>
      </c>
      <c r="EG119" s="62">
        <v>2332979.0</v>
      </c>
      <c r="EH119" s="62">
        <v>9282924.0</v>
      </c>
      <c r="EI119" s="62">
        <v>3691849.0</v>
      </c>
      <c r="EJ119" s="62">
        <v>8349.0</v>
      </c>
      <c r="EK119" s="62">
        <v>128195.0</v>
      </c>
      <c r="EL119" s="62">
        <v>49023.0</v>
      </c>
      <c r="EM119" s="62">
        <v>11906.0</v>
      </c>
      <c r="EN119" s="62">
        <v>52788.0</v>
      </c>
      <c r="EO119" s="62">
        <v>33008.0</v>
      </c>
      <c r="EP119" s="62">
        <v>1144033.0</v>
      </c>
      <c r="EQ119" s="62">
        <v>0.0</v>
      </c>
      <c r="ER119" s="62">
        <v>0.0</v>
      </c>
      <c r="ES119" s="62">
        <v>0.0</v>
      </c>
      <c r="ET119" s="62">
        <v>0.0</v>
      </c>
      <c r="EU119" s="62">
        <v>7.1083216E7</v>
      </c>
      <c r="EV119" s="62">
        <v>2703250.0</v>
      </c>
      <c r="EW119" s="62">
        <v>603855.0</v>
      </c>
      <c r="EX119" s="62">
        <v>3544113.0</v>
      </c>
      <c r="EY119" s="62">
        <v>3.0586127E7</v>
      </c>
      <c r="EZ119" s="62">
        <v>0.0</v>
      </c>
      <c r="FA119" s="62">
        <v>0.0</v>
      </c>
      <c r="FB119" s="62">
        <v>0.0</v>
      </c>
      <c r="FC119" s="62">
        <v>0.0</v>
      </c>
      <c r="FD119" s="62">
        <v>0.0</v>
      </c>
      <c r="FE119" s="62">
        <v>0.0</v>
      </c>
      <c r="FF119" s="62">
        <v>0.0</v>
      </c>
      <c r="FG119" s="62">
        <v>0.0</v>
      </c>
      <c r="FH119" s="62">
        <v>0.0</v>
      </c>
      <c r="FI119" s="62">
        <v>0.0</v>
      </c>
      <c r="FJ119" s="62">
        <v>0.0</v>
      </c>
      <c r="FK119" s="62">
        <v>0.0</v>
      </c>
      <c r="FL119" s="62">
        <v>0.0</v>
      </c>
      <c r="FM119" s="62">
        <v>21.0</v>
      </c>
      <c r="FN119" s="62">
        <v>0.0</v>
      </c>
      <c r="FO119" s="62">
        <v>0.0</v>
      </c>
      <c r="FP119" s="62">
        <v>0.0</v>
      </c>
      <c r="FQ119" s="62">
        <v>0.0</v>
      </c>
      <c r="FR119" s="62">
        <v>0.0</v>
      </c>
      <c r="FS119" s="62">
        <v>0.0</v>
      </c>
      <c r="FT119" s="62">
        <v>0.0</v>
      </c>
      <c r="FU119" s="62">
        <v>0.0</v>
      </c>
      <c r="FV119" s="62">
        <v>0.0</v>
      </c>
      <c r="FW119" s="62">
        <v>857.0</v>
      </c>
      <c r="FX119" s="62">
        <v>93392.0</v>
      </c>
      <c r="FY119" s="62">
        <v>0.0</v>
      </c>
      <c r="FZ119" s="62">
        <v>4876.0</v>
      </c>
      <c r="GA119" s="62">
        <v>8371.0</v>
      </c>
      <c r="GB119" s="62">
        <v>0.0</v>
      </c>
      <c r="GC119" s="62">
        <v>0.0</v>
      </c>
      <c r="GD119" s="62">
        <v>0.0</v>
      </c>
      <c r="GE119" s="62">
        <v>0.0</v>
      </c>
      <c r="GF119" s="63">
        <v>2.32804553E8</v>
      </c>
      <c r="GG119" s="64">
        <v>0.0</v>
      </c>
      <c r="GH119" s="65">
        <v>0.0</v>
      </c>
      <c r="GI119" s="64">
        <v>0.0</v>
      </c>
      <c r="GJ119" s="64">
        <v>0.0</v>
      </c>
      <c r="GK119" s="64">
        <v>-2.971946E7</v>
      </c>
      <c r="GL119" s="64">
        <v>1.62789735E8</v>
      </c>
      <c r="GM119" s="64">
        <v>0.0</v>
      </c>
      <c r="GN119" s="63">
        <v>1.33070275E8</v>
      </c>
      <c r="GO119" s="66">
        <v>3.65874828E8</v>
      </c>
      <c r="GP119" s="64">
        <v>1.2138513E8</v>
      </c>
      <c r="GQ119" s="64">
        <v>0.0</v>
      </c>
      <c r="GR119" s="65">
        <v>0.0</v>
      </c>
      <c r="GS119" s="63">
        <v>1.2138513E8</v>
      </c>
      <c r="GT119" s="67">
        <v>3.774913E7</v>
      </c>
      <c r="GU119" s="67">
        <v>1.4098752E7</v>
      </c>
      <c r="GV119" s="67">
        <v>4095772.0</v>
      </c>
      <c r="GW119" s="63">
        <v>5.5943654E7</v>
      </c>
      <c r="GX119" s="63">
        <v>9987418.0</v>
      </c>
      <c r="GY119" s="63">
        <v>1.78558626E8</v>
      </c>
      <c r="GZ119" s="66">
        <v>3.65874828E8</v>
      </c>
      <c r="HH119" s="106"/>
    </row>
    <row r="120" ht="15.75" customHeight="1">
      <c r="A120" s="68">
        <v>115.0</v>
      </c>
      <c r="B120" s="111" t="s">
        <v>385</v>
      </c>
      <c r="C120" s="70">
        <v>0.0</v>
      </c>
      <c r="D120" s="70">
        <v>0.0</v>
      </c>
      <c r="E120" s="70">
        <v>0.0</v>
      </c>
      <c r="F120" s="70">
        <v>0.0</v>
      </c>
      <c r="G120" s="70">
        <v>0.0</v>
      </c>
      <c r="H120" s="70">
        <v>0.0</v>
      </c>
      <c r="I120" s="70">
        <v>0.0</v>
      </c>
      <c r="J120" s="70">
        <v>0.0</v>
      </c>
      <c r="K120" s="70">
        <v>0.0</v>
      </c>
      <c r="L120" s="70">
        <v>0.0</v>
      </c>
      <c r="M120" s="70">
        <v>0.0</v>
      </c>
      <c r="N120" s="70">
        <v>0.0</v>
      </c>
      <c r="O120" s="70">
        <v>0.0</v>
      </c>
      <c r="P120" s="70">
        <v>0.0</v>
      </c>
      <c r="Q120" s="70">
        <v>0.0</v>
      </c>
      <c r="R120" s="70">
        <v>0.0</v>
      </c>
      <c r="S120" s="70">
        <v>0.0</v>
      </c>
      <c r="T120" s="70">
        <v>0.0</v>
      </c>
      <c r="U120" s="70">
        <v>0.0</v>
      </c>
      <c r="V120" s="70">
        <v>0.0</v>
      </c>
      <c r="W120" s="70">
        <v>0.0</v>
      </c>
      <c r="X120" s="70">
        <v>0.0</v>
      </c>
      <c r="Y120" s="70">
        <v>0.0</v>
      </c>
      <c r="Z120" s="70">
        <v>0.0</v>
      </c>
      <c r="AA120" s="70">
        <v>0.0</v>
      </c>
      <c r="AB120" s="70">
        <v>0.0</v>
      </c>
      <c r="AC120" s="70">
        <v>0.0</v>
      </c>
      <c r="AD120" s="70">
        <v>0.0</v>
      </c>
      <c r="AE120" s="70">
        <v>0.0</v>
      </c>
      <c r="AF120" s="70">
        <v>0.0</v>
      </c>
      <c r="AG120" s="70">
        <v>0.0</v>
      </c>
      <c r="AH120" s="70">
        <v>0.0</v>
      </c>
      <c r="AI120" s="70">
        <v>0.0</v>
      </c>
      <c r="AJ120" s="70">
        <v>0.0</v>
      </c>
      <c r="AK120" s="70">
        <v>0.0</v>
      </c>
      <c r="AL120" s="70">
        <v>0.0</v>
      </c>
      <c r="AM120" s="70">
        <v>0.0</v>
      </c>
      <c r="AN120" s="70">
        <v>0.0</v>
      </c>
      <c r="AO120" s="70">
        <v>0.0</v>
      </c>
      <c r="AP120" s="70">
        <v>781.0</v>
      </c>
      <c r="AQ120" s="70">
        <v>7685.0</v>
      </c>
      <c r="AR120" s="70">
        <v>0.0</v>
      </c>
      <c r="AS120" s="70">
        <v>0.0</v>
      </c>
      <c r="AT120" s="70">
        <v>0.0</v>
      </c>
      <c r="AU120" s="70">
        <v>3698.0</v>
      </c>
      <c r="AV120" s="70">
        <v>841484.0</v>
      </c>
      <c r="AW120" s="70">
        <v>9638.0</v>
      </c>
      <c r="AX120" s="70">
        <v>0.0</v>
      </c>
      <c r="AY120" s="70">
        <v>0.0</v>
      </c>
      <c r="AZ120" s="70">
        <v>0.0</v>
      </c>
      <c r="BA120" s="70">
        <v>0.0</v>
      </c>
      <c r="BB120" s="70">
        <v>0.0</v>
      </c>
      <c r="BC120" s="70">
        <v>0.0</v>
      </c>
      <c r="BD120" s="70">
        <v>0.0</v>
      </c>
      <c r="BE120" s="70">
        <v>0.0</v>
      </c>
      <c r="BF120" s="70">
        <v>0.0</v>
      </c>
      <c r="BG120" s="70">
        <v>0.0</v>
      </c>
      <c r="BH120" s="70">
        <v>0.0</v>
      </c>
      <c r="BI120" s="70">
        <v>0.0</v>
      </c>
      <c r="BJ120" s="70">
        <v>0.0</v>
      </c>
      <c r="BK120" s="70">
        <v>0.0</v>
      </c>
      <c r="BL120" s="70">
        <v>0.0</v>
      </c>
      <c r="BM120" s="70">
        <v>0.0</v>
      </c>
      <c r="BN120" s="70">
        <v>0.0</v>
      </c>
      <c r="BO120" s="70">
        <v>0.0</v>
      </c>
      <c r="BP120" s="70">
        <v>0.0</v>
      </c>
      <c r="BQ120" s="70">
        <v>0.0</v>
      </c>
      <c r="BR120" s="70">
        <v>0.0</v>
      </c>
      <c r="BS120" s="70">
        <v>0.0</v>
      </c>
      <c r="BT120" s="70">
        <v>0.0</v>
      </c>
      <c r="BU120" s="70">
        <v>0.0</v>
      </c>
      <c r="BV120" s="70">
        <v>0.0</v>
      </c>
      <c r="BW120" s="70">
        <v>0.0</v>
      </c>
      <c r="BX120" s="70">
        <v>0.0</v>
      </c>
      <c r="BY120" s="70">
        <v>0.0</v>
      </c>
      <c r="BZ120" s="70">
        <v>0.0</v>
      </c>
      <c r="CA120" s="70">
        <v>0.0</v>
      </c>
      <c r="CB120" s="70">
        <v>0.0</v>
      </c>
      <c r="CC120" s="70">
        <v>0.0</v>
      </c>
      <c r="CD120" s="70">
        <v>0.0</v>
      </c>
      <c r="CE120" s="70">
        <v>0.0</v>
      </c>
      <c r="CF120" s="70">
        <v>0.0</v>
      </c>
      <c r="CG120" s="70">
        <v>0.0</v>
      </c>
      <c r="CH120" s="70">
        <v>0.0</v>
      </c>
      <c r="CI120" s="70">
        <v>0.0</v>
      </c>
      <c r="CJ120" s="70">
        <v>0.0</v>
      </c>
      <c r="CK120" s="70">
        <v>0.0</v>
      </c>
      <c r="CL120" s="70">
        <v>0.0</v>
      </c>
      <c r="CM120" s="70">
        <v>0.0</v>
      </c>
      <c r="CN120" s="70">
        <v>0.0</v>
      </c>
      <c r="CO120" s="70">
        <v>0.0</v>
      </c>
      <c r="CP120" s="70">
        <v>0.0</v>
      </c>
      <c r="CQ120" s="70">
        <v>10554.0</v>
      </c>
      <c r="CR120" s="70">
        <v>8366.0</v>
      </c>
      <c r="CS120" s="70">
        <v>0.0</v>
      </c>
      <c r="CT120" s="70">
        <v>0.0</v>
      </c>
      <c r="CU120" s="70">
        <v>0.0</v>
      </c>
      <c r="CV120" s="70">
        <v>0.0</v>
      </c>
      <c r="CW120" s="70">
        <v>0.0</v>
      </c>
      <c r="CX120" s="70">
        <v>0.0</v>
      </c>
      <c r="CY120" s="70">
        <v>0.0</v>
      </c>
      <c r="CZ120" s="70">
        <v>0.0</v>
      </c>
      <c r="DA120" s="70">
        <v>0.0</v>
      </c>
      <c r="DB120" s="70">
        <v>0.0</v>
      </c>
      <c r="DC120" s="70">
        <v>0.0</v>
      </c>
      <c r="DD120" s="70">
        <v>0.0</v>
      </c>
      <c r="DE120" s="70">
        <v>3115.0</v>
      </c>
      <c r="DF120" s="70">
        <v>0.0</v>
      </c>
      <c r="DG120" s="70">
        <v>1044.0</v>
      </c>
      <c r="DH120" s="70">
        <v>15323.0</v>
      </c>
      <c r="DI120" s="70">
        <v>2596.0</v>
      </c>
      <c r="DJ120" s="70">
        <v>2413.0</v>
      </c>
      <c r="DK120" s="70">
        <v>0.0</v>
      </c>
      <c r="DL120" s="70">
        <v>868694.0</v>
      </c>
      <c r="DM120" s="70">
        <v>36301.0</v>
      </c>
      <c r="DN120" s="70">
        <v>42619.0</v>
      </c>
      <c r="DO120" s="70">
        <v>5782589.0</v>
      </c>
      <c r="DP120" s="70">
        <v>172494.0</v>
      </c>
      <c r="DQ120" s="70">
        <v>2695.0</v>
      </c>
      <c r="DR120" s="70">
        <v>6178474.0</v>
      </c>
      <c r="DS120" s="70">
        <v>1373173.0</v>
      </c>
      <c r="DT120" s="70">
        <v>166124.0</v>
      </c>
      <c r="DU120" s="70">
        <v>26750.0</v>
      </c>
      <c r="DV120" s="70">
        <v>4220019.0</v>
      </c>
      <c r="DW120" s="70">
        <v>2794713.0</v>
      </c>
      <c r="DX120" s="70">
        <v>3708176.0</v>
      </c>
      <c r="DY120" s="70">
        <v>30823.0</v>
      </c>
      <c r="DZ120" s="70">
        <v>844239.0</v>
      </c>
      <c r="EA120" s="70">
        <v>94060.0</v>
      </c>
      <c r="EB120" s="70">
        <v>677834.0</v>
      </c>
      <c r="EC120" s="70">
        <v>400480.0</v>
      </c>
      <c r="ED120" s="70">
        <v>149555.0</v>
      </c>
      <c r="EE120" s="70">
        <v>10494.0</v>
      </c>
      <c r="EF120" s="70">
        <v>603022.0</v>
      </c>
      <c r="EG120" s="70">
        <v>933175.0</v>
      </c>
      <c r="EH120" s="70">
        <v>5089146.0</v>
      </c>
      <c r="EI120" s="70">
        <v>980539.0</v>
      </c>
      <c r="EJ120" s="70">
        <v>1.8762418E7</v>
      </c>
      <c r="EK120" s="70">
        <v>719740.0</v>
      </c>
      <c r="EL120" s="70">
        <v>275625.0</v>
      </c>
      <c r="EM120" s="70">
        <v>2321.0</v>
      </c>
      <c r="EN120" s="70">
        <v>1825121.0</v>
      </c>
      <c r="EO120" s="70">
        <v>78200.0</v>
      </c>
      <c r="EP120" s="70">
        <v>1452840.0</v>
      </c>
      <c r="EQ120" s="70">
        <v>0.0</v>
      </c>
      <c r="ER120" s="70">
        <v>0.0</v>
      </c>
      <c r="ES120" s="70">
        <v>0.0</v>
      </c>
      <c r="ET120" s="70">
        <v>0.0</v>
      </c>
      <c r="EU120" s="70">
        <v>3.7894308E7</v>
      </c>
      <c r="EV120" s="70">
        <v>1041804.0</v>
      </c>
      <c r="EW120" s="70">
        <v>85380.0</v>
      </c>
      <c r="EX120" s="70">
        <v>425515.0</v>
      </c>
      <c r="EY120" s="70">
        <v>2.9175657E7</v>
      </c>
      <c r="EZ120" s="70">
        <v>0.0</v>
      </c>
      <c r="FA120" s="70">
        <v>0.0</v>
      </c>
      <c r="FB120" s="70">
        <v>0.0</v>
      </c>
      <c r="FC120" s="70">
        <v>0.0</v>
      </c>
      <c r="FD120" s="70">
        <v>0.0</v>
      </c>
      <c r="FE120" s="70">
        <v>0.0</v>
      </c>
      <c r="FF120" s="70">
        <v>0.0</v>
      </c>
      <c r="FG120" s="70">
        <v>0.0</v>
      </c>
      <c r="FH120" s="70">
        <v>0.0</v>
      </c>
      <c r="FI120" s="70">
        <v>0.0</v>
      </c>
      <c r="FJ120" s="70">
        <v>0.0</v>
      </c>
      <c r="FK120" s="70">
        <v>0.0</v>
      </c>
      <c r="FL120" s="70">
        <v>0.0</v>
      </c>
      <c r="FM120" s="70">
        <v>0.0</v>
      </c>
      <c r="FN120" s="70">
        <v>0.0</v>
      </c>
      <c r="FO120" s="70">
        <v>0.0</v>
      </c>
      <c r="FP120" s="70">
        <v>0.0</v>
      </c>
      <c r="FQ120" s="70">
        <v>0.0</v>
      </c>
      <c r="FR120" s="70">
        <v>0.0</v>
      </c>
      <c r="FS120" s="70">
        <v>0.0</v>
      </c>
      <c r="FT120" s="70">
        <v>0.0</v>
      </c>
      <c r="FU120" s="70">
        <v>0.0</v>
      </c>
      <c r="FV120" s="70">
        <v>0.0</v>
      </c>
      <c r="FW120" s="70">
        <v>0.0</v>
      </c>
      <c r="FX120" s="70">
        <v>0.0</v>
      </c>
      <c r="FY120" s="70">
        <v>14.0</v>
      </c>
      <c r="FZ120" s="70">
        <v>0.0</v>
      </c>
      <c r="GA120" s="70">
        <v>0.0</v>
      </c>
      <c r="GB120" s="70">
        <v>0.0</v>
      </c>
      <c r="GC120" s="70">
        <v>0.0</v>
      </c>
      <c r="GD120" s="70">
        <v>0.0</v>
      </c>
      <c r="GE120" s="70">
        <v>0.0</v>
      </c>
      <c r="GF120" s="71">
        <v>1.27831828E8</v>
      </c>
      <c r="GG120" s="72">
        <v>0.0</v>
      </c>
      <c r="GH120" s="73">
        <v>0.0</v>
      </c>
      <c r="GI120" s="72">
        <v>0.0</v>
      </c>
      <c r="GJ120" s="72">
        <v>0.0</v>
      </c>
      <c r="GK120" s="72">
        <v>-1453775.0</v>
      </c>
      <c r="GL120" s="72">
        <v>1.64844454E8</v>
      </c>
      <c r="GM120" s="72">
        <v>0.0</v>
      </c>
      <c r="GN120" s="71">
        <v>1.63390679E8</v>
      </c>
      <c r="GO120" s="74">
        <v>2.91222507E8</v>
      </c>
      <c r="GP120" s="72">
        <v>7.3047516E7</v>
      </c>
      <c r="GQ120" s="72">
        <v>0.0</v>
      </c>
      <c r="GR120" s="73">
        <v>0.0</v>
      </c>
      <c r="GS120" s="71">
        <v>7.3047516E7</v>
      </c>
      <c r="GT120" s="75">
        <v>2.893617E7</v>
      </c>
      <c r="GU120" s="75">
        <v>4648665.0</v>
      </c>
      <c r="GV120" s="75">
        <v>4486841.0</v>
      </c>
      <c r="GW120" s="71">
        <v>3.8071676E7</v>
      </c>
      <c r="GX120" s="71">
        <v>5587821.0</v>
      </c>
      <c r="GY120" s="71">
        <v>1.74515494E8</v>
      </c>
      <c r="GZ120" s="74">
        <v>2.91222507E8</v>
      </c>
      <c r="HH120" s="106"/>
    </row>
    <row r="121" ht="15.75" customHeight="1">
      <c r="A121" s="52">
        <v>116.0</v>
      </c>
      <c r="B121" s="111" t="s">
        <v>600</v>
      </c>
      <c r="C121" s="54">
        <v>0.0</v>
      </c>
      <c r="D121" s="54">
        <v>0.0</v>
      </c>
      <c r="E121" s="54">
        <v>0.0</v>
      </c>
      <c r="F121" s="54">
        <v>0.0</v>
      </c>
      <c r="G121" s="54">
        <v>0.0</v>
      </c>
      <c r="H121" s="54">
        <v>0.0</v>
      </c>
      <c r="I121" s="54">
        <v>0.0</v>
      </c>
      <c r="J121" s="54">
        <v>0.0</v>
      </c>
      <c r="K121" s="54">
        <v>0.0</v>
      </c>
      <c r="L121" s="54">
        <v>0.0</v>
      </c>
      <c r="M121" s="54">
        <v>0.0</v>
      </c>
      <c r="N121" s="54">
        <v>0.0</v>
      </c>
      <c r="O121" s="54">
        <v>0.0</v>
      </c>
      <c r="P121" s="54">
        <v>0.0</v>
      </c>
      <c r="Q121" s="54">
        <v>0.0</v>
      </c>
      <c r="R121" s="54">
        <v>0.0</v>
      </c>
      <c r="S121" s="54">
        <v>0.0</v>
      </c>
      <c r="T121" s="54">
        <v>0.0</v>
      </c>
      <c r="U121" s="54">
        <v>0.0</v>
      </c>
      <c r="V121" s="54">
        <v>0.0</v>
      </c>
      <c r="W121" s="54">
        <v>0.0</v>
      </c>
      <c r="X121" s="54">
        <v>0.0</v>
      </c>
      <c r="Y121" s="54">
        <v>0.0</v>
      </c>
      <c r="Z121" s="54">
        <v>0.0</v>
      </c>
      <c r="AA121" s="54">
        <v>0.0</v>
      </c>
      <c r="AB121" s="54">
        <v>0.0</v>
      </c>
      <c r="AC121" s="54">
        <v>0.0</v>
      </c>
      <c r="AD121" s="54">
        <v>0.0</v>
      </c>
      <c r="AE121" s="54">
        <v>0.0</v>
      </c>
      <c r="AF121" s="54">
        <v>0.0</v>
      </c>
      <c r="AG121" s="54">
        <v>0.0</v>
      </c>
      <c r="AH121" s="54">
        <v>0.0</v>
      </c>
      <c r="AI121" s="54">
        <v>0.0</v>
      </c>
      <c r="AJ121" s="54">
        <v>0.0</v>
      </c>
      <c r="AK121" s="54">
        <v>0.0</v>
      </c>
      <c r="AL121" s="54">
        <v>0.0</v>
      </c>
      <c r="AM121" s="54">
        <v>0.0</v>
      </c>
      <c r="AN121" s="54">
        <v>0.0</v>
      </c>
      <c r="AO121" s="54">
        <v>0.0</v>
      </c>
      <c r="AP121" s="54">
        <v>0.0</v>
      </c>
      <c r="AQ121" s="54">
        <v>0.0</v>
      </c>
      <c r="AR121" s="54">
        <v>0.0</v>
      </c>
      <c r="AS121" s="54">
        <v>0.0</v>
      </c>
      <c r="AT121" s="54">
        <v>0.0</v>
      </c>
      <c r="AU121" s="54">
        <v>0.0</v>
      </c>
      <c r="AV121" s="54">
        <v>0.0</v>
      </c>
      <c r="AW121" s="54">
        <v>0.0</v>
      </c>
      <c r="AX121" s="54">
        <v>0.0</v>
      </c>
      <c r="AY121" s="54">
        <v>0.0</v>
      </c>
      <c r="AZ121" s="54">
        <v>0.0</v>
      </c>
      <c r="BA121" s="54">
        <v>0.0</v>
      </c>
      <c r="BB121" s="54">
        <v>0.0</v>
      </c>
      <c r="BC121" s="54">
        <v>0.0</v>
      </c>
      <c r="BD121" s="54">
        <v>0.0</v>
      </c>
      <c r="BE121" s="54">
        <v>0.0</v>
      </c>
      <c r="BF121" s="54">
        <v>0.0</v>
      </c>
      <c r="BG121" s="54">
        <v>0.0</v>
      </c>
      <c r="BH121" s="54">
        <v>0.0</v>
      </c>
      <c r="BI121" s="54">
        <v>0.0</v>
      </c>
      <c r="BJ121" s="54">
        <v>0.0</v>
      </c>
      <c r="BK121" s="54">
        <v>0.0</v>
      </c>
      <c r="BL121" s="54">
        <v>0.0</v>
      </c>
      <c r="BM121" s="54">
        <v>0.0</v>
      </c>
      <c r="BN121" s="54">
        <v>0.0</v>
      </c>
      <c r="BO121" s="54">
        <v>0.0</v>
      </c>
      <c r="BP121" s="54">
        <v>0.0</v>
      </c>
      <c r="BQ121" s="54">
        <v>0.0</v>
      </c>
      <c r="BR121" s="54">
        <v>0.0</v>
      </c>
      <c r="BS121" s="54">
        <v>0.0</v>
      </c>
      <c r="BT121" s="54">
        <v>0.0</v>
      </c>
      <c r="BU121" s="54">
        <v>0.0</v>
      </c>
      <c r="BV121" s="54">
        <v>0.0</v>
      </c>
      <c r="BW121" s="54">
        <v>0.0</v>
      </c>
      <c r="BX121" s="54">
        <v>0.0</v>
      </c>
      <c r="BY121" s="54">
        <v>0.0</v>
      </c>
      <c r="BZ121" s="54">
        <v>0.0</v>
      </c>
      <c r="CA121" s="54">
        <v>0.0</v>
      </c>
      <c r="CB121" s="54">
        <v>0.0</v>
      </c>
      <c r="CC121" s="54">
        <v>0.0</v>
      </c>
      <c r="CD121" s="54">
        <v>0.0</v>
      </c>
      <c r="CE121" s="54">
        <v>0.0</v>
      </c>
      <c r="CF121" s="54">
        <v>0.0</v>
      </c>
      <c r="CG121" s="54">
        <v>0.0</v>
      </c>
      <c r="CH121" s="54">
        <v>0.0</v>
      </c>
      <c r="CI121" s="54">
        <v>0.0</v>
      </c>
      <c r="CJ121" s="54">
        <v>0.0</v>
      </c>
      <c r="CK121" s="54">
        <v>0.0</v>
      </c>
      <c r="CL121" s="54">
        <v>0.0</v>
      </c>
      <c r="CM121" s="54">
        <v>0.0</v>
      </c>
      <c r="CN121" s="54">
        <v>0.0</v>
      </c>
      <c r="CO121" s="54">
        <v>0.0</v>
      </c>
      <c r="CP121" s="54">
        <v>0.0</v>
      </c>
      <c r="CQ121" s="54">
        <v>0.0</v>
      </c>
      <c r="CR121" s="54">
        <v>2148.0</v>
      </c>
      <c r="CS121" s="54">
        <v>0.0</v>
      </c>
      <c r="CT121" s="54">
        <v>0.0</v>
      </c>
      <c r="CU121" s="54">
        <v>0.0</v>
      </c>
      <c r="CV121" s="54">
        <v>0.0</v>
      </c>
      <c r="CW121" s="54">
        <v>0.0</v>
      </c>
      <c r="CX121" s="54">
        <v>0.0</v>
      </c>
      <c r="CY121" s="54">
        <v>0.0</v>
      </c>
      <c r="CZ121" s="54">
        <v>0.0</v>
      </c>
      <c r="DA121" s="54">
        <v>0.0</v>
      </c>
      <c r="DB121" s="54">
        <v>0.0</v>
      </c>
      <c r="DC121" s="54">
        <v>0.0</v>
      </c>
      <c r="DD121" s="54">
        <v>0.0</v>
      </c>
      <c r="DE121" s="54">
        <v>0.0</v>
      </c>
      <c r="DF121" s="54">
        <v>0.0</v>
      </c>
      <c r="DG121" s="54">
        <v>0.0</v>
      </c>
      <c r="DH121" s="54">
        <v>0.0</v>
      </c>
      <c r="DI121" s="54">
        <v>0.0</v>
      </c>
      <c r="DJ121" s="54">
        <v>1077.0</v>
      </c>
      <c r="DK121" s="54">
        <v>0.0</v>
      </c>
      <c r="DL121" s="54">
        <v>1439109.0</v>
      </c>
      <c r="DM121" s="54">
        <v>2203.0</v>
      </c>
      <c r="DN121" s="54">
        <v>59084.0</v>
      </c>
      <c r="DO121" s="54">
        <v>2000697.0</v>
      </c>
      <c r="DP121" s="54">
        <v>0.0</v>
      </c>
      <c r="DQ121" s="54">
        <v>323456.0</v>
      </c>
      <c r="DR121" s="54">
        <v>2323654.0</v>
      </c>
      <c r="DS121" s="54">
        <v>0.0</v>
      </c>
      <c r="DT121" s="54">
        <v>0.0</v>
      </c>
      <c r="DU121" s="54">
        <v>0.0</v>
      </c>
      <c r="DV121" s="54">
        <v>0.0</v>
      </c>
      <c r="DW121" s="54">
        <v>0.0</v>
      </c>
      <c r="DX121" s="54">
        <v>647.0</v>
      </c>
      <c r="DY121" s="54">
        <v>0.0</v>
      </c>
      <c r="DZ121" s="54">
        <v>4652.0</v>
      </c>
      <c r="EA121" s="54">
        <v>0.0</v>
      </c>
      <c r="EB121" s="54">
        <v>82756.0</v>
      </c>
      <c r="EC121" s="54">
        <v>226437.0</v>
      </c>
      <c r="ED121" s="54">
        <v>0.0</v>
      </c>
      <c r="EE121" s="54">
        <v>0.0</v>
      </c>
      <c r="EF121" s="54">
        <v>0.0</v>
      </c>
      <c r="EG121" s="54">
        <v>0.0</v>
      </c>
      <c r="EH121" s="54">
        <v>5232.0</v>
      </c>
      <c r="EI121" s="54">
        <v>12.0</v>
      </c>
      <c r="EJ121" s="54">
        <v>0.0</v>
      </c>
      <c r="EK121" s="54">
        <v>0.0</v>
      </c>
      <c r="EL121" s="54">
        <v>0.0</v>
      </c>
      <c r="EM121" s="54">
        <v>0.0</v>
      </c>
      <c r="EN121" s="54">
        <v>0.0</v>
      </c>
      <c r="EO121" s="54">
        <v>0.0</v>
      </c>
      <c r="EP121" s="54">
        <v>278642.0</v>
      </c>
      <c r="EQ121" s="54">
        <v>0.0</v>
      </c>
      <c r="ER121" s="54">
        <v>0.0</v>
      </c>
      <c r="ES121" s="54">
        <v>0.0</v>
      </c>
      <c r="ET121" s="54">
        <v>0.0</v>
      </c>
      <c r="EU121" s="54">
        <v>8882350.0</v>
      </c>
      <c r="EV121" s="54">
        <v>147869.0</v>
      </c>
      <c r="EW121" s="54">
        <v>12317.0</v>
      </c>
      <c r="EX121" s="54">
        <v>104511.0</v>
      </c>
      <c r="EY121" s="54">
        <v>3712344.0</v>
      </c>
      <c r="EZ121" s="54">
        <v>0.0</v>
      </c>
      <c r="FA121" s="54">
        <v>0.0</v>
      </c>
      <c r="FB121" s="54">
        <v>0.0</v>
      </c>
      <c r="FC121" s="54">
        <v>0.0</v>
      </c>
      <c r="FD121" s="54">
        <v>0.0</v>
      </c>
      <c r="FE121" s="54">
        <v>0.0</v>
      </c>
      <c r="FF121" s="54">
        <v>0.0</v>
      </c>
      <c r="FG121" s="54">
        <v>0.0</v>
      </c>
      <c r="FH121" s="54">
        <v>0.0</v>
      </c>
      <c r="FI121" s="54">
        <v>0.0</v>
      </c>
      <c r="FJ121" s="54">
        <v>0.0</v>
      </c>
      <c r="FK121" s="54">
        <v>0.0</v>
      </c>
      <c r="FL121" s="54">
        <v>0.0</v>
      </c>
      <c r="FM121" s="54">
        <v>0.0</v>
      </c>
      <c r="FN121" s="54">
        <v>0.0</v>
      </c>
      <c r="FO121" s="54">
        <v>0.0</v>
      </c>
      <c r="FP121" s="54">
        <v>0.0</v>
      </c>
      <c r="FQ121" s="54">
        <v>0.0</v>
      </c>
      <c r="FR121" s="54">
        <v>0.0</v>
      </c>
      <c r="FS121" s="54">
        <v>0.0</v>
      </c>
      <c r="FT121" s="54">
        <v>0.0</v>
      </c>
      <c r="FU121" s="54">
        <v>0.0</v>
      </c>
      <c r="FV121" s="54">
        <v>0.0</v>
      </c>
      <c r="FW121" s="54">
        <v>0.0</v>
      </c>
      <c r="FX121" s="54">
        <v>0.0</v>
      </c>
      <c r="FY121" s="54">
        <v>0.0</v>
      </c>
      <c r="FZ121" s="54">
        <v>0.0</v>
      </c>
      <c r="GA121" s="54">
        <v>0.0</v>
      </c>
      <c r="GB121" s="54">
        <v>0.0</v>
      </c>
      <c r="GC121" s="54">
        <v>0.0</v>
      </c>
      <c r="GD121" s="54">
        <v>0.0</v>
      </c>
      <c r="GE121" s="54">
        <v>0.0</v>
      </c>
      <c r="GF121" s="55">
        <v>1.9609197E7</v>
      </c>
      <c r="GG121" s="56">
        <v>0.0</v>
      </c>
      <c r="GH121" s="57">
        <v>0.0</v>
      </c>
      <c r="GI121" s="56">
        <v>0.0</v>
      </c>
      <c r="GJ121" s="56">
        <v>0.0</v>
      </c>
      <c r="GK121" s="56">
        <v>-1541699.0</v>
      </c>
      <c r="GL121" s="56">
        <v>1464792.0</v>
      </c>
      <c r="GM121" s="56">
        <v>0.0</v>
      </c>
      <c r="GN121" s="55">
        <v>-76907.0</v>
      </c>
      <c r="GO121" s="58">
        <v>1.953229E7</v>
      </c>
      <c r="GP121" s="56">
        <v>3738414.0</v>
      </c>
      <c r="GQ121" s="56">
        <v>0.0</v>
      </c>
      <c r="GR121" s="57">
        <v>0.0</v>
      </c>
      <c r="GS121" s="55">
        <v>3738414.0</v>
      </c>
      <c r="GT121" s="59">
        <v>2892367.0</v>
      </c>
      <c r="GU121" s="59">
        <v>1188902.0</v>
      </c>
      <c r="GV121" s="59">
        <v>654604.0</v>
      </c>
      <c r="GW121" s="55">
        <v>4735873.0</v>
      </c>
      <c r="GX121" s="55">
        <v>230225.0</v>
      </c>
      <c r="GY121" s="55">
        <v>1.0827778E7</v>
      </c>
      <c r="GZ121" s="58">
        <v>1.953229E7</v>
      </c>
      <c r="HH121" s="106"/>
    </row>
    <row r="122" ht="15.75" customHeight="1">
      <c r="A122" s="60">
        <v>117.0</v>
      </c>
      <c r="B122" s="111" t="s">
        <v>387</v>
      </c>
      <c r="C122" s="62">
        <v>0.0</v>
      </c>
      <c r="D122" s="62">
        <v>0.0</v>
      </c>
      <c r="E122" s="62">
        <v>0.0</v>
      </c>
      <c r="F122" s="62">
        <v>0.0</v>
      </c>
      <c r="G122" s="62">
        <v>0.0</v>
      </c>
      <c r="H122" s="62">
        <v>0.0</v>
      </c>
      <c r="I122" s="62">
        <v>0.0</v>
      </c>
      <c r="J122" s="62">
        <v>0.0</v>
      </c>
      <c r="K122" s="62">
        <v>0.0</v>
      </c>
      <c r="L122" s="62">
        <v>0.0</v>
      </c>
      <c r="M122" s="62">
        <v>0.0</v>
      </c>
      <c r="N122" s="62">
        <v>0.0</v>
      </c>
      <c r="O122" s="62">
        <v>0.0</v>
      </c>
      <c r="P122" s="62">
        <v>0.0</v>
      </c>
      <c r="Q122" s="62">
        <v>0.0</v>
      </c>
      <c r="R122" s="62">
        <v>0.0</v>
      </c>
      <c r="S122" s="62">
        <v>0.0</v>
      </c>
      <c r="T122" s="62">
        <v>0.0</v>
      </c>
      <c r="U122" s="62">
        <v>0.0</v>
      </c>
      <c r="V122" s="62">
        <v>0.0</v>
      </c>
      <c r="W122" s="62">
        <v>0.0</v>
      </c>
      <c r="X122" s="62">
        <v>0.0</v>
      </c>
      <c r="Y122" s="62">
        <v>0.0</v>
      </c>
      <c r="Z122" s="62">
        <v>0.0</v>
      </c>
      <c r="AA122" s="62">
        <v>0.0</v>
      </c>
      <c r="AB122" s="62">
        <v>0.0</v>
      </c>
      <c r="AC122" s="62">
        <v>0.0</v>
      </c>
      <c r="AD122" s="62">
        <v>41350.0</v>
      </c>
      <c r="AE122" s="62">
        <v>0.0</v>
      </c>
      <c r="AF122" s="62">
        <v>0.0</v>
      </c>
      <c r="AG122" s="62">
        <v>0.0</v>
      </c>
      <c r="AH122" s="62">
        <v>0.0</v>
      </c>
      <c r="AI122" s="62">
        <v>0.0</v>
      </c>
      <c r="AJ122" s="62">
        <v>0.0</v>
      </c>
      <c r="AK122" s="62">
        <v>0.0</v>
      </c>
      <c r="AL122" s="62">
        <v>0.0</v>
      </c>
      <c r="AM122" s="62">
        <v>0.0</v>
      </c>
      <c r="AN122" s="62">
        <v>0.0</v>
      </c>
      <c r="AO122" s="62">
        <v>0.0</v>
      </c>
      <c r="AP122" s="62">
        <v>0.0</v>
      </c>
      <c r="AQ122" s="62">
        <v>0.0</v>
      </c>
      <c r="AR122" s="62">
        <v>0.0</v>
      </c>
      <c r="AS122" s="62">
        <v>98470.0</v>
      </c>
      <c r="AT122" s="62">
        <v>0.0</v>
      </c>
      <c r="AU122" s="62">
        <v>0.0</v>
      </c>
      <c r="AV122" s="62">
        <v>38266.0</v>
      </c>
      <c r="AW122" s="62">
        <v>0.0</v>
      </c>
      <c r="AX122" s="62">
        <v>0.0</v>
      </c>
      <c r="AY122" s="62">
        <v>0.0</v>
      </c>
      <c r="AZ122" s="62">
        <v>0.0</v>
      </c>
      <c r="BA122" s="62">
        <v>0.0</v>
      </c>
      <c r="BB122" s="62">
        <v>0.0</v>
      </c>
      <c r="BC122" s="62">
        <v>0.0</v>
      </c>
      <c r="BD122" s="62">
        <v>0.0</v>
      </c>
      <c r="BE122" s="62">
        <v>0.0</v>
      </c>
      <c r="BF122" s="62">
        <v>0.0</v>
      </c>
      <c r="BG122" s="62">
        <v>0.0</v>
      </c>
      <c r="BH122" s="62">
        <v>0.0</v>
      </c>
      <c r="BI122" s="62">
        <v>0.0</v>
      </c>
      <c r="BJ122" s="62">
        <v>0.0</v>
      </c>
      <c r="BK122" s="62">
        <v>0.0</v>
      </c>
      <c r="BL122" s="62">
        <v>0.0</v>
      </c>
      <c r="BM122" s="62">
        <v>0.0</v>
      </c>
      <c r="BN122" s="62">
        <v>0.0</v>
      </c>
      <c r="BO122" s="62">
        <v>64.0</v>
      </c>
      <c r="BP122" s="62">
        <v>73.0</v>
      </c>
      <c r="BQ122" s="62">
        <v>0.0</v>
      </c>
      <c r="BR122" s="62">
        <v>0.0</v>
      </c>
      <c r="BS122" s="62">
        <v>0.0</v>
      </c>
      <c r="BT122" s="62">
        <v>0.0</v>
      </c>
      <c r="BU122" s="62">
        <v>5891.0</v>
      </c>
      <c r="BV122" s="62">
        <v>0.0</v>
      </c>
      <c r="BW122" s="62">
        <v>0.0</v>
      </c>
      <c r="BX122" s="62">
        <v>0.0</v>
      </c>
      <c r="BY122" s="62">
        <v>0.0</v>
      </c>
      <c r="BZ122" s="62">
        <v>0.0</v>
      </c>
      <c r="CA122" s="62">
        <v>0.0</v>
      </c>
      <c r="CB122" s="62">
        <v>0.0</v>
      </c>
      <c r="CC122" s="62">
        <v>0.0</v>
      </c>
      <c r="CD122" s="62">
        <v>0.0</v>
      </c>
      <c r="CE122" s="62">
        <v>0.0</v>
      </c>
      <c r="CF122" s="62">
        <v>0.0</v>
      </c>
      <c r="CG122" s="62">
        <v>0.0</v>
      </c>
      <c r="CH122" s="62">
        <v>0.0</v>
      </c>
      <c r="CI122" s="62">
        <v>0.0</v>
      </c>
      <c r="CJ122" s="62">
        <v>3193.0</v>
      </c>
      <c r="CK122" s="62">
        <v>2511.0</v>
      </c>
      <c r="CL122" s="62">
        <v>50499.0</v>
      </c>
      <c r="CM122" s="62">
        <v>2298.0</v>
      </c>
      <c r="CN122" s="62">
        <v>0.0</v>
      </c>
      <c r="CO122" s="62">
        <v>0.0</v>
      </c>
      <c r="CP122" s="62">
        <v>219.0</v>
      </c>
      <c r="CQ122" s="62">
        <v>0.0</v>
      </c>
      <c r="CR122" s="62">
        <v>9099.0</v>
      </c>
      <c r="CS122" s="62">
        <v>0.0</v>
      </c>
      <c r="CT122" s="62">
        <v>0.0</v>
      </c>
      <c r="CU122" s="62">
        <v>0.0</v>
      </c>
      <c r="CV122" s="62">
        <v>0.0</v>
      </c>
      <c r="CW122" s="62">
        <v>0.0</v>
      </c>
      <c r="CX122" s="62">
        <v>0.0</v>
      </c>
      <c r="CY122" s="62">
        <v>0.0</v>
      </c>
      <c r="CZ122" s="62">
        <v>0.0</v>
      </c>
      <c r="DA122" s="62">
        <v>0.0</v>
      </c>
      <c r="DB122" s="62">
        <v>0.0</v>
      </c>
      <c r="DC122" s="62">
        <v>0.0</v>
      </c>
      <c r="DD122" s="62">
        <v>0.0</v>
      </c>
      <c r="DE122" s="62">
        <v>0.0</v>
      </c>
      <c r="DF122" s="62">
        <v>0.0</v>
      </c>
      <c r="DG122" s="62">
        <v>0.0</v>
      </c>
      <c r="DH122" s="62">
        <v>1100.0</v>
      </c>
      <c r="DI122" s="62">
        <v>0.0</v>
      </c>
      <c r="DJ122" s="62">
        <v>4347.0</v>
      </c>
      <c r="DK122" s="62">
        <v>0.0</v>
      </c>
      <c r="DL122" s="62">
        <v>0.0</v>
      </c>
      <c r="DM122" s="62">
        <v>317.0</v>
      </c>
      <c r="DN122" s="62">
        <v>4566.0</v>
      </c>
      <c r="DO122" s="62">
        <v>5906035.0</v>
      </c>
      <c r="DP122" s="62">
        <v>0.0</v>
      </c>
      <c r="DQ122" s="62">
        <v>0.0</v>
      </c>
      <c r="DR122" s="62">
        <v>105031.0</v>
      </c>
      <c r="DS122" s="62">
        <v>611971.0</v>
      </c>
      <c r="DT122" s="62">
        <v>179267.0</v>
      </c>
      <c r="DU122" s="62">
        <v>538571.0</v>
      </c>
      <c r="DV122" s="62">
        <v>1594099.0</v>
      </c>
      <c r="DW122" s="62">
        <v>1023455.0</v>
      </c>
      <c r="DX122" s="62">
        <v>858276.0</v>
      </c>
      <c r="DY122" s="62">
        <v>2953918.0</v>
      </c>
      <c r="DZ122" s="62">
        <v>1198146.0</v>
      </c>
      <c r="EA122" s="62">
        <v>0.0</v>
      </c>
      <c r="EB122" s="62">
        <v>832745.0</v>
      </c>
      <c r="EC122" s="62">
        <v>0.0</v>
      </c>
      <c r="ED122" s="62">
        <v>0.0</v>
      </c>
      <c r="EE122" s="62">
        <v>0.0</v>
      </c>
      <c r="EF122" s="62">
        <v>11412.0</v>
      </c>
      <c r="EG122" s="62">
        <v>16527.0</v>
      </c>
      <c r="EH122" s="62">
        <v>0.0</v>
      </c>
      <c r="EI122" s="62">
        <v>41903.0</v>
      </c>
      <c r="EJ122" s="62">
        <v>0.0</v>
      </c>
      <c r="EK122" s="62">
        <v>0.0</v>
      </c>
      <c r="EL122" s="62">
        <v>0.0</v>
      </c>
      <c r="EM122" s="62">
        <v>0.0</v>
      </c>
      <c r="EN122" s="62">
        <v>0.0</v>
      </c>
      <c r="EO122" s="62">
        <v>0.0</v>
      </c>
      <c r="EP122" s="62">
        <v>326280.0</v>
      </c>
      <c r="EQ122" s="62">
        <v>0.0</v>
      </c>
      <c r="ER122" s="62">
        <v>0.0</v>
      </c>
      <c r="ES122" s="62">
        <v>186101.0</v>
      </c>
      <c r="ET122" s="62">
        <v>228701.0</v>
      </c>
      <c r="EU122" s="62">
        <v>4.030955E7</v>
      </c>
      <c r="EV122" s="62">
        <v>7717846.0</v>
      </c>
      <c r="EW122" s="62">
        <v>628887.0</v>
      </c>
      <c r="EX122" s="62">
        <v>2439704.0</v>
      </c>
      <c r="EY122" s="62">
        <v>4.5314277E7</v>
      </c>
      <c r="EZ122" s="62">
        <v>0.0</v>
      </c>
      <c r="FA122" s="62">
        <v>0.0</v>
      </c>
      <c r="FB122" s="62">
        <v>0.0</v>
      </c>
      <c r="FC122" s="62">
        <v>0.0</v>
      </c>
      <c r="FD122" s="62">
        <v>0.0</v>
      </c>
      <c r="FE122" s="62">
        <v>0.0</v>
      </c>
      <c r="FF122" s="62">
        <v>0.0</v>
      </c>
      <c r="FG122" s="62">
        <v>0.0</v>
      </c>
      <c r="FH122" s="62">
        <v>0.0</v>
      </c>
      <c r="FI122" s="62">
        <v>0.0</v>
      </c>
      <c r="FJ122" s="62">
        <v>0.0</v>
      </c>
      <c r="FK122" s="62">
        <v>0.0</v>
      </c>
      <c r="FL122" s="62">
        <v>0.0</v>
      </c>
      <c r="FM122" s="62">
        <v>0.0</v>
      </c>
      <c r="FN122" s="62">
        <v>0.0</v>
      </c>
      <c r="FO122" s="62">
        <v>0.0</v>
      </c>
      <c r="FP122" s="62">
        <v>0.0</v>
      </c>
      <c r="FQ122" s="62">
        <v>0.0</v>
      </c>
      <c r="FR122" s="62">
        <v>0.0</v>
      </c>
      <c r="FS122" s="62">
        <v>0.0</v>
      </c>
      <c r="FT122" s="62">
        <v>0.0</v>
      </c>
      <c r="FU122" s="62">
        <v>78993.0</v>
      </c>
      <c r="FV122" s="62">
        <v>173.0</v>
      </c>
      <c r="FW122" s="62">
        <v>31096.0</v>
      </c>
      <c r="FX122" s="62">
        <v>107.0</v>
      </c>
      <c r="FY122" s="62">
        <v>0.0</v>
      </c>
      <c r="FZ122" s="62">
        <v>0.0</v>
      </c>
      <c r="GA122" s="62">
        <v>0.0</v>
      </c>
      <c r="GB122" s="62">
        <v>0.0</v>
      </c>
      <c r="GC122" s="62">
        <v>0.0</v>
      </c>
      <c r="GD122" s="62">
        <v>0.0</v>
      </c>
      <c r="GE122" s="62">
        <v>0.0</v>
      </c>
      <c r="GF122" s="63">
        <v>1.13395334E8</v>
      </c>
      <c r="GG122" s="64">
        <v>7314915.0</v>
      </c>
      <c r="GH122" s="65">
        <v>0.0</v>
      </c>
      <c r="GI122" s="64">
        <v>0.0</v>
      </c>
      <c r="GJ122" s="64">
        <v>4528181.0</v>
      </c>
      <c r="GK122" s="64">
        <v>2251342.0</v>
      </c>
      <c r="GL122" s="64">
        <v>4830320.0</v>
      </c>
      <c r="GM122" s="64">
        <v>0.0</v>
      </c>
      <c r="GN122" s="63">
        <v>1.8924758E7</v>
      </c>
      <c r="GO122" s="66">
        <v>1.32320092E8</v>
      </c>
      <c r="GP122" s="64">
        <v>1.9044256E7</v>
      </c>
      <c r="GQ122" s="64">
        <v>0.0</v>
      </c>
      <c r="GR122" s="65">
        <v>0.0</v>
      </c>
      <c r="GS122" s="63">
        <v>1.9044256E7</v>
      </c>
      <c r="GT122" s="67">
        <v>1.5486689E7</v>
      </c>
      <c r="GU122" s="67">
        <v>1.4952619E7</v>
      </c>
      <c r="GV122" s="67">
        <v>4264298.0</v>
      </c>
      <c r="GW122" s="63">
        <v>3.4703606E7</v>
      </c>
      <c r="GX122" s="63">
        <v>3028544.0</v>
      </c>
      <c r="GY122" s="63">
        <v>7.5543686E7</v>
      </c>
      <c r="GZ122" s="66">
        <v>1.32320092E8</v>
      </c>
      <c r="HH122" s="106"/>
    </row>
    <row r="123" ht="15.75" customHeight="1">
      <c r="A123" s="60">
        <v>118.0</v>
      </c>
      <c r="B123" s="111" t="s">
        <v>601</v>
      </c>
      <c r="C123" s="62">
        <v>0.0</v>
      </c>
      <c r="D123" s="62">
        <v>0.0</v>
      </c>
      <c r="E123" s="62">
        <v>0.0</v>
      </c>
      <c r="F123" s="62">
        <v>0.0</v>
      </c>
      <c r="G123" s="62">
        <v>0.0</v>
      </c>
      <c r="H123" s="62">
        <v>0.0</v>
      </c>
      <c r="I123" s="62">
        <v>0.0</v>
      </c>
      <c r="J123" s="62">
        <v>0.0</v>
      </c>
      <c r="K123" s="62">
        <v>0.0</v>
      </c>
      <c r="L123" s="62">
        <v>0.0</v>
      </c>
      <c r="M123" s="62">
        <v>0.0</v>
      </c>
      <c r="N123" s="62">
        <v>0.0</v>
      </c>
      <c r="O123" s="62">
        <v>0.0</v>
      </c>
      <c r="P123" s="62">
        <v>0.0</v>
      </c>
      <c r="Q123" s="62">
        <v>0.0</v>
      </c>
      <c r="R123" s="62">
        <v>0.0</v>
      </c>
      <c r="S123" s="62">
        <v>0.0</v>
      </c>
      <c r="T123" s="62">
        <v>0.0</v>
      </c>
      <c r="U123" s="62">
        <v>0.0</v>
      </c>
      <c r="V123" s="62">
        <v>0.0</v>
      </c>
      <c r="W123" s="62">
        <v>0.0</v>
      </c>
      <c r="X123" s="62">
        <v>0.0</v>
      </c>
      <c r="Y123" s="62">
        <v>0.0</v>
      </c>
      <c r="Z123" s="62">
        <v>0.0</v>
      </c>
      <c r="AA123" s="62">
        <v>0.0</v>
      </c>
      <c r="AB123" s="62">
        <v>0.0</v>
      </c>
      <c r="AC123" s="62">
        <v>0.0</v>
      </c>
      <c r="AD123" s="62">
        <v>0.0</v>
      </c>
      <c r="AE123" s="62">
        <v>0.0</v>
      </c>
      <c r="AF123" s="62">
        <v>0.0</v>
      </c>
      <c r="AG123" s="62">
        <v>0.0</v>
      </c>
      <c r="AH123" s="62">
        <v>0.0</v>
      </c>
      <c r="AI123" s="62">
        <v>0.0</v>
      </c>
      <c r="AJ123" s="62">
        <v>0.0</v>
      </c>
      <c r="AK123" s="62">
        <v>0.0</v>
      </c>
      <c r="AL123" s="62">
        <v>0.0</v>
      </c>
      <c r="AM123" s="62">
        <v>0.0</v>
      </c>
      <c r="AN123" s="62">
        <v>0.0</v>
      </c>
      <c r="AO123" s="62">
        <v>0.0</v>
      </c>
      <c r="AP123" s="62">
        <v>0.0</v>
      </c>
      <c r="AQ123" s="62">
        <v>0.0</v>
      </c>
      <c r="AR123" s="62">
        <v>0.0</v>
      </c>
      <c r="AS123" s="62">
        <v>0.0</v>
      </c>
      <c r="AT123" s="62">
        <v>0.0</v>
      </c>
      <c r="AU123" s="62">
        <v>0.0</v>
      </c>
      <c r="AV123" s="62">
        <v>0.0</v>
      </c>
      <c r="AW123" s="62">
        <v>0.0</v>
      </c>
      <c r="AX123" s="62">
        <v>0.0</v>
      </c>
      <c r="AY123" s="62">
        <v>0.0</v>
      </c>
      <c r="AZ123" s="62">
        <v>0.0</v>
      </c>
      <c r="BA123" s="62">
        <v>0.0</v>
      </c>
      <c r="BB123" s="62">
        <v>0.0</v>
      </c>
      <c r="BC123" s="62">
        <v>0.0</v>
      </c>
      <c r="BD123" s="62">
        <v>0.0</v>
      </c>
      <c r="BE123" s="62">
        <v>0.0</v>
      </c>
      <c r="BF123" s="62">
        <v>0.0</v>
      </c>
      <c r="BG123" s="62">
        <v>0.0</v>
      </c>
      <c r="BH123" s="62">
        <v>0.0</v>
      </c>
      <c r="BI123" s="62">
        <v>0.0</v>
      </c>
      <c r="BJ123" s="62">
        <v>0.0</v>
      </c>
      <c r="BK123" s="62">
        <v>0.0</v>
      </c>
      <c r="BL123" s="62">
        <v>0.0</v>
      </c>
      <c r="BM123" s="62">
        <v>0.0</v>
      </c>
      <c r="BN123" s="62">
        <v>0.0</v>
      </c>
      <c r="BO123" s="62">
        <v>0.0</v>
      </c>
      <c r="BP123" s="62">
        <v>0.0</v>
      </c>
      <c r="BQ123" s="62">
        <v>0.0</v>
      </c>
      <c r="BR123" s="62">
        <v>0.0</v>
      </c>
      <c r="BS123" s="62">
        <v>0.0</v>
      </c>
      <c r="BT123" s="62">
        <v>0.0</v>
      </c>
      <c r="BU123" s="62">
        <v>0.0</v>
      </c>
      <c r="BV123" s="62">
        <v>0.0</v>
      </c>
      <c r="BW123" s="62">
        <v>0.0</v>
      </c>
      <c r="BX123" s="62">
        <v>0.0</v>
      </c>
      <c r="BY123" s="62">
        <v>0.0</v>
      </c>
      <c r="BZ123" s="62">
        <v>0.0</v>
      </c>
      <c r="CA123" s="62">
        <v>0.0</v>
      </c>
      <c r="CB123" s="62">
        <v>0.0</v>
      </c>
      <c r="CC123" s="62">
        <v>0.0</v>
      </c>
      <c r="CD123" s="62">
        <v>0.0</v>
      </c>
      <c r="CE123" s="62">
        <v>0.0</v>
      </c>
      <c r="CF123" s="62">
        <v>0.0</v>
      </c>
      <c r="CG123" s="62">
        <v>0.0</v>
      </c>
      <c r="CH123" s="62">
        <v>0.0</v>
      </c>
      <c r="CI123" s="62">
        <v>0.0</v>
      </c>
      <c r="CJ123" s="62">
        <v>0.0</v>
      </c>
      <c r="CK123" s="62">
        <v>0.0</v>
      </c>
      <c r="CL123" s="62">
        <v>0.0</v>
      </c>
      <c r="CM123" s="62">
        <v>0.0</v>
      </c>
      <c r="CN123" s="62">
        <v>0.0</v>
      </c>
      <c r="CO123" s="62">
        <v>0.0</v>
      </c>
      <c r="CP123" s="62">
        <v>0.0</v>
      </c>
      <c r="CQ123" s="62">
        <v>0.0</v>
      </c>
      <c r="CR123" s="62">
        <v>0.0</v>
      </c>
      <c r="CS123" s="62">
        <v>0.0</v>
      </c>
      <c r="CT123" s="62">
        <v>0.0</v>
      </c>
      <c r="CU123" s="62">
        <v>0.0</v>
      </c>
      <c r="CV123" s="62">
        <v>0.0</v>
      </c>
      <c r="CW123" s="62">
        <v>0.0</v>
      </c>
      <c r="CX123" s="62">
        <v>0.0</v>
      </c>
      <c r="CY123" s="62">
        <v>0.0</v>
      </c>
      <c r="CZ123" s="62">
        <v>0.0</v>
      </c>
      <c r="DA123" s="62">
        <v>0.0</v>
      </c>
      <c r="DB123" s="62">
        <v>0.0</v>
      </c>
      <c r="DC123" s="62">
        <v>0.0</v>
      </c>
      <c r="DD123" s="62">
        <v>0.0</v>
      </c>
      <c r="DE123" s="62">
        <v>0.0</v>
      </c>
      <c r="DF123" s="62">
        <v>0.0</v>
      </c>
      <c r="DG123" s="62">
        <v>0.0</v>
      </c>
      <c r="DH123" s="62">
        <v>0.0</v>
      </c>
      <c r="DI123" s="62">
        <v>0.0</v>
      </c>
      <c r="DJ123" s="62">
        <v>0.0</v>
      </c>
      <c r="DK123" s="62">
        <v>0.0</v>
      </c>
      <c r="DL123" s="62">
        <v>0.0</v>
      </c>
      <c r="DM123" s="62">
        <v>0.0</v>
      </c>
      <c r="DN123" s="62">
        <v>0.0</v>
      </c>
      <c r="DO123" s="62">
        <v>0.0</v>
      </c>
      <c r="DP123" s="62">
        <v>541365.0</v>
      </c>
      <c r="DQ123" s="62">
        <v>0.0</v>
      </c>
      <c r="DR123" s="62">
        <v>0.0</v>
      </c>
      <c r="DS123" s="62">
        <v>0.0</v>
      </c>
      <c r="DT123" s="62">
        <v>0.0</v>
      </c>
      <c r="DU123" s="62">
        <v>0.0</v>
      </c>
      <c r="DV123" s="62">
        <v>0.0</v>
      </c>
      <c r="DW123" s="62">
        <v>0.0</v>
      </c>
      <c r="DX123" s="62">
        <v>0.0</v>
      </c>
      <c r="DY123" s="62">
        <v>0.0</v>
      </c>
      <c r="DZ123" s="62">
        <v>0.0</v>
      </c>
      <c r="EA123" s="62">
        <v>0.0</v>
      </c>
      <c r="EB123" s="62">
        <v>0.0</v>
      </c>
      <c r="EC123" s="62">
        <v>0.0</v>
      </c>
      <c r="ED123" s="62">
        <v>0.0</v>
      </c>
      <c r="EE123" s="62">
        <v>0.0</v>
      </c>
      <c r="EF123" s="62">
        <v>0.0</v>
      </c>
      <c r="EG123" s="62">
        <v>729087.0</v>
      </c>
      <c r="EH123" s="62">
        <v>0.0</v>
      </c>
      <c r="EI123" s="62">
        <v>0.0</v>
      </c>
      <c r="EJ123" s="62">
        <v>0.0</v>
      </c>
      <c r="EK123" s="62">
        <v>0.0</v>
      </c>
      <c r="EL123" s="62">
        <v>0.0</v>
      </c>
      <c r="EM123" s="62">
        <v>0.0</v>
      </c>
      <c r="EN123" s="62">
        <v>0.0</v>
      </c>
      <c r="EO123" s="62">
        <v>0.0</v>
      </c>
      <c r="EP123" s="62">
        <v>175786.0</v>
      </c>
      <c r="EQ123" s="62">
        <v>0.0</v>
      </c>
      <c r="ER123" s="62">
        <v>0.0</v>
      </c>
      <c r="ES123" s="62">
        <v>0.0</v>
      </c>
      <c r="ET123" s="62">
        <v>0.0</v>
      </c>
      <c r="EU123" s="62">
        <v>1.036119E7</v>
      </c>
      <c r="EV123" s="62">
        <v>6503.0</v>
      </c>
      <c r="EW123" s="62">
        <v>18484.0</v>
      </c>
      <c r="EX123" s="62">
        <v>28293.0</v>
      </c>
      <c r="EY123" s="62">
        <v>1997398.0</v>
      </c>
      <c r="EZ123" s="62">
        <v>0.0</v>
      </c>
      <c r="FA123" s="62">
        <v>0.0</v>
      </c>
      <c r="FB123" s="62">
        <v>0.0</v>
      </c>
      <c r="FC123" s="62">
        <v>0.0</v>
      </c>
      <c r="FD123" s="62">
        <v>0.0</v>
      </c>
      <c r="FE123" s="62">
        <v>0.0</v>
      </c>
      <c r="FF123" s="62">
        <v>0.0</v>
      </c>
      <c r="FG123" s="62">
        <v>0.0</v>
      </c>
      <c r="FH123" s="62">
        <v>0.0</v>
      </c>
      <c r="FI123" s="62">
        <v>0.0</v>
      </c>
      <c r="FJ123" s="62">
        <v>0.0</v>
      </c>
      <c r="FK123" s="62">
        <v>0.0</v>
      </c>
      <c r="FL123" s="62">
        <v>0.0</v>
      </c>
      <c r="FM123" s="62">
        <v>0.0</v>
      </c>
      <c r="FN123" s="62">
        <v>0.0</v>
      </c>
      <c r="FO123" s="62">
        <v>0.0</v>
      </c>
      <c r="FP123" s="62">
        <v>0.0</v>
      </c>
      <c r="FQ123" s="62">
        <v>0.0</v>
      </c>
      <c r="FR123" s="62">
        <v>0.0</v>
      </c>
      <c r="FS123" s="62">
        <v>0.0</v>
      </c>
      <c r="FT123" s="62">
        <v>0.0</v>
      </c>
      <c r="FU123" s="62">
        <v>34493.0</v>
      </c>
      <c r="FV123" s="62">
        <v>0.0</v>
      </c>
      <c r="FW123" s="62">
        <v>17.0</v>
      </c>
      <c r="FX123" s="62">
        <v>0.0</v>
      </c>
      <c r="FY123" s="62">
        <v>0.0</v>
      </c>
      <c r="FZ123" s="62">
        <v>0.0</v>
      </c>
      <c r="GA123" s="62">
        <v>0.0</v>
      </c>
      <c r="GB123" s="62">
        <v>0.0</v>
      </c>
      <c r="GC123" s="62">
        <v>0.0</v>
      </c>
      <c r="GD123" s="62">
        <v>0.0</v>
      </c>
      <c r="GE123" s="62">
        <v>0.0</v>
      </c>
      <c r="GF123" s="63">
        <v>1.3892616E7</v>
      </c>
      <c r="GG123" s="64">
        <v>42813.0</v>
      </c>
      <c r="GH123" s="65">
        <v>0.0</v>
      </c>
      <c r="GI123" s="64">
        <v>0.0</v>
      </c>
      <c r="GJ123" s="64">
        <v>3418663.0</v>
      </c>
      <c r="GK123" s="64">
        <v>1319469.0</v>
      </c>
      <c r="GL123" s="64">
        <v>3712.0</v>
      </c>
      <c r="GM123" s="64">
        <v>0.0</v>
      </c>
      <c r="GN123" s="63">
        <v>4784657.0</v>
      </c>
      <c r="GO123" s="66">
        <v>1.8677273E7</v>
      </c>
      <c r="GP123" s="64">
        <v>6415696.0</v>
      </c>
      <c r="GQ123" s="64">
        <v>0.0</v>
      </c>
      <c r="GR123" s="65">
        <v>0.0</v>
      </c>
      <c r="GS123" s="63">
        <v>6415696.0</v>
      </c>
      <c r="GT123" s="67">
        <v>2307238.0</v>
      </c>
      <c r="GU123" s="67">
        <v>1906865.0</v>
      </c>
      <c r="GV123" s="67">
        <v>1126864.0</v>
      </c>
      <c r="GW123" s="63">
        <v>5340967.0</v>
      </c>
      <c r="GX123" s="63">
        <v>1058104.0</v>
      </c>
      <c r="GY123" s="63">
        <v>5862506.0</v>
      </c>
      <c r="GZ123" s="66">
        <v>1.8677273E7</v>
      </c>
      <c r="HH123" s="106"/>
    </row>
    <row r="124" ht="15.75" customHeight="1">
      <c r="A124" s="60">
        <v>119.0</v>
      </c>
      <c r="B124" s="111" t="s">
        <v>602</v>
      </c>
      <c r="C124" s="62">
        <v>112244.0</v>
      </c>
      <c r="D124" s="62">
        <v>44204.0</v>
      </c>
      <c r="E124" s="62">
        <v>5595.0</v>
      </c>
      <c r="F124" s="62">
        <v>63279.0</v>
      </c>
      <c r="G124" s="62">
        <v>2249.0</v>
      </c>
      <c r="H124" s="62">
        <v>21447.0</v>
      </c>
      <c r="I124" s="62">
        <v>13474.0</v>
      </c>
      <c r="J124" s="62">
        <v>7972.0</v>
      </c>
      <c r="K124" s="62">
        <v>13.0</v>
      </c>
      <c r="L124" s="62">
        <v>108158.0</v>
      </c>
      <c r="M124" s="62">
        <v>10264.0</v>
      </c>
      <c r="N124" s="62">
        <v>17401.0</v>
      </c>
      <c r="O124" s="62">
        <v>45203.0</v>
      </c>
      <c r="P124" s="62">
        <v>236.0</v>
      </c>
      <c r="Q124" s="62">
        <v>62346.0</v>
      </c>
      <c r="R124" s="62">
        <v>266257.0</v>
      </c>
      <c r="S124" s="62">
        <v>27087.0</v>
      </c>
      <c r="T124" s="62">
        <v>248865.0</v>
      </c>
      <c r="U124" s="62">
        <v>78649.0</v>
      </c>
      <c r="V124" s="62">
        <v>2904.0</v>
      </c>
      <c r="W124" s="62">
        <v>8770.0</v>
      </c>
      <c r="X124" s="62">
        <v>11097.0</v>
      </c>
      <c r="Y124" s="62">
        <v>74674.0</v>
      </c>
      <c r="Z124" s="62">
        <v>175690.0</v>
      </c>
      <c r="AA124" s="62">
        <v>1249.0</v>
      </c>
      <c r="AB124" s="62">
        <v>14604.0</v>
      </c>
      <c r="AC124" s="62">
        <v>2040.0</v>
      </c>
      <c r="AD124" s="62">
        <v>88520.0</v>
      </c>
      <c r="AE124" s="62">
        <v>4853.0</v>
      </c>
      <c r="AF124" s="62">
        <v>368037.0</v>
      </c>
      <c r="AG124" s="62">
        <v>45855.0</v>
      </c>
      <c r="AH124" s="62">
        <v>13356.0</v>
      </c>
      <c r="AI124" s="62">
        <v>185101.0</v>
      </c>
      <c r="AJ124" s="62">
        <v>21634.0</v>
      </c>
      <c r="AK124" s="62">
        <v>3371.0</v>
      </c>
      <c r="AL124" s="62">
        <v>3085.0</v>
      </c>
      <c r="AM124" s="62">
        <v>0.0</v>
      </c>
      <c r="AN124" s="62">
        <v>0.0</v>
      </c>
      <c r="AO124" s="62">
        <v>0.0</v>
      </c>
      <c r="AP124" s="62">
        <v>407.0</v>
      </c>
      <c r="AQ124" s="62">
        <v>16469.0</v>
      </c>
      <c r="AR124" s="62">
        <v>785.0</v>
      </c>
      <c r="AS124" s="62">
        <v>41324.0</v>
      </c>
      <c r="AT124" s="62">
        <v>827.0</v>
      </c>
      <c r="AU124" s="62">
        <v>112088.0</v>
      </c>
      <c r="AV124" s="62">
        <v>685518.0</v>
      </c>
      <c r="AW124" s="62">
        <v>27394.0</v>
      </c>
      <c r="AX124" s="62">
        <v>6021845.0</v>
      </c>
      <c r="AY124" s="62">
        <v>584345.0</v>
      </c>
      <c r="AZ124" s="62">
        <v>924.0</v>
      </c>
      <c r="BA124" s="62">
        <v>44880.0</v>
      </c>
      <c r="BB124" s="62">
        <v>109939.0</v>
      </c>
      <c r="BC124" s="62">
        <v>795.0</v>
      </c>
      <c r="BD124" s="62">
        <v>441.0</v>
      </c>
      <c r="BE124" s="62">
        <v>291.0</v>
      </c>
      <c r="BF124" s="62">
        <v>4875.0</v>
      </c>
      <c r="BG124" s="62">
        <v>160.0</v>
      </c>
      <c r="BH124" s="62">
        <v>117.0</v>
      </c>
      <c r="BI124" s="62">
        <v>651.0</v>
      </c>
      <c r="BJ124" s="62">
        <v>1767.0</v>
      </c>
      <c r="BK124" s="62">
        <v>1507.0</v>
      </c>
      <c r="BL124" s="62">
        <v>0.0</v>
      </c>
      <c r="BM124" s="62">
        <v>16.0</v>
      </c>
      <c r="BN124" s="62">
        <v>988.0</v>
      </c>
      <c r="BO124" s="62">
        <v>48928.0</v>
      </c>
      <c r="BP124" s="62">
        <v>76.0</v>
      </c>
      <c r="BQ124" s="62">
        <v>0.0</v>
      </c>
      <c r="BR124" s="62">
        <v>0.0</v>
      </c>
      <c r="BS124" s="62">
        <v>0.0</v>
      </c>
      <c r="BT124" s="62">
        <v>689.0</v>
      </c>
      <c r="BU124" s="62">
        <v>7576.0</v>
      </c>
      <c r="BV124" s="62">
        <v>0.0</v>
      </c>
      <c r="BW124" s="62">
        <v>0.0</v>
      </c>
      <c r="BX124" s="62">
        <v>818.0</v>
      </c>
      <c r="BY124" s="62">
        <v>1192.0</v>
      </c>
      <c r="BZ124" s="62">
        <v>0.0</v>
      </c>
      <c r="CA124" s="62">
        <v>3.0</v>
      </c>
      <c r="CB124" s="62">
        <v>85.0</v>
      </c>
      <c r="CC124" s="62">
        <v>4765.0</v>
      </c>
      <c r="CD124" s="62">
        <v>443.0</v>
      </c>
      <c r="CE124" s="62">
        <v>34.0</v>
      </c>
      <c r="CF124" s="62">
        <v>2072.0</v>
      </c>
      <c r="CG124" s="62">
        <v>17.0</v>
      </c>
      <c r="CH124" s="62">
        <v>147.0</v>
      </c>
      <c r="CI124" s="62">
        <v>1200.0</v>
      </c>
      <c r="CJ124" s="62">
        <v>332680.0</v>
      </c>
      <c r="CK124" s="62">
        <v>13971.0</v>
      </c>
      <c r="CL124" s="62">
        <v>10609.0</v>
      </c>
      <c r="CM124" s="62">
        <v>2631.0</v>
      </c>
      <c r="CN124" s="62">
        <v>765.0</v>
      </c>
      <c r="CO124" s="62">
        <v>892.0</v>
      </c>
      <c r="CP124" s="62">
        <v>1311.0</v>
      </c>
      <c r="CQ124" s="62">
        <v>631.0</v>
      </c>
      <c r="CR124" s="62">
        <v>10474.0</v>
      </c>
      <c r="CS124" s="62">
        <v>0.0</v>
      </c>
      <c r="CT124" s="62">
        <v>363.0</v>
      </c>
      <c r="CU124" s="62">
        <v>1271.0</v>
      </c>
      <c r="CV124" s="62">
        <v>222.0</v>
      </c>
      <c r="CW124" s="62">
        <v>0.0</v>
      </c>
      <c r="CX124" s="62">
        <v>0.0</v>
      </c>
      <c r="CY124" s="62">
        <v>0.0</v>
      </c>
      <c r="CZ124" s="62">
        <v>0.0</v>
      </c>
      <c r="DA124" s="62">
        <v>2246.0</v>
      </c>
      <c r="DB124" s="62">
        <v>97.0</v>
      </c>
      <c r="DC124" s="62">
        <v>0.0</v>
      </c>
      <c r="DD124" s="62">
        <v>0.0</v>
      </c>
      <c r="DE124" s="62">
        <v>2371.0</v>
      </c>
      <c r="DF124" s="62">
        <v>794.0</v>
      </c>
      <c r="DG124" s="62">
        <v>188.0</v>
      </c>
      <c r="DH124" s="62">
        <v>215670.0</v>
      </c>
      <c r="DI124" s="62">
        <v>1099.0</v>
      </c>
      <c r="DJ124" s="62">
        <v>941.0</v>
      </c>
      <c r="DK124" s="62">
        <v>4013.0</v>
      </c>
      <c r="DL124" s="62">
        <v>9676.0</v>
      </c>
      <c r="DM124" s="62">
        <v>0.0</v>
      </c>
      <c r="DN124" s="62">
        <v>0.0</v>
      </c>
      <c r="DO124" s="62">
        <v>1496.0</v>
      </c>
      <c r="DP124" s="62">
        <v>0.0</v>
      </c>
      <c r="DQ124" s="62">
        <v>2861995.0</v>
      </c>
      <c r="DR124" s="62">
        <v>17275.0</v>
      </c>
      <c r="DS124" s="62">
        <v>39689.0</v>
      </c>
      <c r="DT124" s="62">
        <v>4434.0</v>
      </c>
      <c r="DU124" s="62">
        <v>0.0</v>
      </c>
      <c r="DV124" s="62">
        <v>0.0</v>
      </c>
      <c r="DW124" s="62">
        <v>0.0</v>
      </c>
      <c r="DX124" s="62">
        <v>151.0</v>
      </c>
      <c r="DY124" s="62">
        <v>53.0</v>
      </c>
      <c r="DZ124" s="62">
        <v>661.0</v>
      </c>
      <c r="EA124" s="62">
        <v>16315.0</v>
      </c>
      <c r="EB124" s="62">
        <v>25788.0</v>
      </c>
      <c r="EC124" s="62">
        <v>16749.0</v>
      </c>
      <c r="ED124" s="62">
        <v>3818.0</v>
      </c>
      <c r="EE124" s="62">
        <v>1066.0</v>
      </c>
      <c r="EF124" s="62">
        <v>4846.0</v>
      </c>
      <c r="EG124" s="62">
        <v>1826.0</v>
      </c>
      <c r="EH124" s="62">
        <v>1889.0</v>
      </c>
      <c r="EI124" s="62">
        <v>364.0</v>
      </c>
      <c r="EJ124" s="62">
        <v>3203.0</v>
      </c>
      <c r="EK124" s="62">
        <v>42.0</v>
      </c>
      <c r="EL124" s="62">
        <v>16866.0</v>
      </c>
      <c r="EM124" s="62">
        <v>15021.0</v>
      </c>
      <c r="EN124" s="62">
        <v>248.0</v>
      </c>
      <c r="EO124" s="62">
        <v>478.0</v>
      </c>
      <c r="EP124" s="62">
        <v>4362.0</v>
      </c>
      <c r="EQ124" s="62">
        <v>392790.0</v>
      </c>
      <c r="ER124" s="62">
        <v>0.0</v>
      </c>
      <c r="ES124" s="62">
        <v>262617.0</v>
      </c>
      <c r="ET124" s="62">
        <v>15539.0</v>
      </c>
      <c r="EU124" s="62">
        <v>2161217.0</v>
      </c>
      <c r="EV124" s="62">
        <v>275351.0</v>
      </c>
      <c r="EW124" s="62">
        <v>260908.0</v>
      </c>
      <c r="EX124" s="62">
        <v>541557.0</v>
      </c>
      <c r="EY124" s="62">
        <v>1103161.0</v>
      </c>
      <c r="EZ124" s="62">
        <v>162883.0</v>
      </c>
      <c r="FA124" s="62">
        <v>514071.0</v>
      </c>
      <c r="FB124" s="62">
        <v>450669.0</v>
      </c>
      <c r="FC124" s="62">
        <v>9005.0</v>
      </c>
      <c r="FD124" s="62">
        <v>723471.0</v>
      </c>
      <c r="FE124" s="62">
        <v>286724.0</v>
      </c>
      <c r="FF124" s="62">
        <v>0.0</v>
      </c>
      <c r="FG124" s="62">
        <v>323733.0</v>
      </c>
      <c r="FH124" s="62">
        <v>264142.0</v>
      </c>
      <c r="FI124" s="62">
        <v>79387.0</v>
      </c>
      <c r="FJ124" s="62">
        <v>178.0</v>
      </c>
      <c r="FK124" s="62">
        <v>4699.0</v>
      </c>
      <c r="FL124" s="62">
        <v>5309.0</v>
      </c>
      <c r="FM124" s="62">
        <v>130877.0</v>
      </c>
      <c r="FN124" s="62">
        <v>5746.0</v>
      </c>
      <c r="FO124" s="62">
        <v>2514.0</v>
      </c>
      <c r="FP124" s="62">
        <v>631426.0</v>
      </c>
      <c r="FQ124" s="62">
        <v>0.0</v>
      </c>
      <c r="FR124" s="62">
        <v>0.0</v>
      </c>
      <c r="FS124" s="62">
        <v>25168.0</v>
      </c>
      <c r="FT124" s="62">
        <v>1039074.0</v>
      </c>
      <c r="FU124" s="62">
        <v>48845.0</v>
      </c>
      <c r="FV124" s="62">
        <v>1208986.0</v>
      </c>
      <c r="FW124" s="62">
        <v>336695.0</v>
      </c>
      <c r="FX124" s="62">
        <v>32707.0</v>
      </c>
      <c r="FY124" s="62">
        <v>161129.0</v>
      </c>
      <c r="FZ124" s="62">
        <v>3545.0</v>
      </c>
      <c r="GA124" s="62">
        <v>128719.0</v>
      </c>
      <c r="GB124" s="62">
        <v>86479.0</v>
      </c>
      <c r="GC124" s="62">
        <v>2587.0</v>
      </c>
      <c r="GD124" s="62">
        <v>14652.0</v>
      </c>
      <c r="GE124" s="62">
        <v>599706.0</v>
      </c>
      <c r="GF124" s="63">
        <v>2.5833997E7</v>
      </c>
      <c r="GG124" s="64">
        <v>2.6772749E7</v>
      </c>
      <c r="GH124" s="65">
        <v>0.0</v>
      </c>
      <c r="GI124" s="64">
        <v>0.0</v>
      </c>
      <c r="GJ124" s="64">
        <v>2.9837785E7</v>
      </c>
      <c r="GK124" s="64">
        <v>-8772895.0</v>
      </c>
      <c r="GL124" s="64">
        <v>2588861.0</v>
      </c>
      <c r="GM124" s="64">
        <v>0.0</v>
      </c>
      <c r="GN124" s="63">
        <v>5.04265E7</v>
      </c>
      <c r="GO124" s="66">
        <v>7.6260497E7</v>
      </c>
      <c r="GP124" s="64">
        <v>1.5555625E7</v>
      </c>
      <c r="GQ124" s="64">
        <v>0.0</v>
      </c>
      <c r="GR124" s="65">
        <v>0.0</v>
      </c>
      <c r="GS124" s="63">
        <v>1.5555625E7</v>
      </c>
      <c r="GT124" s="67">
        <v>5650033.0</v>
      </c>
      <c r="GU124" s="67">
        <v>1.0887376E7</v>
      </c>
      <c r="GV124" s="67">
        <v>4594947.0</v>
      </c>
      <c r="GW124" s="63">
        <v>2.1132356E7</v>
      </c>
      <c r="GX124" s="63">
        <v>3626914.0</v>
      </c>
      <c r="GY124" s="63">
        <v>3.5945602E7</v>
      </c>
      <c r="GZ124" s="66">
        <v>7.6260497E7</v>
      </c>
      <c r="HH124" s="106"/>
    </row>
    <row r="125" ht="15.75" customHeight="1">
      <c r="A125" s="68">
        <v>120.0</v>
      </c>
      <c r="B125" s="111" t="s">
        <v>390</v>
      </c>
      <c r="C125" s="70">
        <v>131.0</v>
      </c>
      <c r="D125" s="70">
        <v>5645.0</v>
      </c>
      <c r="E125" s="70">
        <v>2289.0</v>
      </c>
      <c r="F125" s="70">
        <v>6157.0</v>
      </c>
      <c r="G125" s="70">
        <v>551.0</v>
      </c>
      <c r="H125" s="70">
        <v>1394.0</v>
      </c>
      <c r="I125" s="70">
        <v>927.0</v>
      </c>
      <c r="J125" s="70">
        <v>1514.0</v>
      </c>
      <c r="K125" s="70">
        <v>9.0</v>
      </c>
      <c r="L125" s="70">
        <v>61214.0</v>
      </c>
      <c r="M125" s="70">
        <v>2348.0</v>
      </c>
      <c r="N125" s="70">
        <v>338.0</v>
      </c>
      <c r="O125" s="70">
        <v>759.0</v>
      </c>
      <c r="P125" s="70">
        <v>9.0</v>
      </c>
      <c r="Q125" s="70">
        <v>8908.0</v>
      </c>
      <c r="R125" s="70">
        <v>131069.0</v>
      </c>
      <c r="S125" s="70">
        <v>324.0</v>
      </c>
      <c r="T125" s="70">
        <v>9319.0</v>
      </c>
      <c r="U125" s="70">
        <v>1106.0</v>
      </c>
      <c r="V125" s="70">
        <v>1057.0</v>
      </c>
      <c r="W125" s="70">
        <v>966.0</v>
      </c>
      <c r="X125" s="70">
        <v>796.0</v>
      </c>
      <c r="Y125" s="70">
        <v>997.0</v>
      </c>
      <c r="Z125" s="70">
        <v>1348.0</v>
      </c>
      <c r="AA125" s="70">
        <v>318.0</v>
      </c>
      <c r="AB125" s="70">
        <v>1555.0</v>
      </c>
      <c r="AC125" s="70">
        <v>441.0</v>
      </c>
      <c r="AD125" s="70">
        <v>38442.0</v>
      </c>
      <c r="AE125" s="70">
        <v>810.0</v>
      </c>
      <c r="AF125" s="70">
        <v>2665.0</v>
      </c>
      <c r="AG125" s="70">
        <v>25478.0</v>
      </c>
      <c r="AH125" s="70">
        <v>6429.0</v>
      </c>
      <c r="AI125" s="70">
        <v>103281.0</v>
      </c>
      <c r="AJ125" s="70">
        <v>9469.0</v>
      </c>
      <c r="AK125" s="70">
        <v>1707.0</v>
      </c>
      <c r="AL125" s="70">
        <v>1005.0</v>
      </c>
      <c r="AM125" s="70">
        <v>83373.0</v>
      </c>
      <c r="AN125" s="70">
        <v>45415.0</v>
      </c>
      <c r="AO125" s="70">
        <v>3971.0</v>
      </c>
      <c r="AP125" s="70">
        <v>101.0</v>
      </c>
      <c r="AQ125" s="70">
        <v>7025.0</v>
      </c>
      <c r="AR125" s="70">
        <v>373.0</v>
      </c>
      <c r="AS125" s="70">
        <v>2051.0</v>
      </c>
      <c r="AT125" s="70">
        <v>1599.0</v>
      </c>
      <c r="AU125" s="70">
        <v>1094.0</v>
      </c>
      <c r="AV125" s="70">
        <v>171417.0</v>
      </c>
      <c r="AW125" s="70">
        <v>308.0</v>
      </c>
      <c r="AX125" s="70">
        <v>5133051.0</v>
      </c>
      <c r="AY125" s="70">
        <v>115410.0</v>
      </c>
      <c r="AZ125" s="70">
        <v>515.0</v>
      </c>
      <c r="BA125" s="70">
        <v>25057.0</v>
      </c>
      <c r="BB125" s="70">
        <v>99551.0</v>
      </c>
      <c r="BC125" s="70">
        <v>6054.0</v>
      </c>
      <c r="BD125" s="70">
        <v>408.0</v>
      </c>
      <c r="BE125" s="70">
        <v>10763.0</v>
      </c>
      <c r="BF125" s="70">
        <v>30074.0</v>
      </c>
      <c r="BG125" s="70">
        <v>224.0</v>
      </c>
      <c r="BH125" s="70">
        <v>6552.0</v>
      </c>
      <c r="BI125" s="70">
        <v>2584.0</v>
      </c>
      <c r="BJ125" s="70">
        <v>166113.0</v>
      </c>
      <c r="BK125" s="70">
        <v>2033.0</v>
      </c>
      <c r="BL125" s="70">
        <v>1314.0</v>
      </c>
      <c r="BM125" s="70">
        <v>16.0</v>
      </c>
      <c r="BN125" s="70">
        <v>6977.0</v>
      </c>
      <c r="BO125" s="70">
        <v>60.0</v>
      </c>
      <c r="BP125" s="70">
        <v>165.0</v>
      </c>
      <c r="BQ125" s="70">
        <v>0.0</v>
      </c>
      <c r="BR125" s="70">
        <v>5579.0</v>
      </c>
      <c r="BS125" s="70">
        <v>0.0</v>
      </c>
      <c r="BT125" s="70">
        <v>1430.0</v>
      </c>
      <c r="BU125" s="70">
        <v>85596.0</v>
      </c>
      <c r="BV125" s="70">
        <v>748.0</v>
      </c>
      <c r="BW125" s="70">
        <v>1671.0</v>
      </c>
      <c r="BX125" s="70">
        <v>5691.0</v>
      </c>
      <c r="BY125" s="70">
        <v>2444.0</v>
      </c>
      <c r="BZ125" s="70">
        <v>114.0</v>
      </c>
      <c r="CA125" s="70">
        <v>347633.0</v>
      </c>
      <c r="CB125" s="70">
        <v>77189.0</v>
      </c>
      <c r="CC125" s="70">
        <v>23477.0</v>
      </c>
      <c r="CD125" s="70">
        <v>20285.0</v>
      </c>
      <c r="CE125" s="70">
        <v>27736.0</v>
      </c>
      <c r="CF125" s="70">
        <v>209235.0</v>
      </c>
      <c r="CG125" s="70">
        <v>2448.0</v>
      </c>
      <c r="CH125" s="70">
        <v>6752.0</v>
      </c>
      <c r="CI125" s="70">
        <v>42217.0</v>
      </c>
      <c r="CJ125" s="70">
        <v>107847.0</v>
      </c>
      <c r="CK125" s="70">
        <v>240244.0</v>
      </c>
      <c r="CL125" s="70">
        <v>71889.0</v>
      </c>
      <c r="CM125" s="70">
        <v>45790.0</v>
      </c>
      <c r="CN125" s="70">
        <v>10060.0</v>
      </c>
      <c r="CO125" s="70">
        <v>12234.0</v>
      </c>
      <c r="CP125" s="70">
        <v>18263.0</v>
      </c>
      <c r="CQ125" s="70">
        <v>9965.0</v>
      </c>
      <c r="CR125" s="70">
        <v>34067.0</v>
      </c>
      <c r="CS125" s="70">
        <v>7624.0</v>
      </c>
      <c r="CT125" s="70">
        <v>87351.0</v>
      </c>
      <c r="CU125" s="70">
        <v>29551.0</v>
      </c>
      <c r="CV125" s="70">
        <v>50571.0</v>
      </c>
      <c r="CW125" s="70">
        <v>6017.0</v>
      </c>
      <c r="CX125" s="70">
        <v>7783.0</v>
      </c>
      <c r="CY125" s="70">
        <v>792.0</v>
      </c>
      <c r="CZ125" s="70">
        <v>17664.0</v>
      </c>
      <c r="DA125" s="70">
        <v>29176.0</v>
      </c>
      <c r="DB125" s="70">
        <v>19877.0</v>
      </c>
      <c r="DC125" s="70">
        <v>0.0</v>
      </c>
      <c r="DD125" s="70">
        <v>0.0</v>
      </c>
      <c r="DE125" s="70">
        <v>68412.0</v>
      </c>
      <c r="DF125" s="70">
        <v>84101.0</v>
      </c>
      <c r="DG125" s="70">
        <v>17662.0</v>
      </c>
      <c r="DH125" s="70">
        <v>30505.0</v>
      </c>
      <c r="DI125" s="70">
        <v>24830.0</v>
      </c>
      <c r="DJ125" s="70">
        <v>18754.0</v>
      </c>
      <c r="DK125" s="70">
        <v>17548.0</v>
      </c>
      <c r="DL125" s="70">
        <v>179377.0</v>
      </c>
      <c r="DM125" s="70">
        <v>132290.0</v>
      </c>
      <c r="DN125" s="70">
        <v>4936.0</v>
      </c>
      <c r="DO125" s="70">
        <v>123837.0</v>
      </c>
      <c r="DP125" s="70">
        <v>192709.0</v>
      </c>
      <c r="DQ125" s="70">
        <v>1009583.0</v>
      </c>
      <c r="DR125" s="70">
        <v>3506615.0</v>
      </c>
      <c r="DS125" s="70">
        <v>17172.0</v>
      </c>
      <c r="DT125" s="70">
        <v>895729.0</v>
      </c>
      <c r="DU125" s="70">
        <v>10051.0</v>
      </c>
      <c r="DV125" s="70">
        <v>21652.0</v>
      </c>
      <c r="DW125" s="70">
        <v>0.0</v>
      </c>
      <c r="DX125" s="70">
        <v>107393.0</v>
      </c>
      <c r="DY125" s="70">
        <v>1873866.0</v>
      </c>
      <c r="DZ125" s="70">
        <v>1424690.0</v>
      </c>
      <c r="EA125" s="70">
        <v>306319.0</v>
      </c>
      <c r="EB125" s="70">
        <v>1825324.0</v>
      </c>
      <c r="EC125" s="70">
        <v>5027176.0</v>
      </c>
      <c r="ED125" s="70">
        <v>1221061.0</v>
      </c>
      <c r="EE125" s="70">
        <v>173006.0</v>
      </c>
      <c r="EF125" s="70">
        <v>5283.0</v>
      </c>
      <c r="EG125" s="70">
        <v>713804.0</v>
      </c>
      <c r="EH125" s="70">
        <v>2631351.0</v>
      </c>
      <c r="EI125" s="70">
        <v>1474357.0</v>
      </c>
      <c r="EJ125" s="70">
        <v>11794.0</v>
      </c>
      <c r="EK125" s="70">
        <v>28475.0</v>
      </c>
      <c r="EL125" s="70">
        <v>338843.0</v>
      </c>
      <c r="EM125" s="70">
        <v>191050.0</v>
      </c>
      <c r="EN125" s="70">
        <v>1385417.0</v>
      </c>
      <c r="EO125" s="70">
        <v>45037.0</v>
      </c>
      <c r="EP125" s="70">
        <v>1631076.0</v>
      </c>
      <c r="EQ125" s="70">
        <v>46981.0</v>
      </c>
      <c r="ER125" s="70">
        <v>0.0</v>
      </c>
      <c r="ES125" s="70">
        <v>201950.0</v>
      </c>
      <c r="ET125" s="70">
        <v>12187.0</v>
      </c>
      <c r="EU125" s="70">
        <v>2.3770569E7</v>
      </c>
      <c r="EV125" s="70">
        <v>1689995.0</v>
      </c>
      <c r="EW125" s="70">
        <v>364585.0</v>
      </c>
      <c r="EX125" s="70">
        <v>533177.0</v>
      </c>
      <c r="EY125" s="70">
        <v>1.3134109E7</v>
      </c>
      <c r="EZ125" s="70">
        <v>569581.0</v>
      </c>
      <c r="FA125" s="70">
        <v>1227452.0</v>
      </c>
      <c r="FB125" s="70">
        <v>1.0748137E7</v>
      </c>
      <c r="FC125" s="70">
        <v>314868.0</v>
      </c>
      <c r="FD125" s="70">
        <v>1759146.0</v>
      </c>
      <c r="FE125" s="70">
        <v>2530181.0</v>
      </c>
      <c r="FF125" s="70">
        <v>715902.0</v>
      </c>
      <c r="FG125" s="70">
        <v>2198327.0</v>
      </c>
      <c r="FH125" s="70">
        <v>1405471.0</v>
      </c>
      <c r="FI125" s="70">
        <v>388899.0</v>
      </c>
      <c r="FJ125" s="70">
        <v>21159.0</v>
      </c>
      <c r="FK125" s="70">
        <v>228505.0</v>
      </c>
      <c r="FL125" s="70">
        <v>95162.0</v>
      </c>
      <c r="FM125" s="70">
        <v>580.0</v>
      </c>
      <c r="FN125" s="70">
        <v>898202.0</v>
      </c>
      <c r="FO125" s="70">
        <v>17307.0</v>
      </c>
      <c r="FP125" s="70">
        <v>3081685.0</v>
      </c>
      <c r="FQ125" s="70">
        <v>277482.0</v>
      </c>
      <c r="FR125" s="70">
        <v>15.0</v>
      </c>
      <c r="FS125" s="70">
        <v>17721.0</v>
      </c>
      <c r="FT125" s="70">
        <v>132421.0</v>
      </c>
      <c r="FU125" s="70">
        <v>2207237.0</v>
      </c>
      <c r="FV125" s="70">
        <v>628925.0</v>
      </c>
      <c r="FW125" s="70">
        <v>490714.0</v>
      </c>
      <c r="FX125" s="70">
        <v>142835.0</v>
      </c>
      <c r="FY125" s="70">
        <v>271310.0</v>
      </c>
      <c r="FZ125" s="70">
        <v>1956.0</v>
      </c>
      <c r="GA125" s="70">
        <v>179995.0</v>
      </c>
      <c r="GB125" s="70">
        <v>358991.0</v>
      </c>
      <c r="GC125" s="70">
        <v>69022.0</v>
      </c>
      <c r="GD125" s="70">
        <v>108614.0</v>
      </c>
      <c r="GE125" s="70">
        <v>631840.0</v>
      </c>
      <c r="GF125" s="71">
        <v>1.06265713E8</v>
      </c>
      <c r="GG125" s="72">
        <v>2326333.0</v>
      </c>
      <c r="GH125" s="73">
        <v>0.0</v>
      </c>
      <c r="GI125" s="72">
        <v>0.0</v>
      </c>
      <c r="GJ125" s="72">
        <v>1.6613305E7</v>
      </c>
      <c r="GK125" s="72">
        <v>-2702270.0</v>
      </c>
      <c r="GL125" s="72">
        <v>1.0589335E7</v>
      </c>
      <c r="GM125" s="72">
        <v>938.0</v>
      </c>
      <c r="GN125" s="71">
        <v>2.6827641E7</v>
      </c>
      <c r="GO125" s="74">
        <v>1.33093354E8</v>
      </c>
      <c r="GP125" s="72">
        <v>2.9314206E7</v>
      </c>
      <c r="GQ125" s="72">
        <v>1619.0</v>
      </c>
      <c r="GR125" s="73">
        <v>0.0</v>
      </c>
      <c r="GS125" s="71">
        <v>2.9315825E7</v>
      </c>
      <c r="GT125" s="75">
        <v>8441139.0</v>
      </c>
      <c r="GU125" s="75">
        <v>3146614.0</v>
      </c>
      <c r="GV125" s="75">
        <v>3328100.0</v>
      </c>
      <c r="GW125" s="71">
        <v>1.4915853E7</v>
      </c>
      <c r="GX125" s="71">
        <v>3287871.0</v>
      </c>
      <c r="GY125" s="71">
        <v>8.5573805E7</v>
      </c>
      <c r="GZ125" s="74">
        <v>1.33093354E8</v>
      </c>
      <c r="HH125" s="106"/>
    </row>
    <row r="126" ht="15.75" customHeight="1">
      <c r="A126" s="52">
        <v>121.0</v>
      </c>
      <c r="B126" s="111" t="s">
        <v>603</v>
      </c>
      <c r="C126" s="54">
        <v>0.0</v>
      </c>
      <c r="D126" s="54">
        <v>0.0</v>
      </c>
      <c r="E126" s="54">
        <v>0.0</v>
      </c>
      <c r="F126" s="54">
        <v>0.0</v>
      </c>
      <c r="G126" s="54">
        <v>0.0</v>
      </c>
      <c r="H126" s="54">
        <v>0.0</v>
      </c>
      <c r="I126" s="54">
        <v>0.0</v>
      </c>
      <c r="J126" s="54">
        <v>0.0</v>
      </c>
      <c r="K126" s="54">
        <v>0.0</v>
      </c>
      <c r="L126" s="54">
        <v>0.0</v>
      </c>
      <c r="M126" s="54">
        <v>0.0</v>
      </c>
      <c r="N126" s="54">
        <v>0.0</v>
      </c>
      <c r="O126" s="54">
        <v>0.0</v>
      </c>
      <c r="P126" s="54">
        <v>0.0</v>
      </c>
      <c r="Q126" s="54">
        <v>0.0</v>
      </c>
      <c r="R126" s="54">
        <v>0.0</v>
      </c>
      <c r="S126" s="54">
        <v>0.0</v>
      </c>
      <c r="T126" s="54">
        <v>0.0</v>
      </c>
      <c r="U126" s="54">
        <v>0.0</v>
      </c>
      <c r="V126" s="54">
        <v>0.0</v>
      </c>
      <c r="W126" s="54">
        <v>0.0</v>
      </c>
      <c r="X126" s="54">
        <v>0.0</v>
      </c>
      <c r="Y126" s="54">
        <v>0.0</v>
      </c>
      <c r="Z126" s="54">
        <v>0.0</v>
      </c>
      <c r="AA126" s="54">
        <v>0.0</v>
      </c>
      <c r="AB126" s="54">
        <v>0.0</v>
      </c>
      <c r="AC126" s="54">
        <v>0.0</v>
      </c>
      <c r="AD126" s="54">
        <v>0.0</v>
      </c>
      <c r="AE126" s="54">
        <v>0.0</v>
      </c>
      <c r="AF126" s="54">
        <v>0.0</v>
      </c>
      <c r="AG126" s="54">
        <v>0.0</v>
      </c>
      <c r="AH126" s="54">
        <v>0.0</v>
      </c>
      <c r="AI126" s="54">
        <v>0.0</v>
      </c>
      <c r="AJ126" s="54">
        <v>0.0</v>
      </c>
      <c r="AK126" s="54">
        <v>0.0</v>
      </c>
      <c r="AL126" s="54">
        <v>0.0</v>
      </c>
      <c r="AM126" s="54">
        <v>295698.0</v>
      </c>
      <c r="AN126" s="54">
        <v>948.0</v>
      </c>
      <c r="AO126" s="54">
        <v>886.0</v>
      </c>
      <c r="AP126" s="54">
        <v>219.0</v>
      </c>
      <c r="AQ126" s="54">
        <v>1746.0</v>
      </c>
      <c r="AR126" s="54">
        <v>458.0</v>
      </c>
      <c r="AS126" s="54">
        <v>3411.0</v>
      </c>
      <c r="AT126" s="54">
        <v>401.0</v>
      </c>
      <c r="AU126" s="54">
        <v>407.0</v>
      </c>
      <c r="AV126" s="54">
        <v>5940.0</v>
      </c>
      <c r="AW126" s="54">
        <v>212.0</v>
      </c>
      <c r="AX126" s="54">
        <v>990683.0</v>
      </c>
      <c r="AY126" s="54">
        <v>93489.0</v>
      </c>
      <c r="AZ126" s="54">
        <v>1934.0</v>
      </c>
      <c r="BA126" s="54">
        <v>402551.0</v>
      </c>
      <c r="BB126" s="54">
        <v>45268.0</v>
      </c>
      <c r="BC126" s="54">
        <v>0.0</v>
      </c>
      <c r="BD126" s="54">
        <v>0.0</v>
      </c>
      <c r="BE126" s="54">
        <v>0.0</v>
      </c>
      <c r="BF126" s="54">
        <v>0.0</v>
      </c>
      <c r="BG126" s="54">
        <v>0.0</v>
      </c>
      <c r="BH126" s="54">
        <v>605.0</v>
      </c>
      <c r="BI126" s="54">
        <v>0.0</v>
      </c>
      <c r="BJ126" s="54">
        <v>4827.0</v>
      </c>
      <c r="BK126" s="54">
        <v>65.0</v>
      </c>
      <c r="BL126" s="54">
        <v>44.0</v>
      </c>
      <c r="BM126" s="54">
        <v>8.0</v>
      </c>
      <c r="BN126" s="54">
        <v>0.0</v>
      </c>
      <c r="BO126" s="54">
        <v>220.0</v>
      </c>
      <c r="BP126" s="54">
        <v>0.0</v>
      </c>
      <c r="BQ126" s="54">
        <v>0.0</v>
      </c>
      <c r="BR126" s="54">
        <v>0.0</v>
      </c>
      <c r="BS126" s="54">
        <v>564.0</v>
      </c>
      <c r="BT126" s="54">
        <v>0.0</v>
      </c>
      <c r="BU126" s="54">
        <v>527.0</v>
      </c>
      <c r="BV126" s="54">
        <v>0.0</v>
      </c>
      <c r="BW126" s="54">
        <v>0.0</v>
      </c>
      <c r="BX126" s="54">
        <v>213.0</v>
      </c>
      <c r="BY126" s="54">
        <v>77.0</v>
      </c>
      <c r="BZ126" s="54">
        <v>16.0</v>
      </c>
      <c r="CA126" s="54">
        <v>298.0</v>
      </c>
      <c r="CB126" s="54">
        <v>189.0</v>
      </c>
      <c r="CC126" s="54">
        <v>46.0</v>
      </c>
      <c r="CD126" s="54">
        <v>66.0</v>
      </c>
      <c r="CE126" s="54">
        <v>54.0</v>
      </c>
      <c r="CF126" s="54">
        <v>1632.0</v>
      </c>
      <c r="CG126" s="54">
        <v>5894.0</v>
      </c>
      <c r="CH126" s="54">
        <v>236.0</v>
      </c>
      <c r="CI126" s="54">
        <v>115.0</v>
      </c>
      <c r="CJ126" s="54">
        <v>952.0</v>
      </c>
      <c r="CK126" s="54">
        <v>3465.0</v>
      </c>
      <c r="CL126" s="54">
        <v>1405.0</v>
      </c>
      <c r="CM126" s="54">
        <v>522.0</v>
      </c>
      <c r="CN126" s="54">
        <v>84.0</v>
      </c>
      <c r="CO126" s="54">
        <v>69.0</v>
      </c>
      <c r="CP126" s="54">
        <v>75.0</v>
      </c>
      <c r="CQ126" s="54">
        <v>1617.0</v>
      </c>
      <c r="CR126" s="54">
        <v>6686.0</v>
      </c>
      <c r="CS126" s="54">
        <v>6557.0</v>
      </c>
      <c r="CT126" s="54">
        <v>386.0</v>
      </c>
      <c r="CU126" s="54">
        <v>82.0</v>
      </c>
      <c r="CV126" s="54">
        <v>166.0</v>
      </c>
      <c r="CW126" s="54">
        <v>96.0</v>
      </c>
      <c r="CX126" s="54">
        <v>81.0</v>
      </c>
      <c r="CY126" s="54">
        <v>4.0</v>
      </c>
      <c r="CZ126" s="54">
        <v>136.0</v>
      </c>
      <c r="DA126" s="54">
        <v>28877.0</v>
      </c>
      <c r="DB126" s="54">
        <v>127.0</v>
      </c>
      <c r="DC126" s="54">
        <v>64494.0</v>
      </c>
      <c r="DD126" s="54">
        <v>47.0</v>
      </c>
      <c r="DE126" s="54">
        <v>49.0</v>
      </c>
      <c r="DF126" s="54">
        <v>643.0</v>
      </c>
      <c r="DG126" s="54">
        <v>4253.0</v>
      </c>
      <c r="DH126" s="54">
        <v>5597.0</v>
      </c>
      <c r="DI126" s="54">
        <v>198.0</v>
      </c>
      <c r="DJ126" s="54">
        <v>3820.0</v>
      </c>
      <c r="DK126" s="54">
        <v>395373.0</v>
      </c>
      <c r="DL126" s="54">
        <v>290180.0</v>
      </c>
      <c r="DM126" s="54">
        <v>0.0</v>
      </c>
      <c r="DN126" s="54">
        <v>5513.0</v>
      </c>
      <c r="DO126" s="54">
        <v>460588.0</v>
      </c>
      <c r="DP126" s="54">
        <v>12855.0</v>
      </c>
      <c r="DQ126" s="54">
        <v>266776.0</v>
      </c>
      <c r="DR126" s="54">
        <v>227048.0</v>
      </c>
      <c r="DS126" s="54">
        <v>5.7122078E7</v>
      </c>
      <c r="DT126" s="54">
        <v>4721091.0</v>
      </c>
      <c r="DU126" s="54">
        <v>0.0</v>
      </c>
      <c r="DV126" s="54">
        <v>0.0</v>
      </c>
      <c r="DW126" s="54">
        <v>245458.0</v>
      </c>
      <c r="DX126" s="54">
        <v>18517.0</v>
      </c>
      <c r="DY126" s="54">
        <v>3923195.0</v>
      </c>
      <c r="DZ126" s="54">
        <v>390841.0</v>
      </c>
      <c r="EA126" s="54">
        <v>751699.0</v>
      </c>
      <c r="EB126" s="54">
        <v>1617527.0</v>
      </c>
      <c r="EC126" s="54">
        <v>3154959.0</v>
      </c>
      <c r="ED126" s="54">
        <v>848.0</v>
      </c>
      <c r="EE126" s="54">
        <v>113168.0</v>
      </c>
      <c r="EF126" s="54">
        <v>175795.0</v>
      </c>
      <c r="EG126" s="54">
        <v>13043.0</v>
      </c>
      <c r="EH126" s="54">
        <v>801531.0</v>
      </c>
      <c r="EI126" s="54">
        <v>15485.0</v>
      </c>
      <c r="EJ126" s="54">
        <v>78.0</v>
      </c>
      <c r="EK126" s="54">
        <v>392.0</v>
      </c>
      <c r="EL126" s="54">
        <v>2664.0</v>
      </c>
      <c r="EM126" s="54">
        <v>222638.0</v>
      </c>
      <c r="EN126" s="54">
        <v>196963.0</v>
      </c>
      <c r="EO126" s="54">
        <v>312717.0</v>
      </c>
      <c r="EP126" s="54">
        <v>434827.0</v>
      </c>
      <c r="EQ126" s="54">
        <v>3123073.0</v>
      </c>
      <c r="ER126" s="54">
        <v>0.0</v>
      </c>
      <c r="ES126" s="54">
        <v>208.0</v>
      </c>
      <c r="ET126" s="54">
        <v>1312.0</v>
      </c>
      <c r="EU126" s="54">
        <v>3.0932714E7</v>
      </c>
      <c r="EV126" s="54">
        <v>2.0573944E7</v>
      </c>
      <c r="EW126" s="54">
        <v>54785.0</v>
      </c>
      <c r="EX126" s="54">
        <v>101810.0</v>
      </c>
      <c r="EY126" s="54">
        <v>36015.0</v>
      </c>
      <c r="EZ126" s="54">
        <v>5149.0</v>
      </c>
      <c r="FA126" s="54">
        <v>2438883.0</v>
      </c>
      <c r="FB126" s="54">
        <v>283944.0</v>
      </c>
      <c r="FC126" s="54">
        <v>249.0</v>
      </c>
      <c r="FD126" s="54">
        <v>25909.0</v>
      </c>
      <c r="FE126" s="54">
        <v>5142.0</v>
      </c>
      <c r="FF126" s="54">
        <v>11.0</v>
      </c>
      <c r="FG126" s="54">
        <v>5360.0</v>
      </c>
      <c r="FH126" s="54">
        <v>20755.0</v>
      </c>
      <c r="FI126" s="54">
        <v>103.0</v>
      </c>
      <c r="FJ126" s="54">
        <v>142.0</v>
      </c>
      <c r="FK126" s="54">
        <v>4930.0</v>
      </c>
      <c r="FL126" s="54">
        <v>1526.0</v>
      </c>
      <c r="FM126" s="54">
        <v>1029006.0</v>
      </c>
      <c r="FN126" s="54">
        <v>5882232.0</v>
      </c>
      <c r="FO126" s="54">
        <v>3020844.0</v>
      </c>
      <c r="FP126" s="54">
        <v>22952.0</v>
      </c>
      <c r="FQ126" s="54">
        <v>582.0</v>
      </c>
      <c r="FR126" s="54">
        <v>12.0</v>
      </c>
      <c r="FS126" s="54">
        <v>406.0</v>
      </c>
      <c r="FT126" s="54">
        <v>23807.0</v>
      </c>
      <c r="FU126" s="54">
        <v>2978635.0</v>
      </c>
      <c r="FV126" s="54">
        <v>700248.0</v>
      </c>
      <c r="FW126" s="54">
        <v>1351694.0</v>
      </c>
      <c r="FX126" s="54">
        <v>183215.0</v>
      </c>
      <c r="FY126" s="54">
        <v>813987.0</v>
      </c>
      <c r="FZ126" s="54">
        <v>11792.0</v>
      </c>
      <c r="GA126" s="54">
        <v>5857758.0</v>
      </c>
      <c r="GB126" s="54">
        <v>1183856.0</v>
      </c>
      <c r="GC126" s="54">
        <v>8936.0</v>
      </c>
      <c r="GD126" s="54">
        <v>3990781.0</v>
      </c>
      <c r="GE126" s="54">
        <v>3157.0</v>
      </c>
      <c r="GF126" s="55">
        <v>1.62564146E8</v>
      </c>
      <c r="GG126" s="56">
        <v>1.03880503E8</v>
      </c>
      <c r="GH126" s="57">
        <v>0.0</v>
      </c>
      <c r="GI126" s="56">
        <v>0.0</v>
      </c>
      <c r="GJ126" s="56">
        <v>1.18500021E8</v>
      </c>
      <c r="GK126" s="56">
        <v>6509758.0</v>
      </c>
      <c r="GL126" s="56">
        <v>9.2711625E7</v>
      </c>
      <c r="GM126" s="56">
        <v>1061120.0</v>
      </c>
      <c r="GN126" s="55">
        <v>3.22663027E8</v>
      </c>
      <c r="GO126" s="58">
        <v>4.85227173E8</v>
      </c>
      <c r="GP126" s="56">
        <v>2.13355137E8</v>
      </c>
      <c r="GQ126" s="56">
        <v>623774.0</v>
      </c>
      <c r="GR126" s="57">
        <v>0.0</v>
      </c>
      <c r="GS126" s="55">
        <v>2.13978911E8</v>
      </c>
      <c r="GT126" s="59">
        <v>3.6829494E7</v>
      </c>
      <c r="GU126" s="59">
        <v>1.3481501E7</v>
      </c>
      <c r="GV126" s="59">
        <v>2.8021024E7</v>
      </c>
      <c r="GW126" s="55">
        <v>7.8332019E7</v>
      </c>
      <c r="GX126" s="55">
        <v>2.3836128E7</v>
      </c>
      <c r="GY126" s="55">
        <v>1.69080115E8</v>
      </c>
      <c r="GZ126" s="58">
        <v>4.85227173E8</v>
      </c>
      <c r="HH126" s="106"/>
    </row>
    <row r="127" ht="15.75" customHeight="1">
      <c r="A127" s="60">
        <v>122.0</v>
      </c>
      <c r="B127" s="111" t="s">
        <v>392</v>
      </c>
      <c r="C127" s="62">
        <v>0.0</v>
      </c>
      <c r="D127" s="62">
        <v>0.0</v>
      </c>
      <c r="E127" s="62">
        <v>0.0</v>
      </c>
      <c r="F127" s="62">
        <v>0.0</v>
      </c>
      <c r="G127" s="62">
        <v>0.0</v>
      </c>
      <c r="H127" s="62">
        <v>0.0</v>
      </c>
      <c r="I127" s="62">
        <v>0.0</v>
      </c>
      <c r="J127" s="62">
        <v>0.0</v>
      </c>
      <c r="K127" s="62">
        <v>0.0</v>
      </c>
      <c r="L127" s="62">
        <v>0.0</v>
      </c>
      <c r="M127" s="62">
        <v>0.0</v>
      </c>
      <c r="N127" s="62">
        <v>0.0</v>
      </c>
      <c r="O127" s="62">
        <v>0.0</v>
      </c>
      <c r="P127" s="62">
        <v>0.0</v>
      </c>
      <c r="Q127" s="62">
        <v>0.0</v>
      </c>
      <c r="R127" s="62">
        <v>0.0</v>
      </c>
      <c r="S127" s="62">
        <v>0.0</v>
      </c>
      <c r="T127" s="62">
        <v>0.0</v>
      </c>
      <c r="U127" s="62">
        <v>0.0</v>
      </c>
      <c r="V127" s="62">
        <v>0.0</v>
      </c>
      <c r="W127" s="62">
        <v>0.0</v>
      </c>
      <c r="X127" s="62">
        <v>0.0</v>
      </c>
      <c r="Y127" s="62">
        <v>0.0</v>
      </c>
      <c r="Z127" s="62">
        <v>0.0</v>
      </c>
      <c r="AA127" s="62">
        <v>0.0</v>
      </c>
      <c r="AB127" s="62">
        <v>0.0</v>
      </c>
      <c r="AC127" s="62">
        <v>0.0</v>
      </c>
      <c r="AD127" s="62">
        <v>0.0</v>
      </c>
      <c r="AE127" s="62">
        <v>0.0</v>
      </c>
      <c r="AF127" s="62">
        <v>0.0</v>
      </c>
      <c r="AG127" s="62">
        <v>0.0</v>
      </c>
      <c r="AH127" s="62">
        <v>0.0</v>
      </c>
      <c r="AI127" s="62">
        <v>0.0</v>
      </c>
      <c r="AJ127" s="62">
        <v>0.0</v>
      </c>
      <c r="AK127" s="62">
        <v>0.0</v>
      </c>
      <c r="AL127" s="62">
        <v>0.0</v>
      </c>
      <c r="AM127" s="62">
        <v>1503029.0</v>
      </c>
      <c r="AN127" s="62">
        <v>109893.0</v>
      </c>
      <c r="AO127" s="62">
        <v>230448.0</v>
      </c>
      <c r="AP127" s="62">
        <v>6614.0</v>
      </c>
      <c r="AQ127" s="62">
        <v>29216.0</v>
      </c>
      <c r="AR127" s="62">
        <v>16372.0</v>
      </c>
      <c r="AS127" s="62">
        <v>120617.0</v>
      </c>
      <c r="AT127" s="62">
        <v>14345.0</v>
      </c>
      <c r="AU127" s="62">
        <v>10624.0</v>
      </c>
      <c r="AV127" s="62">
        <v>198781.0</v>
      </c>
      <c r="AW127" s="62">
        <v>4124.0</v>
      </c>
      <c r="AX127" s="62">
        <v>320320.0</v>
      </c>
      <c r="AY127" s="62">
        <v>0.0</v>
      </c>
      <c r="AZ127" s="62">
        <v>637.0</v>
      </c>
      <c r="BA127" s="62">
        <v>160807.0</v>
      </c>
      <c r="BB127" s="62">
        <v>167084.0</v>
      </c>
      <c r="BC127" s="62">
        <v>0.0</v>
      </c>
      <c r="BD127" s="62">
        <v>0.0</v>
      </c>
      <c r="BE127" s="62">
        <v>147.0</v>
      </c>
      <c r="BF127" s="62">
        <v>891.0</v>
      </c>
      <c r="BG127" s="62">
        <v>0.0</v>
      </c>
      <c r="BH127" s="62">
        <v>0.0</v>
      </c>
      <c r="BI127" s="62">
        <v>0.0</v>
      </c>
      <c r="BJ127" s="62">
        <v>24688.0</v>
      </c>
      <c r="BK127" s="62">
        <v>5107.0</v>
      </c>
      <c r="BL127" s="62">
        <v>2366.0</v>
      </c>
      <c r="BM127" s="62">
        <v>0.0</v>
      </c>
      <c r="BN127" s="62">
        <v>0.0</v>
      </c>
      <c r="BO127" s="62">
        <v>41367.0</v>
      </c>
      <c r="BP127" s="62">
        <v>0.0</v>
      </c>
      <c r="BQ127" s="62">
        <v>0.0</v>
      </c>
      <c r="BR127" s="62">
        <v>0.0</v>
      </c>
      <c r="BS127" s="62">
        <v>0.0</v>
      </c>
      <c r="BT127" s="62">
        <v>0.0</v>
      </c>
      <c r="BU127" s="62">
        <v>774.0</v>
      </c>
      <c r="BV127" s="62">
        <v>0.0</v>
      </c>
      <c r="BW127" s="62">
        <v>0.0</v>
      </c>
      <c r="BX127" s="62">
        <v>2216.0</v>
      </c>
      <c r="BY127" s="62">
        <v>59451.0</v>
      </c>
      <c r="BZ127" s="62">
        <v>5285.0</v>
      </c>
      <c r="CA127" s="62">
        <v>138242.0</v>
      </c>
      <c r="CB127" s="62">
        <v>83358.0</v>
      </c>
      <c r="CC127" s="62">
        <v>4074.0</v>
      </c>
      <c r="CD127" s="62">
        <v>1327.0</v>
      </c>
      <c r="CE127" s="62">
        <v>10605.0</v>
      </c>
      <c r="CF127" s="62">
        <v>2284.0</v>
      </c>
      <c r="CG127" s="62">
        <v>4270.0</v>
      </c>
      <c r="CH127" s="62">
        <v>8800.0</v>
      </c>
      <c r="CI127" s="62">
        <v>28652.0</v>
      </c>
      <c r="CJ127" s="62">
        <v>668.0</v>
      </c>
      <c r="CK127" s="62">
        <v>0.0</v>
      </c>
      <c r="CL127" s="62">
        <v>0.0</v>
      </c>
      <c r="CM127" s="62">
        <v>350.0</v>
      </c>
      <c r="CN127" s="62">
        <v>120.0</v>
      </c>
      <c r="CO127" s="62">
        <v>17527.0</v>
      </c>
      <c r="CP127" s="62">
        <v>15502.0</v>
      </c>
      <c r="CQ127" s="62">
        <v>1114.0</v>
      </c>
      <c r="CR127" s="62">
        <v>2430.0</v>
      </c>
      <c r="CS127" s="62">
        <v>11871.0</v>
      </c>
      <c r="CT127" s="62">
        <v>225763.0</v>
      </c>
      <c r="CU127" s="62">
        <v>47055.0</v>
      </c>
      <c r="CV127" s="62">
        <v>90708.0</v>
      </c>
      <c r="CW127" s="62">
        <v>10966.0</v>
      </c>
      <c r="CX127" s="62">
        <v>19905.0</v>
      </c>
      <c r="CY127" s="62">
        <v>1538.0</v>
      </c>
      <c r="CZ127" s="62">
        <v>17402.0</v>
      </c>
      <c r="DA127" s="62">
        <v>44948.0</v>
      </c>
      <c r="DB127" s="62">
        <v>66389.0</v>
      </c>
      <c r="DC127" s="62">
        <v>76080.0</v>
      </c>
      <c r="DD127" s="62">
        <v>22396.0</v>
      </c>
      <c r="DE127" s="62">
        <v>6486.0</v>
      </c>
      <c r="DF127" s="62">
        <v>906.0</v>
      </c>
      <c r="DG127" s="62">
        <v>550.0</v>
      </c>
      <c r="DH127" s="62">
        <v>131962.0</v>
      </c>
      <c r="DI127" s="62">
        <v>14641.0</v>
      </c>
      <c r="DJ127" s="62">
        <v>23852.0</v>
      </c>
      <c r="DK127" s="62">
        <v>2446.0</v>
      </c>
      <c r="DL127" s="62">
        <v>153907.0</v>
      </c>
      <c r="DM127" s="62">
        <v>894.0</v>
      </c>
      <c r="DN127" s="62">
        <v>11811.0</v>
      </c>
      <c r="DO127" s="62">
        <v>12076.0</v>
      </c>
      <c r="DP127" s="62">
        <v>0.0</v>
      </c>
      <c r="DQ127" s="62">
        <v>21511.0</v>
      </c>
      <c r="DR127" s="62">
        <v>36457.0</v>
      </c>
      <c r="DS127" s="62">
        <v>541205.0</v>
      </c>
      <c r="DT127" s="62">
        <v>3650357.0</v>
      </c>
      <c r="DU127" s="62">
        <v>11571.0</v>
      </c>
      <c r="DV127" s="62">
        <v>0.0</v>
      </c>
      <c r="DW127" s="62">
        <v>0.0</v>
      </c>
      <c r="DX127" s="62">
        <v>6755.0</v>
      </c>
      <c r="DY127" s="62">
        <v>85794.0</v>
      </c>
      <c r="DZ127" s="62">
        <v>50454.0</v>
      </c>
      <c r="EA127" s="62">
        <v>4166.0</v>
      </c>
      <c r="EB127" s="62">
        <v>463972.0</v>
      </c>
      <c r="EC127" s="62">
        <v>1549427.0</v>
      </c>
      <c r="ED127" s="62">
        <v>116394.0</v>
      </c>
      <c r="EE127" s="62">
        <v>84512.0</v>
      </c>
      <c r="EF127" s="62">
        <v>119741.0</v>
      </c>
      <c r="EG127" s="62">
        <v>185436.0</v>
      </c>
      <c r="EH127" s="62">
        <v>791045.0</v>
      </c>
      <c r="EI127" s="62">
        <v>249.0</v>
      </c>
      <c r="EJ127" s="62">
        <v>130772.0</v>
      </c>
      <c r="EK127" s="62">
        <v>6292.0</v>
      </c>
      <c r="EL127" s="62">
        <v>3866.0</v>
      </c>
      <c r="EM127" s="62">
        <v>12518.0</v>
      </c>
      <c r="EN127" s="62">
        <v>21339.0</v>
      </c>
      <c r="EO127" s="62">
        <v>7120.0</v>
      </c>
      <c r="EP127" s="62">
        <v>63435.0</v>
      </c>
      <c r="EQ127" s="62">
        <v>809385.0</v>
      </c>
      <c r="ER127" s="62">
        <v>383112.0</v>
      </c>
      <c r="ES127" s="62">
        <v>53254.0</v>
      </c>
      <c r="ET127" s="62">
        <v>9152.0</v>
      </c>
      <c r="EU127" s="62">
        <v>6695396.0</v>
      </c>
      <c r="EV127" s="62">
        <v>26300.0</v>
      </c>
      <c r="EW127" s="62">
        <v>17936.0</v>
      </c>
      <c r="EX127" s="62">
        <v>104864.0</v>
      </c>
      <c r="EY127" s="62">
        <v>197491.0</v>
      </c>
      <c r="EZ127" s="62">
        <v>469215.0</v>
      </c>
      <c r="FA127" s="62">
        <v>420117.0</v>
      </c>
      <c r="FB127" s="62">
        <v>533105.0</v>
      </c>
      <c r="FC127" s="62">
        <v>459.0</v>
      </c>
      <c r="FD127" s="62">
        <v>819265.0</v>
      </c>
      <c r="FE127" s="62">
        <v>455504.0</v>
      </c>
      <c r="FF127" s="62">
        <v>710.0</v>
      </c>
      <c r="FG127" s="62">
        <v>416050.0</v>
      </c>
      <c r="FH127" s="62">
        <v>722088.0</v>
      </c>
      <c r="FI127" s="62">
        <v>19012.0</v>
      </c>
      <c r="FJ127" s="62">
        <v>0.0</v>
      </c>
      <c r="FK127" s="62">
        <v>0.0</v>
      </c>
      <c r="FL127" s="62">
        <v>176884.0</v>
      </c>
      <c r="FM127" s="62">
        <v>24979.0</v>
      </c>
      <c r="FN127" s="62">
        <v>112071.0</v>
      </c>
      <c r="FO127" s="62">
        <v>8937.0</v>
      </c>
      <c r="FP127" s="62">
        <v>2087.0</v>
      </c>
      <c r="FQ127" s="62">
        <v>0.0</v>
      </c>
      <c r="FR127" s="62">
        <v>0.0</v>
      </c>
      <c r="FS127" s="62">
        <v>0.0</v>
      </c>
      <c r="FT127" s="62">
        <v>0.0</v>
      </c>
      <c r="FU127" s="62">
        <v>7821827.0</v>
      </c>
      <c r="FV127" s="62">
        <v>260072.0</v>
      </c>
      <c r="FW127" s="62">
        <v>8541.0</v>
      </c>
      <c r="FX127" s="62">
        <v>358525.0</v>
      </c>
      <c r="FY127" s="62">
        <v>41285.0</v>
      </c>
      <c r="FZ127" s="62">
        <v>44.0</v>
      </c>
      <c r="GA127" s="62">
        <v>2846992.0</v>
      </c>
      <c r="GB127" s="62">
        <v>910880.0</v>
      </c>
      <c r="GC127" s="62">
        <v>39001.0</v>
      </c>
      <c r="GD127" s="62">
        <v>135853.0</v>
      </c>
      <c r="GE127" s="62">
        <v>78230.0</v>
      </c>
      <c r="GF127" s="63">
        <v>3.7292089E7</v>
      </c>
      <c r="GG127" s="64">
        <v>1.6544494E7</v>
      </c>
      <c r="GH127" s="65">
        <v>0.0</v>
      </c>
      <c r="GI127" s="64">
        <v>0.0</v>
      </c>
      <c r="GJ127" s="64">
        <v>3.7501592E7</v>
      </c>
      <c r="GK127" s="64">
        <v>-1.0659167E7</v>
      </c>
      <c r="GL127" s="64">
        <v>7407322.0</v>
      </c>
      <c r="GM127" s="64">
        <v>126848.0</v>
      </c>
      <c r="GN127" s="63">
        <v>5.0921089E7</v>
      </c>
      <c r="GO127" s="66">
        <v>8.8213178E7</v>
      </c>
      <c r="GP127" s="64">
        <v>3.7731016E7</v>
      </c>
      <c r="GQ127" s="64">
        <v>59756.0</v>
      </c>
      <c r="GR127" s="65">
        <v>0.0</v>
      </c>
      <c r="GS127" s="63">
        <v>3.7790772E7</v>
      </c>
      <c r="GT127" s="67">
        <v>7704388.0</v>
      </c>
      <c r="GU127" s="67">
        <v>5628287.0</v>
      </c>
      <c r="GV127" s="67">
        <v>3509796.0</v>
      </c>
      <c r="GW127" s="63">
        <v>1.6842471E7</v>
      </c>
      <c r="GX127" s="63">
        <v>6204688.0</v>
      </c>
      <c r="GY127" s="63">
        <v>2.7375247E7</v>
      </c>
      <c r="GZ127" s="66">
        <v>8.8213178E7</v>
      </c>
      <c r="HH127" s="106"/>
    </row>
    <row r="128" ht="15.75" customHeight="1">
      <c r="A128" s="60">
        <v>123.0</v>
      </c>
      <c r="B128" s="111" t="s">
        <v>604</v>
      </c>
      <c r="C128" s="62">
        <v>0.0</v>
      </c>
      <c r="D128" s="62">
        <v>0.0</v>
      </c>
      <c r="E128" s="62">
        <v>0.0</v>
      </c>
      <c r="F128" s="62">
        <v>0.0</v>
      </c>
      <c r="G128" s="62">
        <v>0.0</v>
      </c>
      <c r="H128" s="62">
        <v>0.0</v>
      </c>
      <c r="I128" s="62">
        <v>0.0</v>
      </c>
      <c r="J128" s="62">
        <v>0.0</v>
      </c>
      <c r="K128" s="62">
        <v>0.0</v>
      </c>
      <c r="L128" s="62">
        <v>0.0</v>
      </c>
      <c r="M128" s="62">
        <v>0.0</v>
      </c>
      <c r="N128" s="62">
        <v>0.0</v>
      </c>
      <c r="O128" s="62">
        <v>0.0</v>
      </c>
      <c r="P128" s="62">
        <v>0.0</v>
      </c>
      <c r="Q128" s="62">
        <v>0.0</v>
      </c>
      <c r="R128" s="62">
        <v>0.0</v>
      </c>
      <c r="S128" s="62">
        <v>0.0</v>
      </c>
      <c r="T128" s="62">
        <v>0.0</v>
      </c>
      <c r="U128" s="62">
        <v>0.0</v>
      </c>
      <c r="V128" s="62">
        <v>0.0</v>
      </c>
      <c r="W128" s="62">
        <v>0.0</v>
      </c>
      <c r="X128" s="62">
        <v>0.0</v>
      </c>
      <c r="Y128" s="62">
        <v>0.0</v>
      </c>
      <c r="Z128" s="62">
        <v>0.0</v>
      </c>
      <c r="AA128" s="62">
        <v>0.0</v>
      </c>
      <c r="AB128" s="62">
        <v>0.0</v>
      </c>
      <c r="AC128" s="62">
        <v>0.0</v>
      </c>
      <c r="AD128" s="62">
        <v>0.0</v>
      </c>
      <c r="AE128" s="62">
        <v>0.0</v>
      </c>
      <c r="AF128" s="62">
        <v>0.0</v>
      </c>
      <c r="AG128" s="62">
        <v>0.0</v>
      </c>
      <c r="AH128" s="62">
        <v>0.0</v>
      </c>
      <c r="AI128" s="62">
        <v>302060.0</v>
      </c>
      <c r="AJ128" s="62">
        <v>0.0</v>
      </c>
      <c r="AK128" s="62">
        <v>0.0</v>
      </c>
      <c r="AL128" s="62">
        <v>0.0</v>
      </c>
      <c r="AM128" s="62">
        <v>67309.0</v>
      </c>
      <c r="AN128" s="62">
        <v>7459.0</v>
      </c>
      <c r="AO128" s="62">
        <v>88947.0</v>
      </c>
      <c r="AP128" s="62">
        <v>58.0</v>
      </c>
      <c r="AQ128" s="62">
        <v>2989.0</v>
      </c>
      <c r="AR128" s="62">
        <v>391.0</v>
      </c>
      <c r="AS128" s="62">
        <v>50967.0</v>
      </c>
      <c r="AT128" s="62">
        <v>1245.0</v>
      </c>
      <c r="AU128" s="62">
        <v>1486.0</v>
      </c>
      <c r="AV128" s="62">
        <v>22431.0</v>
      </c>
      <c r="AW128" s="62">
        <v>102.0</v>
      </c>
      <c r="AX128" s="62">
        <v>46235.0</v>
      </c>
      <c r="AY128" s="62">
        <v>0.0</v>
      </c>
      <c r="AZ128" s="62">
        <v>0.0</v>
      </c>
      <c r="BA128" s="62">
        <v>51703.0</v>
      </c>
      <c r="BB128" s="62">
        <v>44882.0</v>
      </c>
      <c r="BC128" s="62">
        <v>0.0</v>
      </c>
      <c r="BD128" s="62">
        <v>0.0</v>
      </c>
      <c r="BE128" s="62">
        <v>0.0</v>
      </c>
      <c r="BF128" s="62">
        <v>0.0</v>
      </c>
      <c r="BG128" s="62">
        <v>0.0</v>
      </c>
      <c r="BH128" s="62">
        <v>19988.0</v>
      </c>
      <c r="BI128" s="62">
        <v>0.0</v>
      </c>
      <c r="BJ128" s="62">
        <v>18099.0</v>
      </c>
      <c r="BK128" s="62">
        <v>804.0</v>
      </c>
      <c r="BL128" s="62">
        <v>383.0</v>
      </c>
      <c r="BM128" s="62">
        <v>0.0</v>
      </c>
      <c r="BN128" s="62">
        <v>0.0</v>
      </c>
      <c r="BO128" s="62">
        <v>4664.0</v>
      </c>
      <c r="BP128" s="62">
        <v>0.0</v>
      </c>
      <c r="BQ128" s="62">
        <v>0.0</v>
      </c>
      <c r="BR128" s="62">
        <v>0.0</v>
      </c>
      <c r="BS128" s="62">
        <v>0.0</v>
      </c>
      <c r="BT128" s="62">
        <v>0.0</v>
      </c>
      <c r="BU128" s="62">
        <v>128.0</v>
      </c>
      <c r="BV128" s="62">
        <v>0.0</v>
      </c>
      <c r="BW128" s="62">
        <v>0.0</v>
      </c>
      <c r="BX128" s="62">
        <v>811.0</v>
      </c>
      <c r="BY128" s="62">
        <v>4015.0</v>
      </c>
      <c r="BZ128" s="62">
        <v>226.0</v>
      </c>
      <c r="CA128" s="62">
        <v>0.0</v>
      </c>
      <c r="CB128" s="62">
        <v>0.0</v>
      </c>
      <c r="CC128" s="62">
        <v>0.0</v>
      </c>
      <c r="CD128" s="62">
        <v>0.0</v>
      </c>
      <c r="CE128" s="62">
        <v>0.0</v>
      </c>
      <c r="CF128" s="62">
        <v>0.0</v>
      </c>
      <c r="CG128" s="62">
        <v>0.0</v>
      </c>
      <c r="CH128" s="62">
        <v>0.0</v>
      </c>
      <c r="CI128" s="62">
        <v>0.0</v>
      </c>
      <c r="CJ128" s="62">
        <v>0.0</v>
      </c>
      <c r="CK128" s="62">
        <v>0.0</v>
      </c>
      <c r="CL128" s="62">
        <v>0.0</v>
      </c>
      <c r="CM128" s="62">
        <v>0.0</v>
      </c>
      <c r="CN128" s="62">
        <v>0.0</v>
      </c>
      <c r="CO128" s="62">
        <v>7871.0</v>
      </c>
      <c r="CP128" s="62">
        <v>6447.0</v>
      </c>
      <c r="CQ128" s="62">
        <v>0.0</v>
      </c>
      <c r="CR128" s="62">
        <v>0.0</v>
      </c>
      <c r="CS128" s="62">
        <v>354770.0</v>
      </c>
      <c r="CT128" s="62">
        <v>73.0</v>
      </c>
      <c r="CU128" s="62">
        <v>0.0</v>
      </c>
      <c r="CV128" s="62">
        <v>0.0</v>
      </c>
      <c r="CW128" s="62">
        <v>0.0</v>
      </c>
      <c r="CX128" s="62">
        <v>0.0</v>
      </c>
      <c r="CY128" s="62">
        <v>0.0</v>
      </c>
      <c r="CZ128" s="62">
        <v>0.0</v>
      </c>
      <c r="DA128" s="62">
        <v>0.0</v>
      </c>
      <c r="DB128" s="62">
        <v>60.0</v>
      </c>
      <c r="DC128" s="62">
        <v>0.0</v>
      </c>
      <c r="DD128" s="62">
        <v>0.0</v>
      </c>
      <c r="DE128" s="62">
        <v>0.0</v>
      </c>
      <c r="DF128" s="62">
        <v>0.0</v>
      </c>
      <c r="DG128" s="62">
        <v>0.0</v>
      </c>
      <c r="DH128" s="62">
        <v>158.0</v>
      </c>
      <c r="DI128" s="62">
        <v>0.0</v>
      </c>
      <c r="DJ128" s="62">
        <v>127.0</v>
      </c>
      <c r="DK128" s="62">
        <v>0.0</v>
      </c>
      <c r="DL128" s="62">
        <v>33.0</v>
      </c>
      <c r="DM128" s="62">
        <v>6.0</v>
      </c>
      <c r="DN128" s="62">
        <v>89.0</v>
      </c>
      <c r="DO128" s="62">
        <v>1179367.0</v>
      </c>
      <c r="DP128" s="62">
        <v>29699.0</v>
      </c>
      <c r="DQ128" s="62">
        <v>526706.0</v>
      </c>
      <c r="DR128" s="62">
        <v>262590.0</v>
      </c>
      <c r="DS128" s="62">
        <v>1816256.0</v>
      </c>
      <c r="DT128" s="62">
        <v>165256.0</v>
      </c>
      <c r="DU128" s="62">
        <v>4320059.0</v>
      </c>
      <c r="DV128" s="62">
        <v>1144645.0</v>
      </c>
      <c r="DW128" s="62">
        <v>0.0</v>
      </c>
      <c r="DX128" s="62">
        <v>341991.0</v>
      </c>
      <c r="DY128" s="62">
        <v>4483937.0</v>
      </c>
      <c r="DZ128" s="62">
        <v>1.0886871E7</v>
      </c>
      <c r="EA128" s="62">
        <v>0.0</v>
      </c>
      <c r="EB128" s="62">
        <v>1497481.0</v>
      </c>
      <c r="EC128" s="62">
        <v>1096905.0</v>
      </c>
      <c r="ED128" s="62">
        <v>79956.0</v>
      </c>
      <c r="EE128" s="62">
        <v>242093.0</v>
      </c>
      <c r="EF128" s="62">
        <v>24138.0</v>
      </c>
      <c r="EG128" s="62">
        <v>8156.0</v>
      </c>
      <c r="EH128" s="62">
        <v>0.0</v>
      </c>
      <c r="EI128" s="62">
        <v>13.0</v>
      </c>
      <c r="EJ128" s="62">
        <v>0.0</v>
      </c>
      <c r="EK128" s="62">
        <v>248.0</v>
      </c>
      <c r="EL128" s="62">
        <v>252.0</v>
      </c>
      <c r="EM128" s="62">
        <v>6713.0</v>
      </c>
      <c r="EN128" s="62">
        <v>0.0</v>
      </c>
      <c r="EO128" s="62">
        <v>8846.0</v>
      </c>
      <c r="EP128" s="62">
        <v>45301.0</v>
      </c>
      <c r="EQ128" s="62">
        <v>243373.0</v>
      </c>
      <c r="ER128" s="62">
        <v>0.0</v>
      </c>
      <c r="ES128" s="62">
        <v>13505.0</v>
      </c>
      <c r="ET128" s="62">
        <v>9136.0</v>
      </c>
      <c r="EU128" s="62">
        <v>2182599.0</v>
      </c>
      <c r="EV128" s="62">
        <v>5331.0</v>
      </c>
      <c r="EW128" s="62">
        <v>4730.0</v>
      </c>
      <c r="EX128" s="62">
        <v>15304.0</v>
      </c>
      <c r="EY128" s="62">
        <v>30971.0</v>
      </c>
      <c r="EZ128" s="62">
        <v>9037.0</v>
      </c>
      <c r="FA128" s="62">
        <v>20696.0</v>
      </c>
      <c r="FB128" s="62">
        <v>460691.0</v>
      </c>
      <c r="FC128" s="62">
        <v>0.0</v>
      </c>
      <c r="FD128" s="62">
        <v>0.0</v>
      </c>
      <c r="FE128" s="62">
        <v>0.0</v>
      </c>
      <c r="FF128" s="62">
        <v>0.0</v>
      </c>
      <c r="FG128" s="62">
        <v>0.0</v>
      </c>
      <c r="FH128" s="62">
        <v>1045.0</v>
      </c>
      <c r="FI128" s="62">
        <v>1876.0</v>
      </c>
      <c r="FJ128" s="62">
        <v>0.0</v>
      </c>
      <c r="FK128" s="62">
        <v>0.0</v>
      </c>
      <c r="FL128" s="62">
        <v>4909.0</v>
      </c>
      <c r="FM128" s="62">
        <v>89893.0</v>
      </c>
      <c r="FN128" s="62">
        <v>10413.0</v>
      </c>
      <c r="FO128" s="62">
        <v>1089.0</v>
      </c>
      <c r="FP128" s="62">
        <v>0.0</v>
      </c>
      <c r="FQ128" s="62">
        <v>0.0</v>
      </c>
      <c r="FR128" s="62">
        <v>0.0</v>
      </c>
      <c r="FS128" s="62">
        <v>0.0</v>
      </c>
      <c r="FT128" s="62">
        <v>0.0</v>
      </c>
      <c r="FU128" s="62">
        <v>130338.0</v>
      </c>
      <c r="FV128" s="62">
        <v>123603.0</v>
      </c>
      <c r="FW128" s="62">
        <v>0.0</v>
      </c>
      <c r="FX128" s="62">
        <v>0.0</v>
      </c>
      <c r="FY128" s="62">
        <v>0.0</v>
      </c>
      <c r="FZ128" s="62">
        <v>0.0</v>
      </c>
      <c r="GA128" s="62">
        <v>653812.0</v>
      </c>
      <c r="GB128" s="62">
        <v>108537.0</v>
      </c>
      <c r="GC128" s="62">
        <v>33676.0</v>
      </c>
      <c r="GD128" s="62">
        <v>80291.0</v>
      </c>
      <c r="GE128" s="62">
        <v>0.0</v>
      </c>
      <c r="GF128" s="63">
        <v>3.350935E7</v>
      </c>
      <c r="GG128" s="64">
        <v>271990.0</v>
      </c>
      <c r="GH128" s="65">
        <v>0.0</v>
      </c>
      <c r="GI128" s="64">
        <v>0.0</v>
      </c>
      <c r="GJ128" s="64">
        <v>2.7484423E7</v>
      </c>
      <c r="GK128" s="64">
        <v>-1.0017042E7</v>
      </c>
      <c r="GL128" s="64">
        <v>3309509.0</v>
      </c>
      <c r="GM128" s="64">
        <v>0.0</v>
      </c>
      <c r="GN128" s="63">
        <v>2.104888E7</v>
      </c>
      <c r="GO128" s="66">
        <v>5.455823E7</v>
      </c>
      <c r="GP128" s="64">
        <v>1.9216704E7</v>
      </c>
      <c r="GQ128" s="64">
        <v>0.0</v>
      </c>
      <c r="GR128" s="65">
        <v>0.0</v>
      </c>
      <c r="GS128" s="63">
        <v>1.9216704E7</v>
      </c>
      <c r="GT128" s="67">
        <v>4482934.0</v>
      </c>
      <c r="GU128" s="67">
        <v>5028159.0</v>
      </c>
      <c r="GV128" s="67">
        <v>1196789.0</v>
      </c>
      <c r="GW128" s="63">
        <v>1.0707882E7</v>
      </c>
      <c r="GX128" s="63">
        <v>2682241.0</v>
      </c>
      <c r="GY128" s="63">
        <v>2.1951403E7</v>
      </c>
      <c r="GZ128" s="66">
        <v>5.455823E7</v>
      </c>
      <c r="HH128" s="106"/>
    </row>
    <row r="129" ht="15.75" customHeight="1">
      <c r="A129" s="60">
        <v>124.0</v>
      </c>
      <c r="B129" s="111" t="s">
        <v>394</v>
      </c>
      <c r="C129" s="62">
        <v>0.0</v>
      </c>
      <c r="D129" s="62">
        <v>0.0</v>
      </c>
      <c r="E129" s="62">
        <v>0.0</v>
      </c>
      <c r="F129" s="62">
        <v>0.0</v>
      </c>
      <c r="G129" s="62">
        <v>0.0</v>
      </c>
      <c r="H129" s="62">
        <v>0.0</v>
      </c>
      <c r="I129" s="62">
        <v>0.0</v>
      </c>
      <c r="J129" s="62">
        <v>0.0</v>
      </c>
      <c r="K129" s="62">
        <v>0.0</v>
      </c>
      <c r="L129" s="62">
        <v>0.0</v>
      </c>
      <c r="M129" s="62">
        <v>0.0</v>
      </c>
      <c r="N129" s="62">
        <v>0.0</v>
      </c>
      <c r="O129" s="62">
        <v>0.0</v>
      </c>
      <c r="P129" s="62">
        <v>0.0</v>
      </c>
      <c r="Q129" s="62">
        <v>0.0</v>
      </c>
      <c r="R129" s="62">
        <v>0.0</v>
      </c>
      <c r="S129" s="62">
        <v>0.0</v>
      </c>
      <c r="T129" s="62">
        <v>0.0</v>
      </c>
      <c r="U129" s="62">
        <v>0.0</v>
      </c>
      <c r="V129" s="62">
        <v>0.0</v>
      </c>
      <c r="W129" s="62">
        <v>0.0</v>
      </c>
      <c r="X129" s="62">
        <v>0.0</v>
      </c>
      <c r="Y129" s="62">
        <v>0.0</v>
      </c>
      <c r="Z129" s="62">
        <v>0.0</v>
      </c>
      <c r="AA129" s="62">
        <v>0.0</v>
      </c>
      <c r="AB129" s="62">
        <v>0.0</v>
      </c>
      <c r="AC129" s="62">
        <v>0.0</v>
      </c>
      <c r="AD129" s="62">
        <v>0.0</v>
      </c>
      <c r="AE129" s="62">
        <v>0.0</v>
      </c>
      <c r="AF129" s="62">
        <v>0.0</v>
      </c>
      <c r="AG129" s="62">
        <v>0.0</v>
      </c>
      <c r="AH129" s="62">
        <v>0.0</v>
      </c>
      <c r="AI129" s="62">
        <v>25239.0</v>
      </c>
      <c r="AJ129" s="62">
        <v>0.0</v>
      </c>
      <c r="AK129" s="62">
        <v>0.0</v>
      </c>
      <c r="AL129" s="62">
        <v>0.0</v>
      </c>
      <c r="AM129" s="62">
        <v>4335423.0</v>
      </c>
      <c r="AN129" s="62">
        <v>88433.0</v>
      </c>
      <c r="AO129" s="62">
        <v>805531.0</v>
      </c>
      <c r="AP129" s="62">
        <v>635.0</v>
      </c>
      <c r="AQ129" s="62">
        <v>145500.0</v>
      </c>
      <c r="AR129" s="62">
        <v>4307.0</v>
      </c>
      <c r="AS129" s="62">
        <v>206490.0</v>
      </c>
      <c r="AT129" s="62">
        <v>13722.0</v>
      </c>
      <c r="AU129" s="62">
        <v>22605.0</v>
      </c>
      <c r="AV129" s="62">
        <v>109651.0</v>
      </c>
      <c r="AW129" s="62">
        <v>167.0</v>
      </c>
      <c r="AX129" s="62">
        <v>1056383.0</v>
      </c>
      <c r="AY129" s="62">
        <v>129683.0</v>
      </c>
      <c r="AZ129" s="62">
        <v>1338.0</v>
      </c>
      <c r="BA129" s="62">
        <v>278098.0</v>
      </c>
      <c r="BB129" s="62">
        <v>228754.0</v>
      </c>
      <c r="BC129" s="62">
        <v>0.0</v>
      </c>
      <c r="BD129" s="62">
        <v>170.0</v>
      </c>
      <c r="BE129" s="62">
        <v>0.0</v>
      </c>
      <c r="BF129" s="62">
        <v>0.0</v>
      </c>
      <c r="BG129" s="62">
        <v>0.0</v>
      </c>
      <c r="BH129" s="62">
        <v>4405.0</v>
      </c>
      <c r="BI129" s="62">
        <v>0.0</v>
      </c>
      <c r="BJ129" s="62">
        <v>48280.0</v>
      </c>
      <c r="BK129" s="62">
        <v>2481.0</v>
      </c>
      <c r="BL129" s="62">
        <v>1570.0</v>
      </c>
      <c r="BM129" s="62">
        <v>0.0</v>
      </c>
      <c r="BN129" s="62">
        <v>0.0</v>
      </c>
      <c r="BO129" s="62">
        <v>2152.0</v>
      </c>
      <c r="BP129" s="62">
        <v>0.0</v>
      </c>
      <c r="BQ129" s="62">
        <v>0.0</v>
      </c>
      <c r="BR129" s="62">
        <v>0.0</v>
      </c>
      <c r="BS129" s="62">
        <v>0.0</v>
      </c>
      <c r="BT129" s="62">
        <v>0.0</v>
      </c>
      <c r="BU129" s="62">
        <v>1405.0</v>
      </c>
      <c r="BV129" s="62">
        <v>0.0</v>
      </c>
      <c r="BW129" s="62">
        <v>0.0</v>
      </c>
      <c r="BX129" s="62">
        <v>3703.0</v>
      </c>
      <c r="BY129" s="62">
        <v>45893.0</v>
      </c>
      <c r="BZ129" s="62">
        <v>834.0</v>
      </c>
      <c r="CA129" s="62">
        <v>381456.0</v>
      </c>
      <c r="CB129" s="62">
        <v>96429.0</v>
      </c>
      <c r="CC129" s="62">
        <v>11593.0</v>
      </c>
      <c r="CD129" s="62">
        <v>22072.0</v>
      </c>
      <c r="CE129" s="62">
        <v>20429.0</v>
      </c>
      <c r="CF129" s="62">
        <v>208216.0</v>
      </c>
      <c r="CG129" s="62">
        <v>6901.0</v>
      </c>
      <c r="CH129" s="62">
        <v>2632.0</v>
      </c>
      <c r="CI129" s="62">
        <v>33096.0</v>
      </c>
      <c r="CJ129" s="62">
        <v>4183.0</v>
      </c>
      <c r="CK129" s="62">
        <v>0.0</v>
      </c>
      <c r="CL129" s="62">
        <v>0.0</v>
      </c>
      <c r="CM129" s="62">
        <v>3640.0</v>
      </c>
      <c r="CN129" s="62">
        <v>10675.0</v>
      </c>
      <c r="CO129" s="62">
        <v>188727.0</v>
      </c>
      <c r="CP129" s="62">
        <v>154151.0</v>
      </c>
      <c r="CQ129" s="62">
        <v>74876.0</v>
      </c>
      <c r="CR129" s="62">
        <v>6810.0</v>
      </c>
      <c r="CS129" s="62">
        <v>6910.0</v>
      </c>
      <c r="CT129" s="62">
        <v>94452.0</v>
      </c>
      <c r="CU129" s="62">
        <v>37942.0</v>
      </c>
      <c r="CV129" s="62">
        <v>74727.0</v>
      </c>
      <c r="CW129" s="62">
        <v>7162.0</v>
      </c>
      <c r="CX129" s="62">
        <v>15940.0</v>
      </c>
      <c r="CY129" s="62">
        <v>1009.0</v>
      </c>
      <c r="CZ129" s="62">
        <v>26759.0</v>
      </c>
      <c r="DA129" s="62">
        <v>26025.0</v>
      </c>
      <c r="DB129" s="62">
        <v>18616.0</v>
      </c>
      <c r="DC129" s="62">
        <v>18579.0</v>
      </c>
      <c r="DD129" s="62">
        <v>211.0</v>
      </c>
      <c r="DE129" s="62">
        <v>2485.0</v>
      </c>
      <c r="DF129" s="62">
        <v>5001.0</v>
      </c>
      <c r="DG129" s="62">
        <v>619.0</v>
      </c>
      <c r="DH129" s="62">
        <v>20039.0</v>
      </c>
      <c r="DI129" s="62">
        <v>26243.0</v>
      </c>
      <c r="DJ129" s="62">
        <v>23153.0</v>
      </c>
      <c r="DK129" s="62">
        <v>6248.0</v>
      </c>
      <c r="DL129" s="62">
        <v>72023.0</v>
      </c>
      <c r="DM129" s="62">
        <v>190704.0</v>
      </c>
      <c r="DN129" s="62">
        <v>10490.0</v>
      </c>
      <c r="DO129" s="62">
        <v>5413.0</v>
      </c>
      <c r="DP129" s="62">
        <v>0.0</v>
      </c>
      <c r="DQ129" s="62">
        <v>80054.0</v>
      </c>
      <c r="DR129" s="62">
        <v>127699.0</v>
      </c>
      <c r="DS129" s="62">
        <v>3361819.0</v>
      </c>
      <c r="DT129" s="62">
        <v>338303.0</v>
      </c>
      <c r="DU129" s="62">
        <v>764752.0</v>
      </c>
      <c r="DV129" s="62">
        <v>1.3970021E7</v>
      </c>
      <c r="DW129" s="62">
        <v>938685.0</v>
      </c>
      <c r="DX129" s="62">
        <v>25623.0</v>
      </c>
      <c r="DY129" s="62">
        <v>1091.0</v>
      </c>
      <c r="DZ129" s="62">
        <v>2565570.0</v>
      </c>
      <c r="EA129" s="62">
        <v>11836.0</v>
      </c>
      <c r="EB129" s="62">
        <v>21756.0</v>
      </c>
      <c r="EC129" s="62">
        <v>7299476.0</v>
      </c>
      <c r="ED129" s="62">
        <v>0.0</v>
      </c>
      <c r="EE129" s="62">
        <v>0.0</v>
      </c>
      <c r="EF129" s="62">
        <v>0.0</v>
      </c>
      <c r="EG129" s="62">
        <v>5560.0</v>
      </c>
      <c r="EH129" s="62">
        <v>99.0</v>
      </c>
      <c r="EI129" s="62">
        <v>81.0</v>
      </c>
      <c r="EJ129" s="62">
        <v>18366.0</v>
      </c>
      <c r="EK129" s="62">
        <v>24108.0</v>
      </c>
      <c r="EL129" s="62">
        <v>9472.0</v>
      </c>
      <c r="EM129" s="62">
        <v>11439.0</v>
      </c>
      <c r="EN129" s="62">
        <v>152253.0</v>
      </c>
      <c r="EO129" s="62">
        <v>12199.0</v>
      </c>
      <c r="EP129" s="62">
        <v>151364.0</v>
      </c>
      <c r="EQ129" s="62">
        <v>1107795.0</v>
      </c>
      <c r="ER129" s="62">
        <v>0.0</v>
      </c>
      <c r="ES129" s="62">
        <v>69243.0</v>
      </c>
      <c r="ET129" s="62">
        <v>14670.0</v>
      </c>
      <c r="EU129" s="62">
        <v>1.7106255E7</v>
      </c>
      <c r="EV129" s="62">
        <v>9582108.0</v>
      </c>
      <c r="EW129" s="62">
        <v>45183.0</v>
      </c>
      <c r="EX129" s="62">
        <v>384598.0</v>
      </c>
      <c r="EY129" s="62">
        <v>7511453.0</v>
      </c>
      <c r="EZ129" s="62">
        <v>92932.0</v>
      </c>
      <c r="FA129" s="62">
        <v>113352.0</v>
      </c>
      <c r="FB129" s="62">
        <v>1734281.0</v>
      </c>
      <c r="FC129" s="62">
        <v>197.0</v>
      </c>
      <c r="FD129" s="62">
        <v>424911.0</v>
      </c>
      <c r="FE129" s="62">
        <v>0.0</v>
      </c>
      <c r="FF129" s="62">
        <v>0.0</v>
      </c>
      <c r="FG129" s="62">
        <v>0.0</v>
      </c>
      <c r="FH129" s="62">
        <v>25871.0</v>
      </c>
      <c r="FI129" s="62">
        <v>0.0</v>
      </c>
      <c r="FJ129" s="62">
        <v>0.0</v>
      </c>
      <c r="FK129" s="62">
        <v>0.0</v>
      </c>
      <c r="FL129" s="62">
        <v>0.0</v>
      </c>
      <c r="FM129" s="62">
        <v>0.0</v>
      </c>
      <c r="FN129" s="62">
        <v>802558.0</v>
      </c>
      <c r="FO129" s="62">
        <v>12793.0</v>
      </c>
      <c r="FP129" s="62">
        <v>0.0</v>
      </c>
      <c r="FQ129" s="62">
        <v>0.0</v>
      </c>
      <c r="FR129" s="62">
        <v>0.0</v>
      </c>
      <c r="FS129" s="62">
        <v>0.0</v>
      </c>
      <c r="FT129" s="62">
        <v>0.0</v>
      </c>
      <c r="FU129" s="62">
        <v>218187.0</v>
      </c>
      <c r="FV129" s="62">
        <v>460191.0</v>
      </c>
      <c r="FW129" s="62">
        <v>119959.0</v>
      </c>
      <c r="FX129" s="62">
        <v>5344.0</v>
      </c>
      <c r="FY129" s="62">
        <v>11439.0</v>
      </c>
      <c r="FZ129" s="62">
        <v>22.0</v>
      </c>
      <c r="GA129" s="62">
        <v>815899.0</v>
      </c>
      <c r="GB129" s="62">
        <v>285558.0</v>
      </c>
      <c r="GC129" s="62">
        <v>73697.0</v>
      </c>
      <c r="GD129" s="62">
        <v>60778.0</v>
      </c>
      <c r="GE129" s="62">
        <v>255350.0</v>
      </c>
      <c r="GF129" s="63">
        <v>8.0705738E7</v>
      </c>
      <c r="GG129" s="64">
        <v>245070.0</v>
      </c>
      <c r="GH129" s="65">
        <v>0.0</v>
      </c>
      <c r="GI129" s="64">
        <v>0.0</v>
      </c>
      <c r="GJ129" s="64">
        <v>6.221579E7</v>
      </c>
      <c r="GK129" s="64">
        <v>-1.1191366E7</v>
      </c>
      <c r="GL129" s="64">
        <v>1.8056847E7</v>
      </c>
      <c r="GM129" s="64">
        <v>0.0</v>
      </c>
      <c r="GN129" s="63">
        <v>6.9326341E7</v>
      </c>
      <c r="GO129" s="66">
        <v>1.50032079E8</v>
      </c>
      <c r="GP129" s="64">
        <v>4.0429189E7</v>
      </c>
      <c r="GQ129" s="64">
        <v>0.0</v>
      </c>
      <c r="GR129" s="65">
        <v>0.0</v>
      </c>
      <c r="GS129" s="63">
        <v>4.0429189E7</v>
      </c>
      <c r="GT129" s="67">
        <v>1.3674851E7</v>
      </c>
      <c r="GU129" s="67">
        <v>1.3655016E7</v>
      </c>
      <c r="GV129" s="67">
        <v>4595535.0</v>
      </c>
      <c r="GW129" s="63">
        <v>3.1925402E7</v>
      </c>
      <c r="GX129" s="63">
        <v>5994843.0</v>
      </c>
      <c r="GY129" s="63">
        <v>7.1682645E7</v>
      </c>
      <c r="GZ129" s="66">
        <v>1.50032079E8</v>
      </c>
      <c r="HH129" s="106"/>
    </row>
    <row r="130" ht="15.75" customHeight="1">
      <c r="A130" s="68">
        <v>125.0</v>
      </c>
      <c r="B130" s="111" t="s">
        <v>395</v>
      </c>
      <c r="C130" s="70">
        <v>202.0</v>
      </c>
      <c r="D130" s="70">
        <v>6.0</v>
      </c>
      <c r="E130" s="70">
        <v>21.0</v>
      </c>
      <c r="F130" s="70">
        <v>3.0</v>
      </c>
      <c r="G130" s="70">
        <v>2.0</v>
      </c>
      <c r="H130" s="70">
        <v>192.0</v>
      </c>
      <c r="I130" s="70">
        <v>92.0</v>
      </c>
      <c r="J130" s="70">
        <v>50.0</v>
      </c>
      <c r="K130" s="70">
        <v>10.0</v>
      </c>
      <c r="L130" s="70">
        <v>3518.0</v>
      </c>
      <c r="M130" s="70">
        <v>12084.0</v>
      </c>
      <c r="N130" s="70">
        <v>757.0</v>
      </c>
      <c r="O130" s="70">
        <v>45234.0</v>
      </c>
      <c r="P130" s="70">
        <v>210.0</v>
      </c>
      <c r="Q130" s="70">
        <v>447.0</v>
      </c>
      <c r="R130" s="70">
        <v>1271.0</v>
      </c>
      <c r="S130" s="70">
        <v>283.0</v>
      </c>
      <c r="T130" s="70">
        <v>868.0</v>
      </c>
      <c r="U130" s="70">
        <v>43.0</v>
      </c>
      <c r="V130" s="70">
        <v>2070.0</v>
      </c>
      <c r="W130" s="70">
        <v>41.0</v>
      </c>
      <c r="X130" s="70">
        <v>1616.0</v>
      </c>
      <c r="Y130" s="70">
        <v>272.0</v>
      </c>
      <c r="Z130" s="70">
        <v>595.0</v>
      </c>
      <c r="AA130" s="70">
        <v>38.0</v>
      </c>
      <c r="AB130" s="70">
        <v>174.0</v>
      </c>
      <c r="AC130" s="70">
        <v>102.0</v>
      </c>
      <c r="AD130" s="70">
        <v>298.0</v>
      </c>
      <c r="AE130" s="70">
        <v>1139.0</v>
      </c>
      <c r="AF130" s="70">
        <v>24755.0</v>
      </c>
      <c r="AG130" s="70">
        <v>13865.0</v>
      </c>
      <c r="AH130" s="70">
        <v>4272.0</v>
      </c>
      <c r="AI130" s="70">
        <v>251288.0</v>
      </c>
      <c r="AJ130" s="70">
        <v>872.0</v>
      </c>
      <c r="AK130" s="70">
        <v>79.0</v>
      </c>
      <c r="AL130" s="70">
        <v>373.0</v>
      </c>
      <c r="AM130" s="70">
        <v>2643328.0</v>
      </c>
      <c r="AN130" s="70">
        <v>55300.0</v>
      </c>
      <c r="AO130" s="70">
        <v>415511.0</v>
      </c>
      <c r="AP130" s="70">
        <v>522.0</v>
      </c>
      <c r="AQ130" s="70">
        <v>22354.0</v>
      </c>
      <c r="AR130" s="70">
        <v>13590.0</v>
      </c>
      <c r="AS130" s="70">
        <v>101842.0</v>
      </c>
      <c r="AT130" s="70">
        <v>11256.0</v>
      </c>
      <c r="AU130" s="70">
        <v>15725.0</v>
      </c>
      <c r="AV130" s="70">
        <v>42541.0</v>
      </c>
      <c r="AW130" s="70">
        <v>121.0</v>
      </c>
      <c r="AX130" s="70">
        <v>787853.0</v>
      </c>
      <c r="AY130" s="70">
        <v>13304.0</v>
      </c>
      <c r="AZ130" s="70">
        <v>650.0</v>
      </c>
      <c r="BA130" s="70">
        <v>26902.0</v>
      </c>
      <c r="BB130" s="70">
        <v>99068.0</v>
      </c>
      <c r="BC130" s="70">
        <v>933.0</v>
      </c>
      <c r="BD130" s="70">
        <v>7.0</v>
      </c>
      <c r="BE130" s="70">
        <v>1087.0</v>
      </c>
      <c r="BF130" s="70">
        <v>3596.0</v>
      </c>
      <c r="BG130" s="70">
        <v>4019.0</v>
      </c>
      <c r="BH130" s="70">
        <v>7690.0</v>
      </c>
      <c r="BI130" s="70">
        <v>51.0</v>
      </c>
      <c r="BJ130" s="70">
        <v>7041.0</v>
      </c>
      <c r="BK130" s="70">
        <v>334.0</v>
      </c>
      <c r="BL130" s="70">
        <v>217.0</v>
      </c>
      <c r="BM130" s="70">
        <v>24.0</v>
      </c>
      <c r="BN130" s="70">
        <v>75.0</v>
      </c>
      <c r="BO130" s="70">
        <v>118.0</v>
      </c>
      <c r="BP130" s="70">
        <v>12051.0</v>
      </c>
      <c r="BQ130" s="70">
        <v>130.0</v>
      </c>
      <c r="BR130" s="70">
        <v>59.0</v>
      </c>
      <c r="BS130" s="70">
        <v>168.0</v>
      </c>
      <c r="BT130" s="70">
        <v>14666.0</v>
      </c>
      <c r="BU130" s="70">
        <v>29179.0</v>
      </c>
      <c r="BV130" s="70">
        <v>371.0</v>
      </c>
      <c r="BW130" s="70">
        <v>241.0</v>
      </c>
      <c r="BX130" s="70">
        <v>2576.0</v>
      </c>
      <c r="BY130" s="70">
        <v>48073.0</v>
      </c>
      <c r="BZ130" s="70">
        <v>1681.0</v>
      </c>
      <c r="CA130" s="70">
        <v>190119.0</v>
      </c>
      <c r="CB130" s="70">
        <v>112055.0</v>
      </c>
      <c r="CC130" s="70">
        <v>13709.0</v>
      </c>
      <c r="CD130" s="70">
        <v>14874.0</v>
      </c>
      <c r="CE130" s="70">
        <v>14340.0</v>
      </c>
      <c r="CF130" s="70">
        <v>90702.0</v>
      </c>
      <c r="CG130" s="70">
        <v>1677.0</v>
      </c>
      <c r="CH130" s="70">
        <v>623.0</v>
      </c>
      <c r="CI130" s="70">
        <v>10692.0</v>
      </c>
      <c r="CJ130" s="70">
        <v>5415.0</v>
      </c>
      <c r="CK130" s="70">
        <v>1212.0</v>
      </c>
      <c r="CL130" s="70">
        <v>1320.0</v>
      </c>
      <c r="CM130" s="70">
        <v>4181.0</v>
      </c>
      <c r="CN130" s="70">
        <v>0.0</v>
      </c>
      <c r="CO130" s="70">
        <v>200831.0</v>
      </c>
      <c r="CP130" s="70">
        <v>164097.0</v>
      </c>
      <c r="CQ130" s="70">
        <v>167502.0</v>
      </c>
      <c r="CR130" s="70">
        <v>20282.0</v>
      </c>
      <c r="CS130" s="70">
        <v>3383.0</v>
      </c>
      <c r="CT130" s="70">
        <v>56321.0</v>
      </c>
      <c r="CU130" s="70">
        <v>32114.0</v>
      </c>
      <c r="CV130" s="70">
        <v>63369.0</v>
      </c>
      <c r="CW130" s="70">
        <v>10792.0</v>
      </c>
      <c r="CX130" s="70">
        <v>16393.0</v>
      </c>
      <c r="CY130" s="70">
        <v>919.0</v>
      </c>
      <c r="CZ130" s="70">
        <v>19327.0</v>
      </c>
      <c r="DA130" s="70">
        <v>26764.0</v>
      </c>
      <c r="DB130" s="70">
        <v>30078.0</v>
      </c>
      <c r="DC130" s="70">
        <v>23184.0</v>
      </c>
      <c r="DD130" s="70">
        <v>230.0</v>
      </c>
      <c r="DE130" s="70">
        <v>2757.0</v>
      </c>
      <c r="DF130" s="70">
        <v>4184.0</v>
      </c>
      <c r="DG130" s="70">
        <v>1326.0</v>
      </c>
      <c r="DH130" s="70">
        <v>28540.0</v>
      </c>
      <c r="DI130" s="70">
        <v>14379.0</v>
      </c>
      <c r="DJ130" s="70">
        <v>18827.0</v>
      </c>
      <c r="DK130" s="70">
        <v>50704.0</v>
      </c>
      <c r="DL130" s="70">
        <v>50746.0</v>
      </c>
      <c r="DM130" s="70">
        <v>87761.0</v>
      </c>
      <c r="DN130" s="70">
        <v>2736.0</v>
      </c>
      <c r="DO130" s="70">
        <v>18518.0</v>
      </c>
      <c r="DP130" s="70">
        <v>45.0</v>
      </c>
      <c r="DQ130" s="70">
        <v>27038.0</v>
      </c>
      <c r="DR130" s="70">
        <v>417299.0</v>
      </c>
      <c r="DS130" s="70">
        <v>3614633.0</v>
      </c>
      <c r="DT130" s="70">
        <v>696335.0</v>
      </c>
      <c r="DU130" s="70">
        <v>12092.0</v>
      </c>
      <c r="DV130" s="70">
        <v>5520.0</v>
      </c>
      <c r="DW130" s="70">
        <v>1821553.0</v>
      </c>
      <c r="DX130" s="70">
        <v>60823.0</v>
      </c>
      <c r="DY130" s="70">
        <v>2113.0</v>
      </c>
      <c r="DZ130" s="70">
        <v>2994960.0</v>
      </c>
      <c r="EA130" s="70">
        <v>147011.0</v>
      </c>
      <c r="EB130" s="70">
        <v>958042.0</v>
      </c>
      <c r="EC130" s="70">
        <v>1.2104347E7</v>
      </c>
      <c r="ED130" s="70">
        <v>843471.0</v>
      </c>
      <c r="EE130" s="70">
        <v>9995.0</v>
      </c>
      <c r="EF130" s="70">
        <v>8168.0</v>
      </c>
      <c r="EG130" s="70">
        <v>621507.0</v>
      </c>
      <c r="EH130" s="70">
        <v>6758738.0</v>
      </c>
      <c r="EI130" s="70">
        <v>903.0</v>
      </c>
      <c r="EJ130" s="70">
        <v>15641.0</v>
      </c>
      <c r="EK130" s="70">
        <v>19664.0</v>
      </c>
      <c r="EL130" s="70">
        <v>7849.0</v>
      </c>
      <c r="EM130" s="70">
        <v>16089.0</v>
      </c>
      <c r="EN130" s="70">
        <v>128339.0</v>
      </c>
      <c r="EO130" s="70">
        <v>7418.0</v>
      </c>
      <c r="EP130" s="70">
        <v>773829.0</v>
      </c>
      <c r="EQ130" s="70">
        <v>5472.0</v>
      </c>
      <c r="ER130" s="70">
        <v>0.0</v>
      </c>
      <c r="ES130" s="70">
        <v>66608.0</v>
      </c>
      <c r="ET130" s="70">
        <v>35500.0</v>
      </c>
      <c r="EU130" s="70">
        <v>4150950.0</v>
      </c>
      <c r="EV130" s="70">
        <v>169838.0</v>
      </c>
      <c r="EW130" s="70">
        <v>15324.0</v>
      </c>
      <c r="EX130" s="70">
        <v>89724.0</v>
      </c>
      <c r="EY130" s="70">
        <v>249882.0</v>
      </c>
      <c r="EZ130" s="70">
        <v>259625.0</v>
      </c>
      <c r="FA130" s="70">
        <v>900009.0</v>
      </c>
      <c r="FB130" s="70">
        <v>906080.0</v>
      </c>
      <c r="FC130" s="70">
        <v>324.0</v>
      </c>
      <c r="FD130" s="70">
        <v>1.0532865E7</v>
      </c>
      <c r="FE130" s="70">
        <v>1460207.0</v>
      </c>
      <c r="FF130" s="70">
        <v>697885.0</v>
      </c>
      <c r="FG130" s="70">
        <v>860439.0</v>
      </c>
      <c r="FH130" s="70">
        <v>1400858.0</v>
      </c>
      <c r="FI130" s="70">
        <v>111690.0</v>
      </c>
      <c r="FJ130" s="70">
        <v>31140.0</v>
      </c>
      <c r="FK130" s="70">
        <v>29611.0</v>
      </c>
      <c r="FL130" s="70">
        <v>44232.0</v>
      </c>
      <c r="FM130" s="70">
        <v>261455.0</v>
      </c>
      <c r="FN130" s="70">
        <v>106500.0</v>
      </c>
      <c r="FO130" s="70">
        <v>12275.0</v>
      </c>
      <c r="FP130" s="70">
        <v>11555.0</v>
      </c>
      <c r="FQ130" s="70">
        <v>0.0</v>
      </c>
      <c r="FR130" s="70">
        <v>0.0</v>
      </c>
      <c r="FS130" s="70">
        <v>2111.0</v>
      </c>
      <c r="FT130" s="70">
        <v>48114.0</v>
      </c>
      <c r="FU130" s="70">
        <v>533128.0</v>
      </c>
      <c r="FV130" s="70">
        <v>387030.0</v>
      </c>
      <c r="FW130" s="70">
        <v>84343.0</v>
      </c>
      <c r="FX130" s="70">
        <v>52056.0</v>
      </c>
      <c r="FY130" s="70">
        <v>56157.0</v>
      </c>
      <c r="FZ130" s="70">
        <v>1223.0</v>
      </c>
      <c r="GA130" s="70">
        <v>694085.0</v>
      </c>
      <c r="GB130" s="70">
        <v>385261.0</v>
      </c>
      <c r="GC130" s="70">
        <v>44294.0</v>
      </c>
      <c r="GD130" s="70">
        <v>264070.0</v>
      </c>
      <c r="GE130" s="70">
        <v>51770.0</v>
      </c>
      <c r="GF130" s="71">
        <v>6.3415491E7</v>
      </c>
      <c r="GG130" s="72">
        <v>2686385.0</v>
      </c>
      <c r="GH130" s="73">
        <v>0.0</v>
      </c>
      <c r="GI130" s="72">
        <v>0.0</v>
      </c>
      <c r="GJ130" s="72">
        <v>0.0</v>
      </c>
      <c r="GK130" s="72">
        <v>4384.0</v>
      </c>
      <c r="GL130" s="72">
        <v>1.0363587E7</v>
      </c>
      <c r="GM130" s="72">
        <v>0.0</v>
      </c>
      <c r="GN130" s="71">
        <v>1.3054356E7</v>
      </c>
      <c r="GO130" s="74">
        <v>7.6469847E7</v>
      </c>
      <c r="GP130" s="72">
        <v>9346534.0</v>
      </c>
      <c r="GQ130" s="72">
        <v>0.0</v>
      </c>
      <c r="GR130" s="73">
        <v>0.0</v>
      </c>
      <c r="GS130" s="71">
        <v>9346534.0</v>
      </c>
      <c r="GT130" s="75">
        <v>4299591.0</v>
      </c>
      <c r="GU130" s="75">
        <v>5815928.0</v>
      </c>
      <c r="GV130" s="75">
        <v>3994083.0</v>
      </c>
      <c r="GW130" s="71">
        <v>1.4109602E7</v>
      </c>
      <c r="GX130" s="71">
        <v>955736.0</v>
      </c>
      <c r="GY130" s="71">
        <v>5.2057975E7</v>
      </c>
      <c r="GZ130" s="74">
        <v>7.6469847E7</v>
      </c>
      <c r="HH130" s="106"/>
    </row>
    <row r="131" ht="15.75" customHeight="1">
      <c r="A131" s="52">
        <v>126.0</v>
      </c>
      <c r="B131" s="111" t="s">
        <v>396</v>
      </c>
      <c r="C131" s="54">
        <v>93.0</v>
      </c>
      <c r="D131" s="54">
        <v>19.0</v>
      </c>
      <c r="E131" s="54">
        <v>4.0</v>
      </c>
      <c r="F131" s="54">
        <v>10.0</v>
      </c>
      <c r="G131" s="54">
        <v>6.0</v>
      </c>
      <c r="H131" s="54">
        <v>19.0</v>
      </c>
      <c r="I131" s="54">
        <v>5.0</v>
      </c>
      <c r="J131" s="54">
        <v>7.0</v>
      </c>
      <c r="K131" s="54">
        <v>8.0</v>
      </c>
      <c r="L131" s="54">
        <v>658.0</v>
      </c>
      <c r="M131" s="54">
        <v>70.0</v>
      </c>
      <c r="N131" s="54">
        <v>229.0</v>
      </c>
      <c r="O131" s="54">
        <v>430.0</v>
      </c>
      <c r="P131" s="54">
        <v>321.0</v>
      </c>
      <c r="Q131" s="54">
        <v>179.0</v>
      </c>
      <c r="R131" s="54">
        <v>703.0</v>
      </c>
      <c r="S131" s="54">
        <v>126.0</v>
      </c>
      <c r="T131" s="54">
        <v>391.0</v>
      </c>
      <c r="U131" s="54">
        <v>2.0</v>
      </c>
      <c r="V131" s="54">
        <v>79.0</v>
      </c>
      <c r="W131" s="54">
        <v>2.0</v>
      </c>
      <c r="X131" s="54">
        <v>525.0</v>
      </c>
      <c r="Y131" s="54">
        <v>102.0</v>
      </c>
      <c r="Z131" s="54">
        <v>166.0</v>
      </c>
      <c r="AA131" s="54">
        <v>79.0</v>
      </c>
      <c r="AB131" s="54">
        <v>85.0</v>
      </c>
      <c r="AC131" s="54">
        <v>39.0</v>
      </c>
      <c r="AD131" s="54">
        <v>180.0</v>
      </c>
      <c r="AE131" s="54">
        <v>629.0</v>
      </c>
      <c r="AF131" s="54">
        <v>4174.0</v>
      </c>
      <c r="AG131" s="54">
        <v>717.0</v>
      </c>
      <c r="AH131" s="54">
        <v>185.0</v>
      </c>
      <c r="AI131" s="54">
        <v>102011.0</v>
      </c>
      <c r="AJ131" s="54">
        <v>217.0</v>
      </c>
      <c r="AK131" s="54">
        <v>103.0</v>
      </c>
      <c r="AL131" s="54">
        <v>93.0</v>
      </c>
      <c r="AM131" s="54">
        <v>504852.0</v>
      </c>
      <c r="AN131" s="54">
        <v>32291.0</v>
      </c>
      <c r="AO131" s="54">
        <v>66426.0</v>
      </c>
      <c r="AP131" s="54">
        <v>978.0</v>
      </c>
      <c r="AQ131" s="54">
        <v>4287.0</v>
      </c>
      <c r="AR131" s="54">
        <v>2045.0</v>
      </c>
      <c r="AS131" s="54">
        <v>15066.0</v>
      </c>
      <c r="AT131" s="54">
        <v>1792.0</v>
      </c>
      <c r="AU131" s="54">
        <v>1327.0</v>
      </c>
      <c r="AV131" s="54">
        <v>24829.0</v>
      </c>
      <c r="AW131" s="54">
        <v>515.0</v>
      </c>
      <c r="AX131" s="54">
        <v>100242.0</v>
      </c>
      <c r="AY131" s="54">
        <v>179.0</v>
      </c>
      <c r="AZ131" s="54">
        <v>148.0</v>
      </c>
      <c r="BA131" s="54">
        <v>7045.0</v>
      </c>
      <c r="BB131" s="54">
        <v>17679.0</v>
      </c>
      <c r="BC131" s="54">
        <v>155.0</v>
      </c>
      <c r="BD131" s="54">
        <v>14.0</v>
      </c>
      <c r="BE131" s="54">
        <v>250.0</v>
      </c>
      <c r="BF131" s="54">
        <v>978.0</v>
      </c>
      <c r="BG131" s="54">
        <v>2744.0</v>
      </c>
      <c r="BH131" s="54">
        <v>8045.0</v>
      </c>
      <c r="BI131" s="54">
        <v>103.0</v>
      </c>
      <c r="BJ131" s="54">
        <v>13177.0</v>
      </c>
      <c r="BK131" s="54">
        <v>399.0</v>
      </c>
      <c r="BL131" s="54">
        <v>287.0</v>
      </c>
      <c r="BM131" s="54">
        <v>18.0</v>
      </c>
      <c r="BN131" s="54">
        <v>124.0</v>
      </c>
      <c r="BO131" s="54">
        <v>22115.0</v>
      </c>
      <c r="BP131" s="54">
        <v>3557.0</v>
      </c>
      <c r="BQ131" s="54">
        <v>3783.0</v>
      </c>
      <c r="BR131" s="54">
        <v>2794.0</v>
      </c>
      <c r="BS131" s="54">
        <v>690.0</v>
      </c>
      <c r="BT131" s="54">
        <v>10014.0</v>
      </c>
      <c r="BU131" s="54">
        <v>80129.0</v>
      </c>
      <c r="BV131" s="54">
        <v>1833.0</v>
      </c>
      <c r="BW131" s="54">
        <v>38.0</v>
      </c>
      <c r="BX131" s="54">
        <v>520.0</v>
      </c>
      <c r="BY131" s="54">
        <v>19542.0</v>
      </c>
      <c r="BZ131" s="54">
        <v>1710.0</v>
      </c>
      <c r="CA131" s="54">
        <v>31381.0</v>
      </c>
      <c r="CB131" s="54">
        <v>18494.0</v>
      </c>
      <c r="CC131" s="54">
        <v>2706.0</v>
      </c>
      <c r="CD131" s="54">
        <v>3121.0</v>
      </c>
      <c r="CE131" s="54">
        <v>2845.0</v>
      </c>
      <c r="CF131" s="54">
        <v>35681.0</v>
      </c>
      <c r="CG131" s="54">
        <v>1737.0</v>
      </c>
      <c r="CH131" s="54">
        <v>553.0</v>
      </c>
      <c r="CI131" s="54">
        <v>2293.0</v>
      </c>
      <c r="CJ131" s="54">
        <v>1498.0</v>
      </c>
      <c r="CK131" s="54">
        <v>2730.0</v>
      </c>
      <c r="CL131" s="54">
        <v>951.0</v>
      </c>
      <c r="CM131" s="54">
        <v>1158.0</v>
      </c>
      <c r="CN131" s="54">
        <v>1008.0</v>
      </c>
      <c r="CO131" s="54">
        <v>4145.0</v>
      </c>
      <c r="CP131" s="54">
        <v>3700.0</v>
      </c>
      <c r="CQ131" s="54">
        <v>18662.0</v>
      </c>
      <c r="CR131" s="54">
        <v>41116.0</v>
      </c>
      <c r="CS131" s="54">
        <v>1971.0</v>
      </c>
      <c r="CT131" s="54">
        <v>33881.0</v>
      </c>
      <c r="CU131" s="54">
        <v>10155.0</v>
      </c>
      <c r="CV131" s="54">
        <v>19986.0</v>
      </c>
      <c r="CW131" s="54">
        <v>1225.0</v>
      </c>
      <c r="CX131" s="54">
        <v>4460.0</v>
      </c>
      <c r="CY131" s="54">
        <v>285.0</v>
      </c>
      <c r="CZ131" s="54">
        <v>7368.0</v>
      </c>
      <c r="DA131" s="54">
        <v>11290.0</v>
      </c>
      <c r="DB131" s="54">
        <v>5913.0</v>
      </c>
      <c r="DC131" s="54">
        <v>33035.0</v>
      </c>
      <c r="DD131" s="54">
        <v>4969.0</v>
      </c>
      <c r="DE131" s="54">
        <v>2078.0</v>
      </c>
      <c r="DF131" s="54">
        <v>664.0</v>
      </c>
      <c r="DG131" s="54">
        <v>230.0</v>
      </c>
      <c r="DH131" s="54">
        <v>11692.0</v>
      </c>
      <c r="DI131" s="54">
        <v>6842.0</v>
      </c>
      <c r="DJ131" s="54">
        <v>5438.0</v>
      </c>
      <c r="DK131" s="54">
        <v>17.0</v>
      </c>
      <c r="DL131" s="54">
        <v>41770.0</v>
      </c>
      <c r="DM131" s="54">
        <v>26812.0</v>
      </c>
      <c r="DN131" s="54">
        <v>1459.0</v>
      </c>
      <c r="DO131" s="54">
        <v>3793.0</v>
      </c>
      <c r="DP131" s="54">
        <v>34632.0</v>
      </c>
      <c r="DQ131" s="54">
        <v>66399.0</v>
      </c>
      <c r="DR131" s="54">
        <v>91204.0</v>
      </c>
      <c r="DS131" s="54">
        <v>2248139.0</v>
      </c>
      <c r="DT131" s="54">
        <v>414639.0</v>
      </c>
      <c r="DU131" s="54">
        <v>9024.0</v>
      </c>
      <c r="DV131" s="54">
        <v>1852906.0</v>
      </c>
      <c r="DW131" s="54">
        <v>517726.0</v>
      </c>
      <c r="DX131" s="54">
        <v>2190450.0</v>
      </c>
      <c r="DY131" s="54">
        <v>836619.0</v>
      </c>
      <c r="DZ131" s="54">
        <v>796327.0</v>
      </c>
      <c r="EA131" s="54">
        <v>12800.0</v>
      </c>
      <c r="EB131" s="54">
        <v>260706.0</v>
      </c>
      <c r="EC131" s="54">
        <v>162444.0</v>
      </c>
      <c r="ED131" s="54">
        <v>68038.0</v>
      </c>
      <c r="EE131" s="54">
        <v>9168.0</v>
      </c>
      <c r="EF131" s="54">
        <v>1052.0</v>
      </c>
      <c r="EG131" s="54">
        <v>23742.0</v>
      </c>
      <c r="EH131" s="54">
        <v>637307.0</v>
      </c>
      <c r="EI131" s="54">
        <v>2073.0</v>
      </c>
      <c r="EJ131" s="54">
        <v>3358.0</v>
      </c>
      <c r="EK131" s="54">
        <v>1382.0</v>
      </c>
      <c r="EL131" s="54">
        <v>745.0</v>
      </c>
      <c r="EM131" s="54">
        <v>3866.0</v>
      </c>
      <c r="EN131" s="54">
        <v>41256.0</v>
      </c>
      <c r="EO131" s="54">
        <v>7915.0</v>
      </c>
      <c r="EP131" s="54">
        <v>19120.0</v>
      </c>
      <c r="EQ131" s="54">
        <v>885071.0</v>
      </c>
      <c r="ER131" s="54">
        <v>0.0</v>
      </c>
      <c r="ES131" s="54">
        <v>12092.0</v>
      </c>
      <c r="ET131" s="54">
        <v>16663.0</v>
      </c>
      <c r="EU131" s="54">
        <v>4944300.0</v>
      </c>
      <c r="EV131" s="54">
        <v>2710712.0</v>
      </c>
      <c r="EW131" s="54">
        <v>10786.0</v>
      </c>
      <c r="EX131" s="54">
        <v>33352.0</v>
      </c>
      <c r="EY131" s="54">
        <v>69762.0</v>
      </c>
      <c r="EZ131" s="54">
        <v>161034.0</v>
      </c>
      <c r="FA131" s="54">
        <v>131214.0</v>
      </c>
      <c r="FB131" s="54">
        <v>698266.0</v>
      </c>
      <c r="FC131" s="54">
        <v>8185.0</v>
      </c>
      <c r="FD131" s="54">
        <v>583957.0</v>
      </c>
      <c r="FE131" s="54">
        <v>150385.0</v>
      </c>
      <c r="FF131" s="54">
        <v>89887.0</v>
      </c>
      <c r="FG131" s="54">
        <v>255552.0</v>
      </c>
      <c r="FH131" s="54">
        <v>404538.0</v>
      </c>
      <c r="FI131" s="54">
        <v>75776.0</v>
      </c>
      <c r="FJ131" s="54">
        <v>8049.0</v>
      </c>
      <c r="FK131" s="54">
        <v>7526.0</v>
      </c>
      <c r="FL131" s="54">
        <v>24502.0</v>
      </c>
      <c r="FM131" s="54">
        <v>209184.0</v>
      </c>
      <c r="FN131" s="54">
        <v>475679.0</v>
      </c>
      <c r="FO131" s="54">
        <v>1121827.0</v>
      </c>
      <c r="FP131" s="54">
        <v>6085.0</v>
      </c>
      <c r="FQ131" s="54">
        <v>14131.0</v>
      </c>
      <c r="FR131" s="54">
        <v>6.0</v>
      </c>
      <c r="FS131" s="54">
        <v>502.0</v>
      </c>
      <c r="FT131" s="54">
        <v>374686.0</v>
      </c>
      <c r="FU131" s="54">
        <v>359255.0</v>
      </c>
      <c r="FV131" s="54">
        <v>96487.0</v>
      </c>
      <c r="FW131" s="54">
        <v>1632767.0</v>
      </c>
      <c r="FX131" s="54">
        <v>362400.0</v>
      </c>
      <c r="FY131" s="54">
        <v>713025.0</v>
      </c>
      <c r="FZ131" s="54">
        <v>39504.0</v>
      </c>
      <c r="GA131" s="54">
        <v>423693.0</v>
      </c>
      <c r="GB131" s="54">
        <v>139929.0</v>
      </c>
      <c r="GC131" s="54">
        <v>9578.0</v>
      </c>
      <c r="GD131" s="54">
        <v>20762.0</v>
      </c>
      <c r="GE131" s="54">
        <v>50646.0</v>
      </c>
      <c r="GF131" s="55">
        <v>2.911929E7</v>
      </c>
      <c r="GG131" s="56">
        <v>7577433.0</v>
      </c>
      <c r="GH131" s="57">
        <v>0.0</v>
      </c>
      <c r="GI131" s="56">
        <v>0.0</v>
      </c>
      <c r="GJ131" s="56">
        <v>2.2011516E7</v>
      </c>
      <c r="GK131" s="56">
        <v>-1.2162004E7</v>
      </c>
      <c r="GL131" s="56">
        <v>2.4433696E7</v>
      </c>
      <c r="GM131" s="56">
        <v>0.0</v>
      </c>
      <c r="GN131" s="55">
        <v>4.1860641E7</v>
      </c>
      <c r="GO131" s="58">
        <v>7.0979931E7</v>
      </c>
      <c r="GP131" s="56">
        <v>2.2810054E7</v>
      </c>
      <c r="GQ131" s="56">
        <v>0.0</v>
      </c>
      <c r="GR131" s="57">
        <v>0.0</v>
      </c>
      <c r="GS131" s="55">
        <v>2.2810054E7</v>
      </c>
      <c r="GT131" s="59">
        <v>6949713.0</v>
      </c>
      <c r="GU131" s="59">
        <v>4180408.0</v>
      </c>
      <c r="GV131" s="59">
        <v>1945785.0</v>
      </c>
      <c r="GW131" s="55">
        <v>1.3075906E7</v>
      </c>
      <c r="GX131" s="55">
        <v>3297628.0</v>
      </c>
      <c r="GY131" s="55">
        <v>3.1796343E7</v>
      </c>
      <c r="GZ131" s="58">
        <v>7.0979931E7</v>
      </c>
      <c r="HH131" s="106"/>
    </row>
    <row r="132" ht="15.75" customHeight="1">
      <c r="A132" s="60">
        <v>127.0</v>
      </c>
      <c r="B132" s="111" t="s">
        <v>397</v>
      </c>
      <c r="C132" s="62">
        <v>0.0</v>
      </c>
      <c r="D132" s="62">
        <v>0.0</v>
      </c>
      <c r="E132" s="62">
        <v>0.0</v>
      </c>
      <c r="F132" s="62">
        <v>0.0</v>
      </c>
      <c r="G132" s="62">
        <v>0.0</v>
      </c>
      <c r="H132" s="62">
        <v>0.0</v>
      </c>
      <c r="I132" s="62">
        <v>0.0</v>
      </c>
      <c r="J132" s="62">
        <v>0.0</v>
      </c>
      <c r="K132" s="62">
        <v>0.0</v>
      </c>
      <c r="L132" s="62">
        <v>0.0</v>
      </c>
      <c r="M132" s="62">
        <v>0.0</v>
      </c>
      <c r="N132" s="62">
        <v>0.0</v>
      </c>
      <c r="O132" s="62">
        <v>0.0</v>
      </c>
      <c r="P132" s="62">
        <v>0.0</v>
      </c>
      <c r="Q132" s="62">
        <v>0.0</v>
      </c>
      <c r="R132" s="62">
        <v>0.0</v>
      </c>
      <c r="S132" s="62">
        <v>0.0</v>
      </c>
      <c r="T132" s="62">
        <v>0.0</v>
      </c>
      <c r="U132" s="62">
        <v>0.0</v>
      </c>
      <c r="V132" s="62">
        <v>0.0</v>
      </c>
      <c r="W132" s="62">
        <v>0.0</v>
      </c>
      <c r="X132" s="62">
        <v>0.0</v>
      </c>
      <c r="Y132" s="62">
        <v>0.0</v>
      </c>
      <c r="Z132" s="62">
        <v>0.0</v>
      </c>
      <c r="AA132" s="62">
        <v>0.0</v>
      </c>
      <c r="AB132" s="62">
        <v>0.0</v>
      </c>
      <c r="AC132" s="62">
        <v>0.0</v>
      </c>
      <c r="AD132" s="62">
        <v>0.0</v>
      </c>
      <c r="AE132" s="62">
        <v>0.0</v>
      </c>
      <c r="AF132" s="62">
        <v>0.0</v>
      </c>
      <c r="AG132" s="62">
        <v>0.0</v>
      </c>
      <c r="AH132" s="62">
        <v>0.0</v>
      </c>
      <c r="AI132" s="62">
        <v>641.0</v>
      </c>
      <c r="AJ132" s="62">
        <v>0.0</v>
      </c>
      <c r="AK132" s="62">
        <v>0.0</v>
      </c>
      <c r="AL132" s="62">
        <v>0.0</v>
      </c>
      <c r="AM132" s="62">
        <v>29756.0</v>
      </c>
      <c r="AN132" s="62">
        <v>777.0</v>
      </c>
      <c r="AO132" s="62">
        <v>6659.0</v>
      </c>
      <c r="AP132" s="62">
        <v>7.0</v>
      </c>
      <c r="AQ132" s="62">
        <v>312.0</v>
      </c>
      <c r="AR132" s="62">
        <v>46.0</v>
      </c>
      <c r="AS132" s="62">
        <v>1317.0</v>
      </c>
      <c r="AT132" s="62">
        <v>147.0</v>
      </c>
      <c r="AU132" s="62">
        <v>184.0</v>
      </c>
      <c r="AV132" s="62">
        <v>1034.0</v>
      </c>
      <c r="AW132" s="62">
        <v>113.0</v>
      </c>
      <c r="AX132" s="62">
        <v>58923.0</v>
      </c>
      <c r="AY132" s="62">
        <v>20405.0</v>
      </c>
      <c r="AZ132" s="62">
        <v>172.0</v>
      </c>
      <c r="BA132" s="62">
        <v>702.0</v>
      </c>
      <c r="BB132" s="62">
        <v>1216.0</v>
      </c>
      <c r="BC132" s="62">
        <v>0.0</v>
      </c>
      <c r="BD132" s="62">
        <v>0.0</v>
      </c>
      <c r="BE132" s="62">
        <v>14.0</v>
      </c>
      <c r="BF132" s="62">
        <v>52.0</v>
      </c>
      <c r="BG132" s="62">
        <v>0.0</v>
      </c>
      <c r="BH132" s="62">
        <v>1561.0</v>
      </c>
      <c r="BI132" s="62">
        <v>0.0</v>
      </c>
      <c r="BJ132" s="62">
        <v>1699.0</v>
      </c>
      <c r="BK132" s="62">
        <v>69.0</v>
      </c>
      <c r="BL132" s="62">
        <v>39.0</v>
      </c>
      <c r="BM132" s="62">
        <v>0.0</v>
      </c>
      <c r="BN132" s="62">
        <v>0.0</v>
      </c>
      <c r="BO132" s="62">
        <v>113.0</v>
      </c>
      <c r="BP132" s="62">
        <v>0.0</v>
      </c>
      <c r="BQ132" s="62">
        <v>0.0</v>
      </c>
      <c r="BR132" s="62">
        <v>0.0</v>
      </c>
      <c r="BS132" s="62">
        <v>0.0</v>
      </c>
      <c r="BT132" s="62">
        <v>0.0</v>
      </c>
      <c r="BU132" s="62">
        <v>1144.0</v>
      </c>
      <c r="BV132" s="62">
        <v>0.0</v>
      </c>
      <c r="BW132" s="62">
        <v>0.0</v>
      </c>
      <c r="BX132" s="62">
        <v>36.0</v>
      </c>
      <c r="BY132" s="62">
        <v>454.0</v>
      </c>
      <c r="BZ132" s="62">
        <v>56.0</v>
      </c>
      <c r="CA132" s="62">
        <v>2461.0</v>
      </c>
      <c r="CB132" s="62">
        <v>1453.0</v>
      </c>
      <c r="CC132" s="62">
        <v>192.0</v>
      </c>
      <c r="CD132" s="62">
        <v>199.0</v>
      </c>
      <c r="CE132" s="62">
        <v>200.0</v>
      </c>
      <c r="CF132" s="62">
        <v>391.0</v>
      </c>
      <c r="CG132" s="62">
        <v>2141.0</v>
      </c>
      <c r="CH132" s="62">
        <v>136.0</v>
      </c>
      <c r="CI132" s="62">
        <v>491.0</v>
      </c>
      <c r="CJ132" s="62">
        <v>159.0</v>
      </c>
      <c r="CK132" s="62">
        <v>0.0</v>
      </c>
      <c r="CL132" s="62">
        <v>718.0</v>
      </c>
      <c r="CM132" s="62">
        <v>180.0</v>
      </c>
      <c r="CN132" s="62">
        <v>166.0</v>
      </c>
      <c r="CO132" s="62">
        <v>189.0</v>
      </c>
      <c r="CP132" s="62">
        <v>193.0</v>
      </c>
      <c r="CQ132" s="62">
        <v>0.0</v>
      </c>
      <c r="CR132" s="62">
        <v>50.0</v>
      </c>
      <c r="CS132" s="62">
        <v>65708.0</v>
      </c>
      <c r="CT132" s="62">
        <v>1871.0</v>
      </c>
      <c r="CU132" s="62">
        <v>560.0</v>
      </c>
      <c r="CV132" s="62">
        <v>1105.0</v>
      </c>
      <c r="CW132" s="62">
        <v>69.0</v>
      </c>
      <c r="CX132" s="62">
        <v>469.0</v>
      </c>
      <c r="CY132" s="62">
        <v>38.0</v>
      </c>
      <c r="CZ132" s="62">
        <v>370.0</v>
      </c>
      <c r="DA132" s="62">
        <v>2710.0</v>
      </c>
      <c r="DB132" s="62">
        <v>259.0</v>
      </c>
      <c r="DC132" s="62">
        <v>6524.0</v>
      </c>
      <c r="DD132" s="62">
        <v>274.0</v>
      </c>
      <c r="DE132" s="62">
        <v>201.0</v>
      </c>
      <c r="DF132" s="62">
        <v>31.0</v>
      </c>
      <c r="DG132" s="62">
        <v>94.0</v>
      </c>
      <c r="DH132" s="62">
        <v>2512.0</v>
      </c>
      <c r="DI132" s="62">
        <v>123.0</v>
      </c>
      <c r="DJ132" s="62">
        <v>404.0</v>
      </c>
      <c r="DK132" s="62">
        <v>76874.0</v>
      </c>
      <c r="DL132" s="62">
        <v>261.0</v>
      </c>
      <c r="DM132" s="62">
        <v>1585.0</v>
      </c>
      <c r="DN132" s="62">
        <v>37.0</v>
      </c>
      <c r="DO132" s="62">
        <v>2107.0</v>
      </c>
      <c r="DP132" s="62">
        <v>0.0</v>
      </c>
      <c r="DQ132" s="62">
        <v>6002.0</v>
      </c>
      <c r="DR132" s="62">
        <v>19448.0</v>
      </c>
      <c r="DS132" s="62">
        <v>23447.0</v>
      </c>
      <c r="DT132" s="62">
        <v>36213.0</v>
      </c>
      <c r="DU132" s="62">
        <v>0.0</v>
      </c>
      <c r="DV132" s="62">
        <v>0.0</v>
      </c>
      <c r="DW132" s="62">
        <v>0.0</v>
      </c>
      <c r="DX132" s="62">
        <v>796.0</v>
      </c>
      <c r="DY132" s="62">
        <v>814209.0</v>
      </c>
      <c r="DZ132" s="62">
        <v>2725.0</v>
      </c>
      <c r="EA132" s="62">
        <v>594.0</v>
      </c>
      <c r="EB132" s="62">
        <v>306.0</v>
      </c>
      <c r="EC132" s="62">
        <v>132013.0</v>
      </c>
      <c r="ED132" s="62">
        <v>5644.0</v>
      </c>
      <c r="EE132" s="62">
        <v>11724.0</v>
      </c>
      <c r="EF132" s="62">
        <v>3526.0</v>
      </c>
      <c r="EG132" s="62">
        <v>3780.0</v>
      </c>
      <c r="EH132" s="62">
        <v>0.0</v>
      </c>
      <c r="EI132" s="62">
        <v>30.0</v>
      </c>
      <c r="EJ132" s="62">
        <v>271.0</v>
      </c>
      <c r="EK132" s="62">
        <v>154.0</v>
      </c>
      <c r="EL132" s="62">
        <v>250.0</v>
      </c>
      <c r="EM132" s="62">
        <v>890.0</v>
      </c>
      <c r="EN132" s="62">
        <v>2248.0</v>
      </c>
      <c r="EO132" s="62">
        <v>201.0</v>
      </c>
      <c r="EP132" s="62">
        <v>3634.0</v>
      </c>
      <c r="EQ132" s="62">
        <v>602.0</v>
      </c>
      <c r="ER132" s="62">
        <v>0.0</v>
      </c>
      <c r="ES132" s="62">
        <v>1083.0</v>
      </c>
      <c r="ET132" s="62">
        <v>6780.0</v>
      </c>
      <c r="EU132" s="62">
        <v>12087.0</v>
      </c>
      <c r="EV132" s="62">
        <v>48837.0</v>
      </c>
      <c r="EW132" s="62">
        <v>182.0</v>
      </c>
      <c r="EX132" s="62">
        <v>1568.0</v>
      </c>
      <c r="EY132" s="62">
        <v>4751.0</v>
      </c>
      <c r="EZ132" s="62">
        <v>383281.0</v>
      </c>
      <c r="FA132" s="62">
        <v>1717860.0</v>
      </c>
      <c r="FB132" s="62">
        <v>1283592.0</v>
      </c>
      <c r="FC132" s="62">
        <v>21.0</v>
      </c>
      <c r="FD132" s="62">
        <v>59354.0</v>
      </c>
      <c r="FE132" s="62">
        <v>13970.0</v>
      </c>
      <c r="FF132" s="62">
        <v>0.0</v>
      </c>
      <c r="FG132" s="62">
        <v>23535.0</v>
      </c>
      <c r="FH132" s="62">
        <v>18314.0</v>
      </c>
      <c r="FI132" s="62">
        <v>4705.0</v>
      </c>
      <c r="FJ132" s="62">
        <v>1293.0</v>
      </c>
      <c r="FK132" s="62">
        <v>5498.0</v>
      </c>
      <c r="FL132" s="62">
        <v>20.0</v>
      </c>
      <c r="FM132" s="62">
        <v>4270.0</v>
      </c>
      <c r="FN132" s="62">
        <v>10019.0</v>
      </c>
      <c r="FO132" s="62">
        <v>258.0</v>
      </c>
      <c r="FP132" s="62">
        <v>34847.0</v>
      </c>
      <c r="FQ132" s="62">
        <v>0.0</v>
      </c>
      <c r="FR132" s="62">
        <v>0.0</v>
      </c>
      <c r="FS132" s="62">
        <v>22.0</v>
      </c>
      <c r="FT132" s="62">
        <v>9549.0</v>
      </c>
      <c r="FU132" s="62">
        <v>272144.0</v>
      </c>
      <c r="FV132" s="62">
        <v>228530.0</v>
      </c>
      <c r="FW132" s="62">
        <v>613246.0</v>
      </c>
      <c r="FX132" s="62">
        <v>72918.0</v>
      </c>
      <c r="FY132" s="62">
        <v>280729.0</v>
      </c>
      <c r="FZ132" s="62">
        <v>3025.0</v>
      </c>
      <c r="GA132" s="62">
        <v>471086.0</v>
      </c>
      <c r="GB132" s="62">
        <v>94586.0</v>
      </c>
      <c r="GC132" s="62">
        <v>268.0</v>
      </c>
      <c r="GD132" s="62">
        <v>6799.0</v>
      </c>
      <c r="GE132" s="62">
        <v>3143.0</v>
      </c>
      <c r="GF132" s="63">
        <v>7062030.0</v>
      </c>
      <c r="GG132" s="64">
        <v>3.5074125E7</v>
      </c>
      <c r="GH132" s="65">
        <v>0.0</v>
      </c>
      <c r="GI132" s="64">
        <v>0.0</v>
      </c>
      <c r="GJ132" s="64">
        <v>6.909302E7</v>
      </c>
      <c r="GK132" s="64">
        <v>-1.7408657E7</v>
      </c>
      <c r="GL132" s="64">
        <v>1.8506868E7</v>
      </c>
      <c r="GM132" s="64">
        <v>98138.0</v>
      </c>
      <c r="GN132" s="63">
        <v>1.05363494E8</v>
      </c>
      <c r="GO132" s="66">
        <v>1.12425524E8</v>
      </c>
      <c r="GP132" s="64">
        <v>1.8568195E7</v>
      </c>
      <c r="GQ132" s="64">
        <v>69246.0</v>
      </c>
      <c r="GR132" s="65">
        <v>0.0</v>
      </c>
      <c r="GS132" s="63">
        <v>1.8637441E7</v>
      </c>
      <c r="GT132" s="67">
        <v>7029659.0</v>
      </c>
      <c r="GU132" s="67">
        <v>1637401.0</v>
      </c>
      <c r="GV132" s="67">
        <v>3158922.0</v>
      </c>
      <c r="GW132" s="63">
        <v>1.1825982E7</v>
      </c>
      <c r="GX132" s="63">
        <v>5817677.0</v>
      </c>
      <c r="GY132" s="63">
        <v>7.6144424E7</v>
      </c>
      <c r="GZ132" s="66">
        <v>1.12425524E8</v>
      </c>
      <c r="HH132" s="106"/>
    </row>
    <row r="133" ht="15.75" customHeight="1">
      <c r="A133" s="60">
        <v>128.0</v>
      </c>
      <c r="B133" s="111" t="s">
        <v>398</v>
      </c>
      <c r="C133" s="62">
        <v>0.0</v>
      </c>
      <c r="D133" s="62">
        <v>0.0</v>
      </c>
      <c r="E133" s="62">
        <v>0.0</v>
      </c>
      <c r="F133" s="62">
        <v>0.0</v>
      </c>
      <c r="G133" s="62">
        <v>0.0</v>
      </c>
      <c r="H133" s="62">
        <v>0.0</v>
      </c>
      <c r="I133" s="62">
        <v>0.0</v>
      </c>
      <c r="J133" s="62">
        <v>0.0</v>
      </c>
      <c r="K133" s="62">
        <v>0.0</v>
      </c>
      <c r="L133" s="62">
        <v>0.0</v>
      </c>
      <c r="M133" s="62">
        <v>0.0</v>
      </c>
      <c r="N133" s="62">
        <v>0.0</v>
      </c>
      <c r="O133" s="62">
        <v>0.0</v>
      </c>
      <c r="P133" s="62">
        <v>0.0</v>
      </c>
      <c r="Q133" s="62">
        <v>0.0</v>
      </c>
      <c r="R133" s="62">
        <v>0.0</v>
      </c>
      <c r="S133" s="62">
        <v>0.0</v>
      </c>
      <c r="T133" s="62">
        <v>0.0</v>
      </c>
      <c r="U133" s="62">
        <v>0.0</v>
      </c>
      <c r="V133" s="62">
        <v>0.0</v>
      </c>
      <c r="W133" s="62">
        <v>0.0</v>
      </c>
      <c r="X133" s="62">
        <v>0.0</v>
      </c>
      <c r="Y133" s="62">
        <v>0.0</v>
      </c>
      <c r="Z133" s="62">
        <v>0.0</v>
      </c>
      <c r="AA133" s="62">
        <v>0.0</v>
      </c>
      <c r="AB133" s="62">
        <v>0.0</v>
      </c>
      <c r="AC133" s="62">
        <v>0.0</v>
      </c>
      <c r="AD133" s="62">
        <v>0.0</v>
      </c>
      <c r="AE133" s="62">
        <v>0.0</v>
      </c>
      <c r="AF133" s="62">
        <v>478.0</v>
      </c>
      <c r="AG133" s="62">
        <v>0.0</v>
      </c>
      <c r="AH133" s="62">
        <v>0.0</v>
      </c>
      <c r="AI133" s="62">
        <v>330886.0</v>
      </c>
      <c r="AJ133" s="62">
        <v>0.0</v>
      </c>
      <c r="AK133" s="62">
        <v>0.0</v>
      </c>
      <c r="AL133" s="62">
        <v>0.0</v>
      </c>
      <c r="AM133" s="62">
        <v>1.1809506E7</v>
      </c>
      <c r="AN133" s="62">
        <v>3346577.0</v>
      </c>
      <c r="AO133" s="62">
        <v>5111837.0</v>
      </c>
      <c r="AP133" s="62">
        <v>8355.0</v>
      </c>
      <c r="AQ133" s="62">
        <v>969446.0</v>
      </c>
      <c r="AR133" s="62">
        <v>88669.0</v>
      </c>
      <c r="AS133" s="62">
        <v>1825326.0</v>
      </c>
      <c r="AT133" s="62">
        <v>376133.0</v>
      </c>
      <c r="AU133" s="62">
        <v>180934.0</v>
      </c>
      <c r="AV133" s="62">
        <v>2704405.0</v>
      </c>
      <c r="AW133" s="62">
        <v>49798.0</v>
      </c>
      <c r="AX133" s="62">
        <v>1.8668766E7</v>
      </c>
      <c r="AY133" s="62">
        <v>596682.0</v>
      </c>
      <c r="AZ133" s="62">
        <v>59616.0</v>
      </c>
      <c r="BA133" s="62">
        <v>1581052.0</v>
      </c>
      <c r="BB133" s="62">
        <v>2307617.0</v>
      </c>
      <c r="BC133" s="62">
        <v>0.0</v>
      </c>
      <c r="BD133" s="62">
        <v>0.0</v>
      </c>
      <c r="BE133" s="62">
        <v>0.0</v>
      </c>
      <c r="BF133" s="62">
        <v>0.0</v>
      </c>
      <c r="BG133" s="62">
        <v>232981.0</v>
      </c>
      <c r="BH133" s="62">
        <v>63937.0</v>
      </c>
      <c r="BI133" s="62">
        <v>0.0</v>
      </c>
      <c r="BJ133" s="62">
        <v>746445.0</v>
      </c>
      <c r="BK133" s="62">
        <v>13618.0</v>
      </c>
      <c r="BL133" s="62">
        <v>4346.0</v>
      </c>
      <c r="BM133" s="62">
        <v>138.0</v>
      </c>
      <c r="BN133" s="62">
        <v>0.0</v>
      </c>
      <c r="BO133" s="62">
        <v>323.0</v>
      </c>
      <c r="BP133" s="62">
        <v>19192.0</v>
      </c>
      <c r="BQ133" s="62">
        <v>0.0</v>
      </c>
      <c r="BR133" s="62">
        <v>1012.0</v>
      </c>
      <c r="BS133" s="62">
        <v>8841.0</v>
      </c>
      <c r="BT133" s="62">
        <v>498092.0</v>
      </c>
      <c r="BU133" s="62">
        <v>203390.0</v>
      </c>
      <c r="BV133" s="62">
        <v>0.0</v>
      </c>
      <c r="BW133" s="62">
        <v>3640.0</v>
      </c>
      <c r="BX133" s="62">
        <v>538607.0</v>
      </c>
      <c r="BY133" s="62">
        <v>67385.0</v>
      </c>
      <c r="BZ133" s="62">
        <v>6963.0</v>
      </c>
      <c r="CA133" s="62">
        <v>1866463.0</v>
      </c>
      <c r="CB133" s="62">
        <v>384280.0</v>
      </c>
      <c r="CC133" s="62">
        <v>64790.0</v>
      </c>
      <c r="CD133" s="62">
        <v>10672.0</v>
      </c>
      <c r="CE133" s="62">
        <v>110127.0</v>
      </c>
      <c r="CF133" s="62">
        <v>68137.0</v>
      </c>
      <c r="CG133" s="62">
        <v>203609.0</v>
      </c>
      <c r="CH133" s="62">
        <v>238504.0</v>
      </c>
      <c r="CI133" s="62">
        <v>1280427.0</v>
      </c>
      <c r="CJ133" s="62">
        <v>777927.0</v>
      </c>
      <c r="CK133" s="62">
        <v>392428.0</v>
      </c>
      <c r="CL133" s="62">
        <v>756873.0</v>
      </c>
      <c r="CM133" s="62">
        <v>400711.0</v>
      </c>
      <c r="CN133" s="62">
        <v>2021975.0</v>
      </c>
      <c r="CO133" s="62">
        <v>2394546.0</v>
      </c>
      <c r="CP133" s="62">
        <v>2872089.0</v>
      </c>
      <c r="CQ133" s="62">
        <v>318263.0</v>
      </c>
      <c r="CR133" s="62">
        <v>37887.0</v>
      </c>
      <c r="CS133" s="62">
        <v>20924.0</v>
      </c>
      <c r="CT133" s="62">
        <v>298981.0</v>
      </c>
      <c r="CU133" s="62">
        <v>106844.0</v>
      </c>
      <c r="CV133" s="62">
        <v>187113.0</v>
      </c>
      <c r="CW133" s="62">
        <v>24643.0</v>
      </c>
      <c r="CX133" s="62">
        <v>4393.0</v>
      </c>
      <c r="CY133" s="62">
        <v>2174.0</v>
      </c>
      <c r="CZ133" s="62">
        <v>60029.0</v>
      </c>
      <c r="DA133" s="62">
        <v>8120.0</v>
      </c>
      <c r="DB133" s="62">
        <v>198149.0</v>
      </c>
      <c r="DC133" s="62">
        <v>730712.0</v>
      </c>
      <c r="DD133" s="62">
        <v>60764.0</v>
      </c>
      <c r="DE133" s="62">
        <v>77367.0</v>
      </c>
      <c r="DF133" s="62">
        <v>132938.0</v>
      </c>
      <c r="DG133" s="62">
        <v>86152.0</v>
      </c>
      <c r="DH133" s="62">
        <v>75142.0</v>
      </c>
      <c r="DI133" s="62">
        <v>34856.0</v>
      </c>
      <c r="DJ133" s="62">
        <v>64988.0</v>
      </c>
      <c r="DK133" s="62">
        <v>46050.0</v>
      </c>
      <c r="DL133" s="62">
        <v>1314505.0</v>
      </c>
      <c r="DM133" s="62">
        <v>270253.0</v>
      </c>
      <c r="DN133" s="62">
        <v>27618.0</v>
      </c>
      <c r="DO133" s="62">
        <v>43589.0</v>
      </c>
      <c r="DP133" s="62">
        <v>0.0</v>
      </c>
      <c r="DQ133" s="62">
        <v>753918.0</v>
      </c>
      <c r="DR133" s="62">
        <v>518866.0</v>
      </c>
      <c r="DS133" s="62">
        <v>22679.0</v>
      </c>
      <c r="DT133" s="62">
        <v>0.0</v>
      </c>
      <c r="DU133" s="62">
        <v>0.0</v>
      </c>
      <c r="DV133" s="62">
        <v>0.0</v>
      </c>
      <c r="DW133" s="62">
        <v>0.0</v>
      </c>
      <c r="DX133" s="62">
        <v>26317.0</v>
      </c>
      <c r="DY133" s="62">
        <v>2678248.0</v>
      </c>
      <c r="DZ133" s="62">
        <v>6563440.0</v>
      </c>
      <c r="EA133" s="62">
        <v>3045468.0</v>
      </c>
      <c r="EB133" s="62">
        <v>3.5237931E7</v>
      </c>
      <c r="EC133" s="62">
        <v>6506814.0</v>
      </c>
      <c r="ED133" s="62">
        <v>11406.0</v>
      </c>
      <c r="EE133" s="62">
        <v>0.0</v>
      </c>
      <c r="EF133" s="62">
        <v>0.0</v>
      </c>
      <c r="EG133" s="62">
        <v>402.0</v>
      </c>
      <c r="EH133" s="62">
        <v>9201.0</v>
      </c>
      <c r="EI133" s="62">
        <v>812567.0</v>
      </c>
      <c r="EJ133" s="62">
        <v>15191.0</v>
      </c>
      <c r="EK133" s="62">
        <v>52608.0</v>
      </c>
      <c r="EL133" s="62">
        <v>234971.0</v>
      </c>
      <c r="EM133" s="62">
        <v>545545.0</v>
      </c>
      <c r="EN133" s="62">
        <v>116494.0</v>
      </c>
      <c r="EO133" s="62">
        <v>3278843.0</v>
      </c>
      <c r="EP133" s="62">
        <v>492335.0</v>
      </c>
      <c r="EQ133" s="62">
        <v>4618.0</v>
      </c>
      <c r="ER133" s="62">
        <v>117.0</v>
      </c>
      <c r="ES133" s="62">
        <v>1613226.0</v>
      </c>
      <c r="ET133" s="62">
        <v>179750.0</v>
      </c>
      <c r="EU133" s="62">
        <v>2.9461575E7</v>
      </c>
      <c r="EV133" s="62">
        <v>1.8821068E7</v>
      </c>
      <c r="EW133" s="62">
        <v>1283256.0</v>
      </c>
      <c r="EX133" s="62">
        <v>6636252.0</v>
      </c>
      <c r="EY133" s="62">
        <v>4.8054312E7</v>
      </c>
      <c r="EZ133" s="62">
        <v>166048.0</v>
      </c>
      <c r="FA133" s="62">
        <v>245499.0</v>
      </c>
      <c r="FB133" s="62">
        <v>1081119.0</v>
      </c>
      <c r="FC133" s="62">
        <v>0.0</v>
      </c>
      <c r="FD133" s="62">
        <v>0.0</v>
      </c>
      <c r="FE133" s="62">
        <v>0.0</v>
      </c>
      <c r="FF133" s="62">
        <v>0.0</v>
      </c>
      <c r="FG133" s="62">
        <v>0.0</v>
      </c>
      <c r="FH133" s="62">
        <v>52350.0</v>
      </c>
      <c r="FI133" s="62">
        <v>0.0</v>
      </c>
      <c r="FJ133" s="62">
        <v>1247.0</v>
      </c>
      <c r="FK133" s="62">
        <v>4978.0</v>
      </c>
      <c r="FL133" s="62">
        <v>0.0</v>
      </c>
      <c r="FM133" s="62">
        <v>0.0</v>
      </c>
      <c r="FN133" s="62">
        <v>0.0</v>
      </c>
      <c r="FO133" s="62">
        <v>0.0</v>
      </c>
      <c r="FP133" s="62">
        <v>175.0</v>
      </c>
      <c r="FQ133" s="62">
        <v>0.0</v>
      </c>
      <c r="FR133" s="62">
        <v>0.0</v>
      </c>
      <c r="FS133" s="62">
        <v>0.0</v>
      </c>
      <c r="FT133" s="62">
        <v>27045.0</v>
      </c>
      <c r="FU133" s="62">
        <v>4944664.0</v>
      </c>
      <c r="FV133" s="62">
        <v>2458340.0</v>
      </c>
      <c r="FW133" s="62">
        <v>165798.0</v>
      </c>
      <c r="FX133" s="62">
        <v>303.0</v>
      </c>
      <c r="FY133" s="62">
        <v>513342.0</v>
      </c>
      <c r="FZ133" s="62">
        <v>19.0</v>
      </c>
      <c r="GA133" s="62">
        <v>378268.0</v>
      </c>
      <c r="GB133" s="62">
        <v>107236.0</v>
      </c>
      <c r="GC133" s="62">
        <v>116444.0</v>
      </c>
      <c r="GD133" s="62">
        <v>676847.0</v>
      </c>
      <c r="GE133" s="62">
        <v>220315.0</v>
      </c>
      <c r="GF133" s="63">
        <v>2.4863846E8</v>
      </c>
      <c r="GG133" s="64">
        <v>6341887.0</v>
      </c>
      <c r="GH133" s="65">
        <v>0.0</v>
      </c>
      <c r="GI133" s="64">
        <v>0.0</v>
      </c>
      <c r="GJ133" s="64">
        <v>1.9564428E8</v>
      </c>
      <c r="GK133" s="64">
        <v>-3.2677912E7</v>
      </c>
      <c r="GL133" s="64">
        <v>2.5617643E7</v>
      </c>
      <c r="GM133" s="64">
        <v>0.0</v>
      </c>
      <c r="GN133" s="63">
        <v>1.94925898E8</v>
      </c>
      <c r="GO133" s="66">
        <v>4.43564358E8</v>
      </c>
      <c r="GP133" s="64">
        <v>1.7318969E8</v>
      </c>
      <c r="GQ133" s="64">
        <v>0.0</v>
      </c>
      <c r="GR133" s="65">
        <v>0.0</v>
      </c>
      <c r="GS133" s="63">
        <v>1.7318969E8</v>
      </c>
      <c r="GT133" s="67">
        <v>6.8160816E7</v>
      </c>
      <c r="GU133" s="67">
        <v>4.4588743E7</v>
      </c>
      <c r="GV133" s="67">
        <v>2.5416284E7</v>
      </c>
      <c r="GW133" s="63">
        <v>1.38165843E8</v>
      </c>
      <c r="GX133" s="63">
        <v>2.4859036E7</v>
      </c>
      <c r="GY133" s="63">
        <v>1.07349789E8</v>
      </c>
      <c r="GZ133" s="66">
        <v>4.43564358E8</v>
      </c>
      <c r="HH133" s="106"/>
    </row>
    <row r="134" ht="15.75" customHeight="1">
      <c r="A134" s="60">
        <v>129.0</v>
      </c>
      <c r="B134" s="111" t="s">
        <v>605</v>
      </c>
      <c r="C134" s="62">
        <v>0.0</v>
      </c>
      <c r="D134" s="62">
        <v>0.0</v>
      </c>
      <c r="E134" s="62">
        <v>0.0</v>
      </c>
      <c r="F134" s="62">
        <v>0.0</v>
      </c>
      <c r="G134" s="62">
        <v>0.0</v>
      </c>
      <c r="H134" s="62">
        <v>0.0</v>
      </c>
      <c r="I134" s="62">
        <v>0.0</v>
      </c>
      <c r="J134" s="62">
        <v>0.0</v>
      </c>
      <c r="K134" s="62">
        <v>0.0</v>
      </c>
      <c r="L134" s="62">
        <v>923.0</v>
      </c>
      <c r="M134" s="62">
        <v>2.0</v>
      </c>
      <c r="N134" s="62">
        <v>113.0</v>
      </c>
      <c r="O134" s="62">
        <v>227.0</v>
      </c>
      <c r="P134" s="62">
        <v>0.0</v>
      </c>
      <c r="Q134" s="62">
        <v>45.0</v>
      </c>
      <c r="R134" s="62">
        <v>892.0</v>
      </c>
      <c r="S134" s="62">
        <v>187.0</v>
      </c>
      <c r="T134" s="62">
        <v>18.0</v>
      </c>
      <c r="U134" s="62">
        <v>12.0</v>
      </c>
      <c r="V134" s="62">
        <v>11.0</v>
      </c>
      <c r="W134" s="62">
        <v>8.0</v>
      </c>
      <c r="X134" s="62">
        <v>44.0</v>
      </c>
      <c r="Y134" s="62">
        <v>10.0</v>
      </c>
      <c r="Z134" s="62">
        <v>29.0</v>
      </c>
      <c r="AA134" s="62">
        <v>3.0</v>
      </c>
      <c r="AB134" s="62">
        <v>51.0</v>
      </c>
      <c r="AC134" s="62">
        <v>5.0</v>
      </c>
      <c r="AD134" s="62">
        <v>28.0</v>
      </c>
      <c r="AE134" s="62">
        <v>14.0</v>
      </c>
      <c r="AF134" s="62">
        <v>338.0</v>
      </c>
      <c r="AG134" s="62">
        <v>3561.0</v>
      </c>
      <c r="AH134" s="62">
        <v>3228.0</v>
      </c>
      <c r="AI134" s="62">
        <v>1728.0</v>
      </c>
      <c r="AJ134" s="62">
        <v>650.0</v>
      </c>
      <c r="AK134" s="62">
        <v>44.0</v>
      </c>
      <c r="AL134" s="62">
        <v>134.0</v>
      </c>
      <c r="AM134" s="62">
        <v>511063.0</v>
      </c>
      <c r="AN134" s="62">
        <v>506.0</v>
      </c>
      <c r="AO134" s="62">
        <v>4057.0</v>
      </c>
      <c r="AP134" s="62">
        <v>22.0</v>
      </c>
      <c r="AQ134" s="62">
        <v>285.0</v>
      </c>
      <c r="AR134" s="62">
        <v>25.0</v>
      </c>
      <c r="AS134" s="62">
        <v>920.0</v>
      </c>
      <c r="AT134" s="62">
        <v>136.0</v>
      </c>
      <c r="AU134" s="62">
        <v>792.0</v>
      </c>
      <c r="AV134" s="62">
        <v>2017.0</v>
      </c>
      <c r="AW134" s="62">
        <v>85.0</v>
      </c>
      <c r="AX134" s="62">
        <v>148426.0</v>
      </c>
      <c r="AY134" s="62">
        <v>97840.0</v>
      </c>
      <c r="AZ134" s="62">
        <v>784.0</v>
      </c>
      <c r="BA134" s="62">
        <v>157108.0</v>
      </c>
      <c r="BB134" s="62">
        <v>13895.0</v>
      </c>
      <c r="BC134" s="62">
        <v>0.0</v>
      </c>
      <c r="BD134" s="62">
        <v>0.0</v>
      </c>
      <c r="BE134" s="62">
        <v>0.0</v>
      </c>
      <c r="BF134" s="62">
        <v>0.0</v>
      </c>
      <c r="BG134" s="62">
        <v>198.0</v>
      </c>
      <c r="BH134" s="62">
        <v>1846.0</v>
      </c>
      <c r="BI134" s="62">
        <v>64.0</v>
      </c>
      <c r="BJ134" s="62">
        <v>1338.0</v>
      </c>
      <c r="BK134" s="62">
        <v>384.0</v>
      </c>
      <c r="BL134" s="62">
        <v>81.0</v>
      </c>
      <c r="BM134" s="62">
        <v>11.0</v>
      </c>
      <c r="BN134" s="62">
        <v>0.0</v>
      </c>
      <c r="BO134" s="62">
        <v>4754.0</v>
      </c>
      <c r="BP134" s="62">
        <v>0.0</v>
      </c>
      <c r="BQ134" s="62">
        <v>0.0</v>
      </c>
      <c r="BR134" s="62">
        <v>293.0</v>
      </c>
      <c r="BS134" s="62">
        <v>0.0</v>
      </c>
      <c r="BT134" s="62">
        <v>1479.0</v>
      </c>
      <c r="BU134" s="62">
        <v>939.0</v>
      </c>
      <c r="BV134" s="62">
        <v>0.0</v>
      </c>
      <c r="BW134" s="62">
        <v>22.0</v>
      </c>
      <c r="BX134" s="62">
        <v>824.0</v>
      </c>
      <c r="BY134" s="62">
        <v>2599.0</v>
      </c>
      <c r="BZ134" s="62">
        <v>91.0</v>
      </c>
      <c r="CA134" s="62">
        <v>2510.0</v>
      </c>
      <c r="CB134" s="62">
        <v>1010.0</v>
      </c>
      <c r="CC134" s="62">
        <v>617.0</v>
      </c>
      <c r="CD134" s="62">
        <v>747.0</v>
      </c>
      <c r="CE134" s="62">
        <v>202.0</v>
      </c>
      <c r="CF134" s="62">
        <v>257.0</v>
      </c>
      <c r="CG134" s="62">
        <v>1826.0</v>
      </c>
      <c r="CH134" s="62">
        <v>88.0</v>
      </c>
      <c r="CI134" s="62">
        <v>276.0</v>
      </c>
      <c r="CJ134" s="62">
        <v>1052.0</v>
      </c>
      <c r="CK134" s="62">
        <v>5071.0</v>
      </c>
      <c r="CL134" s="62">
        <v>2174.0</v>
      </c>
      <c r="CM134" s="62">
        <v>620.0</v>
      </c>
      <c r="CN134" s="62">
        <v>2888.0</v>
      </c>
      <c r="CO134" s="62">
        <v>4010.0</v>
      </c>
      <c r="CP134" s="62">
        <v>4300.0</v>
      </c>
      <c r="CQ134" s="62">
        <v>286.0</v>
      </c>
      <c r="CR134" s="62">
        <v>3996.0</v>
      </c>
      <c r="CS134" s="62">
        <v>393502.0</v>
      </c>
      <c r="CT134" s="62">
        <v>1830.0</v>
      </c>
      <c r="CU134" s="62">
        <v>683.0</v>
      </c>
      <c r="CV134" s="62">
        <v>554.0</v>
      </c>
      <c r="CW134" s="62">
        <v>142.0</v>
      </c>
      <c r="CX134" s="62">
        <v>29.0</v>
      </c>
      <c r="CY134" s="62">
        <v>14.0</v>
      </c>
      <c r="CZ134" s="62">
        <v>543.0</v>
      </c>
      <c r="DA134" s="62">
        <v>3420.0</v>
      </c>
      <c r="DB134" s="62">
        <v>82.0</v>
      </c>
      <c r="DC134" s="62">
        <v>6394.0</v>
      </c>
      <c r="DD134" s="62">
        <v>82.0</v>
      </c>
      <c r="DE134" s="62">
        <v>349.0</v>
      </c>
      <c r="DF134" s="62">
        <v>264.0</v>
      </c>
      <c r="DG134" s="62">
        <v>48.0</v>
      </c>
      <c r="DH134" s="62">
        <v>315.0</v>
      </c>
      <c r="DI134" s="62">
        <v>3849.0</v>
      </c>
      <c r="DJ134" s="62">
        <v>99.0</v>
      </c>
      <c r="DK134" s="62">
        <v>396.0</v>
      </c>
      <c r="DL134" s="62">
        <v>4030.0</v>
      </c>
      <c r="DM134" s="62">
        <v>3495.0</v>
      </c>
      <c r="DN134" s="62">
        <v>125.0</v>
      </c>
      <c r="DO134" s="62">
        <v>333.0</v>
      </c>
      <c r="DP134" s="62">
        <v>0.0</v>
      </c>
      <c r="DQ134" s="62">
        <v>144637.0</v>
      </c>
      <c r="DR134" s="62">
        <v>434483.0</v>
      </c>
      <c r="DS134" s="62">
        <v>75124.0</v>
      </c>
      <c r="DT134" s="62">
        <v>93334.0</v>
      </c>
      <c r="DU134" s="62">
        <v>0.0</v>
      </c>
      <c r="DV134" s="62">
        <v>0.0</v>
      </c>
      <c r="DW134" s="62">
        <v>0.0</v>
      </c>
      <c r="DX134" s="62">
        <v>1869.0</v>
      </c>
      <c r="DY134" s="62">
        <v>109913.0</v>
      </c>
      <c r="DZ134" s="62">
        <v>40526.0</v>
      </c>
      <c r="EA134" s="62">
        <v>1154.0</v>
      </c>
      <c r="EB134" s="62">
        <v>1333.0</v>
      </c>
      <c r="EC134" s="62">
        <v>348489.0</v>
      </c>
      <c r="ED134" s="62">
        <v>4842.0</v>
      </c>
      <c r="EE134" s="62">
        <v>8794.0</v>
      </c>
      <c r="EF134" s="62">
        <v>2318.0</v>
      </c>
      <c r="EG134" s="62">
        <v>80575.0</v>
      </c>
      <c r="EH134" s="62">
        <v>307363.0</v>
      </c>
      <c r="EI134" s="62">
        <v>2460.0</v>
      </c>
      <c r="EJ134" s="62">
        <v>90.0</v>
      </c>
      <c r="EK134" s="62">
        <v>51.0</v>
      </c>
      <c r="EL134" s="62">
        <v>102.0</v>
      </c>
      <c r="EM134" s="62">
        <v>152.0</v>
      </c>
      <c r="EN134" s="62">
        <v>907.0</v>
      </c>
      <c r="EO134" s="62">
        <v>220.0</v>
      </c>
      <c r="EP134" s="62">
        <v>61585.0</v>
      </c>
      <c r="EQ134" s="62">
        <v>844.0</v>
      </c>
      <c r="ER134" s="62">
        <v>72.0</v>
      </c>
      <c r="ES134" s="62">
        <v>490.0</v>
      </c>
      <c r="ET134" s="62">
        <v>123.0</v>
      </c>
      <c r="EU134" s="62">
        <v>5229.0</v>
      </c>
      <c r="EV134" s="62">
        <v>275.0</v>
      </c>
      <c r="EW134" s="62">
        <v>76.0</v>
      </c>
      <c r="EX134" s="62">
        <v>664.0</v>
      </c>
      <c r="EY134" s="62">
        <v>2030.0</v>
      </c>
      <c r="EZ134" s="62">
        <v>286505.0</v>
      </c>
      <c r="FA134" s="62">
        <v>228506.0</v>
      </c>
      <c r="FB134" s="62">
        <v>219381.0</v>
      </c>
      <c r="FC134" s="62">
        <v>137.0</v>
      </c>
      <c r="FD134" s="62">
        <v>32091.0</v>
      </c>
      <c r="FE134" s="62">
        <v>10042.0</v>
      </c>
      <c r="FF134" s="62">
        <v>5971.0</v>
      </c>
      <c r="FG134" s="62">
        <v>14521.0</v>
      </c>
      <c r="FH134" s="62">
        <v>21966.0</v>
      </c>
      <c r="FI134" s="62">
        <v>6272.0</v>
      </c>
      <c r="FJ134" s="62">
        <v>203.0</v>
      </c>
      <c r="FK134" s="62">
        <v>1646.0</v>
      </c>
      <c r="FL134" s="62">
        <v>16968.0</v>
      </c>
      <c r="FM134" s="62">
        <v>149.0</v>
      </c>
      <c r="FN134" s="62">
        <v>103160.0</v>
      </c>
      <c r="FO134" s="62">
        <v>11612.0</v>
      </c>
      <c r="FP134" s="62">
        <v>29304.0</v>
      </c>
      <c r="FQ134" s="62">
        <v>118198.0</v>
      </c>
      <c r="FR134" s="62">
        <v>11.0</v>
      </c>
      <c r="FS134" s="62">
        <v>37.0</v>
      </c>
      <c r="FT134" s="62">
        <v>5219.0</v>
      </c>
      <c r="FU134" s="62">
        <v>3717383.0</v>
      </c>
      <c r="FV134" s="62">
        <v>546046.0</v>
      </c>
      <c r="FW134" s="62">
        <v>0.0</v>
      </c>
      <c r="FX134" s="62">
        <v>0.0</v>
      </c>
      <c r="FY134" s="62">
        <v>0.0</v>
      </c>
      <c r="FZ134" s="62">
        <v>0.0</v>
      </c>
      <c r="GA134" s="62">
        <v>794913.0</v>
      </c>
      <c r="GB134" s="62">
        <v>104092.0</v>
      </c>
      <c r="GC134" s="62">
        <v>1396.0</v>
      </c>
      <c r="GD134" s="62">
        <v>603.0</v>
      </c>
      <c r="GE134" s="62">
        <v>1142.0</v>
      </c>
      <c r="GF134" s="63">
        <v>9425295.0</v>
      </c>
      <c r="GG134" s="64">
        <v>202707.0</v>
      </c>
      <c r="GH134" s="65">
        <v>0.0</v>
      </c>
      <c r="GI134" s="64">
        <v>0.0</v>
      </c>
      <c r="GJ134" s="64">
        <v>1883970.0</v>
      </c>
      <c r="GK134" s="64">
        <v>4662272.0</v>
      </c>
      <c r="GL134" s="64">
        <v>460707.0</v>
      </c>
      <c r="GM134" s="64">
        <v>0.0</v>
      </c>
      <c r="GN134" s="63">
        <v>7209656.0</v>
      </c>
      <c r="GO134" s="66">
        <v>1.6634951E7</v>
      </c>
      <c r="GP134" s="64">
        <v>3576769.0</v>
      </c>
      <c r="GQ134" s="64">
        <v>0.0</v>
      </c>
      <c r="GR134" s="65">
        <v>0.0</v>
      </c>
      <c r="GS134" s="63">
        <v>3576769.0</v>
      </c>
      <c r="GT134" s="67">
        <v>1290883.0</v>
      </c>
      <c r="GU134" s="67">
        <v>263666.0</v>
      </c>
      <c r="GV134" s="67">
        <v>86969.0</v>
      </c>
      <c r="GW134" s="63">
        <v>1641518.0</v>
      </c>
      <c r="GX134" s="63">
        <v>413196.0</v>
      </c>
      <c r="GY134" s="63">
        <v>1.1003468E7</v>
      </c>
      <c r="GZ134" s="66">
        <v>1.6634951E7</v>
      </c>
      <c r="HH134" s="106"/>
    </row>
    <row r="135" ht="15.75" customHeight="1">
      <c r="A135" s="68">
        <v>130.0</v>
      </c>
      <c r="B135" s="111" t="s">
        <v>606</v>
      </c>
      <c r="C135" s="70">
        <v>127541.0</v>
      </c>
      <c r="D135" s="70">
        <v>60570.0</v>
      </c>
      <c r="E135" s="70">
        <v>23862.0</v>
      </c>
      <c r="F135" s="70">
        <v>139097.0</v>
      </c>
      <c r="G135" s="70">
        <v>4.0</v>
      </c>
      <c r="H135" s="70">
        <v>59294.0</v>
      </c>
      <c r="I135" s="70">
        <v>9052.0</v>
      </c>
      <c r="J135" s="70">
        <v>29174.0</v>
      </c>
      <c r="K135" s="70">
        <v>11.0</v>
      </c>
      <c r="L135" s="70">
        <v>460211.0</v>
      </c>
      <c r="M135" s="70">
        <v>748.0</v>
      </c>
      <c r="N135" s="70">
        <v>7855.0</v>
      </c>
      <c r="O135" s="70">
        <v>2973.0</v>
      </c>
      <c r="P135" s="70">
        <v>5576.0</v>
      </c>
      <c r="Q135" s="70">
        <v>126135.0</v>
      </c>
      <c r="R135" s="70">
        <v>27313.0</v>
      </c>
      <c r="S135" s="70">
        <v>60211.0</v>
      </c>
      <c r="T135" s="70">
        <v>383302.0</v>
      </c>
      <c r="U135" s="70">
        <v>128712.0</v>
      </c>
      <c r="V135" s="70">
        <v>13211.0</v>
      </c>
      <c r="W135" s="70">
        <v>22834.0</v>
      </c>
      <c r="X135" s="70">
        <v>20473.0</v>
      </c>
      <c r="Y135" s="70">
        <v>144071.0</v>
      </c>
      <c r="Z135" s="70">
        <v>213650.0</v>
      </c>
      <c r="AA135" s="70">
        <v>2051.0</v>
      </c>
      <c r="AB135" s="70">
        <v>10008.0</v>
      </c>
      <c r="AC135" s="70">
        <v>53.0</v>
      </c>
      <c r="AD135" s="70">
        <v>18210.0</v>
      </c>
      <c r="AE135" s="70">
        <v>855.0</v>
      </c>
      <c r="AF135" s="70">
        <v>177027.0</v>
      </c>
      <c r="AG135" s="70">
        <v>941350.0</v>
      </c>
      <c r="AH135" s="70">
        <v>414856.0</v>
      </c>
      <c r="AI135" s="70">
        <v>350304.0</v>
      </c>
      <c r="AJ135" s="70">
        <v>42961.0</v>
      </c>
      <c r="AK135" s="70">
        <v>3599.0</v>
      </c>
      <c r="AL135" s="70">
        <v>9279.0</v>
      </c>
      <c r="AM135" s="70">
        <v>1935580.0</v>
      </c>
      <c r="AN135" s="70">
        <v>49992.0</v>
      </c>
      <c r="AO135" s="70">
        <v>426417.0</v>
      </c>
      <c r="AP135" s="70">
        <v>2788.0</v>
      </c>
      <c r="AQ135" s="70">
        <v>23961.0</v>
      </c>
      <c r="AR135" s="70">
        <v>5206.0</v>
      </c>
      <c r="AS135" s="70">
        <v>499678.0</v>
      </c>
      <c r="AT135" s="70">
        <v>53074.0</v>
      </c>
      <c r="AU135" s="70">
        <v>63302.0</v>
      </c>
      <c r="AV135" s="70">
        <v>2182686.0</v>
      </c>
      <c r="AW135" s="70">
        <v>24253.0</v>
      </c>
      <c r="AX135" s="70">
        <v>1.0546779E7</v>
      </c>
      <c r="AY135" s="70">
        <v>503260.0</v>
      </c>
      <c r="AZ135" s="70">
        <v>34897.0</v>
      </c>
      <c r="BA135" s="70">
        <v>267895.0</v>
      </c>
      <c r="BB135" s="70">
        <v>1359379.0</v>
      </c>
      <c r="BC135" s="70">
        <v>0.0</v>
      </c>
      <c r="BD135" s="70">
        <v>0.0</v>
      </c>
      <c r="BE135" s="70">
        <v>0.0</v>
      </c>
      <c r="BF135" s="70">
        <v>0.0</v>
      </c>
      <c r="BG135" s="70">
        <v>2919.0</v>
      </c>
      <c r="BH135" s="70">
        <v>3714.0</v>
      </c>
      <c r="BI135" s="70">
        <v>8625.0</v>
      </c>
      <c r="BJ135" s="70">
        <v>51355.0</v>
      </c>
      <c r="BK135" s="70">
        <v>15494.0</v>
      </c>
      <c r="BL135" s="70">
        <v>1188.0</v>
      </c>
      <c r="BM135" s="70">
        <v>27.0</v>
      </c>
      <c r="BN135" s="70">
        <v>0.0</v>
      </c>
      <c r="BO135" s="70">
        <v>342652.0</v>
      </c>
      <c r="BP135" s="70">
        <v>0.0</v>
      </c>
      <c r="BQ135" s="70">
        <v>0.0</v>
      </c>
      <c r="BR135" s="70">
        <v>239.0</v>
      </c>
      <c r="BS135" s="70">
        <v>2173.0</v>
      </c>
      <c r="BT135" s="70">
        <v>117320.0</v>
      </c>
      <c r="BU135" s="70">
        <v>1321.0</v>
      </c>
      <c r="BV135" s="70">
        <v>0.0</v>
      </c>
      <c r="BW135" s="70">
        <v>1296.0</v>
      </c>
      <c r="BX135" s="70">
        <v>16074.0</v>
      </c>
      <c r="BY135" s="70">
        <v>65414.0</v>
      </c>
      <c r="BZ135" s="70">
        <v>7909.0</v>
      </c>
      <c r="CA135" s="70">
        <v>695473.0</v>
      </c>
      <c r="CB135" s="70">
        <v>36150.0</v>
      </c>
      <c r="CC135" s="70">
        <v>56263.0</v>
      </c>
      <c r="CD135" s="70">
        <v>78256.0</v>
      </c>
      <c r="CE135" s="70">
        <v>64699.0</v>
      </c>
      <c r="CF135" s="70">
        <v>248696.0</v>
      </c>
      <c r="CG135" s="70">
        <v>2215.0</v>
      </c>
      <c r="CH135" s="70">
        <v>2653.0</v>
      </c>
      <c r="CI135" s="70">
        <v>35983.0</v>
      </c>
      <c r="CJ135" s="70">
        <v>168939.0</v>
      </c>
      <c r="CK135" s="70">
        <v>732046.0</v>
      </c>
      <c r="CL135" s="70">
        <v>263088.0</v>
      </c>
      <c r="CM135" s="70">
        <v>55408.0</v>
      </c>
      <c r="CN135" s="70">
        <v>394640.0</v>
      </c>
      <c r="CO135" s="70">
        <v>735220.0</v>
      </c>
      <c r="CP135" s="70">
        <v>849594.0</v>
      </c>
      <c r="CQ135" s="70">
        <v>243870.0</v>
      </c>
      <c r="CR135" s="70">
        <v>15396.0</v>
      </c>
      <c r="CS135" s="70">
        <v>248648.0</v>
      </c>
      <c r="CT135" s="70">
        <v>186730.0</v>
      </c>
      <c r="CU135" s="70">
        <v>89072.0</v>
      </c>
      <c r="CV135" s="70">
        <v>223344.0</v>
      </c>
      <c r="CW135" s="70">
        <v>16215.0</v>
      </c>
      <c r="CX135" s="70">
        <v>616758.0</v>
      </c>
      <c r="CY135" s="70">
        <v>12009.0</v>
      </c>
      <c r="CZ135" s="70">
        <v>54556.0</v>
      </c>
      <c r="DA135" s="70">
        <v>91949.0</v>
      </c>
      <c r="DB135" s="70">
        <v>10484.0</v>
      </c>
      <c r="DC135" s="70">
        <v>15896.0</v>
      </c>
      <c r="DD135" s="70">
        <v>10624.0</v>
      </c>
      <c r="DE135" s="70">
        <v>88624.0</v>
      </c>
      <c r="DF135" s="70">
        <v>92620.0</v>
      </c>
      <c r="DG135" s="70">
        <v>26114.0</v>
      </c>
      <c r="DH135" s="70">
        <v>473021.0</v>
      </c>
      <c r="DI135" s="70">
        <v>27668.0</v>
      </c>
      <c r="DJ135" s="70">
        <v>30730.0</v>
      </c>
      <c r="DK135" s="70">
        <v>40139.0</v>
      </c>
      <c r="DL135" s="70">
        <v>635186.0</v>
      </c>
      <c r="DM135" s="70">
        <v>186621.0</v>
      </c>
      <c r="DN135" s="70">
        <v>40370.0</v>
      </c>
      <c r="DO135" s="70">
        <v>20844.0</v>
      </c>
      <c r="DP135" s="70">
        <v>0.0</v>
      </c>
      <c r="DQ135" s="70">
        <v>105717.0</v>
      </c>
      <c r="DR135" s="70">
        <v>250485.0</v>
      </c>
      <c r="DS135" s="70">
        <v>3695.0</v>
      </c>
      <c r="DT135" s="70">
        <v>78581.0</v>
      </c>
      <c r="DU135" s="70">
        <v>0.0</v>
      </c>
      <c r="DV135" s="70">
        <v>0.0</v>
      </c>
      <c r="DW135" s="70">
        <v>0.0</v>
      </c>
      <c r="DX135" s="70">
        <v>9167.0</v>
      </c>
      <c r="DY135" s="70">
        <v>200.0</v>
      </c>
      <c r="DZ135" s="70">
        <v>1195408.0</v>
      </c>
      <c r="EA135" s="70">
        <v>76.0</v>
      </c>
      <c r="EB135" s="70">
        <v>605509.0</v>
      </c>
      <c r="EC135" s="70">
        <v>239162.0</v>
      </c>
      <c r="ED135" s="70">
        <v>685337.0</v>
      </c>
      <c r="EE135" s="70">
        <v>183586.0</v>
      </c>
      <c r="EF135" s="70">
        <v>129353.0</v>
      </c>
      <c r="EG135" s="70">
        <v>577894.0</v>
      </c>
      <c r="EH135" s="70">
        <v>3638852.0</v>
      </c>
      <c r="EI135" s="70">
        <v>6902.0</v>
      </c>
      <c r="EJ135" s="70">
        <v>17093.0</v>
      </c>
      <c r="EK135" s="70">
        <v>25059.0</v>
      </c>
      <c r="EL135" s="70">
        <v>169969.0</v>
      </c>
      <c r="EM135" s="70">
        <v>114995.0</v>
      </c>
      <c r="EN135" s="70">
        <v>97370.0</v>
      </c>
      <c r="EO135" s="70">
        <v>20828.0</v>
      </c>
      <c r="EP135" s="70">
        <v>1234932.0</v>
      </c>
      <c r="EQ135" s="70">
        <v>1129.0</v>
      </c>
      <c r="ER135" s="70">
        <v>0.0</v>
      </c>
      <c r="ES135" s="70">
        <v>44411.0</v>
      </c>
      <c r="ET135" s="70">
        <v>133264.0</v>
      </c>
      <c r="EU135" s="70">
        <v>75307.0</v>
      </c>
      <c r="EV135" s="70">
        <v>42164.0</v>
      </c>
      <c r="EW135" s="70">
        <v>6964.0</v>
      </c>
      <c r="EX135" s="70">
        <v>67695.0</v>
      </c>
      <c r="EY135" s="70">
        <v>206686.0</v>
      </c>
      <c r="EZ135" s="70">
        <v>711727.0</v>
      </c>
      <c r="FA135" s="70">
        <v>144427.0</v>
      </c>
      <c r="FB135" s="70">
        <v>2067441.0</v>
      </c>
      <c r="FC135" s="70">
        <v>0.0</v>
      </c>
      <c r="FD135" s="70">
        <v>0.0</v>
      </c>
      <c r="FE135" s="70">
        <v>0.0</v>
      </c>
      <c r="FF135" s="70">
        <v>0.0</v>
      </c>
      <c r="FG135" s="70">
        <v>130443.0</v>
      </c>
      <c r="FH135" s="70">
        <v>58779.0</v>
      </c>
      <c r="FI135" s="70">
        <v>2444.0</v>
      </c>
      <c r="FJ135" s="70">
        <v>3779.0</v>
      </c>
      <c r="FK135" s="70">
        <v>25456.0</v>
      </c>
      <c r="FL135" s="70">
        <v>380181.0</v>
      </c>
      <c r="FM135" s="70">
        <v>0.0</v>
      </c>
      <c r="FN135" s="70">
        <v>9020.0</v>
      </c>
      <c r="FO135" s="70">
        <v>1858.0</v>
      </c>
      <c r="FP135" s="70">
        <v>0.0</v>
      </c>
      <c r="FQ135" s="70">
        <v>0.0</v>
      </c>
      <c r="FR135" s="70">
        <v>0.0</v>
      </c>
      <c r="FS135" s="70">
        <v>0.0</v>
      </c>
      <c r="FT135" s="70">
        <v>7055.0</v>
      </c>
      <c r="FU135" s="70">
        <v>3079946.0</v>
      </c>
      <c r="FV135" s="70">
        <v>667258.0</v>
      </c>
      <c r="FW135" s="70">
        <v>0.0</v>
      </c>
      <c r="FX135" s="70">
        <v>0.0</v>
      </c>
      <c r="FY135" s="70">
        <v>0.0</v>
      </c>
      <c r="FZ135" s="70">
        <v>0.0</v>
      </c>
      <c r="GA135" s="70">
        <v>16670.0</v>
      </c>
      <c r="GB135" s="70">
        <v>126672.0</v>
      </c>
      <c r="GC135" s="70">
        <v>2378.0</v>
      </c>
      <c r="GD135" s="70">
        <v>2707.0</v>
      </c>
      <c r="GE135" s="70">
        <v>6869.0</v>
      </c>
      <c r="GF135" s="71">
        <v>4.7983011E7</v>
      </c>
      <c r="GG135" s="72">
        <v>9027071.0</v>
      </c>
      <c r="GH135" s="73">
        <v>0.0</v>
      </c>
      <c r="GI135" s="72">
        <v>0.0</v>
      </c>
      <c r="GJ135" s="72">
        <v>1.47605501E8</v>
      </c>
      <c r="GK135" s="72">
        <v>4.2894381E7</v>
      </c>
      <c r="GL135" s="72">
        <v>1.2377344E7</v>
      </c>
      <c r="GM135" s="72">
        <v>0.0</v>
      </c>
      <c r="GN135" s="71">
        <v>2.11904297E8</v>
      </c>
      <c r="GO135" s="74">
        <v>2.59887308E8</v>
      </c>
      <c r="GP135" s="72">
        <v>1.04505076E8</v>
      </c>
      <c r="GQ135" s="72">
        <v>0.0</v>
      </c>
      <c r="GR135" s="73">
        <v>0.0</v>
      </c>
      <c r="GS135" s="71">
        <v>1.04505076E8</v>
      </c>
      <c r="GT135" s="75">
        <v>1.8078889E7</v>
      </c>
      <c r="GU135" s="75">
        <v>1.259165E7</v>
      </c>
      <c r="GV135" s="75">
        <v>2122834.0</v>
      </c>
      <c r="GW135" s="71">
        <v>3.2793373E7</v>
      </c>
      <c r="GX135" s="71">
        <v>1.2422265E7</v>
      </c>
      <c r="GY135" s="71">
        <v>1.10166594E8</v>
      </c>
      <c r="GZ135" s="74">
        <v>2.59887308E8</v>
      </c>
      <c r="HH135" s="106"/>
    </row>
    <row r="136" ht="15.75" customHeight="1">
      <c r="A136" s="52">
        <v>131.0</v>
      </c>
      <c r="B136" s="111" t="s">
        <v>401</v>
      </c>
      <c r="C136" s="54">
        <v>51072.0</v>
      </c>
      <c r="D136" s="54">
        <v>15508.0</v>
      </c>
      <c r="E136" s="54">
        <v>619.0</v>
      </c>
      <c r="F136" s="54">
        <v>636.0</v>
      </c>
      <c r="G136" s="54">
        <v>1027.0</v>
      </c>
      <c r="H136" s="54">
        <v>13447.0</v>
      </c>
      <c r="I136" s="54">
        <v>8127.0</v>
      </c>
      <c r="J136" s="54">
        <v>4147.0</v>
      </c>
      <c r="K136" s="54">
        <v>10.0</v>
      </c>
      <c r="L136" s="54">
        <v>216288.0</v>
      </c>
      <c r="M136" s="54">
        <v>12541.0</v>
      </c>
      <c r="N136" s="54">
        <v>77103.0</v>
      </c>
      <c r="O136" s="54">
        <v>222942.0</v>
      </c>
      <c r="P136" s="54">
        <v>1575.0</v>
      </c>
      <c r="Q136" s="54">
        <v>74462.0</v>
      </c>
      <c r="R136" s="54">
        <v>536199.0</v>
      </c>
      <c r="S136" s="54">
        <v>33535.0</v>
      </c>
      <c r="T136" s="54">
        <v>102780.0</v>
      </c>
      <c r="U136" s="54">
        <v>65523.0</v>
      </c>
      <c r="V136" s="54">
        <v>6184.0</v>
      </c>
      <c r="W136" s="54">
        <v>12411.0</v>
      </c>
      <c r="X136" s="54">
        <v>7487.0</v>
      </c>
      <c r="Y136" s="54">
        <v>66561.0</v>
      </c>
      <c r="Z136" s="54">
        <v>115742.0</v>
      </c>
      <c r="AA136" s="54">
        <v>931.0</v>
      </c>
      <c r="AB136" s="54">
        <v>15785.0</v>
      </c>
      <c r="AC136" s="54">
        <v>237.0</v>
      </c>
      <c r="AD136" s="54">
        <v>19371.0</v>
      </c>
      <c r="AE136" s="54">
        <v>2902.0</v>
      </c>
      <c r="AF136" s="54">
        <v>132062.0</v>
      </c>
      <c r="AG136" s="54">
        <v>1031380.0</v>
      </c>
      <c r="AH136" s="54">
        <v>191538.0</v>
      </c>
      <c r="AI136" s="54">
        <v>749274.0</v>
      </c>
      <c r="AJ136" s="54">
        <v>188135.0</v>
      </c>
      <c r="AK136" s="54">
        <v>40884.0</v>
      </c>
      <c r="AL136" s="54">
        <v>10199.0</v>
      </c>
      <c r="AM136" s="54">
        <v>4583927.0</v>
      </c>
      <c r="AN136" s="54">
        <v>141245.0</v>
      </c>
      <c r="AO136" s="54">
        <v>1427855.0</v>
      </c>
      <c r="AP136" s="54">
        <v>5570.0</v>
      </c>
      <c r="AQ136" s="54">
        <v>39841.0</v>
      </c>
      <c r="AR136" s="54">
        <v>6932.0</v>
      </c>
      <c r="AS136" s="54">
        <v>242473.0</v>
      </c>
      <c r="AT136" s="54">
        <v>34726.0</v>
      </c>
      <c r="AU136" s="54">
        <v>40583.0</v>
      </c>
      <c r="AV136" s="54">
        <v>1082172.0</v>
      </c>
      <c r="AW136" s="54">
        <v>2193.0</v>
      </c>
      <c r="AX136" s="54">
        <v>5558893.0</v>
      </c>
      <c r="AY136" s="54">
        <v>666466.0</v>
      </c>
      <c r="AZ136" s="54">
        <v>28714.0</v>
      </c>
      <c r="BA136" s="54">
        <v>518967.0</v>
      </c>
      <c r="BB136" s="54">
        <v>547242.0</v>
      </c>
      <c r="BC136" s="54">
        <v>11222.0</v>
      </c>
      <c r="BD136" s="54">
        <v>777.0</v>
      </c>
      <c r="BE136" s="54">
        <v>2864.0</v>
      </c>
      <c r="BF136" s="54">
        <v>9777.0</v>
      </c>
      <c r="BG136" s="54">
        <v>26106.0</v>
      </c>
      <c r="BH136" s="54">
        <v>58987.0</v>
      </c>
      <c r="BI136" s="54">
        <v>7560.0</v>
      </c>
      <c r="BJ136" s="54">
        <v>39586.0</v>
      </c>
      <c r="BK136" s="54">
        <v>5652.0</v>
      </c>
      <c r="BL136" s="54">
        <v>1247.0</v>
      </c>
      <c r="BM136" s="54">
        <v>93.0</v>
      </c>
      <c r="BN136" s="54">
        <v>0.0</v>
      </c>
      <c r="BO136" s="54">
        <v>46196.0</v>
      </c>
      <c r="BP136" s="54">
        <v>0.0</v>
      </c>
      <c r="BQ136" s="54">
        <v>0.0</v>
      </c>
      <c r="BR136" s="54">
        <v>13.0</v>
      </c>
      <c r="BS136" s="54">
        <v>11855.0</v>
      </c>
      <c r="BT136" s="54">
        <v>54286.0</v>
      </c>
      <c r="BU136" s="54">
        <v>3594.0</v>
      </c>
      <c r="BV136" s="54">
        <v>19300.0</v>
      </c>
      <c r="BW136" s="54">
        <v>1102.0</v>
      </c>
      <c r="BX136" s="54">
        <v>34717.0</v>
      </c>
      <c r="BY136" s="54">
        <v>562662.0</v>
      </c>
      <c r="BZ136" s="54">
        <v>37577.0</v>
      </c>
      <c r="CA136" s="54">
        <v>446412.0</v>
      </c>
      <c r="CB136" s="54">
        <v>93031.0</v>
      </c>
      <c r="CC136" s="54">
        <v>31275.0</v>
      </c>
      <c r="CD136" s="54">
        <v>23604.0</v>
      </c>
      <c r="CE136" s="54">
        <v>29013.0</v>
      </c>
      <c r="CF136" s="54">
        <v>99985.0</v>
      </c>
      <c r="CG136" s="54">
        <v>19260.0</v>
      </c>
      <c r="CH136" s="54">
        <v>13347.0</v>
      </c>
      <c r="CI136" s="54">
        <v>80563.0</v>
      </c>
      <c r="CJ136" s="54">
        <v>177037.0</v>
      </c>
      <c r="CK136" s="54">
        <v>376938.0</v>
      </c>
      <c r="CL136" s="54">
        <v>215149.0</v>
      </c>
      <c r="CM136" s="54">
        <v>80517.0</v>
      </c>
      <c r="CN136" s="54">
        <v>316084.0</v>
      </c>
      <c r="CO136" s="54">
        <v>367676.0</v>
      </c>
      <c r="CP136" s="54">
        <v>542676.0</v>
      </c>
      <c r="CQ136" s="54">
        <v>188355.0</v>
      </c>
      <c r="CR136" s="54">
        <v>157772.0</v>
      </c>
      <c r="CS136" s="54">
        <v>133462.0</v>
      </c>
      <c r="CT136" s="54">
        <v>183383.0</v>
      </c>
      <c r="CU136" s="54">
        <v>106039.0</v>
      </c>
      <c r="CV136" s="54">
        <v>198566.0</v>
      </c>
      <c r="CW136" s="54">
        <v>21602.0</v>
      </c>
      <c r="CX136" s="54">
        <v>52084.0</v>
      </c>
      <c r="CY136" s="54">
        <v>3545.0</v>
      </c>
      <c r="CZ136" s="54">
        <v>61811.0</v>
      </c>
      <c r="DA136" s="54">
        <v>94176.0</v>
      </c>
      <c r="DB136" s="54">
        <v>69300.0</v>
      </c>
      <c r="DC136" s="54">
        <v>849435.0</v>
      </c>
      <c r="DD136" s="54">
        <v>28087.0</v>
      </c>
      <c r="DE136" s="54">
        <v>31821.0</v>
      </c>
      <c r="DF136" s="54">
        <v>38208.0</v>
      </c>
      <c r="DG136" s="54">
        <v>7780.0</v>
      </c>
      <c r="DH136" s="54">
        <v>105698.0</v>
      </c>
      <c r="DI136" s="54">
        <v>75143.0</v>
      </c>
      <c r="DJ136" s="54">
        <v>84719.0</v>
      </c>
      <c r="DK136" s="54">
        <v>103472.0</v>
      </c>
      <c r="DL136" s="54">
        <v>403905.0</v>
      </c>
      <c r="DM136" s="54">
        <v>148116.0</v>
      </c>
      <c r="DN136" s="54">
        <v>16441.0</v>
      </c>
      <c r="DO136" s="54">
        <v>253146.0</v>
      </c>
      <c r="DP136" s="54">
        <v>26003.0</v>
      </c>
      <c r="DQ136" s="54">
        <v>131249.0</v>
      </c>
      <c r="DR136" s="54">
        <v>611355.0</v>
      </c>
      <c r="DS136" s="54">
        <v>75872.0</v>
      </c>
      <c r="DT136" s="54">
        <v>3803.0</v>
      </c>
      <c r="DU136" s="54">
        <v>9169.0</v>
      </c>
      <c r="DV136" s="54">
        <v>27139.0</v>
      </c>
      <c r="DW136" s="54">
        <v>17424.0</v>
      </c>
      <c r="DX136" s="54">
        <v>393820.0</v>
      </c>
      <c r="DY136" s="54">
        <v>50315.0</v>
      </c>
      <c r="DZ136" s="54">
        <v>3001098.0</v>
      </c>
      <c r="EA136" s="54">
        <v>31133.0</v>
      </c>
      <c r="EB136" s="54">
        <v>279553.0</v>
      </c>
      <c r="EC136" s="54">
        <v>1.33600886E8</v>
      </c>
      <c r="ED136" s="54">
        <v>86696.0</v>
      </c>
      <c r="EE136" s="54">
        <v>11743.0</v>
      </c>
      <c r="EF136" s="54">
        <v>4083.0</v>
      </c>
      <c r="EG136" s="54">
        <v>161724.0</v>
      </c>
      <c r="EH136" s="54">
        <v>1672783.0</v>
      </c>
      <c r="EI136" s="54">
        <v>94761.0</v>
      </c>
      <c r="EJ136" s="54">
        <v>0.0</v>
      </c>
      <c r="EK136" s="54">
        <v>11244.0</v>
      </c>
      <c r="EL136" s="54">
        <v>1303.0</v>
      </c>
      <c r="EM136" s="54">
        <v>269.0</v>
      </c>
      <c r="EN136" s="54">
        <v>596.0</v>
      </c>
      <c r="EO136" s="54">
        <v>23252.0</v>
      </c>
      <c r="EP136" s="54">
        <v>2550955.0</v>
      </c>
      <c r="EQ136" s="54">
        <v>188407.0</v>
      </c>
      <c r="ER136" s="54">
        <v>35.0</v>
      </c>
      <c r="ES136" s="54">
        <v>106252.0</v>
      </c>
      <c r="ET136" s="54">
        <v>47805.0</v>
      </c>
      <c r="EU136" s="54">
        <v>236848.0</v>
      </c>
      <c r="EV136" s="54">
        <v>583959.0</v>
      </c>
      <c r="EW136" s="54">
        <v>23655.0</v>
      </c>
      <c r="EX136" s="54">
        <v>1179285.0</v>
      </c>
      <c r="EY136" s="54">
        <v>1.3662673E7</v>
      </c>
      <c r="EZ136" s="54">
        <v>1992134.0</v>
      </c>
      <c r="FA136" s="54">
        <v>2658576.0</v>
      </c>
      <c r="FB136" s="54">
        <v>1.5619646E7</v>
      </c>
      <c r="FC136" s="54">
        <v>606.0</v>
      </c>
      <c r="FD136" s="54">
        <v>2.7568996E7</v>
      </c>
      <c r="FE136" s="54">
        <v>336786.0</v>
      </c>
      <c r="FF136" s="54">
        <v>226878.0</v>
      </c>
      <c r="FG136" s="54">
        <v>1521886.0</v>
      </c>
      <c r="FH136" s="54">
        <v>1157699.0</v>
      </c>
      <c r="FI136" s="54">
        <v>410430.0</v>
      </c>
      <c r="FJ136" s="54">
        <v>43809.0</v>
      </c>
      <c r="FK136" s="54">
        <v>208600.0</v>
      </c>
      <c r="FL136" s="54">
        <v>103127.0</v>
      </c>
      <c r="FM136" s="54">
        <v>83883.0</v>
      </c>
      <c r="FN136" s="54">
        <v>177403.0</v>
      </c>
      <c r="FO136" s="54">
        <v>34659.0</v>
      </c>
      <c r="FP136" s="54">
        <v>2436115.0</v>
      </c>
      <c r="FQ136" s="54">
        <v>456246.0</v>
      </c>
      <c r="FR136" s="54">
        <v>108.0</v>
      </c>
      <c r="FS136" s="54">
        <v>120754.0</v>
      </c>
      <c r="FT136" s="54">
        <v>4798034.0</v>
      </c>
      <c r="FU136" s="54">
        <v>3988320.0</v>
      </c>
      <c r="FV136" s="54">
        <v>7768401.0</v>
      </c>
      <c r="FW136" s="54">
        <v>3208749.0</v>
      </c>
      <c r="FX136" s="54">
        <v>11158.0</v>
      </c>
      <c r="FY136" s="54">
        <v>29619.0</v>
      </c>
      <c r="FZ136" s="54">
        <v>1130.0</v>
      </c>
      <c r="GA136" s="54">
        <v>878915.0</v>
      </c>
      <c r="GB136" s="54">
        <v>942236.0</v>
      </c>
      <c r="GC136" s="54">
        <v>591148.0</v>
      </c>
      <c r="GD136" s="54">
        <v>65377.0</v>
      </c>
      <c r="GE136" s="54">
        <v>81841.0</v>
      </c>
      <c r="GF136" s="55">
        <v>2.62650645E8</v>
      </c>
      <c r="GG136" s="56">
        <v>1.8955063E8</v>
      </c>
      <c r="GH136" s="57">
        <v>0.0</v>
      </c>
      <c r="GI136" s="56">
        <v>0.0</v>
      </c>
      <c r="GJ136" s="56">
        <v>1.91417047E8</v>
      </c>
      <c r="GK136" s="56">
        <v>1.5782943E7</v>
      </c>
      <c r="GL136" s="56">
        <v>6.9012967E7</v>
      </c>
      <c r="GM136" s="56">
        <v>0.0</v>
      </c>
      <c r="GN136" s="55">
        <v>4.65763587E8</v>
      </c>
      <c r="GO136" s="58">
        <v>7.28414232E8</v>
      </c>
      <c r="GP136" s="56">
        <v>5.3163279E7</v>
      </c>
      <c r="GQ136" s="56">
        <v>0.0</v>
      </c>
      <c r="GR136" s="57">
        <v>0.0</v>
      </c>
      <c r="GS136" s="55">
        <v>5.3163279E7</v>
      </c>
      <c r="GT136" s="59">
        <v>1.09283366E8</v>
      </c>
      <c r="GU136" s="59">
        <v>8.567785E7</v>
      </c>
      <c r="GV136" s="59">
        <v>5.6344517E7</v>
      </c>
      <c r="GW136" s="55">
        <v>2.51305733E8</v>
      </c>
      <c r="GX136" s="55">
        <v>1.7509359E7</v>
      </c>
      <c r="GY136" s="55">
        <v>4.06435861E8</v>
      </c>
      <c r="GZ136" s="58">
        <v>7.28414232E8</v>
      </c>
      <c r="HH136" s="106"/>
    </row>
    <row r="137" ht="15.75" customHeight="1">
      <c r="A137" s="60">
        <v>132.0</v>
      </c>
      <c r="B137" s="111" t="s">
        <v>402</v>
      </c>
      <c r="C137" s="62">
        <v>0.0</v>
      </c>
      <c r="D137" s="62">
        <v>0.0</v>
      </c>
      <c r="E137" s="62">
        <v>0.0</v>
      </c>
      <c r="F137" s="62">
        <v>0.0</v>
      </c>
      <c r="G137" s="62">
        <v>0.0</v>
      </c>
      <c r="H137" s="62">
        <v>0.0</v>
      </c>
      <c r="I137" s="62">
        <v>0.0</v>
      </c>
      <c r="J137" s="62">
        <v>0.0</v>
      </c>
      <c r="K137" s="62">
        <v>0.0</v>
      </c>
      <c r="L137" s="62">
        <v>0.0</v>
      </c>
      <c r="M137" s="62">
        <v>0.0</v>
      </c>
      <c r="N137" s="62">
        <v>0.0</v>
      </c>
      <c r="O137" s="62">
        <v>0.0</v>
      </c>
      <c r="P137" s="62">
        <v>0.0</v>
      </c>
      <c r="Q137" s="62">
        <v>0.0</v>
      </c>
      <c r="R137" s="62">
        <v>0.0</v>
      </c>
      <c r="S137" s="62">
        <v>0.0</v>
      </c>
      <c r="T137" s="62">
        <v>0.0</v>
      </c>
      <c r="U137" s="62">
        <v>0.0</v>
      </c>
      <c r="V137" s="62">
        <v>0.0</v>
      </c>
      <c r="W137" s="62">
        <v>0.0</v>
      </c>
      <c r="X137" s="62">
        <v>0.0</v>
      </c>
      <c r="Y137" s="62">
        <v>0.0</v>
      </c>
      <c r="Z137" s="62">
        <v>0.0</v>
      </c>
      <c r="AA137" s="62">
        <v>0.0</v>
      </c>
      <c r="AB137" s="62">
        <v>0.0</v>
      </c>
      <c r="AC137" s="62">
        <v>0.0</v>
      </c>
      <c r="AD137" s="62">
        <v>0.0</v>
      </c>
      <c r="AE137" s="62">
        <v>0.0</v>
      </c>
      <c r="AF137" s="62">
        <v>332.0</v>
      </c>
      <c r="AG137" s="62">
        <v>0.0</v>
      </c>
      <c r="AH137" s="62">
        <v>0.0</v>
      </c>
      <c r="AI137" s="62">
        <v>83370.0</v>
      </c>
      <c r="AJ137" s="62">
        <v>25189.0</v>
      </c>
      <c r="AK137" s="62">
        <v>7523.0</v>
      </c>
      <c r="AL137" s="62">
        <v>2640.0</v>
      </c>
      <c r="AM137" s="62">
        <v>39958.0</v>
      </c>
      <c r="AN137" s="62">
        <v>5092.0</v>
      </c>
      <c r="AO137" s="62">
        <v>11681.0</v>
      </c>
      <c r="AP137" s="62">
        <v>181.0</v>
      </c>
      <c r="AQ137" s="62">
        <v>94.0</v>
      </c>
      <c r="AR137" s="62">
        <v>94.0</v>
      </c>
      <c r="AS137" s="62">
        <v>837.0</v>
      </c>
      <c r="AT137" s="62">
        <v>123.0</v>
      </c>
      <c r="AU137" s="62">
        <v>118.0</v>
      </c>
      <c r="AV137" s="62">
        <v>8341.0</v>
      </c>
      <c r="AW137" s="62">
        <v>130.0</v>
      </c>
      <c r="AX137" s="62">
        <v>0.0</v>
      </c>
      <c r="AY137" s="62">
        <v>0.0</v>
      </c>
      <c r="AZ137" s="62">
        <v>0.0</v>
      </c>
      <c r="BA137" s="62">
        <v>0.0</v>
      </c>
      <c r="BB137" s="62">
        <v>0.0</v>
      </c>
      <c r="BC137" s="62">
        <v>0.0</v>
      </c>
      <c r="BD137" s="62">
        <v>0.0</v>
      </c>
      <c r="BE137" s="62">
        <v>0.0</v>
      </c>
      <c r="BF137" s="62">
        <v>0.0</v>
      </c>
      <c r="BG137" s="62">
        <v>0.0</v>
      </c>
      <c r="BH137" s="62">
        <v>0.0</v>
      </c>
      <c r="BI137" s="62">
        <v>0.0</v>
      </c>
      <c r="BJ137" s="62">
        <v>0.0</v>
      </c>
      <c r="BK137" s="62">
        <v>0.0</v>
      </c>
      <c r="BL137" s="62">
        <v>0.0</v>
      </c>
      <c r="BM137" s="62">
        <v>0.0</v>
      </c>
      <c r="BN137" s="62">
        <v>0.0</v>
      </c>
      <c r="BO137" s="62">
        <v>0.0</v>
      </c>
      <c r="BP137" s="62">
        <v>0.0</v>
      </c>
      <c r="BQ137" s="62">
        <v>0.0</v>
      </c>
      <c r="BR137" s="62">
        <v>0.0</v>
      </c>
      <c r="BS137" s="62">
        <v>0.0</v>
      </c>
      <c r="BT137" s="62">
        <v>0.0</v>
      </c>
      <c r="BU137" s="62">
        <v>0.0</v>
      </c>
      <c r="BV137" s="62">
        <v>0.0</v>
      </c>
      <c r="BW137" s="62">
        <v>0.0</v>
      </c>
      <c r="BX137" s="62">
        <v>0.0</v>
      </c>
      <c r="BY137" s="62">
        <v>0.0</v>
      </c>
      <c r="BZ137" s="62">
        <v>0.0</v>
      </c>
      <c r="CA137" s="62">
        <v>0.0</v>
      </c>
      <c r="CB137" s="62">
        <v>0.0</v>
      </c>
      <c r="CC137" s="62">
        <v>0.0</v>
      </c>
      <c r="CD137" s="62">
        <v>0.0</v>
      </c>
      <c r="CE137" s="62">
        <v>0.0</v>
      </c>
      <c r="CF137" s="62">
        <v>0.0</v>
      </c>
      <c r="CG137" s="62">
        <v>0.0</v>
      </c>
      <c r="CH137" s="62">
        <v>0.0</v>
      </c>
      <c r="CI137" s="62">
        <v>0.0</v>
      </c>
      <c r="CJ137" s="62">
        <v>0.0</v>
      </c>
      <c r="CK137" s="62">
        <v>0.0</v>
      </c>
      <c r="CL137" s="62">
        <v>0.0</v>
      </c>
      <c r="CM137" s="62">
        <v>0.0</v>
      </c>
      <c r="CN137" s="62">
        <v>0.0</v>
      </c>
      <c r="CO137" s="62">
        <v>0.0</v>
      </c>
      <c r="CP137" s="62">
        <v>0.0</v>
      </c>
      <c r="CQ137" s="62">
        <v>0.0</v>
      </c>
      <c r="CR137" s="62">
        <v>0.0</v>
      </c>
      <c r="CS137" s="62">
        <v>0.0</v>
      </c>
      <c r="CT137" s="62">
        <v>0.0</v>
      </c>
      <c r="CU137" s="62">
        <v>0.0</v>
      </c>
      <c r="CV137" s="62">
        <v>0.0</v>
      </c>
      <c r="CW137" s="62">
        <v>0.0</v>
      </c>
      <c r="CX137" s="62">
        <v>0.0</v>
      </c>
      <c r="CY137" s="62">
        <v>0.0</v>
      </c>
      <c r="CZ137" s="62">
        <v>0.0</v>
      </c>
      <c r="DA137" s="62">
        <v>0.0</v>
      </c>
      <c r="DB137" s="62">
        <v>0.0</v>
      </c>
      <c r="DC137" s="62">
        <v>0.0</v>
      </c>
      <c r="DD137" s="62">
        <v>0.0</v>
      </c>
      <c r="DE137" s="62">
        <v>0.0</v>
      </c>
      <c r="DF137" s="62">
        <v>0.0</v>
      </c>
      <c r="DG137" s="62">
        <v>0.0</v>
      </c>
      <c r="DH137" s="62">
        <v>0.0</v>
      </c>
      <c r="DI137" s="62">
        <v>0.0</v>
      </c>
      <c r="DJ137" s="62">
        <v>0.0</v>
      </c>
      <c r="DK137" s="62">
        <v>0.0</v>
      </c>
      <c r="DL137" s="62">
        <v>0.0</v>
      </c>
      <c r="DM137" s="62">
        <v>0.0</v>
      </c>
      <c r="DN137" s="62">
        <v>0.0</v>
      </c>
      <c r="DO137" s="62">
        <v>0.0</v>
      </c>
      <c r="DP137" s="62">
        <v>0.0</v>
      </c>
      <c r="DQ137" s="62">
        <v>0.0</v>
      </c>
      <c r="DR137" s="62">
        <v>0.0</v>
      </c>
      <c r="DS137" s="62">
        <v>0.0</v>
      </c>
      <c r="DT137" s="62">
        <v>0.0</v>
      </c>
      <c r="DU137" s="62">
        <v>0.0</v>
      </c>
      <c r="DV137" s="62">
        <v>0.0</v>
      </c>
      <c r="DW137" s="62">
        <v>0.0</v>
      </c>
      <c r="DX137" s="62">
        <v>0.0</v>
      </c>
      <c r="DY137" s="62">
        <v>0.0</v>
      </c>
      <c r="DZ137" s="62">
        <v>0.0</v>
      </c>
      <c r="EA137" s="62">
        <v>0.0</v>
      </c>
      <c r="EB137" s="62">
        <v>0.0</v>
      </c>
      <c r="EC137" s="62">
        <v>0.0</v>
      </c>
      <c r="ED137" s="62">
        <v>8206539.0</v>
      </c>
      <c r="EE137" s="62">
        <v>0.0</v>
      </c>
      <c r="EF137" s="62">
        <v>0.0</v>
      </c>
      <c r="EG137" s="62">
        <v>0.0</v>
      </c>
      <c r="EH137" s="62">
        <v>0.0</v>
      </c>
      <c r="EI137" s="62">
        <v>0.0</v>
      </c>
      <c r="EJ137" s="62">
        <v>0.0</v>
      </c>
      <c r="EK137" s="62">
        <v>0.0</v>
      </c>
      <c r="EL137" s="62">
        <v>0.0</v>
      </c>
      <c r="EM137" s="62">
        <v>0.0</v>
      </c>
      <c r="EN137" s="62">
        <v>0.0</v>
      </c>
      <c r="EO137" s="62">
        <v>0.0</v>
      </c>
      <c r="EP137" s="62">
        <v>0.0</v>
      </c>
      <c r="EQ137" s="62">
        <v>2234.0</v>
      </c>
      <c r="ER137" s="62">
        <v>0.0</v>
      </c>
      <c r="ES137" s="62">
        <v>0.0</v>
      </c>
      <c r="ET137" s="62">
        <v>0.0</v>
      </c>
      <c r="EU137" s="62">
        <v>0.0</v>
      </c>
      <c r="EV137" s="62">
        <v>0.0</v>
      </c>
      <c r="EW137" s="62">
        <v>0.0</v>
      </c>
      <c r="EX137" s="62">
        <v>0.0</v>
      </c>
      <c r="EY137" s="62">
        <v>0.0</v>
      </c>
      <c r="EZ137" s="62">
        <v>0.0</v>
      </c>
      <c r="FA137" s="62">
        <v>0.0</v>
      </c>
      <c r="FB137" s="62">
        <v>21815.0</v>
      </c>
      <c r="FC137" s="62">
        <v>0.0</v>
      </c>
      <c r="FD137" s="62">
        <v>0.0</v>
      </c>
      <c r="FE137" s="62">
        <v>5803574.0</v>
      </c>
      <c r="FF137" s="62">
        <v>2597085.0</v>
      </c>
      <c r="FG137" s="62">
        <v>0.0</v>
      </c>
      <c r="FH137" s="62">
        <v>0.0</v>
      </c>
      <c r="FI137" s="62">
        <v>0.0</v>
      </c>
      <c r="FJ137" s="62">
        <v>117.0</v>
      </c>
      <c r="FK137" s="62">
        <v>251.0</v>
      </c>
      <c r="FL137" s="62">
        <v>0.0</v>
      </c>
      <c r="FM137" s="62">
        <v>0.0</v>
      </c>
      <c r="FN137" s="62">
        <v>0.0</v>
      </c>
      <c r="FO137" s="62">
        <v>0.0</v>
      </c>
      <c r="FP137" s="62">
        <v>0.0</v>
      </c>
      <c r="FQ137" s="62">
        <v>0.0</v>
      </c>
      <c r="FR137" s="62">
        <v>0.0</v>
      </c>
      <c r="FS137" s="62">
        <v>0.0</v>
      </c>
      <c r="FT137" s="62">
        <v>0.0</v>
      </c>
      <c r="FU137" s="62">
        <v>0.0</v>
      </c>
      <c r="FV137" s="62">
        <v>0.0</v>
      </c>
      <c r="FW137" s="62">
        <v>0.0</v>
      </c>
      <c r="FX137" s="62">
        <v>0.0</v>
      </c>
      <c r="FY137" s="62">
        <v>0.0</v>
      </c>
      <c r="FZ137" s="62">
        <v>0.0</v>
      </c>
      <c r="GA137" s="62">
        <v>0.0</v>
      </c>
      <c r="GB137" s="62">
        <v>0.0</v>
      </c>
      <c r="GC137" s="62">
        <v>0.0</v>
      </c>
      <c r="GD137" s="62">
        <v>0.0</v>
      </c>
      <c r="GE137" s="62">
        <v>0.0</v>
      </c>
      <c r="GF137" s="63">
        <v>1.6817318E7</v>
      </c>
      <c r="GG137" s="64">
        <v>57622.0</v>
      </c>
      <c r="GH137" s="65">
        <v>0.0</v>
      </c>
      <c r="GI137" s="64">
        <v>0.0</v>
      </c>
      <c r="GJ137" s="64">
        <v>4.6596801E7</v>
      </c>
      <c r="GK137" s="64">
        <v>-3819060.0</v>
      </c>
      <c r="GL137" s="64">
        <v>3343930.0</v>
      </c>
      <c r="GM137" s="64">
        <v>0.0</v>
      </c>
      <c r="GN137" s="63">
        <v>4.6179293E7</v>
      </c>
      <c r="GO137" s="66">
        <v>6.2996611E7</v>
      </c>
      <c r="GP137" s="64">
        <v>1.451629E7</v>
      </c>
      <c r="GQ137" s="64">
        <v>0.0</v>
      </c>
      <c r="GR137" s="65">
        <v>0.0</v>
      </c>
      <c r="GS137" s="63">
        <v>1.451629E7</v>
      </c>
      <c r="GT137" s="67">
        <v>4979366.0</v>
      </c>
      <c r="GU137" s="67">
        <v>0.0</v>
      </c>
      <c r="GV137" s="67">
        <v>1379938.0</v>
      </c>
      <c r="GW137" s="63">
        <v>6359304.0</v>
      </c>
      <c r="GX137" s="63">
        <v>2561518.0</v>
      </c>
      <c r="GY137" s="63">
        <v>3.9559499E7</v>
      </c>
      <c r="GZ137" s="66">
        <v>6.2996611E7</v>
      </c>
      <c r="HH137" s="106"/>
    </row>
    <row r="138" ht="15.75" customHeight="1">
      <c r="A138" s="60">
        <v>133.0</v>
      </c>
      <c r="B138" s="111" t="s">
        <v>607</v>
      </c>
      <c r="C138" s="62">
        <v>0.0</v>
      </c>
      <c r="D138" s="62">
        <v>0.0</v>
      </c>
      <c r="E138" s="62">
        <v>0.0</v>
      </c>
      <c r="F138" s="62">
        <v>0.0</v>
      </c>
      <c r="G138" s="62">
        <v>0.0</v>
      </c>
      <c r="H138" s="62">
        <v>0.0</v>
      </c>
      <c r="I138" s="62">
        <v>0.0</v>
      </c>
      <c r="J138" s="62">
        <v>0.0</v>
      </c>
      <c r="K138" s="62">
        <v>0.0</v>
      </c>
      <c r="L138" s="62">
        <v>0.0</v>
      </c>
      <c r="M138" s="62">
        <v>0.0</v>
      </c>
      <c r="N138" s="62">
        <v>0.0</v>
      </c>
      <c r="O138" s="62">
        <v>0.0</v>
      </c>
      <c r="P138" s="62">
        <v>0.0</v>
      </c>
      <c r="Q138" s="62">
        <v>0.0</v>
      </c>
      <c r="R138" s="62">
        <v>0.0</v>
      </c>
      <c r="S138" s="62">
        <v>0.0</v>
      </c>
      <c r="T138" s="62">
        <v>0.0</v>
      </c>
      <c r="U138" s="62">
        <v>0.0</v>
      </c>
      <c r="V138" s="62">
        <v>0.0</v>
      </c>
      <c r="W138" s="62">
        <v>0.0</v>
      </c>
      <c r="X138" s="62">
        <v>0.0</v>
      </c>
      <c r="Y138" s="62">
        <v>0.0</v>
      </c>
      <c r="Z138" s="62">
        <v>0.0</v>
      </c>
      <c r="AA138" s="62">
        <v>0.0</v>
      </c>
      <c r="AB138" s="62">
        <v>0.0</v>
      </c>
      <c r="AC138" s="62">
        <v>0.0</v>
      </c>
      <c r="AD138" s="62">
        <v>0.0</v>
      </c>
      <c r="AE138" s="62">
        <v>0.0</v>
      </c>
      <c r="AF138" s="62">
        <v>0.0</v>
      </c>
      <c r="AG138" s="62">
        <v>0.0</v>
      </c>
      <c r="AH138" s="62">
        <v>0.0</v>
      </c>
      <c r="AI138" s="62">
        <v>0.0</v>
      </c>
      <c r="AJ138" s="62">
        <v>0.0</v>
      </c>
      <c r="AK138" s="62">
        <v>0.0</v>
      </c>
      <c r="AL138" s="62">
        <v>0.0</v>
      </c>
      <c r="AM138" s="62">
        <v>57558.0</v>
      </c>
      <c r="AN138" s="62">
        <v>0.0</v>
      </c>
      <c r="AO138" s="62">
        <v>0.0</v>
      </c>
      <c r="AP138" s="62">
        <v>0.0</v>
      </c>
      <c r="AQ138" s="62">
        <v>0.0</v>
      </c>
      <c r="AR138" s="62">
        <v>0.0</v>
      </c>
      <c r="AS138" s="62">
        <v>0.0</v>
      </c>
      <c r="AT138" s="62">
        <v>0.0</v>
      </c>
      <c r="AU138" s="62">
        <v>0.0</v>
      </c>
      <c r="AV138" s="62">
        <v>0.0</v>
      </c>
      <c r="AW138" s="62">
        <v>0.0</v>
      </c>
      <c r="AX138" s="62">
        <v>0.0</v>
      </c>
      <c r="AY138" s="62">
        <v>0.0</v>
      </c>
      <c r="AZ138" s="62">
        <v>0.0</v>
      </c>
      <c r="BA138" s="62">
        <v>0.0</v>
      </c>
      <c r="BB138" s="62">
        <v>0.0</v>
      </c>
      <c r="BC138" s="62">
        <v>0.0</v>
      </c>
      <c r="BD138" s="62">
        <v>0.0</v>
      </c>
      <c r="BE138" s="62">
        <v>0.0</v>
      </c>
      <c r="BF138" s="62">
        <v>0.0</v>
      </c>
      <c r="BG138" s="62">
        <v>0.0</v>
      </c>
      <c r="BH138" s="62">
        <v>0.0</v>
      </c>
      <c r="BI138" s="62">
        <v>0.0</v>
      </c>
      <c r="BJ138" s="62">
        <v>0.0</v>
      </c>
      <c r="BK138" s="62">
        <v>0.0</v>
      </c>
      <c r="BL138" s="62">
        <v>0.0</v>
      </c>
      <c r="BM138" s="62">
        <v>0.0</v>
      </c>
      <c r="BN138" s="62">
        <v>0.0</v>
      </c>
      <c r="BO138" s="62">
        <v>0.0</v>
      </c>
      <c r="BP138" s="62">
        <v>0.0</v>
      </c>
      <c r="BQ138" s="62">
        <v>0.0</v>
      </c>
      <c r="BR138" s="62">
        <v>0.0</v>
      </c>
      <c r="BS138" s="62">
        <v>0.0</v>
      </c>
      <c r="BT138" s="62">
        <v>0.0</v>
      </c>
      <c r="BU138" s="62">
        <v>0.0</v>
      </c>
      <c r="BV138" s="62">
        <v>0.0</v>
      </c>
      <c r="BW138" s="62">
        <v>0.0</v>
      </c>
      <c r="BX138" s="62">
        <v>0.0</v>
      </c>
      <c r="BY138" s="62">
        <v>0.0</v>
      </c>
      <c r="BZ138" s="62">
        <v>0.0</v>
      </c>
      <c r="CA138" s="62">
        <v>0.0</v>
      </c>
      <c r="CB138" s="62">
        <v>0.0</v>
      </c>
      <c r="CC138" s="62">
        <v>0.0</v>
      </c>
      <c r="CD138" s="62">
        <v>0.0</v>
      </c>
      <c r="CE138" s="62">
        <v>0.0</v>
      </c>
      <c r="CF138" s="62">
        <v>0.0</v>
      </c>
      <c r="CG138" s="62">
        <v>0.0</v>
      </c>
      <c r="CH138" s="62">
        <v>0.0</v>
      </c>
      <c r="CI138" s="62">
        <v>0.0</v>
      </c>
      <c r="CJ138" s="62">
        <v>0.0</v>
      </c>
      <c r="CK138" s="62">
        <v>0.0</v>
      </c>
      <c r="CL138" s="62">
        <v>0.0</v>
      </c>
      <c r="CM138" s="62">
        <v>0.0</v>
      </c>
      <c r="CN138" s="62">
        <v>0.0</v>
      </c>
      <c r="CO138" s="62">
        <v>0.0</v>
      </c>
      <c r="CP138" s="62">
        <v>0.0</v>
      </c>
      <c r="CQ138" s="62">
        <v>0.0</v>
      </c>
      <c r="CR138" s="62">
        <v>0.0</v>
      </c>
      <c r="CS138" s="62">
        <v>0.0</v>
      </c>
      <c r="CT138" s="62">
        <v>0.0</v>
      </c>
      <c r="CU138" s="62">
        <v>0.0</v>
      </c>
      <c r="CV138" s="62">
        <v>0.0</v>
      </c>
      <c r="CW138" s="62">
        <v>0.0</v>
      </c>
      <c r="CX138" s="62">
        <v>0.0</v>
      </c>
      <c r="CY138" s="62">
        <v>0.0</v>
      </c>
      <c r="CZ138" s="62">
        <v>0.0</v>
      </c>
      <c r="DA138" s="62">
        <v>0.0</v>
      </c>
      <c r="DB138" s="62">
        <v>0.0</v>
      </c>
      <c r="DC138" s="62">
        <v>0.0</v>
      </c>
      <c r="DD138" s="62">
        <v>0.0</v>
      </c>
      <c r="DE138" s="62">
        <v>0.0</v>
      </c>
      <c r="DF138" s="62">
        <v>0.0</v>
      </c>
      <c r="DG138" s="62">
        <v>0.0</v>
      </c>
      <c r="DH138" s="62">
        <v>0.0</v>
      </c>
      <c r="DI138" s="62">
        <v>0.0</v>
      </c>
      <c r="DJ138" s="62">
        <v>0.0</v>
      </c>
      <c r="DK138" s="62">
        <v>0.0</v>
      </c>
      <c r="DL138" s="62">
        <v>0.0</v>
      </c>
      <c r="DM138" s="62">
        <v>0.0</v>
      </c>
      <c r="DN138" s="62">
        <v>0.0</v>
      </c>
      <c r="DO138" s="62">
        <v>0.0</v>
      </c>
      <c r="DP138" s="62">
        <v>0.0</v>
      </c>
      <c r="DQ138" s="62">
        <v>0.0</v>
      </c>
      <c r="DR138" s="62">
        <v>0.0</v>
      </c>
      <c r="DS138" s="62">
        <v>0.0</v>
      </c>
      <c r="DT138" s="62">
        <v>0.0</v>
      </c>
      <c r="DU138" s="62">
        <v>0.0</v>
      </c>
      <c r="DV138" s="62">
        <v>0.0</v>
      </c>
      <c r="DW138" s="62">
        <v>0.0</v>
      </c>
      <c r="DX138" s="62">
        <v>0.0</v>
      </c>
      <c r="DY138" s="62">
        <v>0.0</v>
      </c>
      <c r="DZ138" s="62">
        <v>0.0</v>
      </c>
      <c r="EA138" s="62">
        <v>0.0</v>
      </c>
      <c r="EB138" s="62">
        <v>0.0</v>
      </c>
      <c r="EC138" s="62">
        <v>0.0</v>
      </c>
      <c r="ED138" s="62">
        <v>0.0</v>
      </c>
      <c r="EE138" s="62">
        <v>447565.0</v>
      </c>
      <c r="EF138" s="62">
        <v>0.0</v>
      </c>
      <c r="EG138" s="62">
        <v>0.0</v>
      </c>
      <c r="EH138" s="62">
        <v>0.0</v>
      </c>
      <c r="EI138" s="62">
        <v>0.0</v>
      </c>
      <c r="EJ138" s="62">
        <v>0.0</v>
      </c>
      <c r="EK138" s="62">
        <v>0.0</v>
      </c>
      <c r="EL138" s="62">
        <v>0.0</v>
      </c>
      <c r="EM138" s="62">
        <v>0.0</v>
      </c>
      <c r="EN138" s="62">
        <v>0.0</v>
      </c>
      <c r="EO138" s="62">
        <v>0.0</v>
      </c>
      <c r="EP138" s="62">
        <v>0.0</v>
      </c>
      <c r="EQ138" s="62">
        <v>0.0</v>
      </c>
      <c r="ER138" s="62">
        <v>0.0</v>
      </c>
      <c r="ES138" s="62">
        <v>0.0</v>
      </c>
      <c r="ET138" s="62">
        <v>0.0</v>
      </c>
      <c r="EU138" s="62">
        <v>0.0</v>
      </c>
      <c r="EV138" s="62">
        <v>0.0</v>
      </c>
      <c r="EW138" s="62">
        <v>0.0</v>
      </c>
      <c r="EX138" s="62">
        <v>0.0</v>
      </c>
      <c r="EY138" s="62">
        <v>0.0</v>
      </c>
      <c r="EZ138" s="62">
        <v>0.0</v>
      </c>
      <c r="FA138" s="62">
        <v>0.0</v>
      </c>
      <c r="FB138" s="62">
        <v>0.0</v>
      </c>
      <c r="FC138" s="62">
        <v>395397.0</v>
      </c>
      <c r="FD138" s="62">
        <v>0.0</v>
      </c>
      <c r="FE138" s="62">
        <v>0.0</v>
      </c>
      <c r="FF138" s="62">
        <v>0.0</v>
      </c>
      <c r="FG138" s="62">
        <v>0.0</v>
      </c>
      <c r="FH138" s="62">
        <v>0.0</v>
      </c>
      <c r="FI138" s="62">
        <v>0.0</v>
      </c>
      <c r="FJ138" s="62">
        <v>0.0</v>
      </c>
      <c r="FK138" s="62">
        <v>0.0</v>
      </c>
      <c r="FL138" s="62">
        <v>0.0</v>
      </c>
      <c r="FM138" s="62">
        <v>0.0</v>
      </c>
      <c r="FN138" s="62">
        <v>0.0</v>
      </c>
      <c r="FO138" s="62">
        <v>0.0</v>
      </c>
      <c r="FP138" s="62">
        <v>0.0</v>
      </c>
      <c r="FQ138" s="62">
        <v>0.0</v>
      </c>
      <c r="FR138" s="62">
        <v>0.0</v>
      </c>
      <c r="FS138" s="62">
        <v>0.0</v>
      </c>
      <c r="FT138" s="62">
        <v>0.0</v>
      </c>
      <c r="FU138" s="62">
        <v>0.0</v>
      </c>
      <c r="FV138" s="62">
        <v>0.0</v>
      </c>
      <c r="FW138" s="62">
        <v>0.0</v>
      </c>
      <c r="FX138" s="62">
        <v>0.0</v>
      </c>
      <c r="FY138" s="62">
        <v>0.0</v>
      </c>
      <c r="FZ138" s="62">
        <v>0.0</v>
      </c>
      <c r="GA138" s="62">
        <v>0.0</v>
      </c>
      <c r="GB138" s="62">
        <v>0.0</v>
      </c>
      <c r="GC138" s="62">
        <v>0.0</v>
      </c>
      <c r="GD138" s="62">
        <v>0.0</v>
      </c>
      <c r="GE138" s="62">
        <v>0.0</v>
      </c>
      <c r="GF138" s="63">
        <v>900520.0</v>
      </c>
      <c r="GG138" s="64">
        <v>0.0</v>
      </c>
      <c r="GH138" s="65">
        <v>0.0</v>
      </c>
      <c r="GI138" s="64">
        <v>0.0</v>
      </c>
      <c r="GJ138" s="64">
        <v>4042261.0</v>
      </c>
      <c r="GK138" s="64">
        <v>-224598.0</v>
      </c>
      <c r="GL138" s="64">
        <v>1312421.0</v>
      </c>
      <c r="GM138" s="64">
        <v>0.0</v>
      </c>
      <c r="GN138" s="63">
        <v>5130084.0</v>
      </c>
      <c r="GO138" s="66">
        <v>6030604.0</v>
      </c>
      <c r="GP138" s="64">
        <v>1743467.0</v>
      </c>
      <c r="GQ138" s="64">
        <v>0.0</v>
      </c>
      <c r="GR138" s="65">
        <v>0.0</v>
      </c>
      <c r="GS138" s="63">
        <v>1743467.0</v>
      </c>
      <c r="GT138" s="67">
        <v>0.0</v>
      </c>
      <c r="GU138" s="67">
        <v>0.0</v>
      </c>
      <c r="GV138" s="67">
        <v>0.0</v>
      </c>
      <c r="GW138" s="63">
        <v>0.0</v>
      </c>
      <c r="GX138" s="63">
        <v>148960.0</v>
      </c>
      <c r="GY138" s="63">
        <v>4138177.0</v>
      </c>
      <c r="GZ138" s="66">
        <v>6030604.0</v>
      </c>
      <c r="HH138" s="106"/>
    </row>
    <row r="139" ht="15.75" customHeight="1">
      <c r="A139" s="60">
        <v>134.0</v>
      </c>
      <c r="B139" s="111" t="s">
        <v>404</v>
      </c>
      <c r="C139" s="62">
        <v>0.0</v>
      </c>
      <c r="D139" s="62">
        <v>0.0</v>
      </c>
      <c r="E139" s="62">
        <v>0.0</v>
      </c>
      <c r="F139" s="62">
        <v>0.0</v>
      </c>
      <c r="G139" s="62">
        <v>0.0</v>
      </c>
      <c r="H139" s="62">
        <v>0.0</v>
      </c>
      <c r="I139" s="62">
        <v>0.0</v>
      </c>
      <c r="J139" s="62">
        <v>0.0</v>
      </c>
      <c r="K139" s="62">
        <v>0.0</v>
      </c>
      <c r="L139" s="62">
        <v>0.0</v>
      </c>
      <c r="M139" s="62">
        <v>0.0</v>
      </c>
      <c r="N139" s="62">
        <v>0.0</v>
      </c>
      <c r="O139" s="62">
        <v>0.0</v>
      </c>
      <c r="P139" s="62">
        <v>0.0</v>
      </c>
      <c r="Q139" s="62">
        <v>0.0</v>
      </c>
      <c r="R139" s="62">
        <v>0.0</v>
      </c>
      <c r="S139" s="62">
        <v>0.0</v>
      </c>
      <c r="T139" s="62">
        <v>0.0</v>
      </c>
      <c r="U139" s="62">
        <v>0.0</v>
      </c>
      <c r="V139" s="62">
        <v>0.0</v>
      </c>
      <c r="W139" s="62">
        <v>0.0</v>
      </c>
      <c r="X139" s="62">
        <v>0.0</v>
      </c>
      <c r="Y139" s="62">
        <v>0.0</v>
      </c>
      <c r="Z139" s="62">
        <v>0.0</v>
      </c>
      <c r="AA139" s="62">
        <v>0.0</v>
      </c>
      <c r="AB139" s="62">
        <v>0.0</v>
      </c>
      <c r="AC139" s="62">
        <v>0.0</v>
      </c>
      <c r="AD139" s="62">
        <v>0.0</v>
      </c>
      <c r="AE139" s="62">
        <v>0.0</v>
      </c>
      <c r="AF139" s="62">
        <v>0.0</v>
      </c>
      <c r="AG139" s="62">
        <v>0.0</v>
      </c>
      <c r="AH139" s="62">
        <v>0.0</v>
      </c>
      <c r="AI139" s="62">
        <v>0.0</v>
      </c>
      <c r="AJ139" s="62">
        <v>0.0</v>
      </c>
      <c r="AK139" s="62">
        <v>0.0</v>
      </c>
      <c r="AL139" s="62">
        <v>0.0</v>
      </c>
      <c r="AM139" s="62">
        <v>0.0</v>
      </c>
      <c r="AN139" s="62">
        <v>0.0</v>
      </c>
      <c r="AO139" s="62">
        <v>0.0</v>
      </c>
      <c r="AP139" s="62">
        <v>0.0</v>
      </c>
      <c r="AQ139" s="62">
        <v>0.0</v>
      </c>
      <c r="AR139" s="62">
        <v>0.0</v>
      </c>
      <c r="AS139" s="62">
        <v>0.0</v>
      </c>
      <c r="AT139" s="62">
        <v>0.0</v>
      </c>
      <c r="AU139" s="62">
        <v>0.0</v>
      </c>
      <c r="AV139" s="62">
        <v>0.0</v>
      </c>
      <c r="AW139" s="62">
        <v>0.0</v>
      </c>
      <c r="AX139" s="62">
        <v>0.0</v>
      </c>
      <c r="AY139" s="62">
        <v>0.0</v>
      </c>
      <c r="AZ139" s="62">
        <v>0.0</v>
      </c>
      <c r="BA139" s="62">
        <v>0.0</v>
      </c>
      <c r="BB139" s="62">
        <v>0.0</v>
      </c>
      <c r="BC139" s="62">
        <v>0.0</v>
      </c>
      <c r="BD139" s="62">
        <v>0.0</v>
      </c>
      <c r="BE139" s="62">
        <v>0.0</v>
      </c>
      <c r="BF139" s="62">
        <v>0.0</v>
      </c>
      <c r="BG139" s="62">
        <v>0.0</v>
      </c>
      <c r="BH139" s="62">
        <v>0.0</v>
      </c>
      <c r="BI139" s="62">
        <v>0.0</v>
      </c>
      <c r="BJ139" s="62">
        <v>0.0</v>
      </c>
      <c r="BK139" s="62">
        <v>0.0</v>
      </c>
      <c r="BL139" s="62">
        <v>0.0</v>
      </c>
      <c r="BM139" s="62">
        <v>0.0</v>
      </c>
      <c r="BN139" s="62">
        <v>0.0</v>
      </c>
      <c r="BO139" s="62">
        <v>0.0</v>
      </c>
      <c r="BP139" s="62">
        <v>0.0</v>
      </c>
      <c r="BQ139" s="62">
        <v>0.0</v>
      </c>
      <c r="BR139" s="62">
        <v>0.0</v>
      </c>
      <c r="BS139" s="62">
        <v>0.0</v>
      </c>
      <c r="BT139" s="62">
        <v>0.0</v>
      </c>
      <c r="BU139" s="62">
        <v>0.0</v>
      </c>
      <c r="BV139" s="62">
        <v>0.0</v>
      </c>
      <c r="BW139" s="62">
        <v>0.0</v>
      </c>
      <c r="BX139" s="62">
        <v>0.0</v>
      </c>
      <c r="BY139" s="62">
        <v>0.0</v>
      </c>
      <c r="BZ139" s="62">
        <v>0.0</v>
      </c>
      <c r="CA139" s="62">
        <v>0.0</v>
      </c>
      <c r="CB139" s="62">
        <v>0.0</v>
      </c>
      <c r="CC139" s="62">
        <v>0.0</v>
      </c>
      <c r="CD139" s="62">
        <v>0.0</v>
      </c>
      <c r="CE139" s="62">
        <v>0.0</v>
      </c>
      <c r="CF139" s="62">
        <v>0.0</v>
      </c>
      <c r="CG139" s="62">
        <v>0.0</v>
      </c>
      <c r="CH139" s="62">
        <v>0.0</v>
      </c>
      <c r="CI139" s="62">
        <v>0.0</v>
      </c>
      <c r="CJ139" s="62">
        <v>0.0</v>
      </c>
      <c r="CK139" s="62">
        <v>0.0</v>
      </c>
      <c r="CL139" s="62">
        <v>0.0</v>
      </c>
      <c r="CM139" s="62">
        <v>0.0</v>
      </c>
      <c r="CN139" s="62">
        <v>0.0</v>
      </c>
      <c r="CO139" s="62">
        <v>0.0</v>
      </c>
      <c r="CP139" s="62">
        <v>0.0</v>
      </c>
      <c r="CQ139" s="62">
        <v>0.0</v>
      </c>
      <c r="CR139" s="62">
        <v>0.0</v>
      </c>
      <c r="CS139" s="62">
        <v>0.0</v>
      </c>
      <c r="CT139" s="62">
        <v>0.0</v>
      </c>
      <c r="CU139" s="62">
        <v>0.0</v>
      </c>
      <c r="CV139" s="62">
        <v>0.0</v>
      </c>
      <c r="CW139" s="62">
        <v>0.0</v>
      </c>
      <c r="CX139" s="62">
        <v>0.0</v>
      </c>
      <c r="CY139" s="62">
        <v>0.0</v>
      </c>
      <c r="CZ139" s="62">
        <v>0.0</v>
      </c>
      <c r="DA139" s="62">
        <v>0.0</v>
      </c>
      <c r="DB139" s="62">
        <v>0.0</v>
      </c>
      <c r="DC139" s="62">
        <v>0.0</v>
      </c>
      <c r="DD139" s="62">
        <v>0.0</v>
      </c>
      <c r="DE139" s="62">
        <v>0.0</v>
      </c>
      <c r="DF139" s="62">
        <v>0.0</v>
      </c>
      <c r="DG139" s="62">
        <v>0.0</v>
      </c>
      <c r="DH139" s="62">
        <v>0.0</v>
      </c>
      <c r="DI139" s="62">
        <v>0.0</v>
      </c>
      <c r="DJ139" s="62">
        <v>0.0</v>
      </c>
      <c r="DK139" s="62">
        <v>0.0</v>
      </c>
      <c r="DL139" s="62">
        <v>0.0</v>
      </c>
      <c r="DM139" s="62">
        <v>0.0</v>
      </c>
      <c r="DN139" s="62">
        <v>0.0</v>
      </c>
      <c r="DO139" s="62">
        <v>0.0</v>
      </c>
      <c r="DP139" s="62">
        <v>0.0</v>
      </c>
      <c r="DQ139" s="62">
        <v>0.0</v>
      </c>
      <c r="DR139" s="62">
        <v>0.0</v>
      </c>
      <c r="DS139" s="62">
        <v>0.0</v>
      </c>
      <c r="DT139" s="62">
        <v>0.0</v>
      </c>
      <c r="DU139" s="62">
        <v>0.0</v>
      </c>
      <c r="DV139" s="62">
        <v>0.0</v>
      </c>
      <c r="DW139" s="62">
        <v>0.0</v>
      </c>
      <c r="DX139" s="62">
        <v>0.0</v>
      </c>
      <c r="DY139" s="62">
        <v>0.0</v>
      </c>
      <c r="DZ139" s="62">
        <v>0.0</v>
      </c>
      <c r="EA139" s="62">
        <v>0.0</v>
      </c>
      <c r="EB139" s="62">
        <v>0.0</v>
      </c>
      <c r="EC139" s="62">
        <v>0.0</v>
      </c>
      <c r="ED139" s="62">
        <v>0.0</v>
      </c>
      <c r="EE139" s="62">
        <v>0.0</v>
      </c>
      <c r="EF139" s="62">
        <v>1526029.0</v>
      </c>
      <c r="EG139" s="62">
        <v>0.0</v>
      </c>
      <c r="EH139" s="62">
        <v>0.0</v>
      </c>
      <c r="EI139" s="62">
        <v>0.0</v>
      </c>
      <c r="EJ139" s="62">
        <v>0.0</v>
      </c>
      <c r="EK139" s="62">
        <v>0.0</v>
      </c>
      <c r="EL139" s="62">
        <v>0.0</v>
      </c>
      <c r="EM139" s="62">
        <v>0.0</v>
      </c>
      <c r="EN139" s="62">
        <v>0.0</v>
      </c>
      <c r="EO139" s="62">
        <v>0.0</v>
      </c>
      <c r="EP139" s="62">
        <v>0.0</v>
      </c>
      <c r="EQ139" s="62">
        <v>0.0</v>
      </c>
      <c r="ER139" s="62">
        <v>0.0</v>
      </c>
      <c r="ES139" s="62">
        <v>0.0</v>
      </c>
      <c r="ET139" s="62">
        <v>0.0</v>
      </c>
      <c r="EU139" s="62">
        <v>0.0</v>
      </c>
      <c r="EV139" s="62">
        <v>0.0</v>
      </c>
      <c r="EW139" s="62">
        <v>0.0</v>
      </c>
      <c r="EX139" s="62">
        <v>0.0</v>
      </c>
      <c r="EY139" s="62">
        <v>0.0</v>
      </c>
      <c r="EZ139" s="62">
        <v>0.0</v>
      </c>
      <c r="FA139" s="62">
        <v>0.0</v>
      </c>
      <c r="FB139" s="62">
        <v>0.0</v>
      </c>
      <c r="FC139" s="62">
        <v>0.0</v>
      </c>
      <c r="FD139" s="62">
        <v>0.0</v>
      </c>
      <c r="FE139" s="62">
        <v>0.0</v>
      </c>
      <c r="FF139" s="62">
        <v>0.0</v>
      </c>
      <c r="FG139" s="62">
        <v>4276238.0</v>
      </c>
      <c r="FH139" s="62">
        <v>0.0</v>
      </c>
      <c r="FI139" s="62">
        <v>0.0</v>
      </c>
      <c r="FJ139" s="62">
        <v>0.0</v>
      </c>
      <c r="FK139" s="62">
        <v>0.0</v>
      </c>
      <c r="FL139" s="62">
        <v>0.0</v>
      </c>
      <c r="FM139" s="62">
        <v>0.0</v>
      </c>
      <c r="FN139" s="62">
        <v>0.0</v>
      </c>
      <c r="FO139" s="62">
        <v>0.0</v>
      </c>
      <c r="FP139" s="62">
        <v>0.0</v>
      </c>
      <c r="FQ139" s="62">
        <v>0.0</v>
      </c>
      <c r="FR139" s="62">
        <v>0.0</v>
      </c>
      <c r="FS139" s="62">
        <v>0.0</v>
      </c>
      <c r="FT139" s="62">
        <v>0.0</v>
      </c>
      <c r="FU139" s="62">
        <v>0.0</v>
      </c>
      <c r="FV139" s="62">
        <v>0.0</v>
      </c>
      <c r="FW139" s="62">
        <v>0.0</v>
      </c>
      <c r="FX139" s="62">
        <v>0.0</v>
      </c>
      <c r="FY139" s="62">
        <v>0.0</v>
      </c>
      <c r="FZ139" s="62">
        <v>0.0</v>
      </c>
      <c r="GA139" s="62">
        <v>0.0</v>
      </c>
      <c r="GB139" s="62">
        <v>0.0</v>
      </c>
      <c r="GC139" s="62">
        <v>0.0</v>
      </c>
      <c r="GD139" s="62">
        <v>0.0</v>
      </c>
      <c r="GE139" s="62">
        <v>0.0</v>
      </c>
      <c r="GF139" s="63">
        <v>5802267.0</v>
      </c>
      <c r="GG139" s="64">
        <v>0.0</v>
      </c>
      <c r="GH139" s="65">
        <v>0.0</v>
      </c>
      <c r="GI139" s="64">
        <v>0.0</v>
      </c>
      <c r="GJ139" s="64">
        <v>8083262.0</v>
      </c>
      <c r="GK139" s="64">
        <v>0.0</v>
      </c>
      <c r="GL139" s="64">
        <v>855881.0</v>
      </c>
      <c r="GM139" s="64">
        <v>0.0</v>
      </c>
      <c r="GN139" s="63">
        <v>8939143.0</v>
      </c>
      <c r="GO139" s="66">
        <v>1.474141E7</v>
      </c>
      <c r="GP139" s="64">
        <v>6142133.0</v>
      </c>
      <c r="GQ139" s="64">
        <v>0.0</v>
      </c>
      <c r="GR139" s="65">
        <v>0.0</v>
      </c>
      <c r="GS139" s="63">
        <v>6142133.0</v>
      </c>
      <c r="GT139" s="67">
        <v>0.0</v>
      </c>
      <c r="GU139" s="67">
        <v>0.0</v>
      </c>
      <c r="GV139" s="67">
        <v>0.0</v>
      </c>
      <c r="GW139" s="63">
        <v>0.0</v>
      </c>
      <c r="GX139" s="63">
        <v>605115.0</v>
      </c>
      <c r="GY139" s="63">
        <v>7994162.0</v>
      </c>
      <c r="GZ139" s="66">
        <v>1.474141E7</v>
      </c>
      <c r="HH139" s="106"/>
    </row>
    <row r="140" ht="15.75" customHeight="1">
      <c r="A140" s="68">
        <v>135.0</v>
      </c>
      <c r="B140" s="111" t="s">
        <v>405</v>
      </c>
      <c r="C140" s="70">
        <v>0.0</v>
      </c>
      <c r="D140" s="70">
        <v>0.0</v>
      </c>
      <c r="E140" s="70">
        <v>0.0</v>
      </c>
      <c r="F140" s="70">
        <v>0.0</v>
      </c>
      <c r="G140" s="70">
        <v>0.0</v>
      </c>
      <c r="H140" s="70">
        <v>0.0</v>
      </c>
      <c r="I140" s="70">
        <v>0.0</v>
      </c>
      <c r="J140" s="70">
        <v>0.0</v>
      </c>
      <c r="K140" s="70">
        <v>0.0</v>
      </c>
      <c r="L140" s="70">
        <v>0.0</v>
      </c>
      <c r="M140" s="70">
        <v>0.0</v>
      </c>
      <c r="N140" s="70">
        <v>0.0</v>
      </c>
      <c r="O140" s="70">
        <v>0.0</v>
      </c>
      <c r="P140" s="70">
        <v>0.0</v>
      </c>
      <c r="Q140" s="70">
        <v>0.0</v>
      </c>
      <c r="R140" s="70">
        <v>0.0</v>
      </c>
      <c r="S140" s="70">
        <v>0.0</v>
      </c>
      <c r="T140" s="70">
        <v>0.0</v>
      </c>
      <c r="U140" s="70">
        <v>0.0</v>
      </c>
      <c r="V140" s="70">
        <v>0.0</v>
      </c>
      <c r="W140" s="70">
        <v>0.0</v>
      </c>
      <c r="X140" s="70">
        <v>0.0</v>
      </c>
      <c r="Y140" s="70">
        <v>0.0</v>
      </c>
      <c r="Z140" s="70">
        <v>0.0</v>
      </c>
      <c r="AA140" s="70">
        <v>0.0</v>
      </c>
      <c r="AB140" s="70">
        <v>0.0</v>
      </c>
      <c r="AC140" s="70">
        <v>0.0</v>
      </c>
      <c r="AD140" s="70">
        <v>0.0</v>
      </c>
      <c r="AE140" s="70">
        <v>0.0</v>
      </c>
      <c r="AF140" s="70">
        <v>0.0</v>
      </c>
      <c r="AG140" s="70">
        <v>0.0</v>
      </c>
      <c r="AH140" s="70">
        <v>0.0</v>
      </c>
      <c r="AI140" s="70">
        <v>0.0</v>
      </c>
      <c r="AJ140" s="70">
        <v>0.0</v>
      </c>
      <c r="AK140" s="70">
        <v>0.0</v>
      </c>
      <c r="AL140" s="70">
        <v>0.0</v>
      </c>
      <c r="AM140" s="70">
        <v>0.0</v>
      </c>
      <c r="AN140" s="70">
        <v>0.0</v>
      </c>
      <c r="AO140" s="70">
        <v>0.0</v>
      </c>
      <c r="AP140" s="70">
        <v>0.0</v>
      </c>
      <c r="AQ140" s="70">
        <v>0.0</v>
      </c>
      <c r="AR140" s="70">
        <v>0.0</v>
      </c>
      <c r="AS140" s="70">
        <v>13033.0</v>
      </c>
      <c r="AT140" s="70">
        <v>1387.0</v>
      </c>
      <c r="AU140" s="70">
        <v>3242.0</v>
      </c>
      <c r="AV140" s="70">
        <v>6414.0</v>
      </c>
      <c r="AW140" s="70">
        <v>168.0</v>
      </c>
      <c r="AX140" s="70">
        <v>142197.0</v>
      </c>
      <c r="AY140" s="70">
        <v>0.0</v>
      </c>
      <c r="AZ140" s="70">
        <v>0.0</v>
      </c>
      <c r="BA140" s="70">
        <v>0.0</v>
      </c>
      <c r="BB140" s="70">
        <v>0.0</v>
      </c>
      <c r="BC140" s="70">
        <v>0.0</v>
      </c>
      <c r="BD140" s="70">
        <v>0.0</v>
      </c>
      <c r="BE140" s="70">
        <v>0.0</v>
      </c>
      <c r="BF140" s="70">
        <v>0.0</v>
      </c>
      <c r="BG140" s="70">
        <v>0.0</v>
      </c>
      <c r="BH140" s="70">
        <v>198.0</v>
      </c>
      <c r="BI140" s="70">
        <v>0.0</v>
      </c>
      <c r="BJ140" s="70">
        <v>0.0</v>
      </c>
      <c r="BK140" s="70">
        <v>0.0</v>
      </c>
      <c r="BL140" s="70">
        <v>0.0</v>
      </c>
      <c r="BM140" s="70">
        <v>0.0</v>
      </c>
      <c r="BN140" s="70">
        <v>0.0</v>
      </c>
      <c r="BO140" s="70">
        <v>0.0</v>
      </c>
      <c r="BP140" s="70">
        <v>0.0</v>
      </c>
      <c r="BQ140" s="70">
        <v>0.0</v>
      </c>
      <c r="BR140" s="70">
        <v>0.0</v>
      </c>
      <c r="BS140" s="70">
        <v>776.0</v>
      </c>
      <c r="BT140" s="70">
        <v>0.0</v>
      </c>
      <c r="BU140" s="70">
        <v>0.0</v>
      </c>
      <c r="BV140" s="70">
        <v>0.0</v>
      </c>
      <c r="BW140" s="70">
        <v>0.0</v>
      </c>
      <c r="BX140" s="70">
        <v>0.0</v>
      </c>
      <c r="BY140" s="70">
        <v>0.0</v>
      </c>
      <c r="BZ140" s="70">
        <v>0.0</v>
      </c>
      <c r="CA140" s="70">
        <v>0.0</v>
      </c>
      <c r="CB140" s="70">
        <v>0.0</v>
      </c>
      <c r="CC140" s="70">
        <v>0.0</v>
      </c>
      <c r="CD140" s="70">
        <v>0.0</v>
      </c>
      <c r="CE140" s="70">
        <v>0.0</v>
      </c>
      <c r="CF140" s="70">
        <v>0.0</v>
      </c>
      <c r="CG140" s="70">
        <v>0.0</v>
      </c>
      <c r="CH140" s="70">
        <v>0.0</v>
      </c>
      <c r="CI140" s="70">
        <v>0.0</v>
      </c>
      <c r="CJ140" s="70">
        <v>0.0</v>
      </c>
      <c r="CK140" s="70">
        <v>0.0</v>
      </c>
      <c r="CL140" s="70">
        <v>0.0</v>
      </c>
      <c r="CM140" s="70">
        <v>0.0</v>
      </c>
      <c r="CN140" s="70">
        <v>0.0</v>
      </c>
      <c r="CO140" s="70">
        <v>0.0</v>
      </c>
      <c r="CP140" s="70">
        <v>0.0</v>
      </c>
      <c r="CQ140" s="70">
        <v>0.0</v>
      </c>
      <c r="CR140" s="70">
        <v>0.0</v>
      </c>
      <c r="CS140" s="70">
        <v>0.0</v>
      </c>
      <c r="CT140" s="70">
        <v>0.0</v>
      </c>
      <c r="CU140" s="70">
        <v>0.0</v>
      </c>
      <c r="CV140" s="70">
        <v>0.0</v>
      </c>
      <c r="CW140" s="70">
        <v>0.0</v>
      </c>
      <c r="CX140" s="70">
        <v>0.0</v>
      </c>
      <c r="CY140" s="70">
        <v>0.0</v>
      </c>
      <c r="CZ140" s="70">
        <v>0.0</v>
      </c>
      <c r="DA140" s="70">
        <v>0.0</v>
      </c>
      <c r="DB140" s="70">
        <v>0.0</v>
      </c>
      <c r="DC140" s="70">
        <v>0.0</v>
      </c>
      <c r="DD140" s="70">
        <v>0.0</v>
      </c>
      <c r="DE140" s="70">
        <v>0.0</v>
      </c>
      <c r="DF140" s="70">
        <v>0.0</v>
      </c>
      <c r="DG140" s="70">
        <v>0.0</v>
      </c>
      <c r="DH140" s="70">
        <v>0.0</v>
      </c>
      <c r="DI140" s="70">
        <v>0.0</v>
      </c>
      <c r="DJ140" s="70">
        <v>0.0</v>
      </c>
      <c r="DK140" s="70">
        <v>0.0</v>
      </c>
      <c r="DL140" s="70">
        <v>0.0</v>
      </c>
      <c r="DM140" s="70">
        <v>0.0</v>
      </c>
      <c r="DN140" s="70">
        <v>0.0</v>
      </c>
      <c r="DO140" s="70">
        <v>0.0</v>
      </c>
      <c r="DP140" s="70">
        <v>0.0</v>
      </c>
      <c r="DQ140" s="70">
        <v>0.0</v>
      </c>
      <c r="DR140" s="70">
        <v>0.0</v>
      </c>
      <c r="DS140" s="70">
        <v>0.0</v>
      </c>
      <c r="DT140" s="70">
        <v>0.0</v>
      </c>
      <c r="DU140" s="70">
        <v>0.0</v>
      </c>
      <c r="DV140" s="70">
        <v>0.0</v>
      </c>
      <c r="DW140" s="70">
        <v>0.0</v>
      </c>
      <c r="DX140" s="70">
        <v>0.0</v>
      </c>
      <c r="DY140" s="70">
        <v>0.0</v>
      </c>
      <c r="DZ140" s="70">
        <v>0.0</v>
      </c>
      <c r="EA140" s="70">
        <v>0.0</v>
      </c>
      <c r="EB140" s="70">
        <v>659.0</v>
      </c>
      <c r="EC140" s="70">
        <v>0.0</v>
      </c>
      <c r="ED140" s="70">
        <v>0.0</v>
      </c>
      <c r="EE140" s="70">
        <v>0.0</v>
      </c>
      <c r="EF140" s="70">
        <v>0.0</v>
      </c>
      <c r="EG140" s="70">
        <v>2839389.0</v>
      </c>
      <c r="EH140" s="70">
        <v>0.0</v>
      </c>
      <c r="EI140" s="70">
        <v>0.0</v>
      </c>
      <c r="EJ140" s="70">
        <v>0.0</v>
      </c>
      <c r="EK140" s="70">
        <v>0.0</v>
      </c>
      <c r="EL140" s="70">
        <v>0.0</v>
      </c>
      <c r="EM140" s="70">
        <v>0.0</v>
      </c>
      <c r="EN140" s="70">
        <v>0.0</v>
      </c>
      <c r="EO140" s="70">
        <v>0.0</v>
      </c>
      <c r="EP140" s="70">
        <v>89336.0</v>
      </c>
      <c r="EQ140" s="70">
        <v>0.0</v>
      </c>
      <c r="ER140" s="70">
        <v>0.0</v>
      </c>
      <c r="ES140" s="70">
        <v>0.0</v>
      </c>
      <c r="ET140" s="70">
        <v>0.0</v>
      </c>
      <c r="EU140" s="70">
        <v>0.0</v>
      </c>
      <c r="EV140" s="70">
        <v>0.0</v>
      </c>
      <c r="EW140" s="70">
        <v>0.0</v>
      </c>
      <c r="EX140" s="70">
        <v>0.0</v>
      </c>
      <c r="EY140" s="70">
        <v>0.0</v>
      </c>
      <c r="EZ140" s="70">
        <v>0.0</v>
      </c>
      <c r="FA140" s="70">
        <v>0.0</v>
      </c>
      <c r="FB140" s="70">
        <v>0.0</v>
      </c>
      <c r="FC140" s="70">
        <v>0.0</v>
      </c>
      <c r="FD140" s="70">
        <v>0.0</v>
      </c>
      <c r="FE140" s="70">
        <v>0.0</v>
      </c>
      <c r="FF140" s="70">
        <v>0.0</v>
      </c>
      <c r="FG140" s="70">
        <v>0.0</v>
      </c>
      <c r="FH140" s="70">
        <v>0.0</v>
      </c>
      <c r="FI140" s="70">
        <v>0.0</v>
      </c>
      <c r="FJ140" s="70">
        <v>0.0</v>
      </c>
      <c r="FK140" s="70">
        <v>0.0</v>
      </c>
      <c r="FL140" s="70">
        <v>0.0</v>
      </c>
      <c r="FM140" s="70">
        <v>0.0</v>
      </c>
      <c r="FN140" s="70">
        <v>0.0</v>
      </c>
      <c r="FO140" s="70">
        <v>0.0</v>
      </c>
      <c r="FP140" s="70">
        <v>0.0</v>
      </c>
      <c r="FQ140" s="70">
        <v>0.0</v>
      </c>
      <c r="FR140" s="70">
        <v>0.0</v>
      </c>
      <c r="FS140" s="70">
        <v>0.0</v>
      </c>
      <c r="FT140" s="70">
        <v>0.0</v>
      </c>
      <c r="FU140" s="70">
        <v>0.0</v>
      </c>
      <c r="FV140" s="70">
        <v>0.0</v>
      </c>
      <c r="FW140" s="70">
        <v>0.0</v>
      </c>
      <c r="FX140" s="70">
        <v>0.0</v>
      </c>
      <c r="FY140" s="70">
        <v>0.0</v>
      </c>
      <c r="FZ140" s="70">
        <v>0.0</v>
      </c>
      <c r="GA140" s="70">
        <v>0.0</v>
      </c>
      <c r="GB140" s="70">
        <v>0.0</v>
      </c>
      <c r="GC140" s="70">
        <v>160.0</v>
      </c>
      <c r="GD140" s="70">
        <v>315.0</v>
      </c>
      <c r="GE140" s="70">
        <v>0.0</v>
      </c>
      <c r="GF140" s="71">
        <v>3097274.0</v>
      </c>
      <c r="GG140" s="72">
        <v>3.0861249E7</v>
      </c>
      <c r="GH140" s="73">
        <v>0.0</v>
      </c>
      <c r="GI140" s="72">
        <v>0.0</v>
      </c>
      <c r="GJ140" s="72">
        <v>2.6167391E7</v>
      </c>
      <c r="GK140" s="72">
        <v>-1.2201645E7</v>
      </c>
      <c r="GL140" s="72">
        <v>4115718.0</v>
      </c>
      <c r="GM140" s="72">
        <v>0.0</v>
      </c>
      <c r="GN140" s="71">
        <v>4.8942713E7</v>
      </c>
      <c r="GO140" s="74">
        <v>5.2039987E7</v>
      </c>
      <c r="GP140" s="72">
        <v>1.4524306E7</v>
      </c>
      <c r="GQ140" s="72">
        <v>0.0</v>
      </c>
      <c r="GR140" s="73">
        <v>0.0</v>
      </c>
      <c r="GS140" s="71">
        <v>1.4524306E7</v>
      </c>
      <c r="GT140" s="75">
        <v>3816038.0</v>
      </c>
      <c r="GU140" s="75">
        <v>1753218.0</v>
      </c>
      <c r="GV140" s="75">
        <v>1600687.0</v>
      </c>
      <c r="GW140" s="71">
        <v>7169943.0</v>
      </c>
      <c r="GX140" s="71">
        <v>2507969.0</v>
      </c>
      <c r="GY140" s="71">
        <v>2.7837769E7</v>
      </c>
      <c r="GZ140" s="74">
        <v>5.2039987E7</v>
      </c>
      <c r="HH140" s="106"/>
    </row>
    <row r="141" ht="15.75" customHeight="1">
      <c r="A141" s="52">
        <v>136.0</v>
      </c>
      <c r="B141" s="111" t="s">
        <v>406</v>
      </c>
      <c r="C141" s="54">
        <v>13384.0</v>
      </c>
      <c r="D141" s="54">
        <v>7465.0</v>
      </c>
      <c r="E141" s="54">
        <v>237.0</v>
      </c>
      <c r="F141" s="54">
        <v>1885.0</v>
      </c>
      <c r="G141" s="54">
        <v>32.0</v>
      </c>
      <c r="H141" s="54">
        <v>1633.0</v>
      </c>
      <c r="I141" s="54">
        <v>799.0</v>
      </c>
      <c r="J141" s="54">
        <v>526.0</v>
      </c>
      <c r="K141" s="54">
        <v>6.0</v>
      </c>
      <c r="L141" s="54">
        <v>2139.0</v>
      </c>
      <c r="M141" s="54">
        <v>332.0</v>
      </c>
      <c r="N141" s="54">
        <v>901.0</v>
      </c>
      <c r="O141" s="54">
        <v>1888.0</v>
      </c>
      <c r="P141" s="54">
        <v>23.0</v>
      </c>
      <c r="Q141" s="54">
        <v>2755.0</v>
      </c>
      <c r="R141" s="54">
        <v>29923.0</v>
      </c>
      <c r="S141" s="54">
        <v>742.0</v>
      </c>
      <c r="T141" s="54">
        <v>31903.0</v>
      </c>
      <c r="U141" s="54">
        <v>36400.0</v>
      </c>
      <c r="V141" s="54">
        <v>82.0</v>
      </c>
      <c r="W141" s="54">
        <v>3226.0</v>
      </c>
      <c r="X141" s="54">
        <v>1257.0</v>
      </c>
      <c r="Y141" s="54">
        <v>34673.0</v>
      </c>
      <c r="Z141" s="54">
        <v>361.0</v>
      </c>
      <c r="AA141" s="54">
        <v>42.0</v>
      </c>
      <c r="AB141" s="54">
        <v>5259.0</v>
      </c>
      <c r="AC141" s="54">
        <v>271.0</v>
      </c>
      <c r="AD141" s="54">
        <v>4153.0</v>
      </c>
      <c r="AE141" s="54">
        <v>663.0</v>
      </c>
      <c r="AF141" s="54">
        <v>39878.0</v>
      </c>
      <c r="AG141" s="54">
        <v>44409.0</v>
      </c>
      <c r="AH141" s="54">
        <v>2011.0</v>
      </c>
      <c r="AI141" s="54">
        <v>3810.0</v>
      </c>
      <c r="AJ141" s="54">
        <v>992.0</v>
      </c>
      <c r="AK141" s="54">
        <v>47.0</v>
      </c>
      <c r="AL141" s="54">
        <v>262.0</v>
      </c>
      <c r="AM141" s="54">
        <v>623206.0</v>
      </c>
      <c r="AN141" s="54">
        <v>48541.0</v>
      </c>
      <c r="AO141" s="54">
        <v>221716.0</v>
      </c>
      <c r="AP141" s="54">
        <v>265.0</v>
      </c>
      <c r="AQ141" s="54">
        <v>20752.0</v>
      </c>
      <c r="AR141" s="54">
        <v>1886.0</v>
      </c>
      <c r="AS141" s="54">
        <v>54703.0</v>
      </c>
      <c r="AT141" s="54">
        <v>5822.0</v>
      </c>
      <c r="AU141" s="54">
        <v>16216.0</v>
      </c>
      <c r="AV141" s="54">
        <v>107397.0</v>
      </c>
      <c r="AW141" s="54">
        <v>431.0</v>
      </c>
      <c r="AX141" s="54">
        <v>294437.0</v>
      </c>
      <c r="AY141" s="54">
        <v>99142.0</v>
      </c>
      <c r="AZ141" s="54">
        <v>668.0</v>
      </c>
      <c r="BA141" s="54">
        <v>9939.0</v>
      </c>
      <c r="BB141" s="54">
        <v>43859.0</v>
      </c>
      <c r="BC141" s="54">
        <v>0.0</v>
      </c>
      <c r="BD141" s="54">
        <v>0.0</v>
      </c>
      <c r="BE141" s="54">
        <v>421.0</v>
      </c>
      <c r="BF141" s="54">
        <v>1479.0</v>
      </c>
      <c r="BG141" s="54">
        <v>29.0</v>
      </c>
      <c r="BH141" s="54">
        <v>12924.0</v>
      </c>
      <c r="BI141" s="54">
        <v>0.0</v>
      </c>
      <c r="BJ141" s="54">
        <v>0.0</v>
      </c>
      <c r="BK141" s="54">
        <v>128.0</v>
      </c>
      <c r="BL141" s="54">
        <v>0.0</v>
      </c>
      <c r="BM141" s="54">
        <v>0.0</v>
      </c>
      <c r="BN141" s="54">
        <v>0.0</v>
      </c>
      <c r="BO141" s="54">
        <v>0.0</v>
      </c>
      <c r="BP141" s="54">
        <v>0.0</v>
      </c>
      <c r="BQ141" s="54">
        <v>0.0</v>
      </c>
      <c r="BR141" s="54">
        <v>0.0</v>
      </c>
      <c r="BS141" s="54">
        <v>110.0</v>
      </c>
      <c r="BT141" s="54">
        <v>0.0</v>
      </c>
      <c r="BU141" s="54">
        <v>453.0</v>
      </c>
      <c r="BV141" s="54">
        <v>0.0</v>
      </c>
      <c r="BW141" s="54">
        <v>0.0</v>
      </c>
      <c r="BX141" s="54">
        <v>2260.0</v>
      </c>
      <c r="BY141" s="54">
        <v>650.0</v>
      </c>
      <c r="BZ141" s="54">
        <v>0.0</v>
      </c>
      <c r="CA141" s="54">
        <v>120.0</v>
      </c>
      <c r="CB141" s="54">
        <v>64.0</v>
      </c>
      <c r="CC141" s="54">
        <v>14.0</v>
      </c>
      <c r="CD141" s="54">
        <v>11.0</v>
      </c>
      <c r="CE141" s="54">
        <v>15.0</v>
      </c>
      <c r="CF141" s="54">
        <v>110.0</v>
      </c>
      <c r="CG141" s="54">
        <v>6853.0</v>
      </c>
      <c r="CH141" s="54">
        <v>260.0</v>
      </c>
      <c r="CI141" s="54">
        <v>21.0</v>
      </c>
      <c r="CJ141" s="54">
        <v>0.0</v>
      </c>
      <c r="CK141" s="54">
        <v>0.0</v>
      </c>
      <c r="CL141" s="54">
        <v>0.0</v>
      </c>
      <c r="CM141" s="54">
        <v>25.0</v>
      </c>
      <c r="CN141" s="54">
        <v>0.0</v>
      </c>
      <c r="CO141" s="54">
        <v>9.0</v>
      </c>
      <c r="CP141" s="54">
        <v>17.0</v>
      </c>
      <c r="CQ141" s="54">
        <v>9368.0</v>
      </c>
      <c r="CR141" s="54">
        <v>395.0</v>
      </c>
      <c r="CS141" s="54">
        <v>21108.0</v>
      </c>
      <c r="CT141" s="54">
        <v>2011.0</v>
      </c>
      <c r="CU141" s="54">
        <v>0.0</v>
      </c>
      <c r="CV141" s="54">
        <v>0.0</v>
      </c>
      <c r="CW141" s="54">
        <v>0.0</v>
      </c>
      <c r="CX141" s="54">
        <v>0.0</v>
      </c>
      <c r="CY141" s="54">
        <v>0.0</v>
      </c>
      <c r="CZ141" s="54">
        <v>49668.0</v>
      </c>
      <c r="DA141" s="54">
        <v>8352.0</v>
      </c>
      <c r="DB141" s="54">
        <v>0.0</v>
      </c>
      <c r="DC141" s="54">
        <v>415936.0</v>
      </c>
      <c r="DD141" s="54">
        <v>0.0</v>
      </c>
      <c r="DE141" s="54">
        <v>5127.0</v>
      </c>
      <c r="DF141" s="54">
        <v>413.0</v>
      </c>
      <c r="DG141" s="54">
        <v>15.0</v>
      </c>
      <c r="DH141" s="54">
        <v>268.0</v>
      </c>
      <c r="DI141" s="54">
        <v>16530.0</v>
      </c>
      <c r="DJ141" s="54">
        <v>160.0</v>
      </c>
      <c r="DK141" s="54">
        <v>197.0</v>
      </c>
      <c r="DL141" s="54">
        <v>62.0</v>
      </c>
      <c r="DM141" s="54">
        <v>375.0</v>
      </c>
      <c r="DN141" s="54">
        <v>76.0</v>
      </c>
      <c r="DO141" s="54">
        <v>185.0</v>
      </c>
      <c r="DP141" s="54">
        <v>0.0</v>
      </c>
      <c r="DQ141" s="54">
        <v>7182.0</v>
      </c>
      <c r="DR141" s="54">
        <v>11587.0</v>
      </c>
      <c r="DS141" s="54">
        <v>4317.0</v>
      </c>
      <c r="DT141" s="54">
        <v>3179.0</v>
      </c>
      <c r="DU141" s="54">
        <v>150.0</v>
      </c>
      <c r="DV141" s="54">
        <v>443.0</v>
      </c>
      <c r="DW141" s="54">
        <v>284.0</v>
      </c>
      <c r="DX141" s="54">
        <v>9755.0</v>
      </c>
      <c r="DY141" s="54">
        <v>821.0</v>
      </c>
      <c r="DZ141" s="54">
        <v>54325.0</v>
      </c>
      <c r="EA141" s="54">
        <v>255.0</v>
      </c>
      <c r="EB141" s="54">
        <v>2210.0</v>
      </c>
      <c r="EC141" s="54">
        <v>78473.0</v>
      </c>
      <c r="ED141" s="54">
        <v>40521.0</v>
      </c>
      <c r="EE141" s="54">
        <v>6054.0</v>
      </c>
      <c r="EF141" s="54">
        <v>1214.0</v>
      </c>
      <c r="EG141" s="54">
        <v>20837.0</v>
      </c>
      <c r="EH141" s="54">
        <v>9714895.0</v>
      </c>
      <c r="EI141" s="54">
        <v>1256.0</v>
      </c>
      <c r="EJ141" s="54">
        <v>7179.0</v>
      </c>
      <c r="EK141" s="54">
        <v>4040.0</v>
      </c>
      <c r="EL141" s="54">
        <v>8135.0</v>
      </c>
      <c r="EM141" s="54">
        <v>11302.0</v>
      </c>
      <c r="EN141" s="54">
        <v>81278.0</v>
      </c>
      <c r="EO141" s="54">
        <v>53051.0</v>
      </c>
      <c r="EP141" s="54">
        <v>76878.0</v>
      </c>
      <c r="EQ141" s="54">
        <v>51229.0</v>
      </c>
      <c r="ER141" s="54">
        <v>933.0</v>
      </c>
      <c r="ES141" s="54">
        <v>27137.0</v>
      </c>
      <c r="ET141" s="54">
        <v>21193.0</v>
      </c>
      <c r="EU141" s="54">
        <v>86937.0</v>
      </c>
      <c r="EV141" s="54">
        <v>11404.0</v>
      </c>
      <c r="EW141" s="54">
        <v>6729.0</v>
      </c>
      <c r="EX141" s="54">
        <v>63240.0</v>
      </c>
      <c r="EY141" s="54">
        <v>198491.0</v>
      </c>
      <c r="EZ141" s="54">
        <v>283940.0</v>
      </c>
      <c r="FA141" s="54">
        <v>27831.0</v>
      </c>
      <c r="FB141" s="54">
        <v>494773.0</v>
      </c>
      <c r="FC141" s="54">
        <v>488.0</v>
      </c>
      <c r="FD141" s="54">
        <v>60427.0</v>
      </c>
      <c r="FE141" s="54">
        <v>7181.0</v>
      </c>
      <c r="FF141" s="54">
        <v>6065.0</v>
      </c>
      <c r="FG141" s="54">
        <v>16490.0</v>
      </c>
      <c r="FH141" s="54">
        <v>21717.0</v>
      </c>
      <c r="FI141" s="54">
        <v>11165.0</v>
      </c>
      <c r="FJ141" s="54">
        <v>10852.0</v>
      </c>
      <c r="FK141" s="54">
        <v>66712.0</v>
      </c>
      <c r="FL141" s="54">
        <v>29809.0</v>
      </c>
      <c r="FM141" s="54">
        <v>6222.0</v>
      </c>
      <c r="FN141" s="54">
        <v>5995.0</v>
      </c>
      <c r="FO141" s="54">
        <v>544.0</v>
      </c>
      <c r="FP141" s="54">
        <v>55966.0</v>
      </c>
      <c r="FQ141" s="54">
        <v>24996.0</v>
      </c>
      <c r="FR141" s="54">
        <v>15.0</v>
      </c>
      <c r="FS141" s="54">
        <v>1788.0</v>
      </c>
      <c r="FT141" s="54">
        <v>12579.0</v>
      </c>
      <c r="FU141" s="54">
        <v>152703.0</v>
      </c>
      <c r="FV141" s="54">
        <v>85429.0</v>
      </c>
      <c r="FW141" s="54">
        <v>200784.0</v>
      </c>
      <c r="FX141" s="54">
        <v>0.0</v>
      </c>
      <c r="FY141" s="54">
        <v>0.0</v>
      </c>
      <c r="FZ141" s="54">
        <v>0.0</v>
      </c>
      <c r="GA141" s="54">
        <v>257844.0</v>
      </c>
      <c r="GB141" s="54">
        <v>292709.0</v>
      </c>
      <c r="GC141" s="54">
        <v>2095.0</v>
      </c>
      <c r="GD141" s="54">
        <v>608.0</v>
      </c>
      <c r="GE141" s="54">
        <v>1400.0</v>
      </c>
      <c r="GF141" s="55">
        <v>1.5185609E7</v>
      </c>
      <c r="GG141" s="56">
        <v>1.33009647E8</v>
      </c>
      <c r="GH141" s="57">
        <v>0.0</v>
      </c>
      <c r="GI141" s="56">
        <v>0.0</v>
      </c>
      <c r="GJ141" s="56">
        <v>5.4676571E7</v>
      </c>
      <c r="GK141" s="56">
        <v>-2173852.0</v>
      </c>
      <c r="GL141" s="56">
        <v>2.6784101E7</v>
      </c>
      <c r="GM141" s="56">
        <v>0.0</v>
      </c>
      <c r="GN141" s="55">
        <v>2.12296467E8</v>
      </c>
      <c r="GO141" s="58">
        <v>2.27482076E8</v>
      </c>
      <c r="GP141" s="56">
        <v>6453266.0</v>
      </c>
      <c r="GQ141" s="56">
        <v>0.0</v>
      </c>
      <c r="GR141" s="57">
        <v>0.0</v>
      </c>
      <c r="GS141" s="55">
        <v>6453266.0</v>
      </c>
      <c r="GT141" s="59">
        <v>3.0992712E7</v>
      </c>
      <c r="GU141" s="59">
        <v>2.4813358E7</v>
      </c>
      <c r="GV141" s="59">
        <v>1.0870649E7</v>
      </c>
      <c r="GW141" s="55">
        <v>6.6676719E7</v>
      </c>
      <c r="GX141" s="55">
        <v>9165827.0</v>
      </c>
      <c r="GY141" s="55">
        <v>1.45186264E8</v>
      </c>
      <c r="GZ141" s="58">
        <v>2.27482076E8</v>
      </c>
      <c r="HH141" s="106"/>
    </row>
    <row r="142" ht="15.75" customHeight="1">
      <c r="A142" s="60">
        <v>137.0</v>
      </c>
      <c r="B142" s="111" t="s">
        <v>608</v>
      </c>
      <c r="C142" s="62">
        <v>0.0</v>
      </c>
      <c r="D142" s="62">
        <v>0.0</v>
      </c>
      <c r="E142" s="62">
        <v>0.0</v>
      </c>
      <c r="F142" s="62">
        <v>0.0</v>
      </c>
      <c r="G142" s="62">
        <v>0.0</v>
      </c>
      <c r="H142" s="62">
        <v>0.0</v>
      </c>
      <c r="I142" s="62">
        <v>0.0</v>
      </c>
      <c r="J142" s="62">
        <v>0.0</v>
      </c>
      <c r="K142" s="62">
        <v>0.0</v>
      </c>
      <c r="L142" s="62">
        <v>0.0</v>
      </c>
      <c r="M142" s="62">
        <v>0.0</v>
      </c>
      <c r="N142" s="62">
        <v>0.0</v>
      </c>
      <c r="O142" s="62">
        <v>0.0</v>
      </c>
      <c r="P142" s="62">
        <v>0.0</v>
      </c>
      <c r="Q142" s="62">
        <v>0.0</v>
      </c>
      <c r="R142" s="62">
        <v>0.0</v>
      </c>
      <c r="S142" s="62">
        <v>0.0</v>
      </c>
      <c r="T142" s="62">
        <v>0.0</v>
      </c>
      <c r="U142" s="62">
        <v>0.0</v>
      </c>
      <c r="V142" s="62">
        <v>0.0</v>
      </c>
      <c r="W142" s="62">
        <v>0.0</v>
      </c>
      <c r="X142" s="62">
        <v>0.0</v>
      </c>
      <c r="Y142" s="62">
        <v>0.0</v>
      </c>
      <c r="Z142" s="62">
        <v>0.0</v>
      </c>
      <c r="AA142" s="62">
        <v>0.0</v>
      </c>
      <c r="AB142" s="62">
        <v>0.0</v>
      </c>
      <c r="AC142" s="62">
        <v>16.0</v>
      </c>
      <c r="AD142" s="62">
        <v>1364.0</v>
      </c>
      <c r="AE142" s="62">
        <v>0.0</v>
      </c>
      <c r="AF142" s="62">
        <v>0.0</v>
      </c>
      <c r="AG142" s="62">
        <v>15.0</v>
      </c>
      <c r="AH142" s="62">
        <v>0.0</v>
      </c>
      <c r="AI142" s="62">
        <v>0.0</v>
      </c>
      <c r="AJ142" s="62">
        <v>0.0</v>
      </c>
      <c r="AK142" s="62">
        <v>0.0</v>
      </c>
      <c r="AL142" s="62">
        <v>0.0</v>
      </c>
      <c r="AM142" s="62">
        <v>0.0</v>
      </c>
      <c r="AN142" s="62">
        <v>0.0</v>
      </c>
      <c r="AO142" s="62">
        <v>0.0</v>
      </c>
      <c r="AP142" s="62">
        <v>0.0</v>
      </c>
      <c r="AQ142" s="62">
        <v>0.0</v>
      </c>
      <c r="AR142" s="62">
        <v>0.0</v>
      </c>
      <c r="AS142" s="62">
        <v>0.0</v>
      </c>
      <c r="AT142" s="62">
        <v>0.0</v>
      </c>
      <c r="AU142" s="62">
        <v>3.0</v>
      </c>
      <c r="AV142" s="62">
        <v>60.0</v>
      </c>
      <c r="AW142" s="62">
        <v>113.0</v>
      </c>
      <c r="AX142" s="62">
        <v>3360.0</v>
      </c>
      <c r="AY142" s="62">
        <v>0.0</v>
      </c>
      <c r="AZ142" s="62">
        <v>14.0</v>
      </c>
      <c r="BA142" s="62">
        <v>0.0</v>
      </c>
      <c r="BB142" s="62">
        <v>0.0</v>
      </c>
      <c r="BC142" s="62">
        <v>0.0</v>
      </c>
      <c r="BD142" s="62">
        <v>0.0</v>
      </c>
      <c r="BE142" s="62">
        <v>29.0</v>
      </c>
      <c r="BF142" s="62">
        <v>0.0</v>
      </c>
      <c r="BG142" s="62">
        <v>0.0</v>
      </c>
      <c r="BH142" s="62">
        <v>3267.0</v>
      </c>
      <c r="BI142" s="62">
        <v>0.0</v>
      </c>
      <c r="BJ142" s="62">
        <v>0.0</v>
      </c>
      <c r="BK142" s="62">
        <v>0.0</v>
      </c>
      <c r="BL142" s="62">
        <v>0.0</v>
      </c>
      <c r="BM142" s="62">
        <v>0.0</v>
      </c>
      <c r="BN142" s="62">
        <v>0.0</v>
      </c>
      <c r="BO142" s="62">
        <v>0.0</v>
      </c>
      <c r="BP142" s="62">
        <v>0.0</v>
      </c>
      <c r="BQ142" s="62">
        <v>0.0</v>
      </c>
      <c r="BR142" s="62">
        <v>0.0</v>
      </c>
      <c r="BS142" s="62">
        <v>0.0</v>
      </c>
      <c r="BT142" s="62">
        <v>0.0</v>
      </c>
      <c r="BU142" s="62">
        <v>165.0</v>
      </c>
      <c r="BV142" s="62">
        <v>100701.0</v>
      </c>
      <c r="BW142" s="62">
        <v>176.0</v>
      </c>
      <c r="BX142" s="62">
        <v>1334.0</v>
      </c>
      <c r="BY142" s="62">
        <v>30.0</v>
      </c>
      <c r="BZ142" s="62">
        <v>0.0</v>
      </c>
      <c r="CA142" s="62">
        <v>0.0</v>
      </c>
      <c r="CB142" s="62">
        <v>0.0</v>
      </c>
      <c r="CC142" s="62">
        <v>0.0</v>
      </c>
      <c r="CD142" s="62">
        <v>0.0</v>
      </c>
      <c r="CE142" s="62">
        <v>0.0</v>
      </c>
      <c r="CF142" s="62">
        <v>0.0</v>
      </c>
      <c r="CG142" s="62">
        <v>0.0</v>
      </c>
      <c r="CH142" s="62">
        <v>0.0</v>
      </c>
      <c r="CI142" s="62">
        <v>0.0</v>
      </c>
      <c r="CJ142" s="62">
        <v>502181.0</v>
      </c>
      <c r="CK142" s="62">
        <v>766097.0</v>
      </c>
      <c r="CL142" s="62">
        <v>505765.0</v>
      </c>
      <c r="CM142" s="62">
        <v>235257.0</v>
      </c>
      <c r="CN142" s="62">
        <v>144827.0</v>
      </c>
      <c r="CO142" s="62">
        <v>152342.0</v>
      </c>
      <c r="CP142" s="62">
        <v>274000.0</v>
      </c>
      <c r="CQ142" s="62">
        <v>0.0</v>
      </c>
      <c r="CR142" s="62">
        <v>1913.0</v>
      </c>
      <c r="CS142" s="62">
        <v>0.0</v>
      </c>
      <c r="CT142" s="62">
        <v>0.0</v>
      </c>
      <c r="CU142" s="62">
        <v>0.0</v>
      </c>
      <c r="CV142" s="62">
        <v>0.0</v>
      </c>
      <c r="CW142" s="62">
        <v>0.0</v>
      </c>
      <c r="CX142" s="62">
        <v>0.0</v>
      </c>
      <c r="CY142" s="62">
        <v>0.0</v>
      </c>
      <c r="CZ142" s="62">
        <v>0.0</v>
      </c>
      <c r="DA142" s="62">
        <v>0.0</v>
      </c>
      <c r="DB142" s="62">
        <v>0.0</v>
      </c>
      <c r="DC142" s="62">
        <v>0.0</v>
      </c>
      <c r="DD142" s="62">
        <v>0.0</v>
      </c>
      <c r="DE142" s="62">
        <v>593.0</v>
      </c>
      <c r="DF142" s="62">
        <v>908.0</v>
      </c>
      <c r="DG142" s="62">
        <v>10.0</v>
      </c>
      <c r="DH142" s="62">
        <v>16287.0</v>
      </c>
      <c r="DI142" s="62">
        <v>0.0</v>
      </c>
      <c r="DJ142" s="62">
        <v>40.0</v>
      </c>
      <c r="DK142" s="62">
        <v>0.0</v>
      </c>
      <c r="DL142" s="62">
        <v>2.0</v>
      </c>
      <c r="DM142" s="62">
        <v>5.0</v>
      </c>
      <c r="DN142" s="62">
        <v>73.0</v>
      </c>
      <c r="DO142" s="62">
        <v>6.0</v>
      </c>
      <c r="DP142" s="62">
        <v>6514.0</v>
      </c>
      <c r="DQ142" s="62">
        <v>32553.0</v>
      </c>
      <c r="DR142" s="62">
        <v>5630.0</v>
      </c>
      <c r="DS142" s="62">
        <v>143478.0</v>
      </c>
      <c r="DT142" s="62">
        <v>6728.0</v>
      </c>
      <c r="DU142" s="62">
        <v>17601.0</v>
      </c>
      <c r="DV142" s="62">
        <v>52096.0</v>
      </c>
      <c r="DW142" s="62">
        <v>33447.0</v>
      </c>
      <c r="DX142" s="62">
        <v>28243.0</v>
      </c>
      <c r="DY142" s="62">
        <v>96537.0</v>
      </c>
      <c r="DZ142" s="62">
        <v>8332.0</v>
      </c>
      <c r="EA142" s="62">
        <v>814.0</v>
      </c>
      <c r="EB142" s="62">
        <v>7687.0</v>
      </c>
      <c r="EC142" s="62">
        <v>59734.0</v>
      </c>
      <c r="ED142" s="62">
        <v>18547.0</v>
      </c>
      <c r="EE142" s="62">
        <v>0.0</v>
      </c>
      <c r="EF142" s="62">
        <v>0.0</v>
      </c>
      <c r="EG142" s="62">
        <v>0.0</v>
      </c>
      <c r="EH142" s="62">
        <v>0.0</v>
      </c>
      <c r="EI142" s="62">
        <v>3002331.0</v>
      </c>
      <c r="EJ142" s="62">
        <v>1625.0</v>
      </c>
      <c r="EK142" s="62">
        <v>22167.0</v>
      </c>
      <c r="EL142" s="62">
        <v>24295.0</v>
      </c>
      <c r="EM142" s="62">
        <v>426.0</v>
      </c>
      <c r="EN142" s="62">
        <v>852.0</v>
      </c>
      <c r="EO142" s="62">
        <v>2948.0</v>
      </c>
      <c r="EP142" s="62">
        <v>11918.0</v>
      </c>
      <c r="EQ142" s="62">
        <v>42.0</v>
      </c>
      <c r="ER142" s="62">
        <v>0.0</v>
      </c>
      <c r="ES142" s="62">
        <v>6450.0</v>
      </c>
      <c r="ET142" s="62">
        <v>38127.0</v>
      </c>
      <c r="EU142" s="62">
        <v>367380.0</v>
      </c>
      <c r="EV142" s="62">
        <v>3075.0</v>
      </c>
      <c r="EW142" s="62">
        <v>3499.0</v>
      </c>
      <c r="EX142" s="62">
        <v>15968.0</v>
      </c>
      <c r="EY142" s="62">
        <v>9195.0</v>
      </c>
      <c r="EZ142" s="62">
        <v>7475.0</v>
      </c>
      <c r="FA142" s="62">
        <v>0.0</v>
      </c>
      <c r="FB142" s="62">
        <v>0.0</v>
      </c>
      <c r="FC142" s="62">
        <v>0.0</v>
      </c>
      <c r="FD142" s="62">
        <v>0.0</v>
      </c>
      <c r="FE142" s="62">
        <v>0.0</v>
      </c>
      <c r="FF142" s="62">
        <v>0.0</v>
      </c>
      <c r="FG142" s="62">
        <v>0.0</v>
      </c>
      <c r="FH142" s="62">
        <v>20160.0</v>
      </c>
      <c r="FI142" s="62">
        <v>2640.0</v>
      </c>
      <c r="FJ142" s="62">
        <v>1415.0</v>
      </c>
      <c r="FK142" s="62">
        <v>6080.0</v>
      </c>
      <c r="FL142" s="62">
        <v>5771.0</v>
      </c>
      <c r="FM142" s="62">
        <v>0.0</v>
      </c>
      <c r="FN142" s="62">
        <v>0.0</v>
      </c>
      <c r="FO142" s="62">
        <v>0.0</v>
      </c>
      <c r="FP142" s="62">
        <v>675779.0</v>
      </c>
      <c r="FQ142" s="62">
        <v>650808.0</v>
      </c>
      <c r="FR142" s="62">
        <v>66.0</v>
      </c>
      <c r="FS142" s="62">
        <v>117915.0</v>
      </c>
      <c r="FT142" s="62">
        <v>248904.0</v>
      </c>
      <c r="FU142" s="62">
        <v>1154449.0</v>
      </c>
      <c r="FV142" s="62">
        <v>1236032.0</v>
      </c>
      <c r="FW142" s="62">
        <v>0.0</v>
      </c>
      <c r="FX142" s="62">
        <v>0.0</v>
      </c>
      <c r="FY142" s="62">
        <v>0.0</v>
      </c>
      <c r="FZ142" s="62">
        <v>0.0</v>
      </c>
      <c r="GA142" s="62">
        <v>1247955.0</v>
      </c>
      <c r="GB142" s="62">
        <v>518901.0</v>
      </c>
      <c r="GC142" s="62">
        <v>160248.0</v>
      </c>
      <c r="GD142" s="62">
        <v>180241.0</v>
      </c>
      <c r="GE142" s="62">
        <v>171494.0</v>
      </c>
      <c r="GF142" s="63">
        <v>1.3145525E7</v>
      </c>
      <c r="GG142" s="64">
        <v>5.5710411E7</v>
      </c>
      <c r="GH142" s="65">
        <v>0.0</v>
      </c>
      <c r="GI142" s="64">
        <v>0.0</v>
      </c>
      <c r="GJ142" s="64">
        <v>5.8831531E7</v>
      </c>
      <c r="GK142" s="64">
        <v>-3977110.0</v>
      </c>
      <c r="GL142" s="64">
        <v>2.7146796E7</v>
      </c>
      <c r="GM142" s="64">
        <v>0.0</v>
      </c>
      <c r="GN142" s="63">
        <v>1.37711628E8</v>
      </c>
      <c r="GO142" s="66">
        <v>1.50857153E8</v>
      </c>
      <c r="GP142" s="64">
        <v>6615202.0</v>
      </c>
      <c r="GQ142" s="64">
        <v>0.0</v>
      </c>
      <c r="GR142" s="65">
        <v>0.0</v>
      </c>
      <c r="GS142" s="63">
        <v>6615202.0</v>
      </c>
      <c r="GT142" s="67">
        <v>8988520.0</v>
      </c>
      <c r="GU142" s="67">
        <v>2.3875127E7</v>
      </c>
      <c r="GV142" s="67">
        <v>3784948.0</v>
      </c>
      <c r="GW142" s="63">
        <v>3.6648595E7</v>
      </c>
      <c r="GX142" s="63">
        <v>5348374.0</v>
      </c>
      <c r="GY142" s="63">
        <v>1.02244982E8</v>
      </c>
      <c r="GZ142" s="66">
        <v>1.50857153E8</v>
      </c>
      <c r="HH142" s="106"/>
    </row>
    <row r="143" ht="15.75" customHeight="1">
      <c r="A143" s="60">
        <v>138.0</v>
      </c>
      <c r="B143" s="111" t="s">
        <v>408</v>
      </c>
      <c r="C143" s="62">
        <v>0.0</v>
      </c>
      <c r="D143" s="62">
        <v>0.0</v>
      </c>
      <c r="E143" s="62">
        <v>0.0</v>
      </c>
      <c r="F143" s="62">
        <v>0.0</v>
      </c>
      <c r="G143" s="62">
        <v>0.0</v>
      </c>
      <c r="H143" s="62">
        <v>0.0</v>
      </c>
      <c r="I143" s="62">
        <v>0.0</v>
      </c>
      <c r="J143" s="62">
        <v>0.0</v>
      </c>
      <c r="K143" s="62">
        <v>0.0</v>
      </c>
      <c r="L143" s="62">
        <v>0.0</v>
      </c>
      <c r="M143" s="62">
        <v>0.0</v>
      </c>
      <c r="N143" s="62">
        <v>0.0</v>
      </c>
      <c r="O143" s="62">
        <v>0.0</v>
      </c>
      <c r="P143" s="62">
        <v>0.0</v>
      </c>
      <c r="Q143" s="62">
        <v>0.0</v>
      </c>
      <c r="R143" s="62">
        <v>0.0</v>
      </c>
      <c r="S143" s="62">
        <v>0.0</v>
      </c>
      <c r="T143" s="62">
        <v>0.0</v>
      </c>
      <c r="U143" s="62">
        <v>0.0</v>
      </c>
      <c r="V143" s="62">
        <v>0.0</v>
      </c>
      <c r="W143" s="62">
        <v>0.0</v>
      </c>
      <c r="X143" s="62">
        <v>0.0</v>
      </c>
      <c r="Y143" s="62">
        <v>0.0</v>
      </c>
      <c r="Z143" s="62">
        <v>0.0</v>
      </c>
      <c r="AA143" s="62">
        <v>0.0</v>
      </c>
      <c r="AB143" s="62">
        <v>0.0</v>
      </c>
      <c r="AC143" s="62">
        <v>0.0</v>
      </c>
      <c r="AD143" s="62">
        <v>0.0</v>
      </c>
      <c r="AE143" s="62">
        <v>0.0</v>
      </c>
      <c r="AF143" s="62">
        <v>0.0</v>
      </c>
      <c r="AG143" s="62">
        <v>0.0</v>
      </c>
      <c r="AH143" s="62">
        <v>0.0</v>
      </c>
      <c r="AI143" s="62">
        <v>0.0</v>
      </c>
      <c r="AJ143" s="62">
        <v>0.0</v>
      </c>
      <c r="AK143" s="62">
        <v>0.0</v>
      </c>
      <c r="AL143" s="62">
        <v>0.0</v>
      </c>
      <c r="AM143" s="62">
        <v>0.0</v>
      </c>
      <c r="AN143" s="62">
        <v>0.0</v>
      </c>
      <c r="AO143" s="62">
        <v>0.0</v>
      </c>
      <c r="AP143" s="62">
        <v>0.0</v>
      </c>
      <c r="AQ143" s="62">
        <v>0.0</v>
      </c>
      <c r="AR143" s="62">
        <v>0.0</v>
      </c>
      <c r="AS143" s="62">
        <v>0.0</v>
      </c>
      <c r="AT143" s="62">
        <v>0.0</v>
      </c>
      <c r="AU143" s="62">
        <v>0.0</v>
      </c>
      <c r="AV143" s="62">
        <v>0.0</v>
      </c>
      <c r="AW143" s="62">
        <v>0.0</v>
      </c>
      <c r="AX143" s="62">
        <v>0.0</v>
      </c>
      <c r="AY143" s="62">
        <v>0.0</v>
      </c>
      <c r="AZ143" s="62">
        <v>0.0</v>
      </c>
      <c r="BA143" s="62">
        <v>0.0</v>
      </c>
      <c r="BB143" s="62">
        <v>0.0</v>
      </c>
      <c r="BC143" s="62">
        <v>0.0</v>
      </c>
      <c r="BD143" s="62">
        <v>0.0</v>
      </c>
      <c r="BE143" s="62">
        <v>0.0</v>
      </c>
      <c r="BF143" s="62">
        <v>0.0</v>
      </c>
      <c r="BG143" s="62">
        <v>0.0</v>
      </c>
      <c r="BH143" s="62">
        <v>0.0</v>
      </c>
      <c r="BI143" s="62">
        <v>0.0</v>
      </c>
      <c r="BJ143" s="62">
        <v>0.0</v>
      </c>
      <c r="BK143" s="62">
        <v>0.0</v>
      </c>
      <c r="BL143" s="62">
        <v>0.0</v>
      </c>
      <c r="BM143" s="62">
        <v>0.0</v>
      </c>
      <c r="BN143" s="62">
        <v>0.0</v>
      </c>
      <c r="BO143" s="62">
        <v>0.0</v>
      </c>
      <c r="BP143" s="62">
        <v>0.0</v>
      </c>
      <c r="BQ143" s="62">
        <v>0.0</v>
      </c>
      <c r="BR143" s="62">
        <v>0.0</v>
      </c>
      <c r="BS143" s="62">
        <v>0.0</v>
      </c>
      <c r="BT143" s="62">
        <v>0.0</v>
      </c>
      <c r="BU143" s="62">
        <v>0.0</v>
      </c>
      <c r="BV143" s="62">
        <v>0.0</v>
      </c>
      <c r="BW143" s="62">
        <v>0.0</v>
      </c>
      <c r="BX143" s="62">
        <v>0.0</v>
      </c>
      <c r="BY143" s="62">
        <v>0.0</v>
      </c>
      <c r="BZ143" s="62">
        <v>0.0</v>
      </c>
      <c r="CA143" s="62">
        <v>0.0</v>
      </c>
      <c r="CB143" s="62">
        <v>0.0</v>
      </c>
      <c r="CC143" s="62">
        <v>0.0</v>
      </c>
      <c r="CD143" s="62">
        <v>232.0</v>
      </c>
      <c r="CE143" s="62">
        <v>384.0</v>
      </c>
      <c r="CF143" s="62">
        <v>20851.0</v>
      </c>
      <c r="CG143" s="62">
        <v>147.0</v>
      </c>
      <c r="CH143" s="62">
        <v>1838.0</v>
      </c>
      <c r="CI143" s="62">
        <v>1052.0</v>
      </c>
      <c r="CJ143" s="62">
        <v>0.0</v>
      </c>
      <c r="CK143" s="62">
        <v>0.0</v>
      </c>
      <c r="CL143" s="62">
        <v>0.0</v>
      </c>
      <c r="CM143" s="62">
        <v>0.0</v>
      </c>
      <c r="CN143" s="62">
        <v>0.0</v>
      </c>
      <c r="CO143" s="62">
        <v>0.0</v>
      </c>
      <c r="CP143" s="62">
        <v>0.0</v>
      </c>
      <c r="CQ143" s="62">
        <v>0.0</v>
      </c>
      <c r="CR143" s="62">
        <v>0.0</v>
      </c>
      <c r="CS143" s="62">
        <v>0.0</v>
      </c>
      <c r="CT143" s="62">
        <v>0.0</v>
      </c>
      <c r="CU143" s="62">
        <v>0.0</v>
      </c>
      <c r="CV143" s="62">
        <v>0.0</v>
      </c>
      <c r="CW143" s="62">
        <v>0.0</v>
      </c>
      <c r="CX143" s="62">
        <v>0.0</v>
      </c>
      <c r="CY143" s="62">
        <v>0.0</v>
      </c>
      <c r="CZ143" s="62">
        <v>0.0</v>
      </c>
      <c r="DA143" s="62">
        <v>0.0</v>
      </c>
      <c r="DB143" s="62">
        <v>0.0</v>
      </c>
      <c r="DC143" s="62">
        <v>0.0</v>
      </c>
      <c r="DD143" s="62">
        <v>0.0</v>
      </c>
      <c r="DE143" s="62">
        <v>0.0</v>
      </c>
      <c r="DF143" s="62">
        <v>0.0</v>
      </c>
      <c r="DG143" s="62">
        <v>0.0</v>
      </c>
      <c r="DH143" s="62">
        <v>0.0</v>
      </c>
      <c r="DI143" s="62">
        <v>0.0</v>
      </c>
      <c r="DJ143" s="62">
        <v>0.0</v>
      </c>
      <c r="DK143" s="62">
        <v>0.0</v>
      </c>
      <c r="DL143" s="62">
        <v>0.0</v>
      </c>
      <c r="DM143" s="62">
        <v>0.0</v>
      </c>
      <c r="DN143" s="62">
        <v>0.0</v>
      </c>
      <c r="DO143" s="62">
        <v>0.0</v>
      </c>
      <c r="DP143" s="62">
        <v>0.0</v>
      </c>
      <c r="DQ143" s="62">
        <v>0.0</v>
      </c>
      <c r="DR143" s="62">
        <v>0.0</v>
      </c>
      <c r="DS143" s="62">
        <v>0.0</v>
      </c>
      <c r="DT143" s="62">
        <v>0.0</v>
      </c>
      <c r="DU143" s="62">
        <v>0.0</v>
      </c>
      <c r="DV143" s="62">
        <v>0.0</v>
      </c>
      <c r="DW143" s="62">
        <v>0.0</v>
      </c>
      <c r="DX143" s="62">
        <v>0.0</v>
      </c>
      <c r="DY143" s="62">
        <v>0.0</v>
      </c>
      <c r="DZ143" s="62">
        <v>0.0</v>
      </c>
      <c r="EA143" s="62">
        <v>0.0</v>
      </c>
      <c r="EB143" s="62">
        <v>0.0</v>
      </c>
      <c r="EC143" s="62">
        <v>0.0</v>
      </c>
      <c r="ED143" s="62">
        <v>0.0</v>
      </c>
      <c r="EE143" s="62">
        <v>0.0</v>
      </c>
      <c r="EF143" s="62">
        <v>0.0</v>
      </c>
      <c r="EG143" s="62">
        <v>0.0</v>
      </c>
      <c r="EH143" s="62">
        <v>0.0</v>
      </c>
      <c r="EI143" s="62">
        <v>0.0</v>
      </c>
      <c r="EJ143" s="62">
        <v>831690.0</v>
      </c>
      <c r="EK143" s="62">
        <v>0.0</v>
      </c>
      <c r="EL143" s="62">
        <v>0.0</v>
      </c>
      <c r="EM143" s="62">
        <v>0.0</v>
      </c>
      <c r="EN143" s="62">
        <v>0.0</v>
      </c>
      <c r="EO143" s="62">
        <v>0.0</v>
      </c>
      <c r="EP143" s="62">
        <v>74.0</v>
      </c>
      <c r="EQ143" s="62">
        <v>0.0</v>
      </c>
      <c r="ER143" s="62">
        <v>0.0</v>
      </c>
      <c r="ES143" s="62">
        <v>0.0</v>
      </c>
      <c r="ET143" s="62">
        <v>0.0</v>
      </c>
      <c r="EU143" s="62">
        <v>0.0</v>
      </c>
      <c r="EV143" s="62">
        <v>0.0</v>
      </c>
      <c r="EW143" s="62">
        <v>0.0</v>
      </c>
      <c r="EX143" s="62">
        <v>0.0</v>
      </c>
      <c r="EY143" s="62">
        <v>0.0</v>
      </c>
      <c r="EZ143" s="62">
        <v>0.0</v>
      </c>
      <c r="FA143" s="62">
        <v>0.0</v>
      </c>
      <c r="FB143" s="62">
        <v>0.0</v>
      </c>
      <c r="FC143" s="62">
        <v>0.0</v>
      </c>
      <c r="FD143" s="62">
        <v>0.0</v>
      </c>
      <c r="FE143" s="62">
        <v>0.0</v>
      </c>
      <c r="FF143" s="62">
        <v>0.0</v>
      </c>
      <c r="FG143" s="62">
        <v>0.0</v>
      </c>
      <c r="FH143" s="62">
        <v>0.0</v>
      </c>
      <c r="FI143" s="62">
        <v>0.0</v>
      </c>
      <c r="FJ143" s="62">
        <v>0.0</v>
      </c>
      <c r="FK143" s="62">
        <v>0.0</v>
      </c>
      <c r="FL143" s="62">
        <v>0.0</v>
      </c>
      <c r="FM143" s="62">
        <v>0.0</v>
      </c>
      <c r="FN143" s="62">
        <v>0.0</v>
      </c>
      <c r="FO143" s="62">
        <v>0.0</v>
      </c>
      <c r="FP143" s="62">
        <v>0.0</v>
      </c>
      <c r="FQ143" s="62">
        <v>0.0</v>
      </c>
      <c r="FR143" s="62">
        <v>0.0</v>
      </c>
      <c r="FS143" s="62">
        <v>0.0</v>
      </c>
      <c r="FT143" s="62">
        <v>0.0</v>
      </c>
      <c r="FU143" s="62">
        <v>0.0</v>
      </c>
      <c r="FV143" s="62">
        <v>0.0</v>
      </c>
      <c r="FW143" s="62">
        <v>0.0</v>
      </c>
      <c r="FX143" s="62">
        <v>0.0</v>
      </c>
      <c r="FY143" s="62">
        <v>0.0</v>
      </c>
      <c r="FZ143" s="62">
        <v>0.0</v>
      </c>
      <c r="GA143" s="62">
        <v>0.0</v>
      </c>
      <c r="GB143" s="62">
        <v>0.0</v>
      </c>
      <c r="GC143" s="62">
        <v>313.0</v>
      </c>
      <c r="GD143" s="62">
        <v>1055.0</v>
      </c>
      <c r="GE143" s="62">
        <v>0.0</v>
      </c>
      <c r="GF143" s="63">
        <v>857636.0</v>
      </c>
      <c r="GG143" s="64">
        <v>4.6857563E7</v>
      </c>
      <c r="GH143" s="65">
        <v>0.0</v>
      </c>
      <c r="GI143" s="64">
        <v>0.0</v>
      </c>
      <c r="GJ143" s="64">
        <v>0.0</v>
      </c>
      <c r="GK143" s="64">
        <v>5184.0</v>
      </c>
      <c r="GL143" s="64">
        <v>2.2480932E7</v>
      </c>
      <c r="GM143" s="64">
        <v>127906.0</v>
      </c>
      <c r="GN143" s="63">
        <v>6.9471585E7</v>
      </c>
      <c r="GO143" s="66">
        <v>7.0329221E7</v>
      </c>
      <c r="GP143" s="64">
        <v>1097858.0</v>
      </c>
      <c r="GQ143" s="64">
        <v>85847.0</v>
      </c>
      <c r="GR143" s="65">
        <v>0.0</v>
      </c>
      <c r="GS143" s="63">
        <v>1183705.0</v>
      </c>
      <c r="GT143" s="67">
        <v>8710830.0</v>
      </c>
      <c r="GU143" s="67">
        <v>9669485.0</v>
      </c>
      <c r="GV143" s="67">
        <v>2472400.0</v>
      </c>
      <c r="GW143" s="63">
        <v>2.0852715E7</v>
      </c>
      <c r="GX143" s="63">
        <v>2154818.0</v>
      </c>
      <c r="GY143" s="63">
        <v>4.6137983E7</v>
      </c>
      <c r="GZ143" s="66">
        <v>7.0329221E7</v>
      </c>
      <c r="HH143" s="106"/>
    </row>
    <row r="144" ht="15.75" customHeight="1">
      <c r="A144" s="60">
        <v>139.0</v>
      </c>
      <c r="B144" s="111" t="s">
        <v>409</v>
      </c>
      <c r="C144" s="62">
        <v>0.0</v>
      </c>
      <c r="D144" s="62">
        <v>0.0</v>
      </c>
      <c r="E144" s="62">
        <v>0.0</v>
      </c>
      <c r="F144" s="62">
        <v>0.0</v>
      </c>
      <c r="G144" s="62">
        <v>0.0</v>
      </c>
      <c r="H144" s="62">
        <v>0.0</v>
      </c>
      <c r="I144" s="62">
        <v>0.0</v>
      </c>
      <c r="J144" s="62">
        <v>0.0</v>
      </c>
      <c r="K144" s="62">
        <v>0.0</v>
      </c>
      <c r="L144" s="62">
        <v>0.0</v>
      </c>
      <c r="M144" s="62">
        <v>0.0</v>
      </c>
      <c r="N144" s="62">
        <v>0.0</v>
      </c>
      <c r="O144" s="62">
        <v>0.0</v>
      </c>
      <c r="P144" s="62">
        <v>0.0</v>
      </c>
      <c r="Q144" s="62">
        <v>0.0</v>
      </c>
      <c r="R144" s="62">
        <v>0.0</v>
      </c>
      <c r="S144" s="62">
        <v>0.0</v>
      </c>
      <c r="T144" s="62">
        <v>0.0</v>
      </c>
      <c r="U144" s="62">
        <v>0.0</v>
      </c>
      <c r="V144" s="62">
        <v>0.0</v>
      </c>
      <c r="W144" s="62">
        <v>0.0</v>
      </c>
      <c r="X144" s="62">
        <v>0.0</v>
      </c>
      <c r="Y144" s="62">
        <v>0.0</v>
      </c>
      <c r="Z144" s="62">
        <v>0.0</v>
      </c>
      <c r="AA144" s="62">
        <v>0.0</v>
      </c>
      <c r="AB144" s="62">
        <v>0.0</v>
      </c>
      <c r="AC144" s="62">
        <v>0.0</v>
      </c>
      <c r="AD144" s="62">
        <v>0.0</v>
      </c>
      <c r="AE144" s="62">
        <v>0.0</v>
      </c>
      <c r="AF144" s="62">
        <v>0.0</v>
      </c>
      <c r="AG144" s="62">
        <v>0.0</v>
      </c>
      <c r="AH144" s="62">
        <v>0.0</v>
      </c>
      <c r="AI144" s="62">
        <v>0.0</v>
      </c>
      <c r="AJ144" s="62">
        <v>0.0</v>
      </c>
      <c r="AK144" s="62">
        <v>0.0</v>
      </c>
      <c r="AL144" s="62">
        <v>0.0</v>
      </c>
      <c r="AM144" s="62">
        <v>0.0</v>
      </c>
      <c r="AN144" s="62">
        <v>0.0</v>
      </c>
      <c r="AO144" s="62">
        <v>0.0</v>
      </c>
      <c r="AP144" s="62">
        <v>0.0</v>
      </c>
      <c r="AQ144" s="62">
        <v>0.0</v>
      </c>
      <c r="AR144" s="62">
        <v>0.0</v>
      </c>
      <c r="AS144" s="62">
        <v>0.0</v>
      </c>
      <c r="AT144" s="62">
        <v>0.0</v>
      </c>
      <c r="AU144" s="62">
        <v>0.0</v>
      </c>
      <c r="AV144" s="62">
        <v>0.0</v>
      </c>
      <c r="AW144" s="62">
        <v>0.0</v>
      </c>
      <c r="AX144" s="62">
        <v>0.0</v>
      </c>
      <c r="AY144" s="62">
        <v>0.0</v>
      </c>
      <c r="AZ144" s="62">
        <v>0.0</v>
      </c>
      <c r="BA144" s="62">
        <v>0.0</v>
      </c>
      <c r="BB144" s="62">
        <v>0.0</v>
      </c>
      <c r="BC144" s="62">
        <v>0.0</v>
      </c>
      <c r="BD144" s="62">
        <v>0.0</v>
      </c>
      <c r="BE144" s="62">
        <v>0.0</v>
      </c>
      <c r="BF144" s="62">
        <v>0.0</v>
      </c>
      <c r="BG144" s="62">
        <v>0.0</v>
      </c>
      <c r="BH144" s="62">
        <v>0.0</v>
      </c>
      <c r="BI144" s="62">
        <v>0.0</v>
      </c>
      <c r="BJ144" s="62">
        <v>0.0</v>
      </c>
      <c r="BK144" s="62">
        <v>0.0</v>
      </c>
      <c r="BL144" s="62">
        <v>0.0</v>
      </c>
      <c r="BM144" s="62">
        <v>0.0</v>
      </c>
      <c r="BN144" s="62">
        <v>0.0</v>
      </c>
      <c r="BO144" s="62">
        <v>0.0</v>
      </c>
      <c r="BP144" s="62">
        <v>0.0</v>
      </c>
      <c r="BQ144" s="62">
        <v>0.0</v>
      </c>
      <c r="BR144" s="62">
        <v>0.0</v>
      </c>
      <c r="BS144" s="62">
        <v>0.0</v>
      </c>
      <c r="BT144" s="62">
        <v>0.0</v>
      </c>
      <c r="BU144" s="62">
        <v>0.0</v>
      </c>
      <c r="BV144" s="62">
        <v>0.0</v>
      </c>
      <c r="BW144" s="62">
        <v>0.0</v>
      </c>
      <c r="BX144" s="62">
        <v>0.0</v>
      </c>
      <c r="BY144" s="62">
        <v>0.0</v>
      </c>
      <c r="BZ144" s="62">
        <v>0.0</v>
      </c>
      <c r="CA144" s="62">
        <v>0.0</v>
      </c>
      <c r="CB144" s="62">
        <v>0.0</v>
      </c>
      <c r="CC144" s="62">
        <v>0.0</v>
      </c>
      <c r="CD144" s="62">
        <v>0.0</v>
      </c>
      <c r="CE144" s="62">
        <v>0.0</v>
      </c>
      <c r="CF144" s="62">
        <v>0.0</v>
      </c>
      <c r="CG144" s="62">
        <v>0.0</v>
      </c>
      <c r="CH144" s="62">
        <v>0.0</v>
      </c>
      <c r="CI144" s="62">
        <v>0.0</v>
      </c>
      <c r="CJ144" s="62">
        <v>0.0</v>
      </c>
      <c r="CK144" s="62">
        <v>0.0</v>
      </c>
      <c r="CL144" s="62">
        <v>0.0</v>
      </c>
      <c r="CM144" s="62">
        <v>0.0</v>
      </c>
      <c r="CN144" s="62">
        <v>0.0</v>
      </c>
      <c r="CO144" s="62">
        <v>0.0</v>
      </c>
      <c r="CP144" s="62">
        <v>0.0</v>
      </c>
      <c r="CQ144" s="62">
        <v>251265.0</v>
      </c>
      <c r="CR144" s="62">
        <v>0.0</v>
      </c>
      <c r="CS144" s="62">
        <v>0.0</v>
      </c>
      <c r="CT144" s="62">
        <v>0.0</v>
      </c>
      <c r="CU144" s="62">
        <v>0.0</v>
      </c>
      <c r="CV144" s="62">
        <v>0.0</v>
      </c>
      <c r="CW144" s="62">
        <v>0.0</v>
      </c>
      <c r="CX144" s="62">
        <v>0.0</v>
      </c>
      <c r="CY144" s="62">
        <v>0.0</v>
      </c>
      <c r="CZ144" s="62">
        <v>0.0</v>
      </c>
      <c r="DA144" s="62">
        <v>0.0</v>
      </c>
      <c r="DB144" s="62">
        <v>0.0</v>
      </c>
      <c r="DC144" s="62">
        <v>0.0</v>
      </c>
      <c r="DD144" s="62">
        <v>0.0</v>
      </c>
      <c r="DE144" s="62">
        <v>0.0</v>
      </c>
      <c r="DF144" s="62">
        <v>0.0</v>
      </c>
      <c r="DG144" s="62">
        <v>0.0</v>
      </c>
      <c r="DH144" s="62">
        <v>0.0</v>
      </c>
      <c r="DI144" s="62">
        <v>0.0</v>
      </c>
      <c r="DJ144" s="62">
        <v>0.0</v>
      </c>
      <c r="DK144" s="62">
        <v>0.0</v>
      </c>
      <c r="DL144" s="62">
        <v>0.0</v>
      </c>
      <c r="DM144" s="62">
        <v>0.0</v>
      </c>
      <c r="DN144" s="62">
        <v>0.0</v>
      </c>
      <c r="DO144" s="62">
        <v>0.0</v>
      </c>
      <c r="DP144" s="62">
        <v>0.0</v>
      </c>
      <c r="DQ144" s="62">
        <v>0.0</v>
      </c>
      <c r="DR144" s="62">
        <v>0.0</v>
      </c>
      <c r="DS144" s="62">
        <v>0.0</v>
      </c>
      <c r="DT144" s="62">
        <v>0.0</v>
      </c>
      <c r="DU144" s="62">
        <v>0.0</v>
      </c>
      <c r="DV144" s="62">
        <v>0.0</v>
      </c>
      <c r="DW144" s="62">
        <v>0.0</v>
      </c>
      <c r="DX144" s="62">
        <v>0.0</v>
      </c>
      <c r="DY144" s="62">
        <v>0.0</v>
      </c>
      <c r="DZ144" s="62">
        <v>0.0</v>
      </c>
      <c r="EA144" s="62">
        <v>0.0</v>
      </c>
      <c r="EB144" s="62">
        <v>0.0</v>
      </c>
      <c r="EC144" s="62">
        <v>0.0</v>
      </c>
      <c r="ED144" s="62">
        <v>0.0</v>
      </c>
      <c r="EE144" s="62">
        <v>0.0</v>
      </c>
      <c r="EF144" s="62">
        <v>0.0</v>
      </c>
      <c r="EG144" s="62">
        <v>0.0</v>
      </c>
      <c r="EH144" s="62">
        <v>0.0</v>
      </c>
      <c r="EI144" s="62">
        <v>0.0</v>
      </c>
      <c r="EJ144" s="62">
        <v>0.0</v>
      </c>
      <c r="EK144" s="62">
        <v>1074624.0</v>
      </c>
      <c r="EL144" s="62">
        <v>137059.0</v>
      </c>
      <c r="EM144" s="62">
        <v>3095.0</v>
      </c>
      <c r="EN144" s="62">
        <v>0.0</v>
      </c>
      <c r="EO144" s="62">
        <v>0.0</v>
      </c>
      <c r="EP144" s="62">
        <v>173.0</v>
      </c>
      <c r="EQ144" s="62">
        <v>0.0</v>
      </c>
      <c r="ER144" s="62">
        <v>0.0</v>
      </c>
      <c r="ES144" s="62">
        <v>0.0</v>
      </c>
      <c r="ET144" s="62">
        <v>0.0</v>
      </c>
      <c r="EU144" s="62">
        <v>0.0</v>
      </c>
      <c r="EV144" s="62">
        <v>0.0</v>
      </c>
      <c r="EW144" s="62">
        <v>0.0</v>
      </c>
      <c r="EX144" s="62">
        <v>0.0</v>
      </c>
      <c r="EY144" s="62">
        <v>0.0</v>
      </c>
      <c r="EZ144" s="62">
        <v>0.0</v>
      </c>
      <c r="FA144" s="62">
        <v>0.0</v>
      </c>
      <c r="FB144" s="62">
        <v>0.0</v>
      </c>
      <c r="FC144" s="62">
        <v>0.0</v>
      </c>
      <c r="FD144" s="62">
        <v>0.0</v>
      </c>
      <c r="FE144" s="62">
        <v>0.0</v>
      </c>
      <c r="FF144" s="62">
        <v>0.0</v>
      </c>
      <c r="FG144" s="62">
        <v>0.0</v>
      </c>
      <c r="FH144" s="62">
        <v>0.0</v>
      </c>
      <c r="FI144" s="62">
        <v>0.0</v>
      </c>
      <c r="FJ144" s="62">
        <v>0.0</v>
      </c>
      <c r="FK144" s="62">
        <v>16989.0</v>
      </c>
      <c r="FL144" s="62">
        <v>0.0</v>
      </c>
      <c r="FM144" s="62">
        <v>0.0</v>
      </c>
      <c r="FN144" s="62">
        <v>0.0</v>
      </c>
      <c r="FO144" s="62">
        <v>0.0</v>
      </c>
      <c r="FP144" s="62">
        <v>0.0</v>
      </c>
      <c r="FQ144" s="62">
        <v>0.0</v>
      </c>
      <c r="FR144" s="62">
        <v>0.0</v>
      </c>
      <c r="FS144" s="62">
        <v>0.0</v>
      </c>
      <c r="FT144" s="62">
        <v>0.0</v>
      </c>
      <c r="FU144" s="62">
        <v>0.0</v>
      </c>
      <c r="FV144" s="62">
        <v>2422452.0</v>
      </c>
      <c r="FW144" s="62">
        <v>0.0</v>
      </c>
      <c r="FX144" s="62">
        <v>0.0</v>
      </c>
      <c r="FY144" s="62">
        <v>0.0</v>
      </c>
      <c r="FZ144" s="62">
        <v>0.0</v>
      </c>
      <c r="GA144" s="62">
        <v>441555.0</v>
      </c>
      <c r="GB144" s="62">
        <v>0.0</v>
      </c>
      <c r="GC144" s="62">
        <v>1121086.0</v>
      </c>
      <c r="GD144" s="62">
        <v>333.0</v>
      </c>
      <c r="GE144" s="62">
        <v>0.0</v>
      </c>
      <c r="GF144" s="63">
        <v>5468631.0</v>
      </c>
      <c r="GG144" s="64">
        <v>385098.0</v>
      </c>
      <c r="GH144" s="65">
        <v>0.0</v>
      </c>
      <c r="GI144" s="64">
        <v>0.0</v>
      </c>
      <c r="GJ144" s="64">
        <v>8667938.0</v>
      </c>
      <c r="GK144" s="64">
        <v>-3913926.0</v>
      </c>
      <c r="GL144" s="64">
        <v>6333981.0</v>
      </c>
      <c r="GM144" s="64">
        <v>26438.0</v>
      </c>
      <c r="GN144" s="63">
        <v>1.1499529E7</v>
      </c>
      <c r="GO144" s="66">
        <v>1.696816E7</v>
      </c>
      <c r="GP144" s="64">
        <v>1633222.0</v>
      </c>
      <c r="GQ144" s="64">
        <v>4998.0</v>
      </c>
      <c r="GR144" s="65">
        <v>0.0</v>
      </c>
      <c r="GS144" s="63">
        <v>1638220.0</v>
      </c>
      <c r="GT144" s="67">
        <v>1769740.0</v>
      </c>
      <c r="GU144" s="67">
        <v>1293107.0</v>
      </c>
      <c r="GV144" s="67">
        <v>116247.0</v>
      </c>
      <c r="GW144" s="63">
        <v>3179094.0</v>
      </c>
      <c r="GX144" s="63">
        <v>453816.0</v>
      </c>
      <c r="GY144" s="63">
        <v>1.169703E7</v>
      </c>
      <c r="GZ144" s="66">
        <v>1.696816E7</v>
      </c>
      <c r="HH144" s="106"/>
    </row>
    <row r="145" ht="15.75" customHeight="1">
      <c r="A145" s="68">
        <v>140.0</v>
      </c>
      <c r="B145" s="111" t="s">
        <v>410</v>
      </c>
      <c r="C145" s="70">
        <v>0.0</v>
      </c>
      <c r="D145" s="70">
        <v>0.0</v>
      </c>
      <c r="E145" s="70">
        <v>0.0</v>
      </c>
      <c r="F145" s="70">
        <v>0.0</v>
      </c>
      <c r="G145" s="70">
        <v>0.0</v>
      </c>
      <c r="H145" s="70">
        <v>0.0</v>
      </c>
      <c r="I145" s="70">
        <v>0.0</v>
      </c>
      <c r="J145" s="70">
        <v>0.0</v>
      </c>
      <c r="K145" s="70">
        <v>0.0</v>
      </c>
      <c r="L145" s="70">
        <v>0.0</v>
      </c>
      <c r="M145" s="70">
        <v>0.0</v>
      </c>
      <c r="N145" s="70">
        <v>0.0</v>
      </c>
      <c r="O145" s="70">
        <v>0.0</v>
      </c>
      <c r="P145" s="70">
        <v>0.0</v>
      </c>
      <c r="Q145" s="70">
        <v>0.0</v>
      </c>
      <c r="R145" s="70">
        <v>0.0</v>
      </c>
      <c r="S145" s="70">
        <v>0.0</v>
      </c>
      <c r="T145" s="70">
        <v>0.0</v>
      </c>
      <c r="U145" s="70">
        <v>0.0</v>
      </c>
      <c r="V145" s="70">
        <v>0.0</v>
      </c>
      <c r="W145" s="70">
        <v>0.0</v>
      </c>
      <c r="X145" s="70">
        <v>0.0</v>
      </c>
      <c r="Y145" s="70">
        <v>0.0</v>
      </c>
      <c r="Z145" s="70">
        <v>0.0</v>
      </c>
      <c r="AA145" s="70">
        <v>0.0</v>
      </c>
      <c r="AB145" s="70">
        <v>0.0</v>
      </c>
      <c r="AC145" s="70">
        <v>0.0</v>
      </c>
      <c r="AD145" s="70">
        <v>0.0</v>
      </c>
      <c r="AE145" s="70">
        <v>0.0</v>
      </c>
      <c r="AF145" s="70">
        <v>0.0</v>
      </c>
      <c r="AG145" s="70">
        <v>0.0</v>
      </c>
      <c r="AH145" s="70">
        <v>0.0</v>
      </c>
      <c r="AI145" s="70">
        <v>0.0</v>
      </c>
      <c r="AJ145" s="70">
        <v>0.0</v>
      </c>
      <c r="AK145" s="70">
        <v>0.0</v>
      </c>
      <c r="AL145" s="70">
        <v>0.0</v>
      </c>
      <c r="AM145" s="70">
        <v>0.0</v>
      </c>
      <c r="AN145" s="70">
        <v>0.0</v>
      </c>
      <c r="AO145" s="70">
        <v>0.0</v>
      </c>
      <c r="AP145" s="70">
        <v>0.0</v>
      </c>
      <c r="AQ145" s="70">
        <v>0.0</v>
      </c>
      <c r="AR145" s="70">
        <v>0.0</v>
      </c>
      <c r="AS145" s="70">
        <v>0.0</v>
      </c>
      <c r="AT145" s="70">
        <v>0.0</v>
      </c>
      <c r="AU145" s="70">
        <v>0.0</v>
      </c>
      <c r="AV145" s="70">
        <v>0.0</v>
      </c>
      <c r="AW145" s="70">
        <v>0.0</v>
      </c>
      <c r="AX145" s="70">
        <v>0.0</v>
      </c>
      <c r="AY145" s="70">
        <v>0.0</v>
      </c>
      <c r="AZ145" s="70">
        <v>0.0</v>
      </c>
      <c r="BA145" s="70">
        <v>0.0</v>
      </c>
      <c r="BB145" s="70">
        <v>0.0</v>
      </c>
      <c r="BC145" s="70">
        <v>0.0</v>
      </c>
      <c r="BD145" s="70">
        <v>0.0</v>
      </c>
      <c r="BE145" s="70">
        <v>0.0</v>
      </c>
      <c r="BF145" s="70">
        <v>0.0</v>
      </c>
      <c r="BG145" s="70">
        <v>0.0</v>
      </c>
      <c r="BH145" s="70">
        <v>0.0</v>
      </c>
      <c r="BI145" s="70">
        <v>0.0</v>
      </c>
      <c r="BJ145" s="70">
        <v>0.0</v>
      </c>
      <c r="BK145" s="70">
        <v>0.0</v>
      </c>
      <c r="BL145" s="70">
        <v>0.0</v>
      </c>
      <c r="BM145" s="70">
        <v>0.0</v>
      </c>
      <c r="BN145" s="70">
        <v>0.0</v>
      </c>
      <c r="BO145" s="70">
        <v>0.0</v>
      </c>
      <c r="BP145" s="70">
        <v>0.0</v>
      </c>
      <c r="BQ145" s="70">
        <v>0.0</v>
      </c>
      <c r="BR145" s="70">
        <v>0.0</v>
      </c>
      <c r="BS145" s="70">
        <v>0.0</v>
      </c>
      <c r="BT145" s="70">
        <v>0.0</v>
      </c>
      <c r="BU145" s="70">
        <v>0.0</v>
      </c>
      <c r="BV145" s="70">
        <v>0.0</v>
      </c>
      <c r="BW145" s="70">
        <v>0.0</v>
      </c>
      <c r="BX145" s="70">
        <v>0.0</v>
      </c>
      <c r="BY145" s="70">
        <v>0.0</v>
      </c>
      <c r="BZ145" s="70">
        <v>0.0</v>
      </c>
      <c r="CA145" s="70">
        <v>0.0</v>
      </c>
      <c r="CB145" s="70">
        <v>0.0</v>
      </c>
      <c r="CC145" s="70">
        <v>0.0</v>
      </c>
      <c r="CD145" s="70">
        <v>0.0</v>
      </c>
      <c r="CE145" s="70">
        <v>0.0</v>
      </c>
      <c r="CF145" s="70">
        <v>0.0</v>
      </c>
      <c r="CG145" s="70">
        <v>0.0</v>
      </c>
      <c r="CH145" s="70">
        <v>0.0</v>
      </c>
      <c r="CI145" s="70">
        <v>0.0</v>
      </c>
      <c r="CJ145" s="70">
        <v>0.0</v>
      </c>
      <c r="CK145" s="70">
        <v>0.0</v>
      </c>
      <c r="CL145" s="70">
        <v>0.0</v>
      </c>
      <c r="CM145" s="70">
        <v>0.0</v>
      </c>
      <c r="CN145" s="70">
        <v>0.0</v>
      </c>
      <c r="CO145" s="70">
        <v>0.0</v>
      </c>
      <c r="CP145" s="70">
        <v>0.0</v>
      </c>
      <c r="CQ145" s="70">
        <v>130078.0</v>
      </c>
      <c r="CR145" s="70">
        <v>0.0</v>
      </c>
      <c r="CS145" s="70">
        <v>0.0</v>
      </c>
      <c r="CT145" s="70">
        <v>0.0</v>
      </c>
      <c r="CU145" s="70">
        <v>0.0</v>
      </c>
      <c r="CV145" s="70">
        <v>0.0</v>
      </c>
      <c r="CW145" s="70">
        <v>0.0</v>
      </c>
      <c r="CX145" s="70">
        <v>0.0</v>
      </c>
      <c r="CY145" s="70">
        <v>0.0</v>
      </c>
      <c r="CZ145" s="70">
        <v>0.0</v>
      </c>
      <c r="DA145" s="70">
        <v>0.0</v>
      </c>
      <c r="DB145" s="70">
        <v>0.0</v>
      </c>
      <c r="DC145" s="70">
        <v>0.0</v>
      </c>
      <c r="DD145" s="70">
        <v>0.0</v>
      </c>
      <c r="DE145" s="70">
        <v>0.0</v>
      </c>
      <c r="DF145" s="70">
        <v>0.0</v>
      </c>
      <c r="DG145" s="70">
        <v>0.0</v>
      </c>
      <c r="DH145" s="70">
        <v>0.0</v>
      </c>
      <c r="DI145" s="70">
        <v>0.0</v>
      </c>
      <c r="DJ145" s="70">
        <v>0.0</v>
      </c>
      <c r="DK145" s="70">
        <v>0.0</v>
      </c>
      <c r="DL145" s="70">
        <v>0.0</v>
      </c>
      <c r="DM145" s="70">
        <v>0.0</v>
      </c>
      <c r="DN145" s="70">
        <v>0.0</v>
      </c>
      <c r="DO145" s="70">
        <v>0.0</v>
      </c>
      <c r="DP145" s="70">
        <v>0.0</v>
      </c>
      <c r="DQ145" s="70">
        <v>0.0</v>
      </c>
      <c r="DR145" s="70">
        <v>0.0</v>
      </c>
      <c r="DS145" s="70">
        <v>0.0</v>
      </c>
      <c r="DT145" s="70">
        <v>0.0</v>
      </c>
      <c r="DU145" s="70">
        <v>0.0</v>
      </c>
      <c r="DV145" s="70">
        <v>0.0</v>
      </c>
      <c r="DW145" s="70">
        <v>0.0</v>
      </c>
      <c r="DX145" s="70">
        <v>0.0</v>
      </c>
      <c r="DY145" s="70">
        <v>0.0</v>
      </c>
      <c r="DZ145" s="70">
        <v>0.0</v>
      </c>
      <c r="EA145" s="70">
        <v>0.0</v>
      </c>
      <c r="EB145" s="70">
        <v>0.0</v>
      </c>
      <c r="EC145" s="70">
        <v>0.0</v>
      </c>
      <c r="ED145" s="70">
        <v>0.0</v>
      </c>
      <c r="EE145" s="70">
        <v>0.0</v>
      </c>
      <c r="EF145" s="70">
        <v>0.0</v>
      </c>
      <c r="EG145" s="70">
        <v>0.0</v>
      </c>
      <c r="EH145" s="70">
        <v>0.0</v>
      </c>
      <c r="EI145" s="70">
        <v>0.0</v>
      </c>
      <c r="EJ145" s="70">
        <v>0.0</v>
      </c>
      <c r="EK145" s="70">
        <v>326573.0</v>
      </c>
      <c r="EL145" s="70">
        <v>212314.0</v>
      </c>
      <c r="EM145" s="70">
        <v>633.0</v>
      </c>
      <c r="EN145" s="70">
        <v>0.0</v>
      </c>
      <c r="EO145" s="70">
        <v>0.0</v>
      </c>
      <c r="EP145" s="70">
        <v>446.0</v>
      </c>
      <c r="EQ145" s="70">
        <v>0.0</v>
      </c>
      <c r="ER145" s="70">
        <v>0.0</v>
      </c>
      <c r="ES145" s="70">
        <v>0.0</v>
      </c>
      <c r="ET145" s="70">
        <v>87.0</v>
      </c>
      <c r="EU145" s="70">
        <v>0.0</v>
      </c>
      <c r="EV145" s="70">
        <v>0.0</v>
      </c>
      <c r="EW145" s="70">
        <v>0.0</v>
      </c>
      <c r="EX145" s="70">
        <v>0.0</v>
      </c>
      <c r="EY145" s="70">
        <v>0.0</v>
      </c>
      <c r="EZ145" s="70">
        <v>0.0</v>
      </c>
      <c r="FA145" s="70">
        <v>0.0</v>
      </c>
      <c r="FB145" s="70">
        <v>0.0</v>
      </c>
      <c r="FC145" s="70">
        <v>0.0</v>
      </c>
      <c r="FD145" s="70">
        <v>0.0</v>
      </c>
      <c r="FE145" s="70">
        <v>0.0</v>
      </c>
      <c r="FF145" s="70">
        <v>0.0</v>
      </c>
      <c r="FG145" s="70">
        <v>0.0</v>
      </c>
      <c r="FH145" s="70">
        <v>0.0</v>
      </c>
      <c r="FI145" s="70">
        <v>0.0</v>
      </c>
      <c r="FJ145" s="70">
        <v>618.0</v>
      </c>
      <c r="FK145" s="70">
        <v>2301.0</v>
      </c>
      <c r="FL145" s="70">
        <v>0.0</v>
      </c>
      <c r="FM145" s="70">
        <v>0.0</v>
      </c>
      <c r="FN145" s="70">
        <v>0.0</v>
      </c>
      <c r="FO145" s="70">
        <v>0.0</v>
      </c>
      <c r="FP145" s="70">
        <v>0.0</v>
      </c>
      <c r="FQ145" s="70">
        <v>0.0</v>
      </c>
      <c r="FR145" s="70">
        <v>0.0</v>
      </c>
      <c r="FS145" s="70">
        <v>0.0</v>
      </c>
      <c r="FT145" s="70">
        <v>0.0</v>
      </c>
      <c r="FU145" s="70">
        <v>0.0</v>
      </c>
      <c r="FV145" s="70">
        <v>2825204.0</v>
      </c>
      <c r="FW145" s="70">
        <v>34986.0</v>
      </c>
      <c r="FX145" s="70">
        <v>377224.0</v>
      </c>
      <c r="FY145" s="70">
        <v>33935.0</v>
      </c>
      <c r="FZ145" s="70">
        <v>2812.0</v>
      </c>
      <c r="GA145" s="70">
        <v>509373.0</v>
      </c>
      <c r="GB145" s="70">
        <v>64043.0</v>
      </c>
      <c r="GC145" s="70">
        <v>1094434.0</v>
      </c>
      <c r="GD145" s="70">
        <v>5725.0</v>
      </c>
      <c r="GE145" s="70">
        <v>0.0</v>
      </c>
      <c r="GF145" s="71">
        <v>5620786.0</v>
      </c>
      <c r="GG145" s="72">
        <v>4099852.0</v>
      </c>
      <c r="GH145" s="73">
        <v>0.0</v>
      </c>
      <c r="GI145" s="72">
        <v>0.0</v>
      </c>
      <c r="GJ145" s="72">
        <v>7622008.0</v>
      </c>
      <c r="GK145" s="72">
        <v>1411071.0</v>
      </c>
      <c r="GL145" s="72">
        <v>3234027.0</v>
      </c>
      <c r="GM145" s="72">
        <v>31108.0</v>
      </c>
      <c r="GN145" s="71">
        <v>1.6398066E7</v>
      </c>
      <c r="GO145" s="74">
        <v>2.2018852E7</v>
      </c>
      <c r="GP145" s="72">
        <v>2742685.0</v>
      </c>
      <c r="GQ145" s="72">
        <v>6390.0</v>
      </c>
      <c r="GR145" s="73">
        <v>0.0</v>
      </c>
      <c r="GS145" s="71">
        <v>2749075.0</v>
      </c>
      <c r="GT145" s="75">
        <v>1430262.0</v>
      </c>
      <c r="GU145" s="75">
        <v>1112143.0</v>
      </c>
      <c r="GV145" s="75">
        <v>404497.0</v>
      </c>
      <c r="GW145" s="71">
        <v>2946902.0</v>
      </c>
      <c r="GX145" s="71">
        <v>483823.0</v>
      </c>
      <c r="GY145" s="71">
        <v>1.5839052E7</v>
      </c>
      <c r="GZ145" s="74">
        <v>2.2018852E7</v>
      </c>
      <c r="HH145" s="106"/>
    </row>
    <row r="146" ht="15.75" customHeight="1">
      <c r="A146" s="52">
        <v>141.0</v>
      </c>
      <c r="B146" s="111" t="s">
        <v>609</v>
      </c>
      <c r="C146" s="54">
        <v>0.0</v>
      </c>
      <c r="D146" s="54">
        <v>0.0</v>
      </c>
      <c r="E146" s="54">
        <v>0.0</v>
      </c>
      <c r="F146" s="54">
        <v>0.0</v>
      </c>
      <c r="G146" s="54">
        <v>0.0</v>
      </c>
      <c r="H146" s="54">
        <v>0.0</v>
      </c>
      <c r="I146" s="54">
        <v>0.0</v>
      </c>
      <c r="J146" s="54">
        <v>0.0</v>
      </c>
      <c r="K146" s="54">
        <v>0.0</v>
      </c>
      <c r="L146" s="54">
        <v>0.0</v>
      </c>
      <c r="M146" s="54">
        <v>0.0</v>
      </c>
      <c r="N146" s="54">
        <v>0.0</v>
      </c>
      <c r="O146" s="54">
        <v>0.0</v>
      </c>
      <c r="P146" s="54">
        <v>0.0</v>
      </c>
      <c r="Q146" s="54">
        <v>0.0</v>
      </c>
      <c r="R146" s="54">
        <v>0.0</v>
      </c>
      <c r="S146" s="54">
        <v>0.0</v>
      </c>
      <c r="T146" s="54">
        <v>0.0</v>
      </c>
      <c r="U146" s="54">
        <v>0.0</v>
      </c>
      <c r="V146" s="54">
        <v>0.0</v>
      </c>
      <c r="W146" s="54">
        <v>0.0</v>
      </c>
      <c r="X146" s="54">
        <v>0.0</v>
      </c>
      <c r="Y146" s="54">
        <v>0.0</v>
      </c>
      <c r="Z146" s="54">
        <v>0.0</v>
      </c>
      <c r="AA146" s="54">
        <v>0.0</v>
      </c>
      <c r="AB146" s="54">
        <v>0.0</v>
      </c>
      <c r="AC146" s="54">
        <v>0.0</v>
      </c>
      <c r="AD146" s="54">
        <v>0.0</v>
      </c>
      <c r="AE146" s="54">
        <v>0.0</v>
      </c>
      <c r="AF146" s="54">
        <v>0.0</v>
      </c>
      <c r="AG146" s="54">
        <v>0.0</v>
      </c>
      <c r="AH146" s="54">
        <v>0.0</v>
      </c>
      <c r="AI146" s="54">
        <v>0.0</v>
      </c>
      <c r="AJ146" s="54">
        <v>0.0</v>
      </c>
      <c r="AK146" s="54">
        <v>0.0</v>
      </c>
      <c r="AL146" s="54">
        <v>0.0</v>
      </c>
      <c r="AM146" s="54">
        <v>0.0</v>
      </c>
      <c r="AN146" s="54">
        <v>0.0</v>
      </c>
      <c r="AO146" s="54">
        <v>0.0</v>
      </c>
      <c r="AP146" s="54">
        <v>0.0</v>
      </c>
      <c r="AQ146" s="54">
        <v>0.0</v>
      </c>
      <c r="AR146" s="54">
        <v>0.0</v>
      </c>
      <c r="AS146" s="54">
        <v>0.0</v>
      </c>
      <c r="AT146" s="54">
        <v>0.0</v>
      </c>
      <c r="AU146" s="54">
        <v>0.0</v>
      </c>
      <c r="AV146" s="54">
        <v>0.0</v>
      </c>
      <c r="AW146" s="54">
        <v>0.0</v>
      </c>
      <c r="AX146" s="54">
        <v>0.0</v>
      </c>
      <c r="AY146" s="54">
        <v>0.0</v>
      </c>
      <c r="AZ146" s="54">
        <v>0.0</v>
      </c>
      <c r="BA146" s="54">
        <v>0.0</v>
      </c>
      <c r="BB146" s="54">
        <v>0.0</v>
      </c>
      <c r="BC146" s="54">
        <v>0.0</v>
      </c>
      <c r="BD146" s="54">
        <v>0.0</v>
      </c>
      <c r="BE146" s="54">
        <v>0.0</v>
      </c>
      <c r="BF146" s="54">
        <v>0.0</v>
      </c>
      <c r="BG146" s="54">
        <v>0.0</v>
      </c>
      <c r="BH146" s="54">
        <v>0.0</v>
      </c>
      <c r="BI146" s="54">
        <v>0.0</v>
      </c>
      <c r="BJ146" s="54">
        <v>0.0</v>
      </c>
      <c r="BK146" s="54">
        <v>0.0</v>
      </c>
      <c r="BL146" s="54">
        <v>0.0</v>
      </c>
      <c r="BM146" s="54">
        <v>0.0</v>
      </c>
      <c r="BN146" s="54">
        <v>0.0</v>
      </c>
      <c r="BO146" s="54">
        <v>0.0</v>
      </c>
      <c r="BP146" s="54">
        <v>0.0</v>
      </c>
      <c r="BQ146" s="54">
        <v>0.0</v>
      </c>
      <c r="BR146" s="54">
        <v>0.0</v>
      </c>
      <c r="BS146" s="54">
        <v>0.0</v>
      </c>
      <c r="BT146" s="54">
        <v>0.0</v>
      </c>
      <c r="BU146" s="54">
        <v>0.0</v>
      </c>
      <c r="BV146" s="54">
        <v>0.0</v>
      </c>
      <c r="BW146" s="54">
        <v>0.0</v>
      </c>
      <c r="BX146" s="54">
        <v>0.0</v>
      </c>
      <c r="BY146" s="54">
        <v>0.0</v>
      </c>
      <c r="BZ146" s="54">
        <v>0.0</v>
      </c>
      <c r="CA146" s="54">
        <v>0.0</v>
      </c>
      <c r="CB146" s="54">
        <v>0.0</v>
      </c>
      <c r="CC146" s="54">
        <v>0.0</v>
      </c>
      <c r="CD146" s="54">
        <v>0.0</v>
      </c>
      <c r="CE146" s="54">
        <v>0.0</v>
      </c>
      <c r="CF146" s="54">
        <v>0.0</v>
      </c>
      <c r="CG146" s="54">
        <v>0.0</v>
      </c>
      <c r="CH146" s="54">
        <v>0.0</v>
      </c>
      <c r="CI146" s="54">
        <v>0.0</v>
      </c>
      <c r="CJ146" s="54">
        <v>0.0</v>
      </c>
      <c r="CK146" s="54">
        <v>0.0</v>
      </c>
      <c r="CL146" s="54">
        <v>0.0</v>
      </c>
      <c r="CM146" s="54">
        <v>0.0</v>
      </c>
      <c r="CN146" s="54">
        <v>0.0</v>
      </c>
      <c r="CO146" s="54">
        <v>0.0</v>
      </c>
      <c r="CP146" s="54">
        <v>0.0</v>
      </c>
      <c r="CQ146" s="54">
        <v>0.0</v>
      </c>
      <c r="CR146" s="54">
        <v>0.0</v>
      </c>
      <c r="CS146" s="54">
        <v>0.0</v>
      </c>
      <c r="CT146" s="54">
        <v>0.0</v>
      </c>
      <c r="CU146" s="54">
        <v>0.0</v>
      </c>
      <c r="CV146" s="54">
        <v>0.0</v>
      </c>
      <c r="CW146" s="54">
        <v>0.0</v>
      </c>
      <c r="CX146" s="54">
        <v>0.0</v>
      </c>
      <c r="CY146" s="54">
        <v>0.0</v>
      </c>
      <c r="CZ146" s="54">
        <v>0.0</v>
      </c>
      <c r="DA146" s="54">
        <v>0.0</v>
      </c>
      <c r="DB146" s="54">
        <v>0.0</v>
      </c>
      <c r="DC146" s="54">
        <v>0.0</v>
      </c>
      <c r="DD146" s="54">
        <v>0.0</v>
      </c>
      <c r="DE146" s="54">
        <v>0.0</v>
      </c>
      <c r="DF146" s="54">
        <v>0.0</v>
      </c>
      <c r="DG146" s="54">
        <v>0.0</v>
      </c>
      <c r="DH146" s="54">
        <v>0.0</v>
      </c>
      <c r="DI146" s="54">
        <v>0.0</v>
      </c>
      <c r="DJ146" s="54">
        <v>0.0</v>
      </c>
      <c r="DK146" s="54">
        <v>0.0</v>
      </c>
      <c r="DL146" s="54">
        <v>0.0</v>
      </c>
      <c r="DM146" s="54">
        <v>0.0</v>
      </c>
      <c r="DN146" s="54">
        <v>0.0</v>
      </c>
      <c r="DO146" s="54">
        <v>0.0</v>
      </c>
      <c r="DP146" s="54">
        <v>0.0</v>
      </c>
      <c r="DQ146" s="54">
        <v>0.0</v>
      </c>
      <c r="DR146" s="54">
        <v>0.0</v>
      </c>
      <c r="DS146" s="54">
        <v>0.0</v>
      </c>
      <c r="DT146" s="54">
        <v>0.0</v>
      </c>
      <c r="DU146" s="54">
        <v>0.0</v>
      </c>
      <c r="DV146" s="54">
        <v>0.0</v>
      </c>
      <c r="DW146" s="54">
        <v>0.0</v>
      </c>
      <c r="DX146" s="54">
        <v>0.0</v>
      </c>
      <c r="DY146" s="54">
        <v>0.0</v>
      </c>
      <c r="DZ146" s="54">
        <v>0.0</v>
      </c>
      <c r="EA146" s="54">
        <v>0.0</v>
      </c>
      <c r="EB146" s="54">
        <v>0.0</v>
      </c>
      <c r="EC146" s="54">
        <v>0.0</v>
      </c>
      <c r="ED146" s="54">
        <v>0.0</v>
      </c>
      <c r="EE146" s="54">
        <v>0.0</v>
      </c>
      <c r="EF146" s="54">
        <v>0.0</v>
      </c>
      <c r="EG146" s="54">
        <v>0.0</v>
      </c>
      <c r="EH146" s="54">
        <v>0.0</v>
      </c>
      <c r="EI146" s="54">
        <v>0.0</v>
      </c>
      <c r="EJ146" s="54">
        <v>0.0</v>
      </c>
      <c r="EK146" s="54">
        <v>0.0</v>
      </c>
      <c r="EL146" s="54">
        <v>0.0</v>
      </c>
      <c r="EM146" s="54">
        <v>44526.0</v>
      </c>
      <c r="EN146" s="54">
        <v>0.0</v>
      </c>
      <c r="EO146" s="54">
        <v>0.0</v>
      </c>
      <c r="EP146" s="54">
        <v>0.0</v>
      </c>
      <c r="EQ146" s="54">
        <v>0.0</v>
      </c>
      <c r="ER146" s="54">
        <v>0.0</v>
      </c>
      <c r="ES146" s="54">
        <v>0.0</v>
      </c>
      <c r="ET146" s="54">
        <v>0.0</v>
      </c>
      <c r="EU146" s="54">
        <v>0.0</v>
      </c>
      <c r="EV146" s="54">
        <v>0.0</v>
      </c>
      <c r="EW146" s="54">
        <v>0.0</v>
      </c>
      <c r="EX146" s="54">
        <v>0.0</v>
      </c>
      <c r="EY146" s="54">
        <v>0.0</v>
      </c>
      <c r="EZ146" s="54">
        <v>0.0</v>
      </c>
      <c r="FA146" s="54">
        <v>0.0</v>
      </c>
      <c r="FB146" s="54">
        <v>0.0</v>
      </c>
      <c r="FC146" s="54">
        <v>0.0</v>
      </c>
      <c r="FD146" s="54">
        <v>0.0</v>
      </c>
      <c r="FE146" s="54">
        <v>0.0</v>
      </c>
      <c r="FF146" s="54">
        <v>0.0</v>
      </c>
      <c r="FG146" s="54">
        <v>0.0</v>
      </c>
      <c r="FH146" s="54">
        <v>0.0</v>
      </c>
      <c r="FI146" s="54">
        <v>0.0</v>
      </c>
      <c r="FJ146" s="54">
        <v>1203.0</v>
      </c>
      <c r="FK146" s="54">
        <v>6790.0</v>
      </c>
      <c r="FL146" s="54">
        <v>0.0</v>
      </c>
      <c r="FM146" s="54">
        <v>0.0</v>
      </c>
      <c r="FN146" s="54">
        <v>0.0</v>
      </c>
      <c r="FO146" s="54">
        <v>0.0</v>
      </c>
      <c r="FP146" s="54">
        <v>0.0</v>
      </c>
      <c r="FQ146" s="54">
        <v>0.0</v>
      </c>
      <c r="FR146" s="54">
        <v>0.0</v>
      </c>
      <c r="FS146" s="54">
        <v>0.0</v>
      </c>
      <c r="FT146" s="54">
        <v>0.0</v>
      </c>
      <c r="FU146" s="54">
        <v>0.0</v>
      </c>
      <c r="FV146" s="54">
        <v>748436.0</v>
      </c>
      <c r="FW146" s="54">
        <v>0.0</v>
      </c>
      <c r="FX146" s="54">
        <v>3441.0</v>
      </c>
      <c r="FY146" s="54">
        <v>1820.0</v>
      </c>
      <c r="FZ146" s="54">
        <v>0.0</v>
      </c>
      <c r="GA146" s="54">
        <v>71488.0</v>
      </c>
      <c r="GB146" s="54">
        <v>39010.0</v>
      </c>
      <c r="GC146" s="54">
        <v>1706655.0</v>
      </c>
      <c r="GD146" s="54">
        <v>0.0</v>
      </c>
      <c r="GE146" s="54">
        <v>0.0</v>
      </c>
      <c r="GF146" s="55">
        <v>2623369.0</v>
      </c>
      <c r="GG146" s="56">
        <v>1.2278426E7</v>
      </c>
      <c r="GH146" s="57">
        <v>0.0</v>
      </c>
      <c r="GI146" s="56">
        <v>0.0</v>
      </c>
      <c r="GJ146" s="56">
        <v>921189.0</v>
      </c>
      <c r="GK146" s="56">
        <v>1116671.0</v>
      </c>
      <c r="GL146" s="56">
        <v>5779722.0</v>
      </c>
      <c r="GM146" s="56">
        <v>35438.0</v>
      </c>
      <c r="GN146" s="55">
        <v>2.0131446E7</v>
      </c>
      <c r="GO146" s="58">
        <v>2.2754815E7</v>
      </c>
      <c r="GP146" s="56">
        <v>2542336.0</v>
      </c>
      <c r="GQ146" s="56">
        <v>6970.0</v>
      </c>
      <c r="GR146" s="57">
        <v>0.0</v>
      </c>
      <c r="GS146" s="55">
        <v>2549306.0</v>
      </c>
      <c r="GT146" s="59">
        <v>2021105.0</v>
      </c>
      <c r="GU146" s="59">
        <v>2708142.0</v>
      </c>
      <c r="GV146" s="59">
        <v>531473.0</v>
      </c>
      <c r="GW146" s="55">
        <v>5260720.0</v>
      </c>
      <c r="GX146" s="55">
        <v>614097.0</v>
      </c>
      <c r="GY146" s="55">
        <v>1.4330692E7</v>
      </c>
      <c r="GZ146" s="58">
        <v>2.2754815E7</v>
      </c>
      <c r="HH146" s="106"/>
    </row>
    <row r="147" ht="15.75" customHeight="1">
      <c r="A147" s="60">
        <v>142.0</v>
      </c>
      <c r="B147" s="111" t="s">
        <v>412</v>
      </c>
      <c r="C147" s="62">
        <v>0.0</v>
      </c>
      <c r="D147" s="62">
        <v>0.0</v>
      </c>
      <c r="E147" s="62">
        <v>0.0</v>
      </c>
      <c r="F147" s="62">
        <v>0.0</v>
      </c>
      <c r="G147" s="62">
        <v>0.0</v>
      </c>
      <c r="H147" s="62">
        <v>0.0</v>
      </c>
      <c r="I147" s="62">
        <v>0.0</v>
      </c>
      <c r="J147" s="62">
        <v>0.0</v>
      </c>
      <c r="K147" s="62">
        <v>0.0</v>
      </c>
      <c r="L147" s="62">
        <v>134.0</v>
      </c>
      <c r="M147" s="62">
        <v>163.0</v>
      </c>
      <c r="N147" s="62">
        <v>142.0</v>
      </c>
      <c r="O147" s="62">
        <v>403.0</v>
      </c>
      <c r="P147" s="62">
        <v>62.0</v>
      </c>
      <c r="Q147" s="62">
        <v>380.0</v>
      </c>
      <c r="R147" s="62">
        <v>193.0</v>
      </c>
      <c r="S147" s="62">
        <v>69.0</v>
      </c>
      <c r="T147" s="62">
        <v>188.0</v>
      </c>
      <c r="U147" s="62">
        <v>0.0</v>
      </c>
      <c r="V147" s="62">
        <v>0.0</v>
      </c>
      <c r="W147" s="62">
        <v>0.0</v>
      </c>
      <c r="X147" s="62">
        <v>0.0</v>
      </c>
      <c r="Y147" s="62">
        <v>0.0</v>
      </c>
      <c r="Z147" s="62">
        <v>0.0</v>
      </c>
      <c r="AA147" s="62">
        <v>0.0</v>
      </c>
      <c r="AB147" s="62">
        <v>191.0</v>
      </c>
      <c r="AC147" s="62">
        <v>276.0</v>
      </c>
      <c r="AD147" s="62">
        <v>774.0</v>
      </c>
      <c r="AE147" s="62">
        <v>20.0</v>
      </c>
      <c r="AF147" s="62">
        <v>904.0</v>
      </c>
      <c r="AG147" s="62">
        <v>37.0</v>
      </c>
      <c r="AH147" s="62">
        <v>4.0</v>
      </c>
      <c r="AI147" s="62">
        <v>17.0</v>
      </c>
      <c r="AJ147" s="62">
        <v>0.0</v>
      </c>
      <c r="AK147" s="62">
        <v>0.0</v>
      </c>
      <c r="AL147" s="62">
        <v>74.0</v>
      </c>
      <c r="AM147" s="62">
        <v>28346.0</v>
      </c>
      <c r="AN147" s="62">
        <v>8914.0</v>
      </c>
      <c r="AO147" s="62">
        <v>29614.0</v>
      </c>
      <c r="AP147" s="62">
        <v>1944.0</v>
      </c>
      <c r="AQ147" s="62">
        <v>7424.0</v>
      </c>
      <c r="AR147" s="62">
        <v>3978.0</v>
      </c>
      <c r="AS147" s="62">
        <v>29939.0</v>
      </c>
      <c r="AT147" s="62">
        <v>1781.0</v>
      </c>
      <c r="AU147" s="62">
        <v>2637.0</v>
      </c>
      <c r="AV147" s="62">
        <v>23126.0</v>
      </c>
      <c r="AW147" s="62">
        <v>1024.0</v>
      </c>
      <c r="AX147" s="62">
        <v>3517.0</v>
      </c>
      <c r="AY147" s="62">
        <v>297.0</v>
      </c>
      <c r="AZ147" s="62">
        <v>20.0</v>
      </c>
      <c r="BA147" s="62">
        <v>46.0</v>
      </c>
      <c r="BB147" s="62">
        <v>35.0</v>
      </c>
      <c r="BC147" s="62">
        <v>677.0</v>
      </c>
      <c r="BD147" s="62">
        <v>56.0</v>
      </c>
      <c r="BE147" s="62">
        <v>52.0</v>
      </c>
      <c r="BF147" s="62">
        <v>207.0</v>
      </c>
      <c r="BG147" s="62">
        <v>2072.0</v>
      </c>
      <c r="BH147" s="62">
        <v>11401.0</v>
      </c>
      <c r="BI147" s="62">
        <v>284.0</v>
      </c>
      <c r="BJ147" s="62">
        <v>176.0</v>
      </c>
      <c r="BK147" s="62">
        <v>203.0</v>
      </c>
      <c r="BL147" s="62">
        <v>92.0</v>
      </c>
      <c r="BM147" s="62">
        <v>21.0</v>
      </c>
      <c r="BN147" s="62">
        <v>72.0</v>
      </c>
      <c r="BO147" s="62">
        <v>221.0</v>
      </c>
      <c r="BP147" s="62">
        <v>74.0</v>
      </c>
      <c r="BQ147" s="62">
        <v>93.0</v>
      </c>
      <c r="BR147" s="62">
        <v>110.0</v>
      </c>
      <c r="BS147" s="62">
        <v>65.0</v>
      </c>
      <c r="BT147" s="62">
        <v>7552.0</v>
      </c>
      <c r="BU147" s="62">
        <v>926.0</v>
      </c>
      <c r="BV147" s="62">
        <v>2400.0</v>
      </c>
      <c r="BW147" s="62">
        <v>166.0</v>
      </c>
      <c r="BX147" s="62">
        <v>782.0</v>
      </c>
      <c r="BY147" s="62">
        <v>2518.0</v>
      </c>
      <c r="BZ147" s="62">
        <v>76.0</v>
      </c>
      <c r="CA147" s="62">
        <v>0.0</v>
      </c>
      <c r="CB147" s="62">
        <v>0.0</v>
      </c>
      <c r="CC147" s="62">
        <v>0.0</v>
      </c>
      <c r="CD147" s="62">
        <v>0.0</v>
      </c>
      <c r="CE147" s="62">
        <v>0.0</v>
      </c>
      <c r="CF147" s="62">
        <v>0.0</v>
      </c>
      <c r="CG147" s="62">
        <v>0.0</v>
      </c>
      <c r="CH147" s="62">
        <v>0.0</v>
      </c>
      <c r="CI147" s="62">
        <v>0.0</v>
      </c>
      <c r="CJ147" s="62">
        <v>64.0</v>
      </c>
      <c r="CK147" s="62">
        <v>200.0</v>
      </c>
      <c r="CL147" s="62">
        <v>173.0</v>
      </c>
      <c r="CM147" s="62">
        <v>298.0</v>
      </c>
      <c r="CN147" s="62">
        <v>298.0</v>
      </c>
      <c r="CO147" s="62">
        <v>105.0</v>
      </c>
      <c r="CP147" s="62">
        <v>133.0</v>
      </c>
      <c r="CQ147" s="62">
        <v>0.0</v>
      </c>
      <c r="CR147" s="62">
        <v>1405.0</v>
      </c>
      <c r="CS147" s="62">
        <v>2410.0</v>
      </c>
      <c r="CT147" s="62">
        <v>329958.0</v>
      </c>
      <c r="CU147" s="62">
        <v>90092.0</v>
      </c>
      <c r="CV147" s="62">
        <v>2074.0</v>
      </c>
      <c r="CW147" s="62">
        <v>1022.0</v>
      </c>
      <c r="CX147" s="62">
        <v>263.0</v>
      </c>
      <c r="CY147" s="62">
        <v>208.0</v>
      </c>
      <c r="CZ147" s="62">
        <v>255.0</v>
      </c>
      <c r="DA147" s="62">
        <v>85248.0</v>
      </c>
      <c r="DB147" s="62">
        <v>74.0</v>
      </c>
      <c r="DC147" s="62">
        <v>3988169.0</v>
      </c>
      <c r="DD147" s="62">
        <v>260.0</v>
      </c>
      <c r="DE147" s="62">
        <v>6878.0</v>
      </c>
      <c r="DF147" s="62">
        <v>4081.0</v>
      </c>
      <c r="DG147" s="62">
        <v>1377.0</v>
      </c>
      <c r="DH147" s="62">
        <v>12493.0</v>
      </c>
      <c r="DI147" s="62">
        <v>1171.0</v>
      </c>
      <c r="DJ147" s="62">
        <v>969.0</v>
      </c>
      <c r="DK147" s="62">
        <v>191263.0</v>
      </c>
      <c r="DL147" s="62">
        <v>201.0</v>
      </c>
      <c r="DM147" s="62">
        <v>33661.0</v>
      </c>
      <c r="DN147" s="62">
        <v>2524.0</v>
      </c>
      <c r="DO147" s="62">
        <v>11268.0</v>
      </c>
      <c r="DP147" s="62">
        <v>110.0</v>
      </c>
      <c r="DQ147" s="62">
        <v>19581.0</v>
      </c>
      <c r="DR147" s="62">
        <v>134139.0</v>
      </c>
      <c r="DS147" s="62">
        <v>1174168.0</v>
      </c>
      <c r="DT147" s="62">
        <v>313226.0</v>
      </c>
      <c r="DU147" s="62">
        <v>69023.0</v>
      </c>
      <c r="DV147" s="62">
        <v>85787.0</v>
      </c>
      <c r="DW147" s="62">
        <v>107988.0</v>
      </c>
      <c r="DX147" s="62">
        <v>27474.0</v>
      </c>
      <c r="DY147" s="62">
        <v>86337.0</v>
      </c>
      <c r="DZ147" s="62">
        <v>38466.0</v>
      </c>
      <c r="EA147" s="62">
        <v>478.0</v>
      </c>
      <c r="EB147" s="62">
        <v>659.0</v>
      </c>
      <c r="EC147" s="62">
        <v>863.0</v>
      </c>
      <c r="ED147" s="62">
        <v>840.0</v>
      </c>
      <c r="EE147" s="62">
        <v>1104.0</v>
      </c>
      <c r="EF147" s="62">
        <v>23656.0</v>
      </c>
      <c r="EG147" s="62">
        <v>1133.0</v>
      </c>
      <c r="EH147" s="62">
        <v>780876.0</v>
      </c>
      <c r="EI147" s="62">
        <v>536.0</v>
      </c>
      <c r="EJ147" s="62">
        <v>18977.0</v>
      </c>
      <c r="EK147" s="62">
        <v>0.0</v>
      </c>
      <c r="EL147" s="62">
        <v>3681.0</v>
      </c>
      <c r="EM147" s="62">
        <v>7410.0</v>
      </c>
      <c r="EN147" s="62">
        <v>7018953.0</v>
      </c>
      <c r="EO147" s="62">
        <v>587.0</v>
      </c>
      <c r="EP147" s="62">
        <v>745669.0</v>
      </c>
      <c r="EQ147" s="62">
        <v>381.0</v>
      </c>
      <c r="ER147" s="62">
        <v>301.0</v>
      </c>
      <c r="ES147" s="62">
        <v>116.0</v>
      </c>
      <c r="ET147" s="62">
        <v>223.0</v>
      </c>
      <c r="EU147" s="62">
        <v>153.0</v>
      </c>
      <c r="EV147" s="62">
        <v>109.0</v>
      </c>
      <c r="EW147" s="62">
        <v>0.0</v>
      </c>
      <c r="EX147" s="62">
        <v>209.0</v>
      </c>
      <c r="EY147" s="62">
        <v>0.0</v>
      </c>
      <c r="EZ147" s="62">
        <v>2362.0</v>
      </c>
      <c r="FA147" s="62">
        <v>129.0</v>
      </c>
      <c r="FB147" s="62">
        <v>59084.0</v>
      </c>
      <c r="FC147" s="62">
        <v>798.0</v>
      </c>
      <c r="FD147" s="62">
        <v>0.0</v>
      </c>
      <c r="FE147" s="62">
        <v>0.0</v>
      </c>
      <c r="FF147" s="62">
        <v>0.0</v>
      </c>
      <c r="FG147" s="62">
        <v>0.0</v>
      </c>
      <c r="FH147" s="62">
        <v>0.0</v>
      </c>
      <c r="FI147" s="62">
        <v>0.0</v>
      </c>
      <c r="FJ147" s="62">
        <v>218.0</v>
      </c>
      <c r="FK147" s="62">
        <v>6421.0</v>
      </c>
      <c r="FL147" s="62">
        <v>2637.0</v>
      </c>
      <c r="FM147" s="62">
        <v>340.0</v>
      </c>
      <c r="FN147" s="62">
        <v>101.0</v>
      </c>
      <c r="FO147" s="62">
        <v>198.0</v>
      </c>
      <c r="FP147" s="62">
        <v>1740.0</v>
      </c>
      <c r="FQ147" s="62">
        <v>121.0</v>
      </c>
      <c r="FR147" s="62">
        <v>23.0</v>
      </c>
      <c r="FS147" s="62">
        <v>14.0</v>
      </c>
      <c r="FT147" s="62">
        <v>2774.0</v>
      </c>
      <c r="FU147" s="62">
        <v>52033.0</v>
      </c>
      <c r="FV147" s="62">
        <v>197967.0</v>
      </c>
      <c r="FW147" s="62">
        <v>794.0</v>
      </c>
      <c r="FX147" s="62">
        <v>13002.0</v>
      </c>
      <c r="FY147" s="62">
        <v>2410565.0</v>
      </c>
      <c r="FZ147" s="62">
        <v>0.0</v>
      </c>
      <c r="GA147" s="62">
        <v>196520.0</v>
      </c>
      <c r="GB147" s="62">
        <v>3509164.0</v>
      </c>
      <c r="GC147" s="62">
        <v>389.0</v>
      </c>
      <c r="GD147" s="62">
        <v>746.0</v>
      </c>
      <c r="GE147" s="62">
        <v>14487.0</v>
      </c>
      <c r="GF147" s="63">
        <v>2.2081404E7</v>
      </c>
      <c r="GG147" s="64">
        <v>2477635.0</v>
      </c>
      <c r="GH147" s="65">
        <v>0.0</v>
      </c>
      <c r="GI147" s="64">
        <v>0.0</v>
      </c>
      <c r="GJ147" s="64">
        <v>2.9963189E7</v>
      </c>
      <c r="GK147" s="64">
        <v>542971.0</v>
      </c>
      <c r="GL147" s="64">
        <v>2937471.0</v>
      </c>
      <c r="GM147" s="64">
        <v>0.0</v>
      </c>
      <c r="GN147" s="63">
        <v>3.5921266E7</v>
      </c>
      <c r="GO147" s="66">
        <v>5.800267E7</v>
      </c>
      <c r="GP147" s="64">
        <v>1.3824955E7</v>
      </c>
      <c r="GQ147" s="64">
        <v>0.0</v>
      </c>
      <c r="GR147" s="65">
        <v>0.0</v>
      </c>
      <c r="GS147" s="63">
        <v>1.3824955E7</v>
      </c>
      <c r="GT147" s="67">
        <v>7592563.0</v>
      </c>
      <c r="GU147" s="67">
        <v>6051384.0</v>
      </c>
      <c r="GV147" s="67">
        <v>453328.0</v>
      </c>
      <c r="GW147" s="63">
        <v>1.4097275E7</v>
      </c>
      <c r="GX147" s="63">
        <v>3217936.0</v>
      </c>
      <c r="GY147" s="63">
        <v>2.6862504E7</v>
      </c>
      <c r="GZ147" s="66">
        <v>5.800267E7</v>
      </c>
      <c r="HH147" s="106"/>
    </row>
    <row r="148" ht="15.75" customHeight="1">
      <c r="A148" s="60">
        <v>143.0</v>
      </c>
      <c r="B148" s="111" t="s">
        <v>610</v>
      </c>
      <c r="C148" s="62">
        <v>0.0</v>
      </c>
      <c r="D148" s="62">
        <v>0.0</v>
      </c>
      <c r="E148" s="62">
        <v>0.0</v>
      </c>
      <c r="F148" s="62">
        <v>0.0</v>
      </c>
      <c r="G148" s="62">
        <v>0.0</v>
      </c>
      <c r="H148" s="62">
        <v>0.0</v>
      </c>
      <c r="I148" s="62">
        <v>0.0</v>
      </c>
      <c r="J148" s="62">
        <v>0.0</v>
      </c>
      <c r="K148" s="62">
        <v>0.0</v>
      </c>
      <c r="L148" s="62">
        <v>148.0</v>
      </c>
      <c r="M148" s="62">
        <v>142.0</v>
      </c>
      <c r="N148" s="62">
        <v>237.0</v>
      </c>
      <c r="O148" s="62">
        <v>1128.0</v>
      </c>
      <c r="P148" s="62">
        <v>201.0</v>
      </c>
      <c r="Q148" s="62">
        <v>350.0</v>
      </c>
      <c r="R148" s="62">
        <v>223.0</v>
      </c>
      <c r="S148" s="62">
        <v>69.0</v>
      </c>
      <c r="T148" s="62">
        <v>128.0</v>
      </c>
      <c r="U148" s="62">
        <v>0.0</v>
      </c>
      <c r="V148" s="62">
        <v>0.0</v>
      </c>
      <c r="W148" s="62">
        <v>0.0</v>
      </c>
      <c r="X148" s="62">
        <v>0.0</v>
      </c>
      <c r="Y148" s="62">
        <v>0.0</v>
      </c>
      <c r="Z148" s="62">
        <v>0.0</v>
      </c>
      <c r="AA148" s="62">
        <v>0.0</v>
      </c>
      <c r="AB148" s="62">
        <v>208.0</v>
      </c>
      <c r="AC148" s="62">
        <v>0.0</v>
      </c>
      <c r="AD148" s="62">
        <v>38.0</v>
      </c>
      <c r="AE148" s="62">
        <v>2.0</v>
      </c>
      <c r="AF148" s="62">
        <v>372.0</v>
      </c>
      <c r="AG148" s="62">
        <v>43.0</v>
      </c>
      <c r="AH148" s="62">
        <v>5.0</v>
      </c>
      <c r="AI148" s="62">
        <v>10259.0</v>
      </c>
      <c r="AJ148" s="62">
        <v>101.0</v>
      </c>
      <c r="AK148" s="62">
        <v>66.0</v>
      </c>
      <c r="AL148" s="62">
        <v>109.0</v>
      </c>
      <c r="AM148" s="62">
        <v>305386.0</v>
      </c>
      <c r="AN148" s="62">
        <v>13934.0</v>
      </c>
      <c r="AO148" s="62">
        <v>39619.0</v>
      </c>
      <c r="AP148" s="62">
        <v>67.0</v>
      </c>
      <c r="AQ148" s="62">
        <v>4014.0</v>
      </c>
      <c r="AR148" s="62">
        <v>418.0</v>
      </c>
      <c r="AS148" s="62">
        <v>15223.0</v>
      </c>
      <c r="AT148" s="62">
        <v>1406.0</v>
      </c>
      <c r="AU148" s="62">
        <v>9895.0</v>
      </c>
      <c r="AV148" s="62">
        <v>6383.0</v>
      </c>
      <c r="AW148" s="62">
        <v>105.0</v>
      </c>
      <c r="AX148" s="62">
        <v>25889.0</v>
      </c>
      <c r="AY148" s="62">
        <v>13.0</v>
      </c>
      <c r="AZ148" s="62">
        <v>100.0</v>
      </c>
      <c r="BA148" s="62">
        <v>3015.0</v>
      </c>
      <c r="BB148" s="62">
        <v>11635.0</v>
      </c>
      <c r="BC148" s="62">
        <v>85372.0</v>
      </c>
      <c r="BD148" s="62">
        <v>10157.0</v>
      </c>
      <c r="BE148" s="62">
        <v>209.0</v>
      </c>
      <c r="BF148" s="62">
        <v>807.0</v>
      </c>
      <c r="BG148" s="62">
        <v>711.0</v>
      </c>
      <c r="BH148" s="62">
        <v>1856.0</v>
      </c>
      <c r="BI148" s="62">
        <v>304.0</v>
      </c>
      <c r="BJ148" s="62">
        <v>10768.0</v>
      </c>
      <c r="BK148" s="62">
        <v>429.0</v>
      </c>
      <c r="BL148" s="62">
        <v>119.0</v>
      </c>
      <c r="BM148" s="62">
        <v>0.0</v>
      </c>
      <c r="BN148" s="62">
        <v>67.0</v>
      </c>
      <c r="BO148" s="62">
        <v>113.0</v>
      </c>
      <c r="BP148" s="62">
        <v>1231.0</v>
      </c>
      <c r="BQ148" s="62">
        <v>67.0</v>
      </c>
      <c r="BR148" s="62">
        <v>87.0</v>
      </c>
      <c r="BS148" s="62">
        <v>3804.0</v>
      </c>
      <c r="BT148" s="62">
        <v>7560.0</v>
      </c>
      <c r="BU148" s="62">
        <v>6000.0</v>
      </c>
      <c r="BV148" s="62">
        <v>73.0</v>
      </c>
      <c r="BW148" s="62">
        <v>100.0</v>
      </c>
      <c r="BX148" s="62">
        <v>4148.0</v>
      </c>
      <c r="BY148" s="62">
        <v>7666.0</v>
      </c>
      <c r="BZ148" s="62">
        <v>511.0</v>
      </c>
      <c r="CA148" s="62">
        <v>41847.0</v>
      </c>
      <c r="CB148" s="62">
        <v>4483.0</v>
      </c>
      <c r="CC148" s="62">
        <v>2436.0</v>
      </c>
      <c r="CD148" s="62">
        <v>2422.0</v>
      </c>
      <c r="CE148" s="62">
        <v>3577.0</v>
      </c>
      <c r="CF148" s="62">
        <v>4706.0</v>
      </c>
      <c r="CG148" s="62">
        <v>3217.0</v>
      </c>
      <c r="CH148" s="62">
        <v>746.0</v>
      </c>
      <c r="CI148" s="62">
        <v>3008.0</v>
      </c>
      <c r="CJ148" s="62">
        <v>20394.0</v>
      </c>
      <c r="CK148" s="62">
        <v>43421.0</v>
      </c>
      <c r="CL148" s="62">
        <v>24784.0</v>
      </c>
      <c r="CM148" s="62">
        <v>10635.0</v>
      </c>
      <c r="CN148" s="62">
        <v>4137.0</v>
      </c>
      <c r="CO148" s="62">
        <v>73049.0</v>
      </c>
      <c r="CP148" s="62">
        <v>59785.0</v>
      </c>
      <c r="CQ148" s="62">
        <v>4750.0</v>
      </c>
      <c r="CR148" s="62">
        <v>3034.0</v>
      </c>
      <c r="CS148" s="62">
        <v>34739.0</v>
      </c>
      <c r="CT148" s="62">
        <v>25108.0</v>
      </c>
      <c r="CU148" s="62">
        <v>7813.0</v>
      </c>
      <c r="CV148" s="62">
        <v>71972.0</v>
      </c>
      <c r="CW148" s="62">
        <v>7353.0</v>
      </c>
      <c r="CX148" s="62">
        <v>16638.0</v>
      </c>
      <c r="CY148" s="62">
        <v>1220.0</v>
      </c>
      <c r="CZ148" s="62">
        <v>24326.0</v>
      </c>
      <c r="DA148" s="62">
        <v>9455.0</v>
      </c>
      <c r="DB148" s="62">
        <v>1173.0</v>
      </c>
      <c r="DC148" s="62">
        <v>105046.0</v>
      </c>
      <c r="DD148" s="62">
        <v>237.0</v>
      </c>
      <c r="DE148" s="62">
        <v>7519.0</v>
      </c>
      <c r="DF148" s="62">
        <v>9028.0</v>
      </c>
      <c r="DG148" s="62">
        <v>15491.0</v>
      </c>
      <c r="DH148" s="62">
        <v>4364.0</v>
      </c>
      <c r="DI148" s="62">
        <v>2821.0</v>
      </c>
      <c r="DJ148" s="62">
        <v>788.0</v>
      </c>
      <c r="DK148" s="62">
        <v>978.0</v>
      </c>
      <c r="DL148" s="62">
        <v>16142.0</v>
      </c>
      <c r="DM148" s="62">
        <v>6512.0</v>
      </c>
      <c r="DN148" s="62">
        <v>3014.0</v>
      </c>
      <c r="DO148" s="62">
        <v>3412.0</v>
      </c>
      <c r="DP148" s="62">
        <v>309.0</v>
      </c>
      <c r="DQ148" s="62">
        <v>37357.0</v>
      </c>
      <c r="DR148" s="62">
        <v>8972.0</v>
      </c>
      <c r="DS148" s="62">
        <v>1005594.0</v>
      </c>
      <c r="DT148" s="62">
        <v>44188.0</v>
      </c>
      <c r="DU148" s="62">
        <v>123638.0</v>
      </c>
      <c r="DV148" s="62">
        <v>365951.0</v>
      </c>
      <c r="DW148" s="62">
        <v>234951.0</v>
      </c>
      <c r="DX148" s="62">
        <v>199225.0</v>
      </c>
      <c r="DY148" s="62">
        <v>678534.0</v>
      </c>
      <c r="DZ148" s="62">
        <v>5721.0</v>
      </c>
      <c r="EA148" s="62">
        <v>46.0</v>
      </c>
      <c r="EB148" s="62">
        <v>2474.0</v>
      </c>
      <c r="EC148" s="62">
        <v>68431.0</v>
      </c>
      <c r="ED148" s="62">
        <v>19429.0</v>
      </c>
      <c r="EE148" s="62">
        <v>2122.0</v>
      </c>
      <c r="EF148" s="62">
        <v>3932.0</v>
      </c>
      <c r="EG148" s="62">
        <v>10958.0</v>
      </c>
      <c r="EH148" s="62">
        <v>390045.0</v>
      </c>
      <c r="EI148" s="62">
        <v>36021.0</v>
      </c>
      <c r="EJ148" s="62">
        <v>3010.0</v>
      </c>
      <c r="EK148" s="62">
        <v>1238.0</v>
      </c>
      <c r="EL148" s="62">
        <v>1331.0</v>
      </c>
      <c r="EM148" s="62">
        <v>6615.0</v>
      </c>
      <c r="EN148" s="62">
        <v>18500.0</v>
      </c>
      <c r="EO148" s="62">
        <v>1675261.0</v>
      </c>
      <c r="EP148" s="62">
        <v>11072.0</v>
      </c>
      <c r="EQ148" s="62">
        <v>105221.0</v>
      </c>
      <c r="ER148" s="62">
        <v>190.0</v>
      </c>
      <c r="ES148" s="62">
        <v>12231.0</v>
      </c>
      <c r="ET148" s="62">
        <v>12190.0</v>
      </c>
      <c r="EU148" s="62">
        <v>1189461.0</v>
      </c>
      <c r="EV148" s="62">
        <v>18697.0</v>
      </c>
      <c r="EW148" s="62">
        <v>5062.0</v>
      </c>
      <c r="EX148" s="62">
        <v>19208.0</v>
      </c>
      <c r="EY148" s="62">
        <v>65062.0</v>
      </c>
      <c r="EZ148" s="62">
        <v>123005.0</v>
      </c>
      <c r="FA148" s="62">
        <v>92953.0</v>
      </c>
      <c r="FB148" s="62">
        <v>385998.0</v>
      </c>
      <c r="FC148" s="62">
        <v>145626.0</v>
      </c>
      <c r="FD148" s="62">
        <v>1271405.0</v>
      </c>
      <c r="FE148" s="62">
        <v>279165.0</v>
      </c>
      <c r="FF148" s="62">
        <v>65426.0</v>
      </c>
      <c r="FG148" s="62">
        <v>402815.0</v>
      </c>
      <c r="FH148" s="62">
        <v>537144.0</v>
      </c>
      <c r="FI148" s="62">
        <v>62877.0</v>
      </c>
      <c r="FJ148" s="62">
        <v>4366.0</v>
      </c>
      <c r="FK148" s="62">
        <v>11100.0</v>
      </c>
      <c r="FL148" s="62">
        <v>28211.0</v>
      </c>
      <c r="FM148" s="62">
        <v>1414.0</v>
      </c>
      <c r="FN148" s="62">
        <v>53994.0</v>
      </c>
      <c r="FO148" s="62">
        <v>63378.0</v>
      </c>
      <c r="FP148" s="62">
        <v>544538.0</v>
      </c>
      <c r="FQ148" s="62">
        <v>102779.0</v>
      </c>
      <c r="FR148" s="62">
        <v>33.0</v>
      </c>
      <c r="FS148" s="62">
        <v>3540.0</v>
      </c>
      <c r="FT148" s="62">
        <v>717324.0</v>
      </c>
      <c r="FU148" s="62">
        <v>965672.0</v>
      </c>
      <c r="FV148" s="62">
        <v>57894.0</v>
      </c>
      <c r="FW148" s="62">
        <v>1158475.0</v>
      </c>
      <c r="FX148" s="62">
        <v>945769.0</v>
      </c>
      <c r="FY148" s="62">
        <v>1038022.0</v>
      </c>
      <c r="FZ148" s="62">
        <v>1914.0</v>
      </c>
      <c r="GA148" s="62">
        <v>1818805.0</v>
      </c>
      <c r="GB148" s="62">
        <v>99015.0</v>
      </c>
      <c r="GC148" s="62">
        <v>123635.0</v>
      </c>
      <c r="GD148" s="62">
        <v>12733.0</v>
      </c>
      <c r="GE148" s="62">
        <v>286007.0</v>
      </c>
      <c r="GF148" s="63">
        <v>1.9065949E7</v>
      </c>
      <c r="GG148" s="64">
        <v>2.7522357E7</v>
      </c>
      <c r="GH148" s="65">
        <v>0.0</v>
      </c>
      <c r="GI148" s="64">
        <v>0.0</v>
      </c>
      <c r="GJ148" s="64">
        <v>1714551.0</v>
      </c>
      <c r="GK148" s="64">
        <v>-561999.0</v>
      </c>
      <c r="GL148" s="64">
        <v>7553319.0</v>
      </c>
      <c r="GM148" s="64">
        <v>45276.0</v>
      </c>
      <c r="GN148" s="63">
        <v>3.6273504E7</v>
      </c>
      <c r="GO148" s="66">
        <v>5.5339453E7</v>
      </c>
      <c r="GP148" s="64">
        <v>5319761.0</v>
      </c>
      <c r="GQ148" s="64">
        <v>165617.0</v>
      </c>
      <c r="GR148" s="65">
        <v>0.0</v>
      </c>
      <c r="GS148" s="63">
        <v>5485378.0</v>
      </c>
      <c r="GT148" s="67">
        <v>9914149.0</v>
      </c>
      <c r="GU148" s="67">
        <v>6768688.0</v>
      </c>
      <c r="GV148" s="67">
        <v>416348.0</v>
      </c>
      <c r="GW148" s="63">
        <v>1.7099185E7</v>
      </c>
      <c r="GX148" s="63">
        <v>1550488.0</v>
      </c>
      <c r="GY148" s="63">
        <v>3.1204402E7</v>
      </c>
      <c r="GZ148" s="66">
        <v>5.5339453E7</v>
      </c>
      <c r="HH148" s="106"/>
    </row>
    <row r="149" ht="15.75" customHeight="1">
      <c r="A149" s="60">
        <v>144.0</v>
      </c>
      <c r="B149" s="111" t="s">
        <v>414</v>
      </c>
      <c r="C149" s="62">
        <v>1169.0</v>
      </c>
      <c r="D149" s="62">
        <v>752.0</v>
      </c>
      <c r="E149" s="62">
        <v>36.0</v>
      </c>
      <c r="F149" s="62">
        <v>63.0</v>
      </c>
      <c r="G149" s="62">
        <v>5.0</v>
      </c>
      <c r="H149" s="62">
        <v>144.0</v>
      </c>
      <c r="I149" s="62">
        <v>124.0</v>
      </c>
      <c r="J149" s="62">
        <v>47.0</v>
      </c>
      <c r="K149" s="62">
        <v>9.0</v>
      </c>
      <c r="L149" s="62">
        <v>27230.0</v>
      </c>
      <c r="M149" s="62">
        <v>1701.0</v>
      </c>
      <c r="N149" s="62">
        <v>2071.0</v>
      </c>
      <c r="O149" s="62">
        <v>4952.0</v>
      </c>
      <c r="P149" s="62">
        <v>718.0</v>
      </c>
      <c r="Q149" s="62">
        <v>612.0</v>
      </c>
      <c r="R149" s="62">
        <v>60115.0</v>
      </c>
      <c r="S149" s="62">
        <v>786.0</v>
      </c>
      <c r="T149" s="62">
        <v>5005.0</v>
      </c>
      <c r="U149" s="62">
        <v>219.0</v>
      </c>
      <c r="V149" s="62">
        <v>233.0</v>
      </c>
      <c r="W149" s="62">
        <v>200.0</v>
      </c>
      <c r="X149" s="62">
        <v>383.0</v>
      </c>
      <c r="Y149" s="62">
        <v>197.0</v>
      </c>
      <c r="Z149" s="62">
        <v>505.0</v>
      </c>
      <c r="AA149" s="62">
        <v>64.0</v>
      </c>
      <c r="AB149" s="62">
        <v>3935.0</v>
      </c>
      <c r="AC149" s="62">
        <v>728.0</v>
      </c>
      <c r="AD149" s="62">
        <v>11507.0</v>
      </c>
      <c r="AE149" s="62">
        <v>244.0</v>
      </c>
      <c r="AF149" s="62">
        <v>11294.0</v>
      </c>
      <c r="AG149" s="62">
        <v>48188.0</v>
      </c>
      <c r="AH149" s="62">
        <v>2999.0</v>
      </c>
      <c r="AI149" s="62">
        <v>334218.0</v>
      </c>
      <c r="AJ149" s="62">
        <v>64192.0</v>
      </c>
      <c r="AK149" s="62">
        <v>6895.0</v>
      </c>
      <c r="AL149" s="62">
        <v>5289.0</v>
      </c>
      <c r="AM149" s="62">
        <v>61353.0</v>
      </c>
      <c r="AN149" s="62">
        <v>1602.0</v>
      </c>
      <c r="AO149" s="62">
        <v>8601.0</v>
      </c>
      <c r="AP149" s="62">
        <v>15.0</v>
      </c>
      <c r="AQ149" s="62">
        <v>884.0</v>
      </c>
      <c r="AR149" s="62">
        <v>100.0</v>
      </c>
      <c r="AS149" s="62">
        <v>3923.0</v>
      </c>
      <c r="AT149" s="62">
        <v>319.0</v>
      </c>
      <c r="AU149" s="62">
        <v>3217.0</v>
      </c>
      <c r="AV149" s="62">
        <v>2277.0</v>
      </c>
      <c r="AW149" s="62">
        <v>98.0</v>
      </c>
      <c r="AX149" s="62">
        <v>595856.0</v>
      </c>
      <c r="AY149" s="62">
        <v>8783.0</v>
      </c>
      <c r="AZ149" s="62">
        <v>105.0</v>
      </c>
      <c r="BA149" s="62">
        <v>335.0</v>
      </c>
      <c r="BB149" s="62">
        <v>15308.0</v>
      </c>
      <c r="BC149" s="62">
        <v>160556.0</v>
      </c>
      <c r="BD149" s="62">
        <v>35303.0</v>
      </c>
      <c r="BE149" s="62">
        <v>15.0</v>
      </c>
      <c r="BF149" s="62">
        <v>51.0</v>
      </c>
      <c r="BG149" s="62">
        <v>0.0</v>
      </c>
      <c r="BH149" s="62">
        <v>2582.0</v>
      </c>
      <c r="BI149" s="62">
        <v>104.0</v>
      </c>
      <c r="BJ149" s="62">
        <v>670.0</v>
      </c>
      <c r="BK149" s="62">
        <v>166.0</v>
      </c>
      <c r="BL149" s="62">
        <v>84.0</v>
      </c>
      <c r="BM149" s="62">
        <v>13.0</v>
      </c>
      <c r="BN149" s="62">
        <v>0.0</v>
      </c>
      <c r="BO149" s="62">
        <v>246.0</v>
      </c>
      <c r="BP149" s="62">
        <v>0.0</v>
      </c>
      <c r="BQ149" s="62">
        <v>0.0</v>
      </c>
      <c r="BR149" s="62">
        <v>0.0</v>
      </c>
      <c r="BS149" s="62">
        <v>0.0</v>
      </c>
      <c r="BT149" s="62">
        <v>48947.0</v>
      </c>
      <c r="BU149" s="62">
        <v>0.0</v>
      </c>
      <c r="BV149" s="62">
        <v>0.0</v>
      </c>
      <c r="BW149" s="62">
        <v>130.0</v>
      </c>
      <c r="BX149" s="62">
        <v>81.0</v>
      </c>
      <c r="BY149" s="62">
        <v>932.0</v>
      </c>
      <c r="BZ149" s="62">
        <v>62.0</v>
      </c>
      <c r="CA149" s="62">
        <v>2946.0</v>
      </c>
      <c r="CB149" s="62">
        <v>1586.0</v>
      </c>
      <c r="CC149" s="62">
        <v>199.0</v>
      </c>
      <c r="CD149" s="62">
        <v>151.0</v>
      </c>
      <c r="CE149" s="62">
        <v>222.0</v>
      </c>
      <c r="CF149" s="62">
        <v>635.0</v>
      </c>
      <c r="CG149" s="62">
        <v>487.0</v>
      </c>
      <c r="CH149" s="62">
        <v>86.0</v>
      </c>
      <c r="CI149" s="62">
        <v>435.0</v>
      </c>
      <c r="CJ149" s="62">
        <v>3756.0</v>
      </c>
      <c r="CK149" s="62">
        <v>7997.0</v>
      </c>
      <c r="CL149" s="62">
        <v>4565.0</v>
      </c>
      <c r="CM149" s="62">
        <v>1808.0</v>
      </c>
      <c r="CN149" s="62">
        <v>1496.0</v>
      </c>
      <c r="CO149" s="62">
        <v>4776.0</v>
      </c>
      <c r="CP149" s="62">
        <v>8683.0</v>
      </c>
      <c r="CQ149" s="62">
        <v>8645.0</v>
      </c>
      <c r="CR149" s="62">
        <v>1226.0</v>
      </c>
      <c r="CS149" s="62">
        <v>3547.0</v>
      </c>
      <c r="CT149" s="62">
        <v>7063.0</v>
      </c>
      <c r="CU149" s="62">
        <v>929.0</v>
      </c>
      <c r="CV149" s="62">
        <v>1673.0</v>
      </c>
      <c r="CW149" s="62">
        <v>182.0</v>
      </c>
      <c r="CX149" s="62">
        <v>439.0</v>
      </c>
      <c r="CY149" s="62">
        <v>30.0</v>
      </c>
      <c r="CZ149" s="62">
        <v>514.0</v>
      </c>
      <c r="DA149" s="62">
        <v>8112.0</v>
      </c>
      <c r="DB149" s="62">
        <v>703.0</v>
      </c>
      <c r="DC149" s="62">
        <v>52184.0</v>
      </c>
      <c r="DD149" s="62">
        <v>237.0</v>
      </c>
      <c r="DE149" s="62">
        <v>209.0</v>
      </c>
      <c r="DF149" s="62">
        <v>250.0</v>
      </c>
      <c r="DG149" s="62">
        <v>51.0</v>
      </c>
      <c r="DH149" s="62">
        <v>825.0</v>
      </c>
      <c r="DI149" s="62">
        <v>1166.0</v>
      </c>
      <c r="DJ149" s="62">
        <v>431.0</v>
      </c>
      <c r="DK149" s="62">
        <v>496.0</v>
      </c>
      <c r="DL149" s="62">
        <v>1903.0</v>
      </c>
      <c r="DM149" s="62">
        <v>697.0</v>
      </c>
      <c r="DN149" s="62">
        <v>82.0</v>
      </c>
      <c r="DO149" s="62">
        <v>1244.0</v>
      </c>
      <c r="DP149" s="62">
        <v>16602.0</v>
      </c>
      <c r="DQ149" s="62">
        <v>625.0</v>
      </c>
      <c r="DR149" s="62">
        <v>10500.0</v>
      </c>
      <c r="DS149" s="62">
        <v>135819.0</v>
      </c>
      <c r="DT149" s="62">
        <v>6925.0</v>
      </c>
      <c r="DU149" s="62">
        <v>16698.0</v>
      </c>
      <c r="DV149" s="62">
        <v>49425.0</v>
      </c>
      <c r="DW149" s="62">
        <v>31732.0</v>
      </c>
      <c r="DX149" s="62">
        <v>27200.0</v>
      </c>
      <c r="DY149" s="62">
        <v>91587.0</v>
      </c>
      <c r="DZ149" s="62">
        <v>4305.0</v>
      </c>
      <c r="EA149" s="62">
        <v>46.0</v>
      </c>
      <c r="EB149" s="62">
        <v>374.0</v>
      </c>
      <c r="EC149" s="62">
        <v>162479.0</v>
      </c>
      <c r="ED149" s="62">
        <v>6759.0</v>
      </c>
      <c r="EE149" s="62">
        <v>2059.0</v>
      </c>
      <c r="EF149" s="62">
        <v>50589.0</v>
      </c>
      <c r="EG149" s="62">
        <v>1154.0</v>
      </c>
      <c r="EH149" s="62">
        <v>86142.0</v>
      </c>
      <c r="EI149" s="62">
        <v>28618.0</v>
      </c>
      <c r="EJ149" s="62">
        <v>0.0</v>
      </c>
      <c r="EK149" s="62">
        <v>306.0</v>
      </c>
      <c r="EL149" s="62">
        <v>54.0</v>
      </c>
      <c r="EM149" s="62">
        <v>0.0</v>
      </c>
      <c r="EN149" s="62">
        <v>0.0</v>
      </c>
      <c r="EO149" s="62">
        <v>172.0</v>
      </c>
      <c r="EP149" s="62">
        <v>3023545.0</v>
      </c>
      <c r="EQ149" s="62">
        <v>2716.0</v>
      </c>
      <c r="ER149" s="62">
        <v>18657.0</v>
      </c>
      <c r="ES149" s="62">
        <v>7547.0</v>
      </c>
      <c r="ET149" s="62">
        <v>788.0</v>
      </c>
      <c r="EU149" s="62">
        <v>245707.0</v>
      </c>
      <c r="EV149" s="62">
        <v>980.0</v>
      </c>
      <c r="EW149" s="62">
        <v>661.0</v>
      </c>
      <c r="EX149" s="62">
        <v>2962.0</v>
      </c>
      <c r="EY149" s="62">
        <v>7367.0</v>
      </c>
      <c r="EZ149" s="62">
        <v>27333.0</v>
      </c>
      <c r="FA149" s="62">
        <v>54663.0</v>
      </c>
      <c r="FB149" s="62">
        <v>193308.0</v>
      </c>
      <c r="FC149" s="62">
        <v>313534.0</v>
      </c>
      <c r="FD149" s="62">
        <v>531399.0</v>
      </c>
      <c r="FE149" s="62">
        <v>4308526.0</v>
      </c>
      <c r="FF149" s="62">
        <v>509343.0</v>
      </c>
      <c r="FG149" s="62">
        <v>3475651.0</v>
      </c>
      <c r="FH149" s="62">
        <v>1274037.0</v>
      </c>
      <c r="FI149" s="62">
        <v>32489.0</v>
      </c>
      <c r="FJ149" s="62">
        <v>2165.0</v>
      </c>
      <c r="FK149" s="62">
        <v>1199.0</v>
      </c>
      <c r="FL149" s="62">
        <v>495573.0</v>
      </c>
      <c r="FM149" s="62">
        <v>72718.0</v>
      </c>
      <c r="FN149" s="62">
        <v>196428.0</v>
      </c>
      <c r="FO149" s="62">
        <v>177262.0</v>
      </c>
      <c r="FP149" s="62">
        <v>512904.0</v>
      </c>
      <c r="FQ149" s="62">
        <v>1335.0</v>
      </c>
      <c r="FR149" s="62">
        <v>6.0</v>
      </c>
      <c r="FS149" s="62">
        <v>4464.0</v>
      </c>
      <c r="FT149" s="62">
        <v>97244.0</v>
      </c>
      <c r="FU149" s="62">
        <v>72816.0</v>
      </c>
      <c r="FV149" s="62">
        <v>212477.0</v>
      </c>
      <c r="FW149" s="62">
        <v>1967695.0</v>
      </c>
      <c r="FX149" s="62">
        <v>672747.0</v>
      </c>
      <c r="FY149" s="62">
        <v>5710934.0</v>
      </c>
      <c r="FZ149" s="62">
        <v>155047.0</v>
      </c>
      <c r="GA149" s="62">
        <v>294888.0</v>
      </c>
      <c r="GB149" s="62">
        <v>480060.0</v>
      </c>
      <c r="GC149" s="62">
        <v>136359.0</v>
      </c>
      <c r="GD149" s="62">
        <v>1624.0</v>
      </c>
      <c r="GE149" s="62">
        <v>2479915.0</v>
      </c>
      <c r="GF149" s="63">
        <v>3.0189456E7</v>
      </c>
      <c r="GG149" s="64">
        <v>0.0</v>
      </c>
      <c r="GH149" s="65">
        <v>0.0</v>
      </c>
      <c r="GI149" s="64">
        <v>0.0</v>
      </c>
      <c r="GJ149" s="64">
        <v>0.0</v>
      </c>
      <c r="GK149" s="64">
        <v>843298.0</v>
      </c>
      <c r="GL149" s="64">
        <v>0.0</v>
      </c>
      <c r="GM149" s="64">
        <v>0.0</v>
      </c>
      <c r="GN149" s="63">
        <v>843298.0</v>
      </c>
      <c r="GO149" s="66">
        <v>3.1032754E7</v>
      </c>
      <c r="GP149" s="64">
        <v>0.0</v>
      </c>
      <c r="GQ149" s="64">
        <v>0.0</v>
      </c>
      <c r="GR149" s="65">
        <v>0.0</v>
      </c>
      <c r="GS149" s="63">
        <v>0.0</v>
      </c>
      <c r="GT149" s="67">
        <v>0.0</v>
      </c>
      <c r="GU149" s="67">
        <v>0.0</v>
      </c>
      <c r="GV149" s="67">
        <v>0.0</v>
      </c>
      <c r="GW149" s="63">
        <v>0.0</v>
      </c>
      <c r="GX149" s="63">
        <v>0.0</v>
      </c>
      <c r="GY149" s="63">
        <v>3.1032754E7</v>
      </c>
      <c r="GZ149" s="66">
        <v>3.1032754E7</v>
      </c>
      <c r="HH149" s="106"/>
    </row>
    <row r="150" ht="15.75" customHeight="1">
      <c r="A150" s="68">
        <v>145.0</v>
      </c>
      <c r="B150" s="111" t="s">
        <v>415</v>
      </c>
      <c r="C150" s="70">
        <v>4044.0</v>
      </c>
      <c r="D150" s="70">
        <v>6181.0</v>
      </c>
      <c r="E150" s="70">
        <v>147.0</v>
      </c>
      <c r="F150" s="70">
        <v>2448.0</v>
      </c>
      <c r="G150" s="70">
        <v>65.0</v>
      </c>
      <c r="H150" s="70">
        <v>608.0</v>
      </c>
      <c r="I150" s="70">
        <v>293.0</v>
      </c>
      <c r="J150" s="70">
        <v>167.0</v>
      </c>
      <c r="K150" s="70">
        <v>22.0</v>
      </c>
      <c r="L150" s="70">
        <v>140968.0</v>
      </c>
      <c r="M150" s="70">
        <v>1392.0</v>
      </c>
      <c r="N150" s="70">
        <v>1581.0</v>
      </c>
      <c r="O150" s="70">
        <v>5415.0</v>
      </c>
      <c r="P150" s="70">
        <v>223.0</v>
      </c>
      <c r="Q150" s="70">
        <v>689.0</v>
      </c>
      <c r="R150" s="70">
        <v>69898.0</v>
      </c>
      <c r="S150" s="70">
        <v>487.0</v>
      </c>
      <c r="T150" s="70">
        <v>835.0</v>
      </c>
      <c r="U150" s="70">
        <v>38395.0</v>
      </c>
      <c r="V150" s="70">
        <v>14680.0</v>
      </c>
      <c r="W150" s="70">
        <v>1335.0</v>
      </c>
      <c r="X150" s="70">
        <v>3660.0</v>
      </c>
      <c r="Y150" s="70">
        <v>293.0</v>
      </c>
      <c r="Z150" s="70">
        <v>592.0</v>
      </c>
      <c r="AA150" s="70">
        <v>335.0</v>
      </c>
      <c r="AB150" s="70">
        <v>39383.0</v>
      </c>
      <c r="AC150" s="70">
        <v>918.0</v>
      </c>
      <c r="AD150" s="70">
        <v>82259.0</v>
      </c>
      <c r="AE150" s="70">
        <v>6988.0</v>
      </c>
      <c r="AF150" s="70">
        <v>12098.0</v>
      </c>
      <c r="AG150" s="70">
        <v>98367.0</v>
      </c>
      <c r="AH150" s="70">
        <v>33055.0</v>
      </c>
      <c r="AI150" s="70">
        <v>274373.0</v>
      </c>
      <c r="AJ150" s="70">
        <v>74571.0</v>
      </c>
      <c r="AK150" s="70">
        <v>7608.0</v>
      </c>
      <c r="AL150" s="70">
        <v>9997.0</v>
      </c>
      <c r="AM150" s="70">
        <v>1967941.0</v>
      </c>
      <c r="AN150" s="70">
        <v>1064707.0</v>
      </c>
      <c r="AO150" s="70">
        <v>2194584.0</v>
      </c>
      <c r="AP150" s="70">
        <v>5535.0</v>
      </c>
      <c r="AQ150" s="70">
        <v>31906.0</v>
      </c>
      <c r="AR150" s="70">
        <v>6242.0</v>
      </c>
      <c r="AS150" s="70">
        <v>154381.0</v>
      </c>
      <c r="AT150" s="70">
        <v>24474.0</v>
      </c>
      <c r="AU150" s="70">
        <v>32575.0</v>
      </c>
      <c r="AV150" s="70">
        <v>402705.0</v>
      </c>
      <c r="AW150" s="70">
        <v>3099.0</v>
      </c>
      <c r="AX150" s="70">
        <v>897201.0</v>
      </c>
      <c r="AY150" s="70">
        <v>314161.0</v>
      </c>
      <c r="AZ150" s="70">
        <v>40.0</v>
      </c>
      <c r="BA150" s="70">
        <v>498453.0</v>
      </c>
      <c r="BB150" s="70">
        <v>482332.0</v>
      </c>
      <c r="BC150" s="70">
        <v>1804704.0</v>
      </c>
      <c r="BD150" s="70">
        <v>1478445.0</v>
      </c>
      <c r="BE150" s="70">
        <v>26933.0</v>
      </c>
      <c r="BF150" s="70">
        <v>98670.0</v>
      </c>
      <c r="BG150" s="70">
        <v>40099.0</v>
      </c>
      <c r="BH150" s="70">
        <v>211379.0</v>
      </c>
      <c r="BI150" s="70">
        <v>15075.0</v>
      </c>
      <c r="BJ150" s="70">
        <v>178453.0</v>
      </c>
      <c r="BK150" s="70">
        <v>35491.0</v>
      </c>
      <c r="BL150" s="70">
        <v>18587.0</v>
      </c>
      <c r="BM150" s="70">
        <v>201.0</v>
      </c>
      <c r="BN150" s="70">
        <v>47493.0</v>
      </c>
      <c r="BO150" s="70">
        <v>569279.0</v>
      </c>
      <c r="BP150" s="70">
        <v>741.0</v>
      </c>
      <c r="BQ150" s="70">
        <v>110140.0</v>
      </c>
      <c r="BR150" s="70">
        <v>1236.0</v>
      </c>
      <c r="BS150" s="70">
        <v>89490.0</v>
      </c>
      <c r="BT150" s="70">
        <v>372795.0</v>
      </c>
      <c r="BU150" s="70">
        <v>114632.0</v>
      </c>
      <c r="BV150" s="70">
        <v>915.0</v>
      </c>
      <c r="BW150" s="70">
        <v>357.0</v>
      </c>
      <c r="BX150" s="70">
        <v>20422.0</v>
      </c>
      <c r="BY150" s="70">
        <v>398194.0</v>
      </c>
      <c r="BZ150" s="70">
        <v>26432.0</v>
      </c>
      <c r="CA150" s="70">
        <v>3292796.0</v>
      </c>
      <c r="CB150" s="70">
        <v>626835.0</v>
      </c>
      <c r="CC150" s="70">
        <v>242420.0</v>
      </c>
      <c r="CD150" s="70">
        <v>30315.0</v>
      </c>
      <c r="CE150" s="70">
        <v>45484.0</v>
      </c>
      <c r="CF150" s="70">
        <v>197368.0</v>
      </c>
      <c r="CG150" s="70">
        <v>21280.0</v>
      </c>
      <c r="CH150" s="70">
        <v>112840.0</v>
      </c>
      <c r="CI150" s="70">
        <v>714739.0</v>
      </c>
      <c r="CJ150" s="70">
        <v>232538.0</v>
      </c>
      <c r="CK150" s="70">
        <v>492067.0</v>
      </c>
      <c r="CL150" s="70">
        <v>280862.0</v>
      </c>
      <c r="CM150" s="70">
        <v>111764.0</v>
      </c>
      <c r="CN150" s="70">
        <v>460182.0</v>
      </c>
      <c r="CO150" s="70">
        <v>646825.0</v>
      </c>
      <c r="CP150" s="70">
        <v>653189.0</v>
      </c>
      <c r="CQ150" s="70">
        <v>526286.0</v>
      </c>
      <c r="CR150" s="70">
        <v>989824.0</v>
      </c>
      <c r="CS150" s="70">
        <v>632444.0</v>
      </c>
      <c r="CT150" s="70">
        <v>1469328.0</v>
      </c>
      <c r="CU150" s="70">
        <v>223814.0</v>
      </c>
      <c r="CV150" s="70">
        <v>483346.0</v>
      </c>
      <c r="CW150" s="70">
        <v>69474.0</v>
      </c>
      <c r="CX150" s="70">
        <v>170302.0</v>
      </c>
      <c r="CY150" s="70">
        <v>9689.0</v>
      </c>
      <c r="CZ150" s="70">
        <v>162941.0</v>
      </c>
      <c r="DA150" s="70">
        <v>414587.0</v>
      </c>
      <c r="DB150" s="70">
        <v>253996.0</v>
      </c>
      <c r="DC150" s="70">
        <v>693980.0</v>
      </c>
      <c r="DD150" s="70">
        <v>73279.0</v>
      </c>
      <c r="DE150" s="70">
        <v>173525.0</v>
      </c>
      <c r="DF150" s="70">
        <v>208779.0</v>
      </c>
      <c r="DG150" s="70">
        <v>43012.0</v>
      </c>
      <c r="DH150" s="70">
        <v>510858.0</v>
      </c>
      <c r="DI150" s="70">
        <v>360708.0</v>
      </c>
      <c r="DJ150" s="70">
        <v>1310207.0</v>
      </c>
      <c r="DK150" s="70">
        <v>1713842.0</v>
      </c>
      <c r="DL150" s="70">
        <v>8065963.0</v>
      </c>
      <c r="DM150" s="70">
        <v>304831.0</v>
      </c>
      <c r="DN150" s="70">
        <v>209821.0</v>
      </c>
      <c r="DO150" s="70">
        <v>948677.0</v>
      </c>
      <c r="DP150" s="70">
        <v>77766.0</v>
      </c>
      <c r="DQ150" s="70">
        <v>398350.0</v>
      </c>
      <c r="DR150" s="70">
        <v>2150973.0</v>
      </c>
      <c r="DS150" s="70">
        <v>1442911.0</v>
      </c>
      <c r="DT150" s="70">
        <v>154196.0</v>
      </c>
      <c r="DU150" s="70">
        <v>322761.0</v>
      </c>
      <c r="DV150" s="70">
        <v>955328.0</v>
      </c>
      <c r="DW150" s="70">
        <v>629782.0</v>
      </c>
      <c r="DX150" s="70">
        <v>545125.0</v>
      </c>
      <c r="DY150" s="70">
        <v>1853128.0</v>
      </c>
      <c r="DZ150" s="70">
        <v>693408.0</v>
      </c>
      <c r="EA150" s="70">
        <v>19438.0</v>
      </c>
      <c r="EB150" s="70">
        <v>442396.0</v>
      </c>
      <c r="EC150" s="70">
        <v>431277.0</v>
      </c>
      <c r="ED150" s="70">
        <v>168702.0</v>
      </c>
      <c r="EE150" s="70">
        <v>33345.0</v>
      </c>
      <c r="EF150" s="70">
        <v>36054.0</v>
      </c>
      <c r="EG150" s="70">
        <v>228182.0</v>
      </c>
      <c r="EH150" s="70">
        <v>660495.0</v>
      </c>
      <c r="EI150" s="70">
        <v>548250.0</v>
      </c>
      <c r="EJ150" s="70">
        <v>369248.0</v>
      </c>
      <c r="EK150" s="70">
        <v>148692.0</v>
      </c>
      <c r="EL150" s="70">
        <v>68179.0</v>
      </c>
      <c r="EM150" s="70">
        <v>181964.0</v>
      </c>
      <c r="EN150" s="70">
        <v>1009707.0</v>
      </c>
      <c r="EO150" s="70">
        <v>45518.0</v>
      </c>
      <c r="EP150" s="70">
        <v>83474.0</v>
      </c>
      <c r="EQ150" s="70">
        <v>3.15583104E8</v>
      </c>
      <c r="ER150" s="70">
        <v>462718.0</v>
      </c>
      <c r="ES150" s="70">
        <v>1258932.0</v>
      </c>
      <c r="ET150" s="70">
        <v>605039.0</v>
      </c>
      <c r="EU150" s="70">
        <v>9558129.0</v>
      </c>
      <c r="EV150" s="70">
        <v>666659.0</v>
      </c>
      <c r="EW150" s="70">
        <v>78202.0</v>
      </c>
      <c r="EX150" s="70">
        <v>426213.0</v>
      </c>
      <c r="EY150" s="70">
        <v>4854396.0</v>
      </c>
      <c r="EZ150" s="70">
        <v>2783882.0</v>
      </c>
      <c r="FA150" s="70">
        <v>2558175.0</v>
      </c>
      <c r="FB150" s="70">
        <v>1.3915806E7</v>
      </c>
      <c r="FC150" s="70">
        <v>818592.0</v>
      </c>
      <c r="FD150" s="70">
        <v>5530636.0</v>
      </c>
      <c r="FE150" s="70">
        <v>570741.0</v>
      </c>
      <c r="FF150" s="70">
        <v>719203.0</v>
      </c>
      <c r="FG150" s="70">
        <v>4156736.0</v>
      </c>
      <c r="FH150" s="70">
        <v>8160042.0</v>
      </c>
      <c r="FI150" s="70">
        <v>3444702.0</v>
      </c>
      <c r="FJ150" s="70">
        <v>1425399.0</v>
      </c>
      <c r="FK150" s="70">
        <v>253174.0</v>
      </c>
      <c r="FL150" s="70">
        <v>2231257.0</v>
      </c>
      <c r="FM150" s="70">
        <v>4057594.0</v>
      </c>
      <c r="FN150" s="70">
        <v>1.6179056E7</v>
      </c>
      <c r="FO150" s="70">
        <v>1.0200703E7</v>
      </c>
      <c r="FP150" s="70">
        <v>1733430.0</v>
      </c>
      <c r="FQ150" s="70">
        <v>459492.0</v>
      </c>
      <c r="FR150" s="70">
        <v>534.0</v>
      </c>
      <c r="FS150" s="70">
        <v>448904.0</v>
      </c>
      <c r="FT150" s="70">
        <v>4010539.0</v>
      </c>
      <c r="FU150" s="70">
        <v>1736267.0</v>
      </c>
      <c r="FV150" s="70">
        <v>2238678.0</v>
      </c>
      <c r="FW150" s="70">
        <v>1.4443617E7</v>
      </c>
      <c r="FX150" s="70">
        <v>1526645.0</v>
      </c>
      <c r="FY150" s="70">
        <v>6337629.0</v>
      </c>
      <c r="FZ150" s="70">
        <v>101239.0</v>
      </c>
      <c r="GA150" s="70">
        <v>5298143.0</v>
      </c>
      <c r="GB150" s="70">
        <v>7494263.0</v>
      </c>
      <c r="GC150" s="70">
        <v>3060526.0</v>
      </c>
      <c r="GD150" s="70">
        <v>1850610.0</v>
      </c>
      <c r="GE150" s="70">
        <v>9312733.0</v>
      </c>
      <c r="GF150" s="71">
        <v>5.27110874E8</v>
      </c>
      <c r="GG150" s="72">
        <v>1.44443705E8</v>
      </c>
      <c r="GH150" s="73">
        <v>0.0</v>
      </c>
      <c r="GI150" s="72">
        <v>0.0</v>
      </c>
      <c r="GJ150" s="72">
        <v>0.0</v>
      </c>
      <c r="GK150" s="72">
        <v>0.0</v>
      </c>
      <c r="GL150" s="72">
        <v>0.0</v>
      </c>
      <c r="GM150" s="72">
        <v>0.0</v>
      </c>
      <c r="GN150" s="71">
        <v>1.44443705E8</v>
      </c>
      <c r="GO150" s="74">
        <v>6.71554579E8</v>
      </c>
      <c r="GP150" s="72">
        <v>1831723.0</v>
      </c>
      <c r="GQ150" s="72">
        <v>0.0</v>
      </c>
      <c r="GR150" s="73">
        <v>0.0</v>
      </c>
      <c r="GS150" s="71">
        <v>1831723.0</v>
      </c>
      <c r="GT150" s="75">
        <v>0.0</v>
      </c>
      <c r="GU150" s="75">
        <v>0.0</v>
      </c>
      <c r="GV150" s="75">
        <v>0.0</v>
      </c>
      <c r="GW150" s="71">
        <v>0.0</v>
      </c>
      <c r="GX150" s="71">
        <v>-4.3481882E7</v>
      </c>
      <c r="GY150" s="71">
        <v>7.13204738E8</v>
      </c>
      <c r="GZ150" s="74">
        <v>6.71554579E8</v>
      </c>
      <c r="HH150" s="106"/>
    </row>
    <row r="151" ht="15.75" customHeight="1">
      <c r="A151" s="52">
        <v>146.0</v>
      </c>
      <c r="B151" s="111" t="s">
        <v>416</v>
      </c>
      <c r="C151" s="54">
        <v>0.0</v>
      </c>
      <c r="D151" s="54">
        <v>0.0</v>
      </c>
      <c r="E151" s="54">
        <v>0.0</v>
      </c>
      <c r="F151" s="54">
        <v>0.0</v>
      </c>
      <c r="G151" s="54">
        <v>0.0</v>
      </c>
      <c r="H151" s="54">
        <v>0.0</v>
      </c>
      <c r="I151" s="54">
        <v>0.0</v>
      </c>
      <c r="J151" s="54">
        <v>0.0</v>
      </c>
      <c r="K151" s="54">
        <v>0.0</v>
      </c>
      <c r="L151" s="54">
        <v>0.0</v>
      </c>
      <c r="M151" s="54">
        <v>0.0</v>
      </c>
      <c r="N151" s="54">
        <v>0.0</v>
      </c>
      <c r="O151" s="54">
        <v>0.0</v>
      </c>
      <c r="P151" s="54">
        <v>0.0</v>
      </c>
      <c r="Q151" s="54">
        <v>0.0</v>
      </c>
      <c r="R151" s="54">
        <v>0.0</v>
      </c>
      <c r="S151" s="54">
        <v>0.0</v>
      </c>
      <c r="T151" s="54">
        <v>0.0</v>
      </c>
      <c r="U151" s="54">
        <v>0.0</v>
      </c>
      <c r="V151" s="54">
        <v>0.0</v>
      </c>
      <c r="W151" s="54">
        <v>0.0</v>
      </c>
      <c r="X151" s="54">
        <v>0.0</v>
      </c>
      <c r="Y151" s="54">
        <v>0.0</v>
      </c>
      <c r="Z151" s="54">
        <v>0.0</v>
      </c>
      <c r="AA151" s="54">
        <v>0.0</v>
      </c>
      <c r="AB151" s="54">
        <v>4793.0</v>
      </c>
      <c r="AC151" s="54">
        <v>335.0</v>
      </c>
      <c r="AD151" s="54">
        <v>20489.0</v>
      </c>
      <c r="AE151" s="54">
        <v>1405.0</v>
      </c>
      <c r="AF151" s="54">
        <v>0.0</v>
      </c>
      <c r="AG151" s="54">
        <v>0.0</v>
      </c>
      <c r="AH151" s="54">
        <v>0.0</v>
      </c>
      <c r="AI151" s="54">
        <v>903480.0</v>
      </c>
      <c r="AJ151" s="54">
        <v>51445.0</v>
      </c>
      <c r="AK151" s="54">
        <v>17886.0</v>
      </c>
      <c r="AL151" s="54">
        <v>46653.0</v>
      </c>
      <c r="AM151" s="54">
        <v>0.0</v>
      </c>
      <c r="AN151" s="54">
        <v>0.0</v>
      </c>
      <c r="AO151" s="54">
        <v>168787.0</v>
      </c>
      <c r="AP151" s="54">
        <v>0.0</v>
      </c>
      <c r="AQ151" s="54">
        <v>0.0</v>
      </c>
      <c r="AR151" s="54">
        <v>0.0</v>
      </c>
      <c r="AS151" s="54">
        <v>0.0</v>
      </c>
      <c r="AT151" s="54">
        <v>0.0</v>
      </c>
      <c r="AU151" s="54">
        <v>0.0</v>
      </c>
      <c r="AV151" s="54">
        <v>0.0</v>
      </c>
      <c r="AW151" s="54">
        <v>0.0</v>
      </c>
      <c r="AX151" s="54">
        <v>342678.0</v>
      </c>
      <c r="AY151" s="54">
        <v>1684.0</v>
      </c>
      <c r="AZ151" s="54">
        <v>0.0</v>
      </c>
      <c r="BA151" s="54">
        <v>111547.0</v>
      </c>
      <c r="BB151" s="54">
        <v>105832.0</v>
      </c>
      <c r="BC151" s="54">
        <v>51735.0</v>
      </c>
      <c r="BD151" s="54">
        <v>8134.0</v>
      </c>
      <c r="BE151" s="54">
        <v>67204.0</v>
      </c>
      <c r="BF151" s="54">
        <v>365838.0</v>
      </c>
      <c r="BG151" s="54">
        <v>64036.0</v>
      </c>
      <c r="BH151" s="54">
        <v>11811.0</v>
      </c>
      <c r="BI151" s="54">
        <v>494.0</v>
      </c>
      <c r="BJ151" s="54">
        <v>176659.0</v>
      </c>
      <c r="BK151" s="54">
        <v>48622.0</v>
      </c>
      <c r="BL151" s="54">
        <v>3139.0</v>
      </c>
      <c r="BM151" s="54">
        <v>17.0</v>
      </c>
      <c r="BN151" s="54">
        <v>0.0</v>
      </c>
      <c r="BO151" s="54">
        <v>846079.0</v>
      </c>
      <c r="BP151" s="54">
        <v>0.0</v>
      </c>
      <c r="BQ151" s="54">
        <v>0.0</v>
      </c>
      <c r="BR151" s="54">
        <v>47.0</v>
      </c>
      <c r="BS151" s="54">
        <v>7762.0</v>
      </c>
      <c r="BT151" s="54">
        <v>583511.0</v>
      </c>
      <c r="BU151" s="54">
        <v>62050.0</v>
      </c>
      <c r="BV151" s="54">
        <v>0.0</v>
      </c>
      <c r="BW151" s="54">
        <v>8658.0</v>
      </c>
      <c r="BX151" s="54">
        <v>115207.0</v>
      </c>
      <c r="BY151" s="54">
        <v>57179.0</v>
      </c>
      <c r="BZ151" s="54">
        <v>3812.0</v>
      </c>
      <c r="CA151" s="54">
        <v>55077.0</v>
      </c>
      <c r="CB151" s="54">
        <v>353.0</v>
      </c>
      <c r="CC151" s="54">
        <v>3933.0</v>
      </c>
      <c r="CD151" s="54">
        <v>2974.0</v>
      </c>
      <c r="CE151" s="54">
        <v>4402.0</v>
      </c>
      <c r="CF151" s="54">
        <v>11894.0</v>
      </c>
      <c r="CG151" s="54">
        <v>12690.0</v>
      </c>
      <c r="CH151" s="54">
        <v>72145.0</v>
      </c>
      <c r="CI151" s="54">
        <v>236127.0</v>
      </c>
      <c r="CJ151" s="54">
        <v>155580.0</v>
      </c>
      <c r="CK151" s="54">
        <v>336164.0</v>
      </c>
      <c r="CL151" s="54">
        <v>188985.0</v>
      </c>
      <c r="CM151" s="54">
        <v>66715.0</v>
      </c>
      <c r="CN151" s="54">
        <v>334867.0</v>
      </c>
      <c r="CO151" s="54">
        <v>159441.0</v>
      </c>
      <c r="CP151" s="54">
        <v>228253.0</v>
      </c>
      <c r="CQ151" s="54">
        <v>90407.0</v>
      </c>
      <c r="CR151" s="54">
        <v>519705.0</v>
      </c>
      <c r="CS151" s="54">
        <v>101713.0</v>
      </c>
      <c r="CT151" s="54">
        <v>1925928.0</v>
      </c>
      <c r="CU151" s="54">
        <v>55936.0</v>
      </c>
      <c r="CV151" s="54">
        <v>203407.0</v>
      </c>
      <c r="CW151" s="54">
        <v>89612.0</v>
      </c>
      <c r="CX151" s="54">
        <v>231785.0</v>
      </c>
      <c r="CY151" s="54">
        <v>7449.0</v>
      </c>
      <c r="CZ151" s="54">
        <v>99089.0</v>
      </c>
      <c r="DA151" s="54">
        <v>54270.0</v>
      </c>
      <c r="DB151" s="54">
        <v>165114.0</v>
      </c>
      <c r="DC151" s="54">
        <v>106330.0</v>
      </c>
      <c r="DD151" s="54">
        <v>121781.0</v>
      </c>
      <c r="DE151" s="54">
        <v>49844.0</v>
      </c>
      <c r="DF151" s="54">
        <v>59848.0</v>
      </c>
      <c r="DG151" s="54">
        <v>12188.0</v>
      </c>
      <c r="DH151" s="54">
        <v>164842.0</v>
      </c>
      <c r="DI151" s="54">
        <v>511941.0</v>
      </c>
      <c r="DJ151" s="54">
        <v>806174.0</v>
      </c>
      <c r="DK151" s="54">
        <v>569041.0</v>
      </c>
      <c r="DL151" s="54">
        <v>2964748.0</v>
      </c>
      <c r="DM151" s="54">
        <v>217522.0</v>
      </c>
      <c r="DN151" s="54">
        <v>100537.0</v>
      </c>
      <c r="DO151" s="54">
        <v>67104.0</v>
      </c>
      <c r="DP151" s="54">
        <v>0.0</v>
      </c>
      <c r="DQ151" s="54">
        <v>2381.0</v>
      </c>
      <c r="DR151" s="54">
        <v>461362.0</v>
      </c>
      <c r="DS151" s="54">
        <v>55532.0</v>
      </c>
      <c r="DT151" s="54">
        <v>1859.0</v>
      </c>
      <c r="DU151" s="54">
        <v>0.0</v>
      </c>
      <c r="DV151" s="54">
        <v>0.0</v>
      </c>
      <c r="DW151" s="54">
        <v>0.0</v>
      </c>
      <c r="DX151" s="54">
        <v>1765.0</v>
      </c>
      <c r="DY151" s="54">
        <v>40.0</v>
      </c>
      <c r="DZ151" s="54">
        <v>111454.0</v>
      </c>
      <c r="EA151" s="54">
        <v>11471.0</v>
      </c>
      <c r="EB151" s="54">
        <v>102819.0</v>
      </c>
      <c r="EC151" s="54">
        <v>526864.0</v>
      </c>
      <c r="ED151" s="54">
        <v>44232.0</v>
      </c>
      <c r="EE151" s="54">
        <v>0.0</v>
      </c>
      <c r="EF151" s="54">
        <v>0.0</v>
      </c>
      <c r="EG151" s="54">
        <v>18181.0</v>
      </c>
      <c r="EH151" s="54">
        <v>33366.0</v>
      </c>
      <c r="EI151" s="54">
        <v>5028.0</v>
      </c>
      <c r="EJ151" s="54">
        <v>6.0</v>
      </c>
      <c r="EK151" s="54">
        <v>14.0</v>
      </c>
      <c r="EL151" s="54">
        <v>2106.0</v>
      </c>
      <c r="EM151" s="54">
        <v>801.0</v>
      </c>
      <c r="EN151" s="54">
        <v>5448.0</v>
      </c>
      <c r="EO151" s="54">
        <v>1260.0</v>
      </c>
      <c r="EP151" s="54">
        <v>10571.0</v>
      </c>
      <c r="EQ151" s="54">
        <v>2.3933899E7</v>
      </c>
      <c r="ER151" s="54">
        <v>589246.0</v>
      </c>
      <c r="ES151" s="54">
        <v>427.0</v>
      </c>
      <c r="ET151" s="54">
        <v>122339.0</v>
      </c>
      <c r="EU151" s="54">
        <v>105992.0</v>
      </c>
      <c r="EV151" s="54">
        <v>326.0</v>
      </c>
      <c r="EW151" s="54">
        <v>0.0</v>
      </c>
      <c r="EX151" s="54">
        <v>1001.0</v>
      </c>
      <c r="EY151" s="54">
        <v>2077.0</v>
      </c>
      <c r="EZ151" s="54">
        <v>0.0</v>
      </c>
      <c r="FA151" s="54">
        <v>0.0</v>
      </c>
      <c r="FB151" s="54">
        <v>1089433.0</v>
      </c>
      <c r="FC151" s="54">
        <v>0.0</v>
      </c>
      <c r="FD151" s="54">
        <v>0.0</v>
      </c>
      <c r="FE151" s="54">
        <v>0.0</v>
      </c>
      <c r="FF151" s="54">
        <v>0.0</v>
      </c>
      <c r="FG151" s="54">
        <v>382492.0</v>
      </c>
      <c r="FH151" s="54">
        <v>1552.0</v>
      </c>
      <c r="FI151" s="54">
        <v>117.0</v>
      </c>
      <c r="FJ151" s="54">
        <v>6784.0</v>
      </c>
      <c r="FK151" s="54">
        <v>173683.0</v>
      </c>
      <c r="FL151" s="54">
        <v>0.0</v>
      </c>
      <c r="FM151" s="54">
        <v>778.0</v>
      </c>
      <c r="FN151" s="54">
        <v>0.0</v>
      </c>
      <c r="FO151" s="54">
        <v>0.0</v>
      </c>
      <c r="FP151" s="54">
        <v>328.0</v>
      </c>
      <c r="FQ151" s="54">
        <v>0.0</v>
      </c>
      <c r="FR151" s="54">
        <v>0.0</v>
      </c>
      <c r="FS151" s="54">
        <v>0.0</v>
      </c>
      <c r="FT151" s="54">
        <v>0.0</v>
      </c>
      <c r="FU151" s="54">
        <v>38105.0</v>
      </c>
      <c r="FV151" s="54">
        <v>5386.0</v>
      </c>
      <c r="FW151" s="54">
        <v>524958.0</v>
      </c>
      <c r="FX151" s="54">
        <v>265350.0</v>
      </c>
      <c r="FY151" s="54">
        <v>488934.0</v>
      </c>
      <c r="FZ151" s="54">
        <v>2424.0</v>
      </c>
      <c r="GA151" s="54">
        <v>28041.0</v>
      </c>
      <c r="GB151" s="54">
        <v>113350.0</v>
      </c>
      <c r="GC151" s="54">
        <v>65301.0</v>
      </c>
      <c r="GD151" s="54">
        <v>0.0</v>
      </c>
      <c r="GE151" s="54">
        <v>0.0</v>
      </c>
      <c r="GF151" s="55">
        <v>4.4763806E7</v>
      </c>
      <c r="GG151" s="56">
        <v>210353.0</v>
      </c>
      <c r="GH151" s="57">
        <v>0.0</v>
      </c>
      <c r="GI151" s="56">
        <v>0.0</v>
      </c>
      <c r="GJ151" s="56">
        <v>0.0</v>
      </c>
      <c r="GK151" s="56">
        <v>202671.0</v>
      </c>
      <c r="GL151" s="56">
        <v>0.0</v>
      </c>
      <c r="GM151" s="56">
        <v>0.0</v>
      </c>
      <c r="GN151" s="55">
        <v>413024.0</v>
      </c>
      <c r="GO151" s="58">
        <v>4.517683E7</v>
      </c>
      <c r="GP151" s="56">
        <v>1.0</v>
      </c>
      <c r="GQ151" s="56">
        <v>0.0</v>
      </c>
      <c r="GR151" s="57">
        <v>0.0</v>
      </c>
      <c r="GS151" s="55">
        <v>1.0</v>
      </c>
      <c r="GT151" s="59">
        <v>0.0</v>
      </c>
      <c r="GU151" s="59">
        <v>0.0</v>
      </c>
      <c r="GV151" s="59">
        <v>0.0</v>
      </c>
      <c r="GW151" s="55">
        <v>0.0</v>
      </c>
      <c r="GX151" s="55">
        <v>8555.0</v>
      </c>
      <c r="GY151" s="55">
        <v>4.5168274E7</v>
      </c>
      <c r="GZ151" s="58">
        <v>4.517683E7</v>
      </c>
      <c r="HH151" s="106"/>
    </row>
    <row r="152" ht="15.75" customHeight="1">
      <c r="A152" s="60">
        <v>147.0</v>
      </c>
      <c r="B152" s="111" t="s">
        <v>417</v>
      </c>
      <c r="C152" s="62">
        <v>0.0</v>
      </c>
      <c r="D152" s="62">
        <v>89.0</v>
      </c>
      <c r="E152" s="62">
        <v>7.0</v>
      </c>
      <c r="F152" s="62">
        <v>46.0</v>
      </c>
      <c r="G152" s="62">
        <v>3.0</v>
      </c>
      <c r="H152" s="62">
        <v>10.0</v>
      </c>
      <c r="I152" s="62">
        <v>5.0</v>
      </c>
      <c r="J152" s="62">
        <v>5.0</v>
      </c>
      <c r="K152" s="62">
        <v>9.0</v>
      </c>
      <c r="L152" s="62">
        <v>14766.0</v>
      </c>
      <c r="M152" s="62">
        <v>628.0</v>
      </c>
      <c r="N152" s="62">
        <v>152.0</v>
      </c>
      <c r="O152" s="62">
        <v>479.0</v>
      </c>
      <c r="P152" s="62">
        <v>80.0</v>
      </c>
      <c r="Q152" s="62">
        <v>363.0</v>
      </c>
      <c r="R152" s="62">
        <v>3376.0</v>
      </c>
      <c r="S152" s="62">
        <v>179.0</v>
      </c>
      <c r="T152" s="62">
        <v>15.0</v>
      </c>
      <c r="U152" s="62">
        <v>11.0</v>
      </c>
      <c r="V152" s="62">
        <v>24.0</v>
      </c>
      <c r="W152" s="62">
        <v>0.0</v>
      </c>
      <c r="X152" s="62">
        <v>28.0</v>
      </c>
      <c r="Y152" s="62">
        <v>6.0</v>
      </c>
      <c r="Z152" s="62">
        <v>9.0</v>
      </c>
      <c r="AA152" s="62">
        <v>1.0</v>
      </c>
      <c r="AB152" s="62">
        <v>1071.0</v>
      </c>
      <c r="AC152" s="62">
        <v>127.0</v>
      </c>
      <c r="AD152" s="62">
        <v>1435.0</v>
      </c>
      <c r="AE152" s="62">
        <v>117.0</v>
      </c>
      <c r="AF152" s="62">
        <v>224.0</v>
      </c>
      <c r="AG152" s="62">
        <v>5.0</v>
      </c>
      <c r="AH152" s="62">
        <v>1.0</v>
      </c>
      <c r="AI152" s="62">
        <v>2843.0</v>
      </c>
      <c r="AJ152" s="62">
        <v>93.0</v>
      </c>
      <c r="AK152" s="62">
        <v>62.0</v>
      </c>
      <c r="AL152" s="62">
        <v>50.0</v>
      </c>
      <c r="AM152" s="62">
        <v>11189.0</v>
      </c>
      <c r="AN152" s="62">
        <v>16502.0</v>
      </c>
      <c r="AO152" s="62">
        <v>25105.0</v>
      </c>
      <c r="AP152" s="62">
        <v>208.0</v>
      </c>
      <c r="AQ152" s="62">
        <v>1818.0</v>
      </c>
      <c r="AR152" s="62">
        <v>288.0</v>
      </c>
      <c r="AS152" s="62">
        <v>3717.0</v>
      </c>
      <c r="AT152" s="62">
        <v>4098.0</v>
      </c>
      <c r="AU152" s="62">
        <v>61.0</v>
      </c>
      <c r="AV152" s="62">
        <v>6001.0</v>
      </c>
      <c r="AW152" s="62">
        <v>115.0</v>
      </c>
      <c r="AX152" s="62">
        <v>48703.0</v>
      </c>
      <c r="AY152" s="62">
        <v>22849.0</v>
      </c>
      <c r="AZ152" s="62">
        <v>440.0</v>
      </c>
      <c r="BA152" s="62">
        <v>2001.0</v>
      </c>
      <c r="BB152" s="62">
        <v>9763.0</v>
      </c>
      <c r="BC152" s="62">
        <v>1639.0</v>
      </c>
      <c r="BD152" s="62">
        <v>250.0</v>
      </c>
      <c r="BE152" s="62">
        <v>81.0</v>
      </c>
      <c r="BF152" s="62">
        <v>325.0</v>
      </c>
      <c r="BG152" s="62">
        <v>16534.0</v>
      </c>
      <c r="BH152" s="62">
        <v>50562.0</v>
      </c>
      <c r="BI152" s="62">
        <v>40.0</v>
      </c>
      <c r="BJ152" s="62">
        <v>3695.0</v>
      </c>
      <c r="BK152" s="62">
        <v>183.0</v>
      </c>
      <c r="BL152" s="62">
        <v>106.0</v>
      </c>
      <c r="BM152" s="62">
        <v>23.0</v>
      </c>
      <c r="BN152" s="62">
        <v>87.0</v>
      </c>
      <c r="BO152" s="62">
        <v>2297.0</v>
      </c>
      <c r="BP152" s="62">
        <v>685.0</v>
      </c>
      <c r="BQ152" s="62">
        <v>749.0</v>
      </c>
      <c r="BR152" s="62">
        <v>3499.0</v>
      </c>
      <c r="BS152" s="62">
        <v>5136.0</v>
      </c>
      <c r="BT152" s="62">
        <v>16588.0</v>
      </c>
      <c r="BU152" s="62">
        <v>42470.0</v>
      </c>
      <c r="BV152" s="62">
        <v>4026.0</v>
      </c>
      <c r="BW152" s="62">
        <v>284.0</v>
      </c>
      <c r="BX152" s="62">
        <v>13556.0</v>
      </c>
      <c r="BY152" s="62">
        <v>3602.0</v>
      </c>
      <c r="BZ152" s="62">
        <v>207.0</v>
      </c>
      <c r="CA152" s="62">
        <v>11552.0</v>
      </c>
      <c r="CB152" s="62">
        <v>6218.0</v>
      </c>
      <c r="CC152" s="62">
        <v>938.0</v>
      </c>
      <c r="CD152" s="62">
        <v>695.0</v>
      </c>
      <c r="CE152" s="62">
        <v>1043.0</v>
      </c>
      <c r="CF152" s="62">
        <v>1578.0</v>
      </c>
      <c r="CG152" s="62">
        <v>4120.0</v>
      </c>
      <c r="CH152" s="62">
        <v>737.0</v>
      </c>
      <c r="CI152" s="62">
        <v>4144.0</v>
      </c>
      <c r="CJ152" s="62">
        <v>299.0</v>
      </c>
      <c r="CK152" s="62">
        <v>673.0</v>
      </c>
      <c r="CL152" s="62">
        <v>303.0</v>
      </c>
      <c r="CM152" s="62">
        <v>130.0</v>
      </c>
      <c r="CN152" s="62">
        <v>347.0</v>
      </c>
      <c r="CO152" s="62">
        <v>879.0</v>
      </c>
      <c r="CP152" s="62">
        <v>875.0</v>
      </c>
      <c r="CQ152" s="62">
        <v>432.0</v>
      </c>
      <c r="CR152" s="62">
        <v>9738.0</v>
      </c>
      <c r="CS152" s="62">
        <v>2423.0</v>
      </c>
      <c r="CT152" s="62">
        <v>13193.0</v>
      </c>
      <c r="CU152" s="62">
        <v>9243.0</v>
      </c>
      <c r="CV152" s="62">
        <v>8114.0</v>
      </c>
      <c r="CW152" s="62">
        <v>6502.0</v>
      </c>
      <c r="CX152" s="62">
        <v>448.0</v>
      </c>
      <c r="CY152" s="62">
        <v>60.0</v>
      </c>
      <c r="CZ152" s="62">
        <v>83868.0</v>
      </c>
      <c r="DA152" s="62">
        <v>29827.0</v>
      </c>
      <c r="DB152" s="62">
        <v>692.0</v>
      </c>
      <c r="DC152" s="62">
        <v>59281.0</v>
      </c>
      <c r="DD152" s="62">
        <v>1856.0</v>
      </c>
      <c r="DE152" s="62">
        <v>808.0</v>
      </c>
      <c r="DF152" s="62">
        <v>137.0</v>
      </c>
      <c r="DG152" s="62">
        <v>426.0</v>
      </c>
      <c r="DH152" s="62">
        <v>2013.0</v>
      </c>
      <c r="DI152" s="62">
        <v>20401.0</v>
      </c>
      <c r="DJ152" s="62">
        <v>5092.0</v>
      </c>
      <c r="DK152" s="62">
        <v>7327.0</v>
      </c>
      <c r="DL152" s="62">
        <v>1066020.0</v>
      </c>
      <c r="DM152" s="62">
        <v>36460.0</v>
      </c>
      <c r="DN152" s="62">
        <v>21339.0</v>
      </c>
      <c r="DO152" s="62">
        <v>28855.0</v>
      </c>
      <c r="DP152" s="62">
        <v>589.0</v>
      </c>
      <c r="DQ152" s="62">
        <v>2984.0</v>
      </c>
      <c r="DR152" s="62">
        <v>77500.0</v>
      </c>
      <c r="DS152" s="62">
        <v>28162.0</v>
      </c>
      <c r="DT152" s="62">
        <v>8179.0</v>
      </c>
      <c r="DU152" s="62">
        <v>2981.0</v>
      </c>
      <c r="DV152" s="62">
        <v>8824.0</v>
      </c>
      <c r="DW152" s="62">
        <v>5666.0</v>
      </c>
      <c r="DX152" s="62">
        <v>5083.0</v>
      </c>
      <c r="DY152" s="62">
        <v>26686.0</v>
      </c>
      <c r="DZ152" s="62">
        <v>5702.0</v>
      </c>
      <c r="EA152" s="62">
        <v>236.0</v>
      </c>
      <c r="EB152" s="62">
        <v>1063.0</v>
      </c>
      <c r="EC152" s="62">
        <v>36185.0</v>
      </c>
      <c r="ED152" s="62">
        <v>3325.0</v>
      </c>
      <c r="EE152" s="62">
        <v>592.0</v>
      </c>
      <c r="EF152" s="62">
        <v>319.0</v>
      </c>
      <c r="EG152" s="62">
        <v>1074.0</v>
      </c>
      <c r="EH152" s="62">
        <v>93709.0</v>
      </c>
      <c r="EI152" s="62">
        <v>2977.0</v>
      </c>
      <c r="EJ152" s="62">
        <v>8374.0</v>
      </c>
      <c r="EK152" s="62">
        <v>350.0</v>
      </c>
      <c r="EL152" s="62">
        <v>945.0</v>
      </c>
      <c r="EM152" s="62">
        <v>983.0</v>
      </c>
      <c r="EN152" s="62">
        <v>3068.0</v>
      </c>
      <c r="EO152" s="62">
        <v>507.0</v>
      </c>
      <c r="EP152" s="62">
        <v>2302.0</v>
      </c>
      <c r="EQ152" s="62">
        <v>191.0</v>
      </c>
      <c r="ER152" s="62">
        <v>420248.0</v>
      </c>
      <c r="ES152" s="62">
        <v>223747.0</v>
      </c>
      <c r="ET152" s="62">
        <v>30088.0</v>
      </c>
      <c r="EU152" s="62">
        <v>38641.0</v>
      </c>
      <c r="EV152" s="62">
        <v>1110.0</v>
      </c>
      <c r="EW152" s="62">
        <v>1730.0</v>
      </c>
      <c r="EX152" s="62">
        <v>3297.0</v>
      </c>
      <c r="EY152" s="62">
        <v>24053.0</v>
      </c>
      <c r="EZ152" s="62">
        <v>21067.0</v>
      </c>
      <c r="FA152" s="62">
        <v>29266.0</v>
      </c>
      <c r="FB152" s="62">
        <v>154096.0</v>
      </c>
      <c r="FC152" s="62">
        <v>1271.0</v>
      </c>
      <c r="FD152" s="62">
        <v>24090.0</v>
      </c>
      <c r="FE152" s="62">
        <v>19111.0</v>
      </c>
      <c r="FF152" s="62">
        <v>8209.0</v>
      </c>
      <c r="FG152" s="62">
        <v>6173.0</v>
      </c>
      <c r="FH152" s="62">
        <v>43475.0</v>
      </c>
      <c r="FI152" s="62">
        <v>2295.0</v>
      </c>
      <c r="FJ152" s="62">
        <v>38997.0</v>
      </c>
      <c r="FK152" s="62">
        <v>6749.0</v>
      </c>
      <c r="FL152" s="62">
        <v>22694.0</v>
      </c>
      <c r="FM152" s="62">
        <v>5742.0</v>
      </c>
      <c r="FN152" s="62">
        <v>253971.0</v>
      </c>
      <c r="FO152" s="62">
        <v>17940.0</v>
      </c>
      <c r="FP152" s="62">
        <v>16592.0</v>
      </c>
      <c r="FQ152" s="62">
        <v>664.0</v>
      </c>
      <c r="FR152" s="62">
        <v>2.0</v>
      </c>
      <c r="FS152" s="62">
        <v>99.0</v>
      </c>
      <c r="FT152" s="62">
        <v>27681.0</v>
      </c>
      <c r="FU152" s="62">
        <v>816929.0</v>
      </c>
      <c r="FV152" s="62">
        <v>162503.0</v>
      </c>
      <c r="FW152" s="62">
        <v>1106375.0</v>
      </c>
      <c r="FX152" s="62">
        <v>125741.0</v>
      </c>
      <c r="FY152" s="62">
        <v>627087.0</v>
      </c>
      <c r="FZ152" s="62">
        <v>14916.0</v>
      </c>
      <c r="GA152" s="62">
        <v>335573.0</v>
      </c>
      <c r="GB152" s="62">
        <v>1127635.0</v>
      </c>
      <c r="GC152" s="62">
        <v>75830.0</v>
      </c>
      <c r="GD152" s="62">
        <v>1404.0</v>
      </c>
      <c r="GE152" s="62">
        <v>1978282.0</v>
      </c>
      <c r="GF152" s="63">
        <v>9938816.0</v>
      </c>
      <c r="GG152" s="64">
        <v>4.0332985E7</v>
      </c>
      <c r="GH152" s="65">
        <v>0.0</v>
      </c>
      <c r="GI152" s="64">
        <v>0.0</v>
      </c>
      <c r="GJ152" s="64">
        <v>0.0</v>
      </c>
      <c r="GK152" s="64">
        <v>0.0</v>
      </c>
      <c r="GL152" s="64">
        <v>0.0</v>
      </c>
      <c r="GM152" s="64">
        <v>0.0</v>
      </c>
      <c r="GN152" s="63">
        <v>4.0332985E7</v>
      </c>
      <c r="GO152" s="66">
        <v>5.0271801E7</v>
      </c>
      <c r="GP152" s="64">
        <v>0.0</v>
      </c>
      <c r="GQ152" s="64">
        <v>0.0</v>
      </c>
      <c r="GR152" s="65">
        <v>0.0</v>
      </c>
      <c r="GS152" s="63">
        <v>0.0</v>
      </c>
      <c r="GT152" s="67">
        <v>0.0</v>
      </c>
      <c r="GU152" s="67">
        <v>0.0</v>
      </c>
      <c r="GV152" s="67">
        <v>0.0</v>
      </c>
      <c r="GW152" s="63">
        <v>0.0</v>
      </c>
      <c r="GX152" s="63">
        <v>-284695.0</v>
      </c>
      <c r="GY152" s="63">
        <v>5.0556496E7</v>
      </c>
      <c r="GZ152" s="66">
        <v>5.0271801E7</v>
      </c>
      <c r="HH152" s="106"/>
    </row>
    <row r="153" ht="15.75" customHeight="1">
      <c r="A153" s="60">
        <v>148.0</v>
      </c>
      <c r="B153" s="111" t="s">
        <v>611</v>
      </c>
      <c r="C153" s="62">
        <v>0.0</v>
      </c>
      <c r="D153" s="62">
        <v>0.0</v>
      </c>
      <c r="E153" s="62">
        <v>0.0</v>
      </c>
      <c r="F153" s="62">
        <v>0.0</v>
      </c>
      <c r="G153" s="62">
        <v>0.0</v>
      </c>
      <c r="H153" s="62">
        <v>0.0</v>
      </c>
      <c r="I153" s="62">
        <v>0.0</v>
      </c>
      <c r="J153" s="62">
        <v>0.0</v>
      </c>
      <c r="K153" s="62">
        <v>0.0</v>
      </c>
      <c r="L153" s="62">
        <v>0.0</v>
      </c>
      <c r="M153" s="62">
        <v>7192.0</v>
      </c>
      <c r="N153" s="62">
        <v>0.0</v>
      </c>
      <c r="O153" s="62">
        <v>113438.0</v>
      </c>
      <c r="P153" s="62">
        <v>0.0</v>
      </c>
      <c r="Q153" s="62">
        <v>376.0</v>
      </c>
      <c r="R153" s="62">
        <v>0.0</v>
      </c>
      <c r="S153" s="62">
        <v>0.0</v>
      </c>
      <c r="T153" s="62">
        <v>0.0</v>
      </c>
      <c r="U153" s="62">
        <v>139.0</v>
      </c>
      <c r="V153" s="62">
        <v>7624.0</v>
      </c>
      <c r="W153" s="62">
        <v>55.0</v>
      </c>
      <c r="X153" s="62">
        <v>223.0</v>
      </c>
      <c r="Y153" s="62">
        <v>113.0</v>
      </c>
      <c r="Z153" s="62">
        <v>160.0</v>
      </c>
      <c r="AA153" s="62">
        <v>397.0</v>
      </c>
      <c r="AB153" s="62">
        <v>10168.0</v>
      </c>
      <c r="AC153" s="62">
        <v>567.0</v>
      </c>
      <c r="AD153" s="62">
        <v>9309.0</v>
      </c>
      <c r="AE153" s="62">
        <v>2894.0</v>
      </c>
      <c r="AF153" s="62">
        <v>160.0</v>
      </c>
      <c r="AG153" s="62">
        <v>0.0</v>
      </c>
      <c r="AH153" s="62">
        <v>0.0</v>
      </c>
      <c r="AI153" s="62">
        <v>42476.0</v>
      </c>
      <c r="AJ153" s="62">
        <v>5141.0</v>
      </c>
      <c r="AK153" s="62">
        <v>340.0</v>
      </c>
      <c r="AL153" s="62">
        <v>412.0</v>
      </c>
      <c r="AM153" s="62">
        <v>143049.0</v>
      </c>
      <c r="AN153" s="62">
        <v>126879.0</v>
      </c>
      <c r="AO153" s="62">
        <v>221364.0</v>
      </c>
      <c r="AP153" s="62">
        <v>1217.0</v>
      </c>
      <c r="AQ153" s="62">
        <v>5397.0</v>
      </c>
      <c r="AR153" s="62">
        <v>2543.0</v>
      </c>
      <c r="AS153" s="62">
        <v>18736.0</v>
      </c>
      <c r="AT153" s="62">
        <v>2228.0</v>
      </c>
      <c r="AU153" s="62">
        <v>1651.0</v>
      </c>
      <c r="AV153" s="62">
        <v>30878.0</v>
      </c>
      <c r="AW153" s="62">
        <v>693.0</v>
      </c>
      <c r="AX153" s="62">
        <v>3612.0</v>
      </c>
      <c r="AY153" s="62">
        <v>230.0</v>
      </c>
      <c r="AZ153" s="62">
        <v>480.0</v>
      </c>
      <c r="BA153" s="62">
        <v>5557.0</v>
      </c>
      <c r="BB153" s="62">
        <v>70165.0</v>
      </c>
      <c r="BC153" s="62">
        <v>107.0</v>
      </c>
      <c r="BD153" s="62">
        <v>62.0</v>
      </c>
      <c r="BE153" s="62">
        <v>318.0</v>
      </c>
      <c r="BF153" s="62">
        <v>1281.0</v>
      </c>
      <c r="BG153" s="62">
        <v>223.0</v>
      </c>
      <c r="BH153" s="62">
        <v>65434.0</v>
      </c>
      <c r="BI153" s="62">
        <v>63.0</v>
      </c>
      <c r="BJ153" s="62">
        <v>606.0</v>
      </c>
      <c r="BK153" s="62">
        <v>185.0</v>
      </c>
      <c r="BL153" s="62">
        <v>43.0</v>
      </c>
      <c r="BM153" s="62">
        <v>6.0</v>
      </c>
      <c r="BN153" s="62">
        <v>0.0</v>
      </c>
      <c r="BO153" s="62">
        <v>24897.0</v>
      </c>
      <c r="BP153" s="62">
        <v>903.0</v>
      </c>
      <c r="BQ153" s="62">
        <v>219.0</v>
      </c>
      <c r="BR153" s="62">
        <v>98.0</v>
      </c>
      <c r="BS153" s="62">
        <v>285.0</v>
      </c>
      <c r="BT153" s="62">
        <v>608.0</v>
      </c>
      <c r="BU153" s="62">
        <v>1363.0</v>
      </c>
      <c r="BV153" s="62">
        <v>376.0</v>
      </c>
      <c r="BW153" s="62">
        <v>0.0</v>
      </c>
      <c r="BX153" s="62">
        <v>84.0</v>
      </c>
      <c r="BY153" s="62">
        <v>116743.0</v>
      </c>
      <c r="BZ153" s="62">
        <v>8292.0</v>
      </c>
      <c r="CA153" s="62">
        <v>29130.0</v>
      </c>
      <c r="CB153" s="62">
        <v>17159.0</v>
      </c>
      <c r="CC153" s="62">
        <v>2641.0</v>
      </c>
      <c r="CD153" s="62">
        <v>2617.0</v>
      </c>
      <c r="CE153" s="62">
        <v>3163.0</v>
      </c>
      <c r="CF153" s="62">
        <v>3587.0</v>
      </c>
      <c r="CG153" s="62">
        <v>7428.0</v>
      </c>
      <c r="CH153" s="62">
        <v>4534.0</v>
      </c>
      <c r="CI153" s="62">
        <v>26117.0</v>
      </c>
      <c r="CJ153" s="62">
        <v>5989.0</v>
      </c>
      <c r="CK153" s="62">
        <v>12178.0</v>
      </c>
      <c r="CL153" s="62">
        <v>8257.0</v>
      </c>
      <c r="CM153" s="62">
        <v>3571.0</v>
      </c>
      <c r="CN153" s="62">
        <v>9558.0</v>
      </c>
      <c r="CO153" s="62">
        <v>29284.0</v>
      </c>
      <c r="CP153" s="62">
        <v>26130.0</v>
      </c>
      <c r="CQ153" s="62">
        <v>3522.0</v>
      </c>
      <c r="CR153" s="62">
        <v>773.0</v>
      </c>
      <c r="CS153" s="62">
        <v>6659.0</v>
      </c>
      <c r="CT153" s="62">
        <v>99634.0</v>
      </c>
      <c r="CU153" s="62">
        <v>23380.0</v>
      </c>
      <c r="CV153" s="62">
        <v>68530.0</v>
      </c>
      <c r="CW153" s="62">
        <v>8778.0</v>
      </c>
      <c r="CX153" s="62">
        <v>22520.0</v>
      </c>
      <c r="CY153" s="62">
        <v>1027.0</v>
      </c>
      <c r="CZ153" s="62">
        <v>22161.0</v>
      </c>
      <c r="DA153" s="62">
        <v>42392.0</v>
      </c>
      <c r="DB153" s="62">
        <v>34311.0</v>
      </c>
      <c r="DC153" s="62">
        <v>70923.0</v>
      </c>
      <c r="DD153" s="62">
        <v>7793.0</v>
      </c>
      <c r="DE153" s="62">
        <v>2171.0</v>
      </c>
      <c r="DF153" s="62">
        <v>9341.0</v>
      </c>
      <c r="DG153" s="62">
        <v>1599.0</v>
      </c>
      <c r="DH153" s="62">
        <v>12935.0</v>
      </c>
      <c r="DI153" s="62">
        <v>14012.0</v>
      </c>
      <c r="DJ153" s="62">
        <v>11715.0</v>
      </c>
      <c r="DK153" s="62">
        <v>15808.0</v>
      </c>
      <c r="DL153" s="62">
        <v>750.0</v>
      </c>
      <c r="DM153" s="62">
        <v>3002.0</v>
      </c>
      <c r="DN153" s="62">
        <v>168.0</v>
      </c>
      <c r="DO153" s="62">
        <v>12937.0</v>
      </c>
      <c r="DP153" s="62">
        <v>68.0</v>
      </c>
      <c r="DQ153" s="62">
        <v>2416.0</v>
      </c>
      <c r="DR153" s="62">
        <v>72263.0</v>
      </c>
      <c r="DS153" s="62">
        <v>63558.0</v>
      </c>
      <c r="DT153" s="62">
        <v>7061.0</v>
      </c>
      <c r="DU153" s="62">
        <v>1920.0</v>
      </c>
      <c r="DV153" s="62">
        <v>12017.0</v>
      </c>
      <c r="DW153" s="62">
        <v>3808.0</v>
      </c>
      <c r="DX153" s="62">
        <v>1833.0</v>
      </c>
      <c r="DY153" s="62">
        <v>30098.0</v>
      </c>
      <c r="DZ153" s="62">
        <v>32584.0</v>
      </c>
      <c r="EA153" s="62">
        <v>5178.0</v>
      </c>
      <c r="EB153" s="62">
        <v>55305.0</v>
      </c>
      <c r="EC153" s="62">
        <v>29601.0</v>
      </c>
      <c r="ED153" s="62">
        <v>2418.0</v>
      </c>
      <c r="EE153" s="62">
        <v>1749.0</v>
      </c>
      <c r="EF153" s="62">
        <v>828.0</v>
      </c>
      <c r="EG153" s="62">
        <v>1908.0</v>
      </c>
      <c r="EH153" s="62">
        <v>168340.0</v>
      </c>
      <c r="EI153" s="62">
        <v>336.0</v>
      </c>
      <c r="EJ153" s="62">
        <v>7252.0</v>
      </c>
      <c r="EK153" s="62">
        <v>1375.0</v>
      </c>
      <c r="EL153" s="62">
        <v>20271.0</v>
      </c>
      <c r="EM153" s="62">
        <v>6230.0</v>
      </c>
      <c r="EN153" s="62">
        <v>4227.0</v>
      </c>
      <c r="EO153" s="62">
        <v>3822.0</v>
      </c>
      <c r="EP153" s="62">
        <v>3714.0</v>
      </c>
      <c r="EQ153" s="62">
        <v>34955.0</v>
      </c>
      <c r="ER153" s="62">
        <v>169.0</v>
      </c>
      <c r="ES153" s="62">
        <v>4366.0</v>
      </c>
      <c r="ET153" s="62">
        <v>1793553.0</v>
      </c>
      <c r="EU153" s="62">
        <v>258072.0</v>
      </c>
      <c r="EV153" s="62">
        <v>12097.0</v>
      </c>
      <c r="EW153" s="62">
        <v>4403.0</v>
      </c>
      <c r="EX153" s="62">
        <v>107756.0</v>
      </c>
      <c r="EY153" s="62">
        <v>15774.0</v>
      </c>
      <c r="EZ153" s="62">
        <v>70374.0</v>
      </c>
      <c r="FA153" s="62">
        <v>121968.0</v>
      </c>
      <c r="FB153" s="62">
        <v>313513.0</v>
      </c>
      <c r="FC153" s="62">
        <v>467.0</v>
      </c>
      <c r="FD153" s="62">
        <v>481903.0</v>
      </c>
      <c r="FE153" s="62">
        <v>44551.0</v>
      </c>
      <c r="FF153" s="62">
        <v>6651.0</v>
      </c>
      <c r="FG153" s="62">
        <v>161786.0</v>
      </c>
      <c r="FH153" s="62">
        <v>498494.0</v>
      </c>
      <c r="FI153" s="62">
        <v>8872.0</v>
      </c>
      <c r="FJ153" s="62">
        <v>5047.0</v>
      </c>
      <c r="FK153" s="62">
        <v>6882.0</v>
      </c>
      <c r="FL153" s="62">
        <v>22644.0</v>
      </c>
      <c r="FM153" s="62">
        <v>27639.0</v>
      </c>
      <c r="FN153" s="62">
        <v>3277.0</v>
      </c>
      <c r="FO153" s="62">
        <v>1908.0</v>
      </c>
      <c r="FP153" s="62">
        <v>33192.0</v>
      </c>
      <c r="FQ153" s="62">
        <v>17691.0</v>
      </c>
      <c r="FR153" s="62">
        <v>1.0</v>
      </c>
      <c r="FS153" s="62">
        <v>228.0</v>
      </c>
      <c r="FT153" s="62">
        <v>20630.0</v>
      </c>
      <c r="FU153" s="62">
        <v>61637.0</v>
      </c>
      <c r="FV153" s="62">
        <v>46957.0</v>
      </c>
      <c r="FW153" s="62">
        <v>978545.0</v>
      </c>
      <c r="FX153" s="62">
        <v>3806.0</v>
      </c>
      <c r="FY153" s="62">
        <v>592342.0</v>
      </c>
      <c r="FZ153" s="62">
        <v>5714.0</v>
      </c>
      <c r="GA153" s="62">
        <v>3098.0</v>
      </c>
      <c r="GB153" s="62">
        <v>539077.0</v>
      </c>
      <c r="GC153" s="62">
        <v>243.0</v>
      </c>
      <c r="GD153" s="62">
        <v>116.0</v>
      </c>
      <c r="GE153" s="62">
        <v>173677.0</v>
      </c>
      <c r="GF153" s="63">
        <v>8770498.0</v>
      </c>
      <c r="GG153" s="64">
        <v>7833000.0</v>
      </c>
      <c r="GH153" s="65">
        <v>0.0</v>
      </c>
      <c r="GI153" s="64">
        <v>2703691.0</v>
      </c>
      <c r="GJ153" s="64">
        <v>0.0</v>
      </c>
      <c r="GK153" s="64">
        <v>0.0</v>
      </c>
      <c r="GL153" s="64">
        <v>722641.0</v>
      </c>
      <c r="GM153" s="64">
        <v>0.0</v>
      </c>
      <c r="GN153" s="63">
        <v>1.1259332E7</v>
      </c>
      <c r="GO153" s="66">
        <v>2.002983E7</v>
      </c>
      <c r="GP153" s="64">
        <v>211797.0</v>
      </c>
      <c r="GQ153" s="64">
        <v>0.0</v>
      </c>
      <c r="GR153" s="65">
        <v>0.0</v>
      </c>
      <c r="GS153" s="63">
        <v>211797.0</v>
      </c>
      <c r="GT153" s="67">
        <v>0.0</v>
      </c>
      <c r="GU153" s="67">
        <v>0.0</v>
      </c>
      <c r="GV153" s="67">
        <v>0.0</v>
      </c>
      <c r="GW153" s="63">
        <v>0.0</v>
      </c>
      <c r="GX153" s="63">
        <v>305468.0</v>
      </c>
      <c r="GY153" s="63">
        <v>1.9512565E7</v>
      </c>
      <c r="GZ153" s="66">
        <v>2.002983E7</v>
      </c>
      <c r="HH153" s="106"/>
    </row>
    <row r="154" ht="15.75" customHeight="1">
      <c r="A154" s="60">
        <v>149.0</v>
      </c>
      <c r="B154" s="111" t="s">
        <v>419</v>
      </c>
      <c r="C154" s="62">
        <v>3824.0</v>
      </c>
      <c r="D154" s="62">
        <v>19037.0</v>
      </c>
      <c r="E154" s="62">
        <v>8417.0</v>
      </c>
      <c r="F154" s="62">
        <v>72431.0</v>
      </c>
      <c r="G154" s="62">
        <v>4253.0</v>
      </c>
      <c r="H154" s="62">
        <v>9742.0</v>
      </c>
      <c r="I154" s="62">
        <v>11265.0</v>
      </c>
      <c r="J154" s="62">
        <v>10929.0</v>
      </c>
      <c r="K154" s="62">
        <v>63.0</v>
      </c>
      <c r="L154" s="62">
        <v>95836.0</v>
      </c>
      <c r="M154" s="62">
        <v>101.0</v>
      </c>
      <c r="N154" s="62">
        <v>986.0</v>
      </c>
      <c r="O154" s="62">
        <v>11953.0</v>
      </c>
      <c r="P154" s="62">
        <v>4.0</v>
      </c>
      <c r="Q154" s="62">
        <v>25664.0</v>
      </c>
      <c r="R154" s="62">
        <v>56761.0</v>
      </c>
      <c r="S154" s="62">
        <v>6001.0</v>
      </c>
      <c r="T154" s="62">
        <v>33431.0</v>
      </c>
      <c r="U154" s="62">
        <v>20983.0</v>
      </c>
      <c r="V154" s="62">
        <v>232669.0</v>
      </c>
      <c r="W154" s="62">
        <v>5388.0</v>
      </c>
      <c r="X154" s="62">
        <v>9368.0</v>
      </c>
      <c r="Y154" s="62">
        <v>49101.0</v>
      </c>
      <c r="Z154" s="62">
        <v>46297.0</v>
      </c>
      <c r="AA154" s="62">
        <v>5207.0</v>
      </c>
      <c r="AB154" s="62">
        <v>108312.0</v>
      </c>
      <c r="AC154" s="62">
        <v>2778.0</v>
      </c>
      <c r="AD154" s="62">
        <v>50831.0</v>
      </c>
      <c r="AE154" s="62">
        <v>7773.0</v>
      </c>
      <c r="AF154" s="62">
        <v>34641.0</v>
      </c>
      <c r="AG154" s="62">
        <v>1158580.0</v>
      </c>
      <c r="AH154" s="62">
        <v>529938.0</v>
      </c>
      <c r="AI154" s="62">
        <v>553.0</v>
      </c>
      <c r="AJ154" s="62">
        <v>51612.0</v>
      </c>
      <c r="AK154" s="62">
        <v>2065.0</v>
      </c>
      <c r="AL154" s="62">
        <v>8019.0</v>
      </c>
      <c r="AM154" s="62">
        <v>944351.0</v>
      </c>
      <c r="AN154" s="62">
        <v>739676.0</v>
      </c>
      <c r="AO154" s="62">
        <v>1505043.0</v>
      </c>
      <c r="AP154" s="62">
        <v>11013.0</v>
      </c>
      <c r="AQ154" s="62">
        <v>46315.0</v>
      </c>
      <c r="AR154" s="62">
        <v>23021.0</v>
      </c>
      <c r="AS154" s="62">
        <v>169603.0</v>
      </c>
      <c r="AT154" s="62">
        <v>20170.0</v>
      </c>
      <c r="AU154" s="62">
        <v>14939.0</v>
      </c>
      <c r="AV154" s="62">
        <v>279514.0</v>
      </c>
      <c r="AW154" s="62">
        <v>5799.0</v>
      </c>
      <c r="AX154" s="62">
        <v>594873.0</v>
      </c>
      <c r="AY154" s="62">
        <v>74570.0</v>
      </c>
      <c r="AZ154" s="62">
        <v>4505.0</v>
      </c>
      <c r="BA154" s="62">
        <v>58511.0</v>
      </c>
      <c r="BB154" s="62">
        <v>79236.0</v>
      </c>
      <c r="BC154" s="62">
        <v>4.0</v>
      </c>
      <c r="BD154" s="62">
        <v>0.0</v>
      </c>
      <c r="BE154" s="62">
        <v>325.0</v>
      </c>
      <c r="BF154" s="62">
        <v>1136.0</v>
      </c>
      <c r="BG154" s="62">
        <v>0.0</v>
      </c>
      <c r="BH154" s="62">
        <v>4975.0</v>
      </c>
      <c r="BI154" s="62">
        <v>316.0</v>
      </c>
      <c r="BJ154" s="62">
        <v>667.0</v>
      </c>
      <c r="BK154" s="62">
        <v>1654.0</v>
      </c>
      <c r="BL154" s="62">
        <v>266.0</v>
      </c>
      <c r="BM154" s="62">
        <v>38.0</v>
      </c>
      <c r="BN154" s="62">
        <v>0.0</v>
      </c>
      <c r="BO154" s="62">
        <v>59464.0</v>
      </c>
      <c r="BP154" s="62">
        <v>0.0</v>
      </c>
      <c r="BQ154" s="62">
        <v>0.0</v>
      </c>
      <c r="BR154" s="62">
        <v>0.0</v>
      </c>
      <c r="BS154" s="62">
        <v>0.0</v>
      </c>
      <c r="BT154" s="62">
        <v>0.0</v>
      </c>
      <c r="BU154" s="62">
        <v>319.0</v>
      </c>
      <c r="BV154" s="62">
        <v>0.0</v>
      </c>
      <c r="BW154" s="62">
        <v>0.0</v>
      </c>
      <c r="BX154" s="62">
        <v>1176.0</v>
      </c>
      <c r="BY154" s="62">
        <v>19075.0</v>
      </c>
      <c r="BZ154" s="62">
        <v>1271.0</v>
      </c>
      <c r="CA154" s="62">
        <v>0.0</v>
      </c>
      <c r="CB154" s="62">
        <v>0.0</v>
      </c>
      <c r="CC154" s="62">
        <v>1659.0</v>
      </c>
      <c r="CD154" s="62">
        <v>0.0</v>
      </c>
      <c r="CE154" s="62">
        <v>0.0</v>
      </c>
      <c r="CF154" s="62">
        <v>196.0</v>
      </c>
      <c r="CG154" s="62">
        <v>0.0</v>
      </c>
      <c r="CH154" s="62">
        <v>0.0</v>
      </c>
      <c r="CI154" s="62">
        <v>0.0</v>
      </c>
      <c r="CJ154" s="62">
        <v>14071.0</v>
      </c>
      <c r="CK154" s="62">
        <v>29960.0</v>
      </c>
      <c r="CL154" s="62">
        <v>17100.0</v>
      </c>
      <c r="CM154" s="62">
        <v>8117.0</v>
      </c>
      <c r="CN154" s="62">
        <v>2854.0</v>
      </c>
      <c r="CO154" s="62">
        <v>49652.0</v>
      </c>
      <c r="CP154" s="62">
        <v>41350.0</v>
      </c>
      <c r="CQ154" s="62">
        <v>15692.0</v>
      </c>
      <c r="CR154" s="62">
        <v>6560.0</v>
      </c>
      <c r="CS154" s="62">
        <v>3.0</v>
      </c>
      <c r="CT154" s="62">
        <v>768.0</v>
      </c>
      <c r="CU154" s="62">
        <v>0.0</v>
      </c>
      <c r="CV154" s="62">
        <v>3.0</v>
      </c>
      <c r="CW154" s="62">
        <v>0.0</v>
      </c>
      <c r="CX154" s="62">
        <v>0.0</v>
      </c>
      <c r="CY154" s="62">
        <v>0.0</v>
      </c>
      <c r="CZ154" s="62">
        <v>15.0</v>
      </c>
      <c r="DA154" s="62">
        <v>3683.0</v>
      </c>
      <c r="DB154" s="62">
        <v>0.0</v>
      </c>
      <c r="DC154" s="62">
        <v>0.0</v>
      </c>
      <c r="DD154" s="62">
        <v>0.0</v>
      </c>
      <c r="DE154" s="62">
        <v>854.0</v>
      </c>
      <c r="DF154" s="62">
        <v>1026.0</v>
      </c>
      <c r="DG154" s="62">
        <v>364.0</v>
      </c>
      <c r="DH154" s="62">
        <v>4066.0</v>
      </c>
      <c r="DI154" s="62">
        <v>0.0</v>
      </c>
      <c r="DJ154" s="62">
        <v>2148.0</v>
      </c>
      <c r="DK154" s="62">
        <v>0.0</v>
      </c>
      <c r="DL154" s="62">
        <v>130035.0</v>
      </c>
      <c r="DM154" s="62">
        <v>197.0</v>
      </c>
      <c r="DN154" s="62">
        <v>42838.0</v>
      </c>
      <c r="DO154" s="62">
        <v>7125.0</v>
      </c>
      <c r="DP154" s="62">
        <v>0.0</v>
      </c>
      <c r="DQ154" s="62">
        <v>8678.0</v>
      </c>
      <c r="DR154" s="62">
        <v>661939.0</v>
      </c>
      <c r="DS154" s="62">
        <v>551224.0</v>
      </c>
      <c r="DT154" s="62">
        <v>46027.0</v>
      </c>
      <c r="DU154" s="62">
        <v>19429.0</v>
      </c>
      <c r="DV154" s="62">
        <v>0.0</v>
      </c>
      <c r="DW154" s="62">
        <v>0.0</v>
      </c>
      <c r="DX154" s="62">
        <v>426982.0</v>
      </c>
      <c r="DY154" s="62">
        <v>1811379.0</v>
      </c>
      <c r="DZ154" s="62">
        <v>3293.0</v>
      </c>
      <c r="EA154" s="62">
        <v>28.0</v>
      </c>
      <c r="EB154" s="62">
        <v>40.0</v>
      </c>
      <c r="EC154" s="62">
        <v>71322.0</v>
      </c>
      <c r="ED154" s="62">
        <v>108540.0</v>
      </c>
      <c r="EE154" s="62">
        <v>0.0</v>
      </c>
      <c r="EF154" s="62">
        <v>2504.0</v>
      </c>
      <c r="EG154" s="62">
        <v>15201.0</v>
      </c>
      <c r="EH154" s="62">
        <v>169832.0</v>
      </c>
      <c r="EI154" s="62">
        <v>163850.0</v>
      </c>
      <c r="EJ154" s="62">
        <v>13558.0</v>
      </c>
      <c r="EK154" s="62">
        <v>3466.0</v>
      </c>
      <c r="EL154" s="62">
        <v>36287.0</v>
      </c>
      <c r="EM154" s="62">
        <v>15807.0</v>
      </c>
      <c r="EN154" s="62">
        <v>0.0</v>
      </c>
      <c r="EO154" s="62">
        <v>13163.0</v>
      </c>
      <c r="EP154" s="62">
        <v>20343.0</v>
      </c>
      <c r="EQ154" s="62">
        <v>79926.0</v>
      </c>
      <c r="ER154" s="62">
        <v>5939.0</v>
      </c>
      <c r="ES154" s="62">
        <v>173690.0</v>
      </c>
      <c r="ET154" s="62">
        <v>28988.0</v>
      </c>
      <c r="EU154" s="62">
        <v>2.5864675E7</v>
      </c>
      <c r="EV154" s="62">
        <v>39739.0</v>
      </c>
      <c r="EW154" s="62">
        <v>90609.0</v>
      </c>
      <c r="EX154" s="62">
        <v>239610.0</v>
      </c>
      <c r="EY154" s="62">
        <v>439414.0</v>
      </c>
      <c r="EZ154" s="62">
        <v>1233032.0</v>
      </c>
      <c r="FA154" s="62">
        <v>733591.0</v>
      </c>
      <c r="FB154" s="62">
        <v>1.4721286E7</v>
      </c>
      <c r="FC154" s="62">
        <v>16655.0</v>
      </c>
      <c r="FD154" s="62">
        <v>474791.0</v>
      </c>
      <c r="FE154" s="62">
        <v>37895.0</v>
      </c>
      <c r="FF154" s="62">
        <v>63451.0</v>
      </c>
      <c r="FG154" s="62">
        <v>274795.0</v>
      </c>
      <c r="FH154" s="62">
        <v>2423354.0</v>
      </c>
      <c r="FI154" s="62">
        <v>75362.0</v>
      </c>
      <c r="FJ154" s="62">
        <v>24253.0</v>
      </c>
      <c r="FK154" s="62">
        <v>10468.0</v>
      </c>
      <c r="FL154" s="62">
        <v>112537.0</v>
      </c>
      <c r="FM154" s="62">
        <v>87400.0</v>
      </c>
      <c r="FN154" s="62">
        <v>825499.0</v>
      </c>
      <c r="FO154" s="62">
        <v>291182.0</v>
      </c>
      <c r="FP154" s="62">
        <v>3439753.0</v>
      </c>
      <c r="FQ154" s="62">
        <v>152397.0</v>
      </c>
      <c r="FR154" s="62">
        <v>1449.0</v>
      </c>
      <c r="FS154" s="62">
        <v>179303.0</v>
      </c>
      <c r="FT154" s="62">
        <v>7.8555475E7</v>
      </c>
      <c r="FU154" s="62">
        <v>3003316.0</v>
      </c>
      <c r="FV154" s="62">
        <v>1075529.0</v>
      </c>
      <c r="FW154" s="62">
        <v>0.0</v>
      </c>
      <c r="FX154" s="62">
        <v>0.0</v>
      </c>
      <c r="FY154" s="62">
        <v>0.0</v>
      </c>
      <c r="FZ154" s="62">
        <v>0.0</v>
      </c>
      <c r="GA154" s="62">
        <v>1385581.0</v>
      </c>
      <c r="GB154" s="62">
        <v>277510.0</v>
      </c>
      <c r="GC154" s="62">
        <v>144245.0</v>
      </c>
      <c r="GD154" s="62">
        <v>143283.0</v>
      </c>
      <c r="GE154" s="62">
        <v>914558.0</v>
      </c>
      <c r="GF154" s="63">
        <v>1.49540406E8</v>
      </c>
      <c r="GG154" s="64">
        <v>0.0</v>
      </c>
      <c r="GH154" s="65">
        <v>0.0</v>
      </c>
      <c r="GI154" s="64">
        <v>0.0</v>
      </c>
      <c r="GJ154" s="64">
        <v>1.995944898E9</v>
      </c>
      <c r="GK154" s="64">
        <v>-836899.0</v>
      </c>
      <c r="GL154" s="64">
        <v>0.0</v>
      </c>
      <c r="GM154" s="64">
        <v>3180336.0</v>
      </c>
      <c r="GN154" s="63">
        <v>1.998288335E9</v>
      </c>
      <c r="GO154" s="66">
        <v>2.147828741E9</v>
      </c>
      <c r="GP154" s="64">
        <v>0.0</v>
      </c>
      <c r="GQ154" s="64">
        <v>3575039.0</v>
      </c>
      <c r="GR154" s="65">
        <v>0.0</v>
      </c>
      <c r="GS154" s="63">
        <v>3575039.0</v>
      </c>
      <c r="GT154" s="67">
        <v>0.0</v>
      </c>
      <c r="GU154" s="67">
        <v>0.0</v>
      </c>
      <c r="GV154" s="67">
        <v>0.0</v>
      </c>
      <c r="GW154" s="63">
        <v>0.0</v>
      </c>
      <c r="GX154" s="63">
        <v>4.3220027E7</v>
      </c>
      <c r="GY154" s="63">
        <v>2.101033675E9</v>
      </c>
      <c r="GZ154" s="117">
        <v>2.147828741E9</v>
      </c>
      <c r="HH154" s="106"/>
    </row>
    <row r="155" ht="15.75" customHeight="1">
      <c r="A155" s="68">
        <v>150.0</v>
      </c>
      <c r="B155" s="111" t="s">
        <v>612</v>
      </c>
      <c r="C155" s="70">
        <v>0.0</v>
      </c>
      <c r="D155" s="70">
        <v>0.0</v>
      </c>
      <c r="E155" s="70">
        <v>0.0</v>
      </c>
      <c r="F155" s="70">
        <v>0.0</v>
      </c>
      <c r="G155" s="70">
        <v>0.0</v>
      </c>
      <c r="H155" s="70">
        <v>0.0</v>
      </c>
      <c r="I155" s="70">
        <v>0.0</v>
      </c>
      <c r="J155" s="70">
        <v>0.0</v>
      </c>
      <c r="K155" s="70">
        <v>0.0</v>
      </c>
      <c r="L155" s="70">
        <v>0.0</v>
      </c>
      <c r="M155" s="70">
        <v>0.0</v>
      </c>
      <c r="N155" s="70">
        <v>71.0</v>
      </c>
      <c r="O155" s="70">
        <v>0.0</v>
      </c>
      <c r="P155" s="70">
        <v>0.0</v>
      </c>
      <c r="Q155" s="70">
        <v>15867.0</v>
      </c>
      <c r="R155" s="70">
        <v>0.0</v>
      </c>
      <c r="S155" s="70">
        <v>0.0</v>
      </c>
      <c r="T155" s="70">
        <v>24022.0</v>
      </c>
      <c r="U155" s="70">
        <v>4643.0</v>
      </c>
      <c r="V155" s="70">
        <v>301753.0</v>
      </c>
      <c r="W155" s="70">
        <v>1031.0</v>
      </c>
      <c r="X155" s="70">
        <v>11165.0</v>
      </c>
      <c r="Y155" s="70">
        <v>34451.0</v>
      </c>
      <c r="Z155" s="70">
        <v>27270.0</v>
      </c>
      <c r="AA155" s="70">
        <v>1153.0</v>
      </c>
      <c r="AB155" s="70">
        <v>2635.0</v>
      </c>
      <c r="AC155" s="70">
        <v>1885.0</v>
      </c>
      <c r="AD155" s="70">
        <v>5931.0</v>
      </c>
      <c r="AE155" s="70">
        <v>732.0</v>
      </c>
      <c r="AF155" s="70">
        <v>6945.0</v>
      </c>
      <c r="AG155" s="70">
        <v>384672.0</v>
      </c>
      <c r="AH155" s="70">
        <v>63375.0</v>
      </c>
      <c r="AI155" s="70">
        <v>0.0</v>
      </c>
      <c r="AJ155" s="70">
        <v>0.0</v>
      </c>
      <c r="AK155" s="70">
        <v>0.0</v>
      </c>
      <c r="AL155" s="70">
        <v>0.0</v>
      </c>
      <c r="AM155" s="70">
        <v>28755.0</v>
      </c>
      <c r="AN155" s="70">
        <v>29403.0</v>
      </c>
      <c r="AO155" s="70">
        <v>88799.0</v>
      </c>
      <c r="AP155" s="70">
        <v>41103.0</v>
      </c>
      <c r="AQ155" s="70">
        <v>21086.0</v>
      </c>
      <c r="AR155" s="70">
        <v>6621.0</v>
      </c>
      <c r="AS155" s="70">
        <v>38505.0</v>
      </c>
      <c r="AT155" s="70">
        <v>10793.0</v>
      </c>
      <c r="AU155" s="70">
        <v>5.0</v>
      </c>
      <c r="AV155" s="70">
        <v>15117.0</v>
      </c>
      <c r="AW155" s="70">
        <v>53.0</v>
      </c>
      <c r="AX155" s="70">
        <v>376203.0</v>
      </c>
      <c r="AY155" s="70">
        <v>134299.0</v>
      </c>
      <c r="AZ155" s="70">
        <v>1004.0</v>
      </c>
      <c r="BA155" s="70">
        <v>42472.0</v>
      </c>
      <c r="BB155" s="70">
        <v>11040.0</v>
      </c>
      <c r="BC155" s="70">
        <v>0.0</v>
      </c>
      <c r="BD155" s="70">
        <v>0.0</v>
      </c>
      <c r="BE155" s="70">
        <v>0.0</v>
      </c>
      <c r="BF155" s="70">
        <v>0.0</v>
      </c>
      <c r="BG155" s="70">
        <v>0.0</v>
      </c>
      <c r="BH155" s="70">
        <v>90.0</v>
      </c>
      <c r="BI155" s="70">
        <v>0.0</v>
      </c>
      <c r="BJ155" s="70">
        <v>68.0</v>
      </c>
      <c r="BK155" s="70">
        <v>152.0</v>
      </c>
      <c r="BL155" s="70">
        <v>0.0</v>
      </c>
      <c r="BM155" s="70">
        <v>8.0</v>
      </c>
      <c r="BN155" s="70">
        <v>0.0</v>
      </c>
      <c r="BO155" s="70">
        <v>4922.0</v>
      </c>
      <c r="BP155" s="70">
        <v>0.0</v>
      </c>
      <c r="BQ155" s="70">
        <v>0.0</v>
      </c>
      <c r="BR155" s="70">
        <v>0.0</v>
      </c>
      <c r="BS155" s="70">
        <v>0.0</v>
      </c>
      <c r="BT155" s="70">
        <v>0.0</v>
      </c>
      <c r="BU155" s="70">
        <v>0.0</v>
      </c>
      <c r="BV155" s="70">
        <v>0.0</v>
      </c>
      <c r="BW155" s="70">
        <v>0.0</v>
      </c>
      <c r="BX155" s="70">
        <v>0.0</v>
      </c>
      <c r="BY155" s="70">
        <v>19755.0</v>
      </c>
      <c r="BZ155" s="70">
        <v>0.0</v>
      </c>
      <c r="CA155" s="70">
        <v>5711.0</v>
      </c>
      <c r="CB155" s="70">
        <v>3076.0</v>
      </c>
      <c r="CC155" s="70">
        <v>417.0</v>
      </c>
      <c r="CD155" s="70">
        <v>315.0</v>
      </c>
      <c r="CE155" s="70">
        <v>463.0</v>
      </c>
      <c r="CF155" s="70">
        <v>1335.0</v>
      </c>
      <c r="CG155" s="70">
        <v>116.0</v>
      </c>
      <c r="CH155" s="70">
        <v>341.0</v>
      </c>
      <c r="CI155" s="70">
        <v>2149.0</v>
      </c>
      <c r="CJ155" s="70">
        <v>190.0</v>
      </c>
      <c r="CK155" s="70">
        <v>0.0</v>
      </c>
      <c r="CL155" s="70">
        <v>0.0</v>
      </c>
      <c r="CM155" s="70">
        <v>0.0</v>
      </c>
      <c r="CN155" s="70">
        <v>0.0</v>
      </c>
      <c r="CO155" s="70">
        <v>441.0</v>
      </c>
      <c r="CP155" s="70">
        <v>773.0</v>
      </c>
      <c r="CQ155" s="70">
        <v>367.0</v>
      </c>
      <c r="CR155" s="70">
        <v>126919.0</v>
      </c>
      <c r="CS155" s="70">
        <v>1316.0</v>
      </c>
      <c r="CT155" s="70">
        <v>673.0</v>
      </c>
      <c r="CU155" s="70">
        <v>228.0</v>
      </c>
      <c r="CV155" s="70">
        <v>427.0</v>
      </c>
      <c r="CW155" s="70">
        <v>46.0</v>
      </c>
      <c r="CX155" s="70">
        <v>112.0</v>
      </c>
      <c r="CY155" s="70">
        <v>8.0</v>
      </c>
      <c r="CZ155" s="70">
        <v>139.0</v>
      </c>
      <c r="DA155" s="70">
        <v>619.0</v>
      </c>
      <c r="DB155" s="70">
        <v>158.0</v>
      </c>
      <c r="DC155" s="70">
        <v>1234.0</v>
      </c>
      <c r="DD155" s="70">
        <v>60.0</v>
      </c>
      <c r="DE155" s="70">
        <v>122.0</v>
      </c>
      <c r="DF155" s="70">
        <v>147.0</v>
      </c>
      <c r="DG155" s="70">
        <v>30.0</v>
      </c>
      <c r="DH155" s="70">
        <v>423.0</v>
      </c>
      <c r="DI155" s="70">
        <v>8616.0</v>
      </c>
      <c r="DJ155" s="70">
        <v>6106.0</v>
      </c>
      <c r="DK155" s="70">
        <v>6039.0</v>
      </c>
      <c r="DL155" s="70">
        <v>1648.0</v>
      </c>
      <c r="DM155" s="70">
        <v>603.0</v>
      </c>
      <c r="DN155" s="70">
        <v>107.0</v>
      </c>
      <c r="DO155" s="70">
        <v>692.0</v>
      </c>
      <c r="DP155" s="70">
        <v>60.0</v>
      </c>
      <c r="DQ155" s="70">
        <v>305.0</v>
      </c>
      <c r="DR155" s="70">
        <v>3709.0</v>
      </c>
      <c r="DS155" s="70">
        <v>3440.0</v>
      </c>
      <c r="DT155" s="70">
        <v>0.0</v>
      </c>
      <c r="DU155" s="70">
        <v>0.0</v>
      </c>
      <c r="DV155" s="70">
        <v>0.0</v>
      </c>
      <c r="DW155" s="70">
        <v>0.0</v>
      </c>
      <c r="DX155" s="70">
        <v>30.0</v>
      </c>
      <c r="DY155" s="70">
        <v>0.0</v>
      </c>
      <c r="DZ155" s="70">
        <v>14037.0</v>
      </c>
      <c r="EA155" s="70">
        <v>47.0</v>
      </c>
      <c r="EB155" s="70">
        <v>5.0</v>
      </c>
      <c r="EC155" s="70">
        <v>10995.0</v>
      </c>
      <c r="ED155" s="70">
        <v>6234.0</v>
      </c>
      <c r="EE155" s="70">
        <v>117.0</v>
      </c>
      <c r="EF155" s="70">
        <v>133.0</v>
      </c>
      <c r="EG155" s="70">
        <v>487.0</v>
      </c>
      <c r="EH155" s="70">
        <v>0.0</v>
      </c>
      <c r="EI155" s="70">
        <v>1776.0</v>
      </c>
      <c r="EJ155" s="70">
        <v>52.0</v>
      </c>
      <c r="EK155" s="70">
        <v>25.0</v>
      </c>
      <c r="EL155" s="70">
        <v>985.0</v>
      </c>
      <c r="EM155" s="70">
        <v>425.0</v>
      </c>
      <c r="EN155" s="70">
        <v>0.0</v>
      </c>
      <c r="EO155" s="70">
        <v>6.0</v>
      </c>
      <c r="EP155" s="70">
        <v>644.0</v>
      </c>
      <c r="EQ155" s="70">
        <v>2928.0</v>
      </c>
      <c r="ER155" s="70">
        <v>1056.0</v>
      </c>
      <c r="ES155" s="70">
        <v>155604.0</v>
      </c>
      <c r="ET155" s="70">
        <v>389263.0</v>
      </c>
      <c r="EU155" s="70">
        <v>4629302.0</v>
      </c>
      <c r="EV155" s="70">
        <v>5154.0</v>
      </c>
      <c r="EW155" s="70">
        <v>13715.0</v>
      </c>
      <c r="EX155" s="70">
        <v>26310.0</v>
      </c>
      <c r="EY155" s="70">
        <v>17336.0</v>
      </c>
      <c r="EZ155" s="70">
        <v>193546.0</v>
      </c>
      <c r="FA155" s="70">
        <v>37904.0</v>
      </c>
      <c r="FB155" s="70">
        <v>1277139.0</v>
      </c>
      <c r="FC155" s="70">
        <v>9779.0</v>
      </c>
      <c r="FD155" s="70">
        <v>77997.0</v>
      </c>
      <c r="FE155" s="70">
        <v>4661.0</v>
      </c>
      <c r="FF155" s="70">
        <v>12605.0</v>
      </c>
      <c r="FG155" s="70">
        <v>40089.0</v>
      </c>
      <c r="FH155" s="70">
        <v>603745.0</v>
      </c>
      <c r="FI155" s="70">
        <v>13856.0</v>
      </c>
      <c r="FJ155" s="70">
        <v>101.0</v>
      </c>
      <c r="FK155" s="70">
        <v>574.0</v>
      </c>
      <c r="FL155" s="70">
        <v>13354.0</v>
      </c>
      <c r="FM155" s="70">
        <v>54880.0</v>
      </c>
      <c r="FN155" s="70">
        <v>429119.0</v>
      </c>
      <c r="FO155" s="70">
        <v>118252.0</v>
      </c>
      <c r="FP155" s="70">
        <v>911020.0</v>
      </c>
      <c r="FQ155" s="70">
        <v>1292.0</v>
      </c>
      <c r="FR155" s="70">
        <v>1.0</v>
      </c>
      <c r="FS155" s="70">
        <v>611.0</v>
      </c>
      <c r="FT155" s="70">
        <v>344768.0</v>
      </c>
      <c r="FU155" s="70">
        <v>471482.0</v>
      </c>
      <c r="FV155" s="70">
        <v>6428.0</v>
      </c>
      <c r="FW155" s="70">
        <v>4.0779786E7</v>
      </c>
      <c r="FX155" s="70">
        <v>3840879.0</v>
      </c>
      <c r="FY155" s="70">
        <v>756574.0</v>
      </c>
      <c r="FZ155" s="70">
        <v>183379.0</v>
      </c>
      <c r="GA155" s="70">
        <v>608834.0</v>
      </c>
      <c r="GB155" s="70">
        <v>383302.0</v>
      </c>
      <c r="GC155" s="70">
        <v>79190.0</v>
      </c>
      <c r="GD155" s="70">
        <v>184.0</v>
      </c>
      <c r="GE155" s="70">
        <v>3066718.0</v>
      </c>
      <c r="GF155" s="71">
        <v>6.1536249E7</v>
      </c>
      <c r="GG155" s="72">
        <v>3.1436631E7</v>
      </c>
      <c r="GH155" s="73">
        <v>0.0</v>
      </c>
      <c r="GI155" s="72">
        <v>0.0</v>
      </c>
      <c r="GJ155" s="72">
        <v>1.22165277E8</v>
      </c>
      <c r="GK155" s="72">
        <v>0.0</v>
      </c>
      <c r="GL155" s="72">
        <v>0.0</v>
      </c>
      <c r="GM155" s="72">
        <v>530056.0</v>
      </c>
      <c r="GN155" s="71">
        <v>1.54131964E8</v>
      </c>
      <c r="GO155" s="74">
        <v>2.15668213E8</v>
      </c>
      <c r="GP155" s="72">
        <v>0.0</v>
      </c>
      <c r="GQ155" s="72">
        <v>595840.0</v>
      </c>
      <c r="GR155" s="73">
        <v>0.0</v>
      </c>
      <c r="GS155" s="71">
        <v>595840.0</v>
      </c>
      <c r="GT155" s="75">
        <v>0.0</v>
      </c>
      <c r="GU155" s="75">
        <v>0.0</v>
      </c>
      <c r="GV155" s="75">
        <v>0.0</v>
      </c>
      <c r="GW155" s="71">
        <v>0.0</v>
      </c>
      <c r="GX155" s="71">
        <v>6246535.0</v>
      </c>
      <c r="GY155" s="71">
        <v>2.08825838E8</v>
      </c>
      <c r="GZ155" s="74">
        <v>2.15668213E8</v>
      </c>
      <c r="HH155" s="106"/>
    </row>
    <row r="156" ht="15.75" customHeight="1">
      <c r="A156" s="52">
        <v>151.0</v>
      </c>
      <c r="B156" s="111" t="s">
        <v>421</v>
      </c>
      <c r="C156" s="54">
        <v>9441.0</v>
      </c>
      <c r="D156" s="54">
        <v>37177.0</v>
      </c>
      <c r="E156" s="54">
        <v>8352.0</v>
      </c>
      <c r="F156" s="54">
        <v>124917.0</v>
      </c>
      <c r="G156" s="54">
        <v>7539.0</v>
      </c>
      <c r="H156" s="54">
        <v>17210.0</v>
      </c>
      <c r="I156" s="54">
        <v>19945.0</v>
      </c>
      <c r="J156" s="54">
        <v>19361.0</v>
      </c>
      <c r="K156" s="54">
        <v>131.0</v>
      </c>
      <c r="L156" s="54">
        <v>23575.0</v>
      </c>
      <c r="M156" s="54">
        <v>15128.0</v>
      </c>
      <c r="N156" s="54">
        <v>1926.0</v>
      </c>
      <c r="O156" s="54">
        <v>170308.0</v>
      </c>
      <c r="P156" s="54">
        <v>17.0</v>
      </c>
      <c r="Q156" s="54">
        <v>106101.0</v>
      </c>
      <c r="R156" s="54">
        <v>7745.0</v>
      </c>
      <c r="S156" s="54">
        <v>28120.0</v>
      </c>
      <c r="T156" s="54">
        <v>73966.0</v>
      </c>
      <c r="U156" s="54">
        <v>114201.0</v>
      </c>
      <c r="V156" s="54">
        <v>1199511.0</v>
      </c>
      <c r="W156" s="54">
        <v>13992.0</v>
      </c>
      <c r="X156" s="54">
        <v>40170.0</v>
      </c>
      <c r="Y156" s="54">
        <v>164166.0</v>
      </c>
      <c r="Z156" s="54">
        <v>104416.0</v>
      </c>
      <c r="AA156" s="54">
        <v>6244.0</v>
      </c>
      <c r="AB156" s="54">
        <v>34884.0</v>
      </c>
      <c r="AC156" s="54">
        <v>20987.0</v>
      </c>
      <c r="AD156" s="54">
        <v>89704.0</v>
      </c>
      <c r="AE156" s="54">
        <v>43941.0</v>
      </c>
      <c r="AF156" s="54">
        <v>46848.0</v>
      </c>
      <c r="AG156" s="54">
        <v>135984.0</v>
      </c>
      <c r="AH156" s="54">
        <v>156423.0</v>
      </c>
      <c r="AI156" s="54">
        <v>0.0</v>
      </c>
      <c r="AJ156" s="54">
        <v>82858.0</v>
      </c>
      <c r="AK156" s="54">
        <v>3141.0</v>
      </c>
      <c r="AL156" s="54">
        <v>12579.0</v>
      </c>
      <c r="AM156" s="54">
        <v>0.0</v>
      </c>
      <c r="AN156" s="54">
        <v>0.0</v>
      </c>
      <c r="AO156" s="54">
        <v>0.0</v>
      </c>
      <c r="AP156" s="54">
        <v>0.0</v>
      </c>
      <c r="AQ156" s="54">
        <v>0.0</v>
      </c>
      <c r="AR156" s="54">
        <v>0.0</v>
      </c>
      <c r="AS156" s="54">
        <v>0.0</v>
      </c>
      <c r="AT156" s="54">
        <v>0.0</v>
      </c>
      <c r="AU156" s="54">
        <v>0.0</v>
      </c>
      <c r="AV156" s="54">
        <v>0.0</v>
      </c>
      <c r="AW156" s="54">
        <v>0.0</v>
      </c>
      <c r="AX156" s="54">
        <v>0.0</v>
      </c>
      <c r="AY156" s="54">
        <v>0.0</v>
      </c>
      <c r="AZ156" s="54">
        <v>156.0</v>
      </c>
      <c r="BA156" s="54">
        <v>0.0</v>
      </c>
      <c r="BB156" s="54">
        <v>0.0</v>
      </c>
      <c r="BC156" s="54">
        <v>0.0</v>
      </c>
      <c r="BD156" s="54">
        <v>0.0</v>
      </c>
      <c r="BE156" s="54">
        <v>0.0</v>
      </c>
      <c r="BF156" s="54">
        <v>0.0</v>
      </c>
      <c r="BG156" s="54">
        <v>0.0</v>
      </c>
      <c r="BH156" s="54">
        <v>0.0</v>
      </c>
      <c r="BI156" s="54">
        <v>0.0</v>
      </c>
      <c r="BJ156" s="54">
        <v>0.0</v>
      </c>
      <c r="BK156" s="54">
        <v>0.0</v>
      </c>
      <c r="BL156" s="54">
        <v>0.0</v>
      </c>
      <c r="BM156" s="54">
        <v>0.0</v>
      </c>
      <c r="BN156" s="54">
        <v>0.0</v>
      </c>
      <c r="BO156" s="54">
        <v>0.0</v>
      </c>
      <c r="BP156" s="54">
        <v>0.0</v>
      </c>
      <c r="BQ156" s="54">
        <v>0.0</v>
      </c>
      <c r="BR156" s="54">
        <v>0.0</v>
      </c>
      <c r="BS156" s="54">
        <v>0.0</v>
      </c>
      <c r="BT156" s="54">
        <v>0.0</v>
      </c>
      <c r="BU156" s="54">
        <v>0.0</v>
      </c>
      <c r="BV156" s="54">
        <v>0.0</v>
      </c>
      <c r="BW156" s="54">
        <v>0.0</v>
      </c>
      <c r="BX156" s="54">
        <v>0.0</v>
      </c>
      <c r="BY156" s="54">
        <v>0.0</v>
      </c>
      <c r="BZ156" s="54">
        <v>0.0</v>
      </c>
      <c r="CA156" s="54">
        <v>0.0</v>
      </c>
      <c r="CB156" s="54">
        <v>0.0</v>
      </c>
      <c r="CC156" s="54">
        <v>0.0</v>
      </c>
      <c r="CD156" s="54">
        <v>0.0</v>
      </c>
      <c r="CE156" s="54">
        <v>0.0</v>
      </c>
      <c r="CF156" s="54">
        <v>0.0</v>
      </c>
      <c r="CG156" s="54">
        <v>0.0</v>
      </c>
      <c r="CH156" s="54">
        <v>0.0</v>
      </c>
      <c r="CI156" s="54">
        <v>0.0</v>
      </c>
      <c r="CJ156" s="54">
        <v>0.0</v>
      </c>
      <c r="CK156" s="54">
        <v>0.0</v>
      </c>
      <c r="CL156" s="54">
        <v>0.0</v>
      </c>
      <c r="CM156" s="54">
        <v>0.0</v>
      </c>
      <c r="CN156" s="54">
        <v>0.0</v>
      </c>
      <c r="CO156" s="54">
        <v>0.0</v>
      </c>
      <c r="CP156" s="54">
        <v>0.0</v>
      </c>
      <c r="CQ156" s="54">
        <v>0.0</v>
      </c>
      <c r="CR156" s="54">
        <v>0.0</v>
      </c>
      <c r="CS156" s="54">
        <v>0.0</v>
      </c>
      <c r="CT156" s="54">
        <v>0.0</v>
      </c>
      <c r="CU156" s="54">
        <v>0.0</v>
      </c>
      <c r="CV156" s="54">
        <v>0.0</v>
      </c>
      <c r="CW156" s="54">
        <v>0.0</v>
      </c>
      <c r="CX156" s="54">
        <v>0.0</v>
      </c>
      <c r="CY156" s="54">
        <v>0.0</v>
      </c>
      <c r="CZ156" s="54">
        <v>0.0</v>
      </c>
      <c r="DA156" s="54">
        <v>0.0</v>
      </c>
      <c r="DB156" s="54">
        <v>0.0</v>
      </c>
      <c r="DC156" s="54">
        <v>0.0</v>
      </c>
      <c r="DD156" s="54">
        <v>0.0</v>
      </c>
      <c r="DE156" s="54">
        <v>0.0</v>
      </c>
      <c r="DF156" s="54">
        <v>0.0</v>
      </c>
      <c r="DG156" s="54">
        <v>0.0</v>
      </c>
      <c r="DH156" s="54">
        <v>0.0</v>
      </c>
      <c r="DI156" s="54">
        <v>0.0</v>
      </c>
      <c r="DJ156" s="54">
        <v>0.0</v>
      </c>
      <c r="DK156" s="54">
        <v>0.0</v>
      </c>
      <c r="DL156" s="54">
        <v>0.0</v>
      </c>
      <c r="DM156" s="54">
        <v>0.0</v>
      </c>
      <c r="DN156" s="54">
        <v>0.0</v>
      </c>
      <c r="DO156" s="54">
        <v>0.0</v>
      </c>
      <c r="DP156" s="54">
        <v>0.0</v>
      </c>
      <c r="DQ156" s="54">
        <v>0.0</v>
      </c>
      <c r="DR156" s="54">
        <v>0.0</v>
      </c>
      <c r="DS156" s="54">
        <v>0.0</v>
      </c>
      <c r="DT156" s="54">
        <v>0.0</v>
      </c>
      <c r="DU156" s="54">
        <v>0.0</v>
      </c>
      <c r="DV156" s="54">
        <v>0.0</v>
      </c>
      <c r="DW156" s="54">
        <v>0.0</v>
      </c>
      <c r="DX156" s="54">
        <v>0.0</v>
      </c>
      <c r="DY156" s="54">
        <v>0.0</v>
      </c>
      <c r="DZ156" s="54">
        <v>0.0</v>
      </c>
      <c r="EA156" s="54">
        <v>0.0</v>
      </c>
      <c r="EB156" s="54">
        <v>0.0</v>
      </c>
      <c r="EC156" s="54">
        <v>0.0</v>
      </c>
      <c r="ED156" s="54">
        <v>0.0</v>
      </c>
      <c r="EE156" s="54">
        <v>0.0</v>
      </c>
      <c r="EF156" s="54">
        <v>0.0</v>
      </c>
      <c r="EG156" s="54">
        <v>0.0</v>
      </c>
      <c r="EH156" s="54">
        <v>0.0</v>
      </c>
      <c r="EI156" s="54">
        <v>0.0</v>
      </c>
      <c r="EJ156" s="54">
        <v>0.0</v>
      </c>
      <c r="EK156" s="54">
        <v>0.0</v>
      </c>
      <c r="EL156" s="54">
        <v>0.0</v>
      </c>
      <c r="EM156" s="54">
        <v>0.0</v>
      </c>
      <c r="EN156" s="54">
        <v>0.0</v>
      </c>
      <c r="EO156" s="54">
        <v>0.0</v>
      </c>
      <c r="EP156" s="54">
        <v>0.0</v>
      </c>
      <c r="EQ156" s="54">
        <v>0.0</v>
      </c>
      <c r="ER156" s="54">
        <v>0.0</v>
      </c>
      <c r="ES156" s="54">
        <v>0.0</v>
      </c>
      <c r="ET156" s="54">
        <v>0.0</v>
      </c>
      <c r="EU156" s="54">
        <v>0.0</v>
      </c>
      <c r="EV156" s="54">
        <v>0.0</v>
      </c>
      <c r="EW156" s="54">
        <v>359945.0</v>
      </c>
      <c r="EX156" s="54">
        <v>0.0</v>
      </c>
      <c r="EY156" s="54">
        <v>0.0</v>
      </c>
      <c r="EZ156" s="54">
        <v>0.0</v>
      </c>
      <c r="FA156" s="54">
        <v>0.0</v>
      </c>
      <c r="FB156" s="54">
        <v>0.0</v>
      </c>
      <c r="FC156" s="54">
        <v>0.0</v>
      </c>
      <c r="FD156" s="54">
        <v>0.0</v>
      </c>
      <c r="FE156" s="54">
        <v>0.0</v>
      </c>
      <c r="FF156" s="54">
        <v>0.0</v>
      </c>
      <c r="FG156" s="54">
        <v>0.0</v>
      </c>
      <c r="FH156" s="54">
        <v>0.0</v>
      </c>
      <c r="FI156" s="54">
        <v>0.0</v>
      </c>
      <c r="FJ156" s="54">
        <v>0.0</v>
      </c>
      <c r="FK156" s="54">
        <v>0.0</v>
      </c>
      <c r="FL156" s="54">
        <v>0.0</v>
      </c>
      <c r="FM156" s="54">
        <v>0.0</v>
      </c>
      <c r="FN156" s="54">
        <v>0.0</v>
      </c>
      <c r="FO156" s="54">
        <v>0.0</v>
      </c>
      <c r="FP156" s="54">
        <v>0.0</v>
      </c>
      <c r="FQ156" s="54">
        <v>0.0</v>
      </c>
      <c r="FR156" s="54">
        <v>0.0</v>
      </c>
      <c r="FS156" s="54">
        <v>0.0</v>
      </c>
      <c r="FT156" s="54">
        <v>0.0</v>
      </c>
      <c r="FU156" s="54">
        <v>0.0</v>
      </c>
      <c r="FV156" s="54">
        <v>0.0</v>
      </c>
      <c r="FW156" s="54">
        <v>0.0</v>
      </c>
      <c r="FX156" s="54">
        <v>0.0</v>
      </c>
      <c r="FY156" s="54">
        <v>0.0</v>
      </c>
      <c r="FZ156" s="54">
        <v>0.0</v>
      </c>
      <c r="GA156" s="54">
        <v>0.0</v>
      </c>
      <c r="GB156" s="54">
        <v>0.0</v>
      </c>
      <c r="GC156" s="54">
        <v>0.0</v>
      </c>
      <c r="GD156" s="54">
        <v>0.0</v>
      </c>
      <c r="GE156" s="54">
        <v>0.0</v>
      </c>
      <c r="GF156" s="55">
        <v>3301109.0</v>
      </c>
      <c r="GG156" s="56">
        <v>0.0</v>
      </c>
      <c r="GH156" s="57">
        <v>0.0</v>
      </c>
      <c r="GI156" s="56">
        <v>0.0</v>
      </c>
      <c r="GJ156" s="56">
        <v>3.6132647E7</v>
      </c>
      <c r="GK156" s="56">
        <v>0.0</v>
      </c>
      <c r="GL156" s="56">
        <v>0.0</v>
      </c>
      <c r="GM156" s="56">
        <v>0.0</v>
      </c>
      <c r="GN156" s="55">
        <v>3.6132647E7</v>
      </c>
      <c r="GO156" s="58">
        <v>3.9433756E7</v>
      </c>
      <c r="GP156" s="56">
        <v>0.0</v>
      </c>
      <c r="GQ156" s="56">
        <v>0.0</v>
      </c>
      <c r="GR156" s="57">
        <v>0.0</v>
      </c>
      <c r="GS156" s="55">
        <v>0.0</v>
      </c>
      <c r="GT156" s="59">
        <v>0.0</v>
      </c>
      <c r="GU156" s="59">
        <v>0.0</v>
      </c>
      <c r="GV156" s="59">
        <v>0.0</v>
      </c>
      <c r="GW156" s="55">
        <v>0.0</v>
      </c>
      <c r="GX156" s="55">
        <v>0.0</v>
      </c>
      <c r="GY156" s="55">
        <v>3.9433756E7</v>
      </c>
      <c r="GZ156" s="58">
        <v>3.9433756E7</v>
      </c>
      <c r="HH156" s="106"/>
    </row>
    <row r="157" ht="15.75" customHeight="1">
      <c r="A157" s="60">
        <v>152.0</v>
      </c>
      <c r="B157" s="111" t="s">
        <v>422</v>
      </c>
      <c r="C157" s="62">
        <v>3577.0</v>
      </c>
      <c r="D157" s="62">
        <v>21980.0</v>
      </c>
      <c r="E157" s="62">
        <v>10076.0</v>
      </c>
      <c r="F157" s="62">
        <v>50267.0</v>
      </c>
      <c r="G157" s="62">
        <v>5096.0</v>
      </c>
      <c r="H157" s="62">
        <v>11633.0</v>
      </c>
      <c r="I157" s="62">
        <v>13483.0</v>
      </c>
      <c r="J157" s="62">
        <v>13089.0</v>
      </c>
      <c r="K157" s="62">
        <v>146.0</v>
      </c>
      <c r="L157" s="62">
        <v>0.0</v>
      </c>
      <c r="M157" s="62">
        <v>63.0</v>
      </c>
      <c r="N157" s="62">
        <v>2081.0</v>
      </c>
      <c r="O157" s="62">
        <v>713.0</v>
      </c>
      <c r="P157" s="62">
        <v>8.0</v>
      </c>
      <c r="Q157" s="62">
        <v>55299.0</v>
      </c>
      <c r="R157" s="62">
        <v>130314.0</v>
      </c>
      <c r="S157" s="62">
        <v>27724.0</v>
      </c>
      <c r="T157" s="62">
        <v>126034.0</v>
      </c>
      <c r="U157" s="62">
        <v>97190.0</v>
      </c>
      <c r="V157" s="62">
        <v>502125.0</v>
      </c>
      <c r="W157" s="62">
        <v>52355.0</v>
      </c>
      <c r="X157" s="62">
        <v>43518.0</v>
      </c>
      <c r="Y157" s="62">
        <v>126827.0</v>
      </c>
      <c r="Z157" s="62">
        <v>215037.0</v>
      </c>
      <c r="AA157" s="62">
        <v>4987.0</v>
      </c>
      <c r="AB157" s="62">
        <v>30026.0</v>
      </c>
      <c r="AC157" s="62">
        <v>9369.0</v>
      </c>
      <c r="AD157" s="62">
        <v>118047.0</v>
      </c>
      <c r="AE157" s="62">
        <v>9320.0</v>
      </c>
      <c r="AF157" s="62">
        <v>60984.0</v>
      </c>
      <c r="AG157" s="62">
        <v>726508.0</v>
      </c>
      <c r="AH157" s="62">
        <v>680200.0</v>
      </c>
      <c r="AI157" s="62">
        <v>127.0</v>
      </c>
      <c r="AJ157" s="62">
        <v>59322.0</v>
      </c>
      <c r="AK157" s="62">
        <v>3630.0</v>
      </c>
      <c r="AL157" s="62">
        <v>8636.0</v>
      </c>
      <c r="AM157" s="62">
        <v>200544.0</v>
      </c>
      <c r="AN157" s="62">
        <v>118481.0</v>
      </c>
      <c r="AO157" s="62">
        <v>435370.0</v>
      </c>
      <c r="AP157" s="62">
        <v>25500.0</v>
      </c>
      <c r="AQ157" s="62">
        <v>55573.0</v>
      </c>
      <c r="AR157" s="62">
        <v>31658.0</v>
      </c>
      <c r="AS157" s="62">
        <v>151398.0</v>
      </c>
      <c r="AT157" s="62">
        <v>41432.0</v>
      </c>
      <c r="AU157" s="62">
        <v>111.0</v>
      </c>
      <c r="AV157" s="62">
        <v>61774.0</v>
      </c>
      <c r="AW157" s="62">
        <v>183.0</v>
      </c>
      <c r="AX157" s="62">
        <v>1258879.0</v>
      </c>
      <c r="AY157" s="62">
        <v>156315.0</v>
      </c>
      <c r="AZ157" s="62">
        <v>2324.0</v>
      </c>
      <c r="BA157" s="62">
        <v>21917.0</v>
      </c>
      <c r="BB157" s="62">
        <v>45211.0</v>
      </c>
      <c r="BC157" s="62">
        <v>0.0</v>
      </c>
      <c r="BD157" s="62">
        <v>0.0</v>
      </c>
      <c r="BE157" s="62">
        <v>71.0</v>
      </c>
      <c r="BF157" s="62">
        <v>163.0</v>
      </c>
      <c r="BG157" s="62">
        <v>0.0</v>
      </c>
      <c r="BH157" s="62">
        <v>221.0</v>
      </c>
      <c r="BI157" s="62">
        <v>0.0</v>
      </c>
      <c r="BJ157" s="62">
        <v>0.0</v>
      </c>
      <c r="BK157" s="62">
        <v>0.0</v>
      </c>
      <c r="BL157" s="62">
        <v>0.0</v>
      </c>
      <c r="BM157" s="62">
        <v>0.0</v>
      </c>
      <c r="BN157" s="62">
        <v>0.0</v>
      </c>
      <c r="BO157" s="62">
        <v>32211.0</v>
      </c>
      <c r="BP157" s="62">
        <v>0.0</v>
      </c>
      <c r="BQ157" s="62">
        <v>0.0</v>
      </c>
      <c r="BR157" s="62">
        <v>0.0</v>
      </c>
      <c r="BS157" s="62">
        <v>0.0</v>
      </c>
      <c r="BT157" s="62">
        <v>0.0</v>
      </c>
      <c r="BU157" s="62">
        <v>0.0</v>
      </c>
      <c r="BV157" s="62">
        <v>0.0</v>
      </c>
      <c r="BW157" s="62">
        <v>0.0</v>
      </c>
      <c r="BX157" s="62">
        <v>0.0</v>
      </c>
      <c r="BY157" s="62">
        <v>57528.0</v>
      </c>
      <c r="BZ157" s="62">
        <v>0.0</v>
      </c>
      <c r="CA157" s="62">
        <v>0.0</v>
      </c>
      <c r="CB157" s="62">
        <v>0.0</v>
      </c>
      <c r="CC157" s="62">
        <v>0.0</v>
      </c>
      <c r="CD157" s="62">
        <v>0.0</v>
      </c>
      <c r="CE157" s="62">
        <v>0.0</v>
      </c>
      <c r="CF157" s="62">
        <v>0.0</v>
      </c>
      <c r="CG157" s="62">
        <v>0.0</v>
      </c>
      <c r="CH157" s="62">
        <v>0.0</v>
      </c>
      <c r="CI157" s="62">
        <v>0.0</v>
      </c>
      <c r="CJ157" s="62">
        <v>4899.0</v>
      </c>
      <c r="CK157" s="62">
        <v>0.0</v>
      </c>
      <c r="CL157" s="62">
        <v>1097.0</v>
      </c>
      <c r="CM157" s="62">
        <v>417.0</v>
      </c>
      <c r="CN157" s="62">
        <v>6501.0</v>
      </c>
      <c r="CO157" s="62">
        <v>7555.0</v>
      </c>
      <c r="CP157" s="62">
        <v>11482.0</v>
      </c>
      <c r="CQ157" s="62">
        <v>0.0</v>
      </c>
      <c r="CR157" s="62">
        <v>4527.0</v>
      </c>
      <c r="CS157" s="62">
        <v>0.0</v>
      </c>
      <c r="CT157" s="62">
        <v>0.0</v>
      </c>
      <c r="CU157" s="62">
        <v>0.0</v>
      </c>
      <c r="CV157" s="62">
        <v>0.0</v>
      </c>
      <c r="CW157" s="62">
        <v>0.0</v>
      </c>
      <c r="CX157" s="62">
        <v>0.0</v>
      </c>
      <c r="CY157" s="62">
        <v>0.0</v>
      </c>
      <c r="CZ157" s="62">
        <v>0.0</v>
      </c>
      <c r="DA157" s="62">
        <v>0.0</v>
      </c>
      <c r="DB157" s="62">
        <v>0.0</v>
      </c>
      <c r="DC157" s="62">
        <v>0.0</v>
      </c>
      <c r="DD157" s="62">
        <v>0.0</v>
      </c>
      <c r="DE157" s="62">
        <v>2146.0</v>
      </c>
      <c r="DF157" s="62">
        <v>2577.0</v>
      </c>
      <c r="DG157" s="62">
        <v>525.0</v>
      </c>
      <c r="DH157" s="62">
        <v>7229.0</v>
      </c>
      <c r="DI157" s="62">
        <v>0.0</v>
      </c>
      <c r="DJ157" s="62">
        <v>1407.0</v>
      </c>
      <c r="DK157" s="62">
        <v>0.0</v>
      </c>
      <c r="DL157" s="62">
        <v>0.0</v>
      </c>
      <c r="DM157" s="62">
        <v>50.0</v>
      </c>
      <c r="DN157" s="62">
        <v>714.0</v>
      </c>
      <c r="DO157" s="62">
        <v>0.0</v>
      </c>
      <c r="DP157" s="62">
        <v>0.0</v>
      </c>
      <c r="DQ157" s="62">
        <v>5154.0</v>
      </c>
      <c r="DR157" s="62">
        <v>13649.0</v>
      </c>
      <c r="DS157" s="62">
        <v>0.0</v>
      </c>
      <c r="DT157" s="62">
        <v>0.0</v>
      </c>
      <c r="DU157" s="62">
        <v>0.0</v>
      </c>
      <c r="DV157" s="62">
        <v>0.0</v>
      </c>
      <c r="DW157" s="62">
        <v>0.0</v>
      </c>
      <c r="DX157" s="62">
        <v>353.0</v>
      </c>
      <c r="DY157" s="62">
        <v>698.0</v>
      </c>
      <c r="DZ157" s="62">
        <v>1063.0</v>
      </c>
      <c r="EA157" s="62">
        <v>28.0</v>
      </c>
      <c r="EB157" s="62">
        <v>23.0</v>
      </c>
      <c r="EC157" s="62">
        <v>46296.0</v>
      </c>
      <c r="ED157" s="62">
        <v>17233.0</v>
      </c>
      <c r="EE157" s="62">
        <v>0.0</v>
      </c>
      <c r="EF157" s="62">
        <v>2410.0</v>
      </c>
      <c r="EG157" s="62">
        <v>0.0</v>
      </c>
      <c r="EH157" s="62">
        <v>0.0</v>
      </c>
      <c r="EI157" s="62">
        <v>29485.0</v>
      </c>
      <c r="EJ157" s="62">
        <v>0.0</v>
      </c>
      <c r="EK157" s="62">
        <v>0.0</v>
      </c>
      <c r="EL157" s="62">
        <v>0.0</v>
      </c>
      <c r="EM157" s="62">
        <v>0.0</v>
      </c>
      <c r="EN157" s="62">
        <v>0.0</v>
      </c>
      <c r="EO157" s="62">
        <v>0.0</v>
      </c>
      <c r="EP157" s="62">
        <v>4883.0</v>
      </c>
      <c r="EQ157" s="62">
        <v>11523.0</v>
      </c>
      <c r="ER157" s="62">
        <v>13336.0</v>
      </c>
      <c r="ES157" s="62">
        <v>37696.0</v>
      </c>
      <c r="ET157" s="62">
        <v>1636.0</v>
      </c>
      <c r="EU157" s="62">
        <v>3168953.0</v>
      </c>
      <c r="EV157" s="62">
        <v>0.0</v>
      </c>
      <c r="EW157" s="62">
        <v>0.0</v>
      </c>
      <c r="EX157" s="62">
        <v>1748135.0</v>
      </c>
      <c r="EY157" s="62">
        <v>1694756.0</v>
      </c>
      <c r="EZ157" s="62">
        <v>0.0</v>
      </c>
      <c r="FA157" s="62">
        <v>0.0</v>
      </c>
      <c r="FB157" s="62">
        <v>0.0</v>
      </c>
      <c r="FC157" s="62">
        <v>248512.0</v>
      </c>
      <c r="FD157" s="62">
        <v>0.0</v>
      </c>
      <c r="FE157" s="62">
        <v>28321.0</v>
      </c>
      <c r="FF157" s="62">
        <v>51057.0</v>
      </c>
      <c r="FG157" s="62">
        <v>267023.0</v>
      </c>
      <c r="FH157" s="62">
        <v>1889765.0</v>
      </c>
      <c r="FI157" s="62">
        <v>101760.0</v>
      </c>
      <c r="FJ157" s="62">
        <v>1075.0</v>
      </c>
      <c r="FK157" s="62">
        <v>1365.0</v>
      </c>
      <c r="FL157" s="62">
        <v>0.0</v>
      </c>
      <c r="FM157" s="62">
        <v>0.0</v>
      </c>
      <c r="FN157" s="62">
        <v>0.0</v>
      </c>
      <c r="FO157" s="62">
        <v>0.0</v>
      </c>
      <c r="FP157" s="62">
        <v>0.0</v>
      </c>
      <c r="FQ157" s="62">
        <v>0.0</v>
      </c>
      <c r="FR157" s="62">
        <v>0.0</v>
      </c>
      <c r="FS157" s="62">
        <v>0.0</v>
      </c>
      <c r="FT157" s="62">
        <v>454674.0</v>
      </c>
      <c r="FU157" s="62">
        <v>0.0</v>
      </c>
      <c r="FV157" s="62">
        <v>0.0</v>
      </c>
      <c r="FW157" s="62">
        <v>0.0</v>
      </c>
      <c r="FX157" s="62">
        <v>0.0</v>
      </c>
      <c r="FY157" s="62">
        <v>0.0</v>
      </c>
      <c r="FZ157" s="62">
        <v>0.0</v>
      </c>
      <c r="GA157" s="62">
        <v>8517.0</v>
      </c>
      <c r="GB157" s="62">
        <v>0.0</v>
      </c>
      <c r="GC157" s="62">
        <v>0.0</v>
      </c>
      <c r="GD157" s="62">
        <v>0.0</v>
      </c>
      <c r="GE157" s="62">
        <v>0.0</v>
      </c>
      <c r="GF157" s="63">
        <v>1.581716E7</v>
      </c>
      <c r="GG157" s="64">
        <v>0.0</v>
      </c>
      <c r="GH157" s="65">
        <v>0.0</v>
      </c>
      <c r="GI157" s="64">
        <v>0.0</v>
      </c>
      <c r="GJ157" s="64">
        <v>1.40294086E8</v>
      </c>
      <c r="GK157" s="64">
        <v>0.0</v>
      </c>
      <c r="GL157" s="64">
        <v>0.0</v>
      </c>
      <c r="GM157" s="64">
        <v>660561.0</v>
      </c>
      <c r="GN157" s="63">
        <v>1.40954647E8</v>
      </c>
      <c r="GO157" s="66">
        <v>1.56771807E8</v>
      </c>
      <c r="GP157" s="64">
        <v>0.0</v>
      </c>
      <c r="GQ157" s="64">
        <v>739766.0</v>
      </c>
      <c r="GR157" s="65">
        <v>0.0</v>
      </c>
      <c r="GS157" s="63">
        <v>739766.0</v>
      </c>
      <c r="GT157" s="67">
        <v>0.0</v>
      </c>
      <c r="GU157" s="67">
        <v>0.0</v>
      </c>
      <c r="GV157" s="67">
        <v>0.0</v>
      </c>
      <c r="GW157" s="63">
        <v>0.0</v>
      </c>
      <c r="GX157" s="63">
        <v>0.0</v>
      </c>
      <c r="GY157" s="63">
        <v>1.56032041E8</v>
      </c>
      <c r="GZ157" s="66">
        <v>1.56771807E8</v>
      </c>
      <c r="HH157" s="106"/>
    </row>
    <row r="158" ht="15.75" customHeight="1">
      <c r="A158" s="60">
        <v>153.0</v>
      </c>
      <c r="B158" s="111" t="s">
        <v>423</v>
      </c>
      <c r="C158" s="62">
        <v>0.0</v>
      </c>
      <c r="D158" s="62">
        <v>0.0</v>
      </c>
      <c r="E158" s="62">
        <v>0.0</v>
      </c>
      <c r="F158" s="62">
        <v>0.0</v>
      </c>
      <c r="G158" s="62">
        <v>0.0</v>
      </c>
      <c r="H158" s="62">
        <v>0.0</v>
      </c>
      <c r="I158" s="62">
        <v>0.0</v>
      </c>
      <c r="J158" s="62">
        <v>0.0</v>
      </c>
      <c r="K158" s="62">
        <v>0.0</v>
      </c>
      <c r="L158" s="62">
        <v>0.0</v>
      </c>
      <c r="M158" s="62">
        <v>0.0</v>
      </c>
      <c r="N158" s="62">
        <v>0.0</v>
      </c>
      <c r="O158" s="62">
        <v>0.0</v>
      </c>
      <c r="P158" s="62">
        <v>0.0</v>
      </c>
      <c r="Q158" s="62">
        <v>0.0</v>
      </c>
      <c r="R158" s="62">
        <v>0.0</v>
      </c>
      <c r="S158" s="62">
        <v>0.0</v>
      </c>
      <c r="T158" s="62">
        <v>0.0</v>
      </c>
      <c r="U158" s="62">
        <v>0.0</v>
      </c>
      <c r="V158" s="62">
        <v>0.0</v>
      </c>
      <c r="W158" s="62">
        <v>0.0</v>
      </c>
      <c r="X158" s="62">
        <v>0.0</v>
      </c>
      <c r="Y158" s="62">
        <v>0.0</v>
      </c>
      <c r="Z158" s="62">
        <v>0.0</v>
      </c>
      <c r="AA158" s="62">
        <v>0.0</v>
      </c>
      <c r="AB158" s="62">
        <v>0.0</v>
      </c>
      <c r="AC158" s="62">
        <v>0.0</v>
      </c>
      <c r="AD158" s="62">
        <v>0.0</v>
      </c>
      <c r="AE158" s="62">
        <v>0.0</v>
      </c>
      <c r="AF158" s="62">
        <v>29568.0</v>
      </c>
      <c r="AG158" s="62">
        <v>726750.0</v>
      </c>
      <c r="AH158" s="62">
        <v>456738.0</v>
      </c>
      <c r="AI158" s="62">
        <v>4457.0</v>
      </c>
      <c r="AJ158" s="62">
        <v>105386.0</v>
      </c>
      <c r="AK158" s="62">
        <v>9786.0</v>
      </c>
      <c r="AL158" s="62">
        <v>19162.0</v>
      </c>
      <c r="AM158" s="62">
        <v>1231310.0</v>
      </c>
      <c r="AN158" s="62">
        <v>1822565.0</v>
      </c>
      <c r="AO158" s="62">
        <v>5079036.0</v>
      </c>
      <c r="AP158" s="62">
        <v>115091.0</v>
      </c>
      <c r="AQ158" s="62">
        <v>127510.0</v>
      </c>
      <c r="AR158" s="62">
        <v>181058.0</v>
      </c>
      <c r="AS158" s="62">
        <v>180730.0</v>
      </c>
      <c r="AT158" s="62">
        <v>15425.0</v>
      </c>
      <c r="AU158" s="62">
        <v>505.0</v>
      </c>
      <c r="AV158" s="62">
        <v>114657.0</v>
      </c>
      <c r="AW158" s="62">
        <v>94.0</v>
      </c>
      <c r="AX158" s="62">
        <v>574028.0</v>
      </c>
      <c r="AY158" s="62">
        <v>414825.0</v>
      </c>
      <c r="AZ158" s="62">
        <v>42121.0</v>
      </c>
      <c r="BA158" s="62">
        <v>364032.0</v>
      </c>
      <c r="BB158" s="62">
        <v>465539.0</v>
      </c>
      <c r="BC158" s="62">
        <v>0.0</v>
      </c>
      <c r="BD158" s="62">
        <v>0.0</v>
      </c>
      <c r="BE158" s="62">
        <v>939.0</v>
      </c>
      <c r="BF158" s="62">
        <v>1942.0</v>
      </c>
      <c r="BG158" s="62">
        <v>0.0</v>
      </c>
      <c r="BH158" s="62">
        <v>0.0</v>
      </c>
      <c r="BI158" s="62">
        <v>0.0</v>
      </c>
      <c r="BJ158" s="62">
        <v>2526.0</v>
      </c>
      <c r="BK158" s="62">
        <v>3339.0</v>
      </c>
      <c r="BL158" s="62">
        <v>0.0</v>
      </c>
      <c r="BM158" s="62">
        <v>0.0</v>
      </c>
      <c r="BN158" s="62">
        <v>0.0</v>
      </c>
      <c r="BO158" s="62">
        <v>59.0</v>
      </c>
      <c r="BP158" s="62">
        <v>0.0</v>
      </c>
      <c r="BQ158" s="62">
        <v>0.0</v>
      </c>
      <c r="BR158" s="62">
        <v>0.0</v>
      </c>
      <c r="BS158" s="62">
        <v>0.0</v>
      </c>
      <c r="BT158" s="62">
        <v>0.0</v>
      </c>
      <c r="BU158" s="62">
        <v>506.0</v>
      </c>
      <c r="BV158" s="62">
        <v>0.0</v>
      </c>
      <c r="BW158" s="62">
        <v>0.0</v>
      </c>
      <c r="BX158" s="62">
        <v>0.0</v>
      </c>
      <c r="BY158" s="62">
        <v>0.0</v>
      </c>
      <c r="BZ158" s="62">
        <v>0.0</v>
      </c>
      <c r="CA158" s="62">
        <v>0.0</v>
      </c>
      <c r="CB158" s="62">
        <v>0.0</v>
      </c>
      <c r="CC158" s="62">
        <v>0.0</v>
      </c>
      <c r="CD158" s="62">
        <v>0.0</v>
      </c>
      <c r="CE158" s="62">
        <v>0.0</v>
      </c>
      <c r="CF158" s="62">
        <v>0.0</v>
      </c>
      <c r="CG158" s="62">
        <v>0.0</v>
      </c>
      <c r="CH158" s="62">
        <v>0.0</v>
      </c>
      <c r="CI158" s="62">
        <v>0.0</v>
      </c>
      <c r="CJ158" s="62">
        <v>56356.0</v>
      </c>
      <c r="CK158" s="62">
        <v>0.0</v>
      </c>
      <c r="CL158" s="62">
        <v>12624.0</v>
      </c>
      <c r="CM158" s="62">
        <v>2208.0</v>
      </c>
      <c r="CN158" s="62">
        <v>44119.0</v>
      </c>
      <c r="CO158" s="62">
        <v>51270.0</v>
      </c>
      <c r="CP158" s="62">
        <v>75248.0</v>
      </c>
      <c r="CQ158" s="62">
        <v>0.0</v>
      </c>
      <c r="CR158" s="62">
        <v>6562.0</v>
      </c>
      <c r="CS158" s="62">
        <v>51.0</v>
      </c>
      <c r="CT158" s="62">
        <v>54.0</v>
      </c>
      <c r="CU158" s="62">
        <v>0.0</v>
      </c>
      <c r="CV158" s="62">
        <v>30.0</v>
      </c>
      <c r="CW158" s="62">
        <v>0.0</v>
      </c>
      <c r="CX158" s="62">
        <v>0.0</v>
      </c>
      <c r="CY158" s="62">
        <v>0.0</v>
      </c>
      <c r="CZ158" s="62">
        <v>0.0</v>
      </c>
      <c r="DA158" s="62">
        <v>0.0</v>
      </c>
      <c r="DB158" s="62">
        <v>0.0</v>
      </c>
      <c r="DC158" s="62">
        <v>0.0</v>
      </c>
      <c r="DD158" s="62">
        <v>0.0</v>
      </c>
      <c r="DE158" s="62">
        <v>3683.0</v>
      </c>
      <c r="DF158" s="62">
        <v>4422.0</v>
      </c>
      <c r="DG158" s="62">
        <v>906.0</v>
      </c>
      <c r="DH158" s="62">
        <v>13278.0</v>
      </c>
      <c r="DI158" s="62">
        <v>0.0</v>
      </c>
      <c r="DJ158" s="62">
        <v>2691.0</v>
      </c>
      <c r="DK158" s="62">
        <v>0.0</v>
      </c>
      <c r="DL158" s="62">
        <v>0.0</v>
      </c>
      <c r="DM158" s="62">
        <v>570.0</v>
      </c>
      <c r="DN158" s="62">
        <v>8214.0</v>
      </c>
      <c r="DO158" s="62">
        <v>0.0</v>
      </c>
      <c r="DP158" s="62">
        <v>0.0</v>
      </c>
      <c r="DQ158" s="62">
        <v>2931.0</v>
      </c>
      <c r="DR158" s="62">
        <v>7852.0</v>
      </c>
      <c r="DS158" s="62">
        <v>0.0</v>
      </c>
      <c r="DT158" s="62">
        <v>0.0</v>
      </c>
      <c r="DU158" s="62">
        <v>0.0</v>
      </c>
      <c r="DV158" s="62">
        <v>0.0</v>
      </c>
      <c r="DW158" s="62">
        <v>0.0</v>
      </c>
      <c r="DX158" s="62">
        <v>2604.0</v>
      </c>
      <c r="DY158" s="62">
        <v>13951.0</v>
      </c>
      <c r="DZ158" s="62">
        <v>641.0</v>
      </c>
      <c r="EA158" s="62">
        <v>73.0</v>
      </c>
      <c r="EB158" s="62">
        <v>660.0</v>
      </c>
      <c r="EC158" s="62">
        <v>0.0</v>
      </c>
      <c r="ED158" s="62">
        <v>0.0</v>
      </c>
      <c r="EE158" s="62">
        <v>0.0</v>
      </c>
      <c r="EF158" s="62">
        <v>0.0</v>
      </c>
      <c r="EG158" s="62">
        <v>0.0</v>
      </c>
      <c r="EH158" s="62">
        <v>0.0</v>
      </c>
      <c r="EI158" s="62">
        <v>35.0</v>
      </c>
      <c r="EJ158" s="62">
        <v>0.0</v>
      </c>
      <c r="EK158" s="62">
        <v>0.0</v>
      </c>
      <c r="EL158" s="62">
        <v>105124.0</v>
      </c>
      <c r="EM158" s="62">
        <v>48388.0</v>
      </c>
      <c r="EN158" s="62">
        <v>0.0</v>
      </c>
      <c r="EO158" s="62">
        <v>662.0</v>
      </c>
      <c r="EP158" s="62">
        <v>39099.0</v>
      </c>
      <c r="EQ158" s="62">
        <v>1795.0</v>
      </c>
      <c r="ER158" s="62">
        <v>204123.0</v>
      </c>
      <c r="ES158" s="62">
        <v>56269.0</v>
      </c>
      <c r="ET158" s="62">
        <v>14391.0</v>
      </c>
      <c r="EU158" s="62">
        <v>1.6483319E7</v>
      </c>
      <c r="EV158" s="62">
        <v>0.0</v>
      </c>
      <c r="EW158" s="62">
        <v>0.0</v>
      </c>
      <c r="EX158" s="62">
        <v>0.0</v>
      </c>
      <c r="EY158" s="62">
        <v>716943.0</v>
      </c>
      <c r="EZ158" s="62">
        <v>0.0</v>
      </c>
      <c r="FA158" s="62">
        <v>0.0</v>
      </c>
      <c r="FB158" s="62">
        <v>0.0</v>
      </c>
      <c r="FC158" s="62">
        <v>0.0</v>
      </c>
      <c r="FD158" s="62">
        <v>0.0</v>
      </c>
      <c r="FE158" s="62">
        <v>0.0</v>
      </c>
      <c r="FF158" s="62">
        <v>0.0</v>
      </c>
      <c r="FG158" s="62">
        <v>0.0</v>
      </c>
      <c r="FH158" s="62">
        <v>0.0</v>
      </c>
      <c r="FI158" s="62">
        <v>0.0</v>
      </c>
      <c r="FJ158" s="62">
        <v>0.0</v>
      </c>
      <c r="FK158" s="62">
        <v>0.0</v>
      </c>
      <c r="FL158" s="62">
        <v>0.0</v>
      </c>
      <c r="FM158" s="62">
        <v>0.0</v>
      </c>
      <c r="FN158" s="62">
        <v>0.0</v>
      </c>
      <c r="FO158" s="62">
        <v>0.0</v>
      </c>
      <c r="FP158" s="62">
        <v>0.0</v>
      </c>
      <c r="FQ158" s="62">
        <v>0.0</v>
      </c>
      <c r="FR158" s="62">
        <v>0.0</v>
      </c>
      <c r="FS158" s="62">
        <v>0.0</v>
      </c>
      <c r="FT158" s="62">
        <v>0.0</v>
      </c>
      <c r="FU158" s="62">
        <v>0.0</v>
      </c>
      <c r="FV158" s="62">
        <v>0.0</v>
      </c>
      <c r="FW158" s="62">
        <v>0.0</v>
      </c>
      <c r="FX158" s="62">
        <v>0.0</v>
      </c>
      <c r="FY158" s="62">
        <v>0.0</v>
      </c>
      <c r="FZ158" s="62">
        <v>0.0</v>
      </c>
      <c r="GA158" s="62">
        <v>0.0</v>
      </c>
      <c r="GB158" s="62">
        <v>0.0</v>
      </c>
      <c r="GC158" s="62">
        <v>0.0</v>
      </c>
      <c r="GD158" s="62">
        <v>0.0</v>
      </c>
      <c r="GE158" s="62">
        <v>0.0</v>
      </c>
      <c r="GF158" s="63">
        <v>3.007083E7</v>
      </c>
      <c r="GG158" s="64">
        <v>0.0</v>
      </c>
      <c r="GH158" s="65">
        <v>0.0</v>
      </c>
      <c r="GI158" s="64">
        <v>0.0</v>
      </c>
      <c r="GJ158" s="64">
        <v>9.46046815E8</v>
      </c>
      <c r="GK158" s="64">
        <v>0.0</v>
      </c>
      <c r="GL158" s="64">
        <v>0.0</v>
      </c>
      <c r="GM158" s="64">
        <v>929607.0</v>
      </c>
      <c r="GN158" s="63">
        <v>9.46976422E8</v>
      </c>
      <c r="GO158" s="66">
        <v>9.77047252E8</v>
      </c>
      <c r="GP158" s="64">
        <v>0.0</v>
      </c>
      <c r="GQ158" s="64">
        <v>1047753.0</v>
      </c>
      <c r="GR158" s="65">
        <v>0.0</v>
      </c>
      <c r="GS158" s="63">
        <v>1047753.0</v>
      </c>
      <c r="GT158" s="67">
        <v>0.0</v>
      </c>
      <c r="GU158" s="67">
        <v>0.0</v>
      </c>
      <c r="GV158" s="67">
        <v>0.0</v>
      </c>
      <c r="GW158" s="63">
        <v>0.0</v>
      </c>
      <c r="GX158" s="63">
        <v>3.8472925E7</v>
      </c>
      <c r="GY158" s="63">
        <v>9.37526574E8</v>
      </c>
      <c r="GZ158" s="66">
        <v>9.77047252E8</v>
      </c>
      <c r="HH158" s="106"/>
    </row>
    <row r="159" ht="15.75" customHeight="1">
      <c r="A159" s="60">
        <v>154.0</v>
      </c>
      <c r="B159" s="111" t="s">
        <v>613</v>
      </c>
      <c r="C159" s="62">
        <v>0.0</v>
      </c>
      <c r="D159" s="62">
        <v>0.0</v>
      </c>
      <c r="E159" s="62">
        <v>0.0</v>
      </c>
      <c r="F159" s="62">
        <v>0.0</v>
      </c>
      <c r="G159" s="62">
        <v>0.0</v>
      </c>
      <c r="H159" s="62">
        <v>0.0</v>
      </c>
      <c r="I159" s="62">
        <v>0.0</v>
      </c>
      <c r="J159" s="62">
        <v>0.0</v>
      </c>
      <c r="K159" s="62">
        <v>0.0</v>
      </c>
      <c r="L159" s="62">
        <v>0.0</v>
      </c>
      <c r="M159" s="62">
        <v>0.0</v>
      </c>
      <c r="N159" s="62">
        <v>0.0</v>
      </c>
      <c r="O159" s="62">
        <v>0.0</v>
      </c>
      <c r="P159" s="62">
        <v>0.0</v>
      </c>
      <c r="Q159" s="62">
        <v>0.0</v>
      </c>
      <c r="R159" s="62">
        <v>0.0</v>
      </c>
      <c r="S159" s="62">
        <v>0.0</v>
      </c>
      <c r="T159" s="62">
        <v>0.0</v>
      </c>
      <c r="U159" s="62">
        <v>0.0</v>
      </c>
      <c r="V159" s="62">
        <v>0.0</v>
      </c>
      <c r="W159" s="62">
        <v>0.0</v>
      </c>
      <c r="X159" s="62">
        <v>0.0</v>
      </c>
      <c r="Y159" s="62">
        <v>0.0</v>
      </c>
      <c r="Z159" s="62">
        <v>0.0</v>
      </c>
      <c r="AA159" s="62">
        <v>0.0</v>
      </c>
      <c r="AB159" s="62">
        <v>0.0</v>
      </c>
      <c r="AC159" s="62">
        <v>0.0</v>
      </c>
      <c r="AD159" s="62">
        <v>0.0</v>
      </c>
      <c r="AE159" s="62">
        <v>0.0</v>
      </c>
      <c r="AF159" s="62">
        <v>0.0</v>
      </c>
      <c r="AG159" s="62">
        <v>0.0</v>
      </c>
      <c r="AH159" s="62">
        <v>0.0</v>
      </c>
      <c r="AI159" s="62">
        <v>0.0</v>
      </c>
      <c r="AJ159" s="62">
        <v>0.0</v>
      </c>
      <c r="AK159" s="62">
        <v>0.0</v>
      </c>
      <c r="AL159" s="62">
        <v>0.0</v>
      </c>
      <c r="AM159" s="62">
        <v>0.0</v>
      </c>
      <c r="AN159" s="62">
        <v>0.0</v>
      </c>
      <c r="AO159" s="62">
        <v>0.0</v>
      </c>
      <c r="AP159" s="62">
        <v>0.0</v>
      </c>
      <c r="AQ159" s="62">
        <v>0.0</v>
      </c>
      <c r="AR159" s="62">
        <v>0.0</v>
      </c>
      <c r="AS159" s="62">
        <v>0.0</v>
      </c>
      <c r="AT159" s="62">
        <v>0.0</v>
      </c>
      <c r="AU159" s="62">
        <v>0.0</v>
      </c>
      <c r="AV159" s="62">
        <v>0.0</v>
      </c>
      <c r="AW159" s="62">
        <v>0.0</v>
      </c>
      <c r="AX159" s="62">
        <v>0.0</v>
      </c>
      <c r="AY159" s="62">
        <v>0.0</v>
      </c>
      <c r="AZ159" s="62">
        <v>0.0</v>
      </c>
      <c r="BA159" s="62">
        <v>0.0</v>
      </c>
      <c r="BB159" s="62">
        <v>0.0</v>
      </c>
      <c r="BC159" s="62">
        <v>0.0</v>
      </c>
      <c r="BD159" s="62">
        <v>0.0</v>
      </c>
      <c r="BE159" s="62">
        <v>0.0</v>
      </c>
      <c r="BF159" s="62">
        <v>0.0</v>
      </c>
      <c r="BG159" s="62">
        <v>0.0</v>
      </c>
      <c r="BH159" s="62">
        <v>0.0</v>
      </c>
      <c r="BI159" s="62">
        <v>0.0</v>
      </c>
      <c r="BJ159" s="62">
        <v>0.0</v>
      </c>
      <c r="BK159" s="62">
        <v>0.0</v>
      </c>
      <c r="BL159" s="62">
        <v>0.0</v>
      </c>
      <c r="BM159" s="62">
        <v>0.0</v>
      </c>
      <c r="BN159" s="62">
        <v>0.0</v>
      </c>
      <c r="BO159" s="62">
        <v>0.0</v>
      </c>
      <c r="BP159" s="62">
        <v>0.0</v>
      </c>
      <c r="BQ159" s="62">
        <v>0.0</v>
      </c>
      <c r="BR159" s="62">
        <v>0.0</v>
      </c>
      <c r="BS159" s="62">
        <v>0.0</v>
      </c>
      <c r="BT159" s="62">
        <v>0.0</v>
      </c>
      <c r="BU159" s="62">
        <v>0.0</v>
      </c>
      <c r="BV159" s="62">
        <v>0.0</v>
      </c>
      <c r="BW159" s="62">
        <v>0.0</v>
      </c>
      <c r="BX159" s="62">
        <v>0.0</v>
      </c>
      <c r="BY159" s="62">
        <v>0.0</v>
      </c>
      <c r="BZ159" s="62">
        <v>0.0</v>
      </c>
      <c r="CA159" s="62">
        <v>0.0</v>
      </c>
      <c r="CB159" s="62">
        <v>0.0</v>
      </c>
      <c r="CC159" s="62">
        <v>0.0</v>
      </c>
      <c r="CD159" s="62">
        <v>0.0</v>
      </c>
      <c r="CE159" s="62">
        <v>0.0</v>
      </c>
      <c r="CF159" s="62">
        <v>0.0</v>
      </c>
      <c r="CG159" s="62">
        <v>0.0</v>
      </c>
      <c r="CH159" s="62">
        <v>0.0</v>
      </c>
      <c r="CI159" s="62">
        <v>0.0</v>
      </c>
      <c r="CJ159" s="62">
        <v>0.0</v>
      </c>
      <c r="CK159" s="62">
        <v>0.0</v>
      </c>
      <c r="CL159" s="62">
        <v>0.0</v>
      </c>
      <c r="CM159" s="62">
        <v>0.0</v>
      </c>
      <c r="CN159" s="62">
        <v>0.0</v>
      </c>
      <c r="CO159" s="62">
        <v>0.0</v>
      </c>
      <c r="CP159" s="62">
        <v>0.0</v>
      </c>
      <c r="CQ159" s="62">
        <v>0.0</v>
      </c>
      <c r="CR159" s="62">
        <v>0.0</v>
      </c>
      <c r="CS159" s="62">
        <v>0.0</v>
      </c>
      <c r="CT159" s="62">
        <v>0.0</v>
      </c>
      <c r="CU159" s="62">
        <v>0.0</v>
      </c>
      <c r="CV159" s="62">
        <v>0.0</v>
      </c>
      <c r="CW159" s="62">
        <v>0.0</v>
      </c>
      <c r="CX159" s="62">
        <v>0.0</v>
      </c>
      <c r="CY159" s="62">
        <v>0.0</v>
      </c>
      <c r="CZ159" s="62">
        <v>0.0</v>
      </c>
      <c r="DA159" s="62">
        <v>0.0</v>
      </c>
      <c r="DB159" s="62">
        <v>0.0</v>
      </c>
      <c r="DC159" s="62">
        <v>0.0</v>
      </c>
      <c r="DD159" s="62">
        <v>0.0</v>
      </c>
      <c r="DE159" s="62">
        <v>0.0</v>
      </c>
      <c r="DF159" s="62">
        <v>0.0</v>
      </c>
      <c r="DG159" s="62">
        <v>0.0</v>
      </c>
      <c r="DH159" s="62">
        <v>0.0</v>
      </c>
      <c r="DI159" s="62">
        <v>0.0</v>
      </c>
      <c r="DJ159" s="62">
        <v>0.0</v>
      </c>
      <c r="DK159" s="62">
        <v>0.0</v>
      </c>
      <c r="DL159" s="62">
        <v>0.0</v>
      </c>
      <c r="DM159" s="62">
        <v>0.0</v>
      </c>
      <c r="DN159" s="62">
        <v>0.0</v>
      </c>
      <c r="DO159" s="62">
        <v>0.0</v>
      </c>
      <c r="DP159" s="62">
        <v>0.0</v>
      </c>
      <c r="DQ159" s="62">
        <v>0.0</v>
      </c>
      <c r="DR159" s="62">
        <v>0.0</v>
      </c>
      <c r="DS159" s="62">
        <v>0.0</v>
      </c>
      <c r="DT159" s="62">
        <v>0.0</v>
      </c>
      <c r="DU159" s="62">
        <v>0.0</v>
      </c>
      <c r="DV159" s="62">
        <v>0.0</v>
      </c>
      <c r="DW159" s="62">
        <v>0.0</v>
      </c>
      <c r="DX159" s="62">
        <v>0.0</v>
      </c>
      <c r="DY159" s="62">
        <v>0.0</v>
      </c>
      <c r="DZ159" s="62">
        <v>0.0</v>
      </c>
      <c r="EA159" s="62">
        <v>0.0</v>
      </c>
      <c r="EB159" s="62">
        <v>0.0</v>
      </c>
      <c r="EC159" s="62">
        <v>0.0</v>
      </c>
      <c r="ED159" s="62">
        <v>0.0</v>
      </c>
      <c r="EE159" s="62">
        <v>0.0</v>
      </c>
      <c r="EF159" s="62">
        <v>0.0</v>
      </c>
      <c r="EG159" s="62">
        <v>0.0</v>
      </c>
      <c r="EH159" s="62">
        <v>0.0</v>
      </c>
      <c r="EI159" s="62">
        <v>0.0</v>
      </c>
      <c r="EJ159" s="62">
        <v>0.0</v>
      </c>
      <c r="EK159" s="62">
        <v>0.0</v>
      </c>
      <c r="EL159" s="62">
        <v>0.0</v>
      </c>
      <c r="EM159" s="62">
        <v>0.0</v>
      </c>
      <c r="EN159" s="62">
        <v>0.0</v>
      </c>
      <c r="EO159" s="62">
        <v>0.0</v>
      </c>
      <c r="EP159" s="62">
        <v>0.0</v>
      </c>
      <c r="EQ159" s="62">
        <v>0.0</v>
      </c>
      <c r="ER159" s="62">
        <v>0.0</v>
      </c>
      <c r="ES159" s="62">
        <v>0.0</v>
      </c>
      <c r="ET159" s="62">
        <v>0.0</v>
      </c>
      <c r="EU159" s="62">
        <v>0.0</v>
      </c>
      <c r="EV159" s="62">
        <v>0.0</v>
      </c>
      <c r="EW159" s="62">
        <v>0.0</v>
      </c>
      <c r="EX159" s="62">
        <v>0.0</v>
      </c>
      <c r="EY159" s="62">
        <v>0.0</v>
      </c>
      <c r="EZ159" s="62">
        <v>0.0</v>
      </c>
      <c r="FA159" s="62">
        <v>0.0</v>
      </c>
      <c r="FB159" s="62">
        <v>0.0</v>
      </c>
      <c r="FC159" s="62">
        <v>0.0</v>
      </c>
      <c r="FD159" s="62">
        <v>0.0</v>
      </c>
      <c r="FE159" s="62">
        <v>0.0</v>
      </c>
      <c r="FF159" s="62">
        <v>0.0</v>
      </c>
      <c r="FG159" s="62">
        <v>0.0</v>
      </c>
      <c r="FH159" s="62">
        <v>0.0</v>
      </c>
      <c r="FI159" s="62">
        <v>0.0</v>
      </c>
      <c r="FJ159" s="62">
        <v>0.0</v>
      </c>
      <c r="FK159" s="62">
        <v>0.0</v>
      </c>
      <c r="FL159" s="62">
        <v>0.0</v>
      </c>
      <c r="FM159" s="62">
        <v>0.0</v>
      </c>
      <c r="FN159" s="62">
        <v>0.0</v>
      </c>
      <c r="FO159" s="62">
        <v>0.0</v>
      </c>
      <c r="FP159" s="62">
        <v>0.0</v>
      </c>
      <c r="FQ159" s="62">
        <v>0.0</v>
      </c>
      <c r="FR159" s="62">
        <v>0.0</v>
      </c>
      <c r="FS159" s="62">
        <v>0.0</v>
      </c>
      <c r="FT159" s="62">
        <v>0.0</v>
      </c>
      <c r="FU159" s="62">
        <v>0.0</v>
      </c>
      <c r="FV159" s="62">
        <v>0.0</v>
      </c>
      <c r="FW159" s="62">
        <v>0.0</v>
      </c>
      <c r="FX159" s="62">
        <v>0.0</v>
      </c>
      <c r="FY159" s="62">
        <v>0.0</v>
      </c>
      <c r="FZ159" s="62">
        <v>0.0</v>
      </c>
      <c r="GA159" s="62">
        <v>0.0</v>
      </c>
      <c r="GB159" s="62">
        <v>0.0</v>
      </c>
      <c r="GC159" s="62">
        <v>0.0</v>
      </c>
      <c r="GD159" s="62">
        <v>0.0</v>
      </c>
      <c r="GE159" s="62">
        <v>0.0</v>
      </c>
      <c r="GF159" s="63">
        <v>0.0</v>
      </c>
      <c r="GG159" s="64">
        <v>0.0</v>
      </c>
      <c r="GH159" s="65">
        <v>0.0</v>
      </c>
      <c r="GI159" s="64">
        <v>0.0</v>
      </c>
      <c r="GJ159" s="64">
        <v>0.0</v>
      </c>
      <c r="GK159" s="64">
        <v>0.0</v>
      </c>
      <c r="GL159" s="64">
        <v>0.0</v>
      </c>
      <c r="GM159" s="64">
        <v>0.0</v>
      </c>
      <c r="GN159" s="63">
        <v>0.0</v>
      </c>
      <c r="GO159" s="66">
        <v>0.0</v>
      </c>
      <c r="GP159" s="64">
        <v>0.0</v>
      </c>
      <c r="GQ159" s="64">
        <v>0.0</v>
      </c>
      <c r="GR159" s="65">
        <v>0.0</v>
      </c>
      <c r="GS159" s="63">
        <v>0.0</v>
      </c>
      <c r="GT159" s="67">
        <v>-1.45073856E8</v>
      </c>
      <c r="GU159" s="67">
        <v>-1.15719423E8</v>
      </c>
      <c r="GV159" s="67">
        <v>0.0</v>
      </c>
      <c r="GW159" s="63">
        <v>-2.60793279E8</v>
      </c>
      <c r="GX159" s="63">
        <v>0.0</v>
      </c>
      <c r="GY159" s="63">
        <v>2.60793279E8</v>
      </c>
      <c r="GZ159" s="66">
        <v>0.0</v>
      </c>
      <c r="HH159" s="106"/>
    </row>
    <row r="160" ht="15.75" customHeight="1">
      <c r="A160" s="68">
        <v>155.0</v>
      </c>
      <c r="B160" s="111" t="s">
        <v>614</v>
      </c>
      <c r="C160" s="70">
        <v>20225.0</v>
      </c>
      <c r="D160" s="70">
        <v>59114.0</v>
      </c>
      <c r="E160" s="70">
        <v>1155.0</v>
      </c>
      <c r="F160" s="70">
        <v>2969.0</v>
      </c>
      <c r="G160" s="70">
        <v>3682.0</v>
      </c>
      <c r="H160" s="70">
        <v>20769.0</v>
      </c>
      <c r="I160" s="70">
        <v>12148.0</v>
      </c>
      <c r="J160" s="70">
        <v>5759.0</v>
      </c>
      <c r="K160" s="70">
        <v>18.0</v>
      </c>
      <c r="L160" s="70">
        <v>19378.0</v>
      </c>
      <c r="M160" s="70">
        <v>1144.0</v>
      </c>
      <c r="N160" s="70">
        <v>2641.0</v>
      </c>
      <c r="O160" s="70">
        <v>59376.0</v>
      </c>
      <c r="P160" s="70">
        <v>43.0</v>
      </c>
      <c r="Q160" s="70">
        <v>105351.0</v>
      </c>
      <c r="R160" s="70">
        <v>24788.0</v>
      </c>
      <c r="S160" s="70">
        <v>57813.0</v>
      </c>
      <c r="T160" s="70">
        <v>138730.0</v>
      </c>
      <c r="U160" s="70">
        <v>110009.0</v>
      </c>
      <c r="V160" s="70">
        <v>248499.0</v>
      </c>
      <c r="W160" s="70">
        <v>8413.0</v>
      </c>
      <c r="X160" s="70">
        <v>23079.0</v>
      </c>
      <c r="Y160" s="70">
        <v>154500.0</v>
      </c>
      <c r="Z160" s="70">
        <v>240118.0</v>
      </c>
      <c r="AA160" s="70">
        <v>931.0</v>
      </c>
      <c r="AB160" s="70">
        <v>297515.0</v>
      </c>
      <c r="AC160" s="70">
        <v>354.0</v>
      </c>
      <c r="AD160" s="70">
        <v>26481.0</v>
      </c>
      <c r="AE160" s="70">
        <v>4505.0</v>
      </c>
      <c r="AF160" s="70">
        <v>134131.0</v>
      </c>
      <c r="AG160" s="70">
        <v>1112979.0</v>
      </c>
      <c r="AH160" s="70">
        <v>472931.0</v>
      </c>
      <c r="AI160" s="70">
        <v>37613.0</v>
      </c>
      <c r="AJ160" s="70">
        <v>18762.0</v>
      </c>
      <c r="AK160" s="70">
        <v>2445.0</v>
      </c>
      <c r="AL160" s="70">
        <v>6936.0</v>
      </c>
      <c r="AM160" s="70">
        <v>1406081.0</v>
      </c>
      <c r="AN160" s="70">
        <v>76905.0</v>
      </c>
      <c r="AO160" s="70">
        <v>295361.0</v>
      </c>
      <c r="AP160" s="70">
        <v>482.0</v>
      </c>
      <c r="AQ160" s="70">
        <v>27886.0</v>
      </c>
      <c r="AR160" s="70">
        <v>4279.0</v>
      </c>
      <c r="AS160" s="70">
        <v>115102.0</v>
      </c>
      <c r="AT160" s="70">
        <v>11481.0</v>
      </c>
      <c r="AU160" s="70">
        <v>74001.0</v>
      </c>
      <c r="AV160" s="70">
        <v>926961.0</v>
      </c>
      <c r="AW160" s="70">
        <v>2023.0</v>
      </c>
      <c r="AX160" s="70">
        <v>2646739.0</v>
      </c>
      <c r="AY160" s="70">
        <v>16246.0</v>
      </c>
      <c r="AZ160" s="70">
        <v>36817.0</v>
      </c>
      <c r="BA160" s="70">
        <v>725980.0</v>
      </c>
      <c r="BB160" s="70">
        <v>639337.0</v>
      </c>
      <c r="BC160" s="70">
        <v>3144.0</v>
      </c>
      <c r="BD160" s="70">
        <v>128.0</v>
      </c>
      <c r="BE160" s="70">
        <v>1062.0</v>
      </c>
      <c r="BF160" s="70">
        <v>3781.0</v>
      </c>
      <c r="BG160" s="70">
        <v>408.0</v>
      </c>
      <c r="BH160" s="70">
        <v>47867.0</v>
      </c>
      <c r="BI160" s="70">
        <v>1369.0</v>
      </c>
      <c r="BJ160" s="70">
        <v>13696.0</v>
      </c>
      <c r="BK160" s="70">
        <v>2858.0</v>
      </c>
      <c r="BL160" s="70">
        <v>538.0</v>
      </c>
      <c r="BM160" s="70">
        <v>58.0</v>
      </c>
      <c r="BN160" s="70">
        <v>0.0</v>
      </c>
      <c r="BO160" s="70">
        <v>18580.0</v>
      </c>
      <c r="BP160" s="70">
        <v>1104.0</v>
      </c>
      <c r="BQ160" s="70">
        <v>0.0</v>
      </c>
      <c r="BR160" s="70">
        <v>7798.0</v>
      </c>
      <c r="BS160" s="70">
        <v>0.0</v>
      </c>
      <c r="BT160" s="70">
        <v>4267.0</v>
      </c>
      <c r="BU160" s="70">
        <v>8739.0</v>
      </c>
      <c r="BV160" s="70">
        <v>8682.0</v>
      </c>
      <c r="BW160" s="70">
        <v>476.0</v>
      </c>
      <c r="BX160" s="70">
        <v>16053.0</v>
      </c>
      <c r="BY160" s="70">
        <v>527981.0</v>
      </c>
      <c r="BZ160" s="70">
        <v>33758.0</v>
      </c>
      <c r="CA160" s="70">
        <v>166646.0</v>
      </c>
      <c r="CB160" s="70">
        <v>89721.0</v>
      </c>
      <c r="CC160" s="70">
        <v>12090.0</v>
      </c>
      <c r="CD160" s="70">
        <v>9165.0</v>
      </c>
      <c r="CE160" s="70">
        <v>13485.0</v>
      </c>
      <c r="CF160" s="70">
        <v>38638.0</v>
      </c>
      <c r="CG160" s="70">
        <v>6213.0</v>
      </c>
      <c r="CH160" s="70">
        <v>4908.0</v>
      </c>
      <c r="CI160" s="70">
        <v>30015.0</v>
      </c>
      <c r="CJ160" s="70">
        <v>56988.0</v>
      </c>
      <c r="CK160" s="70">
        <v>120888.0</v>
      </c>
      <c r="CL160" s="70">
        <v>70113.0</v>
      </c>
      <c r="CM160" s="70">
        <v>25093.0</v>
      </c>
      <c r="CN160" s="70">
        <v>0.0</v>
      </c>
      <c r="CO160" s="70">
        <v>395.0</v>
      </c>
      <c r="CP160" s="70">
        <v>3431.0</v>
      </c>
      <c r="CQ160" s="70">
        <v>525.0</v>
      </c>
      <c r="CR160" s="70">
        <v>38968.0</v>
      </c>
      <c r="CS160" s="70">
        <v>603355.0</v>
      </c>
      <c r="CT160" s="70">
        <v>199426.0</v>
      </c>
      <c r="CU160" s="70">
        <v>57416.0</v>
      </c>
      <c r="CV160" s="70">
        <v>100870.0</v>
      </c>
      <c r="CW160" s="70">
        <v>11025.0</v>
      </c>
      <c r="CX160" s="70">
        <v>27252.0</v>
      </c>
      <c r="CY160" s="70">
        <v>1824.0</v>
      </c>
      <c r="CZ160" s="70">
        <v>36837.0</v>
      </c>
      <c r="DA160" s="70">
        <v>187928.0</v>
      </c>
      <c r="DB160" s="70">
        <v>38108.0</v>
      </c>
      <c r="DC160" s="70">
        <v>476679.0</v>
      </c>
      <c r="DD160" s="70">
        <v>15822.0</v>
      </c>
      <c r="DE160" s="70">
        <v>20861.0</v>
      </c>
      <c r="DF160" s="70">
        <v>25053.0</v>
      </c>
      <c r="DG160" s="70">
        <v>5089.0</v>
      </c>
      <c r="DH160" s="70">
        <v>71191.0</v>
      </c>
      <c r="DI160" s="70">
        <v>18208.0</v>
      </c>
      <c r="DJ160" s="70">
        <v>27424.0</v>
      </c>
      <c r="DK160" s="70">
        <v>24342.0</v>
      </c>
      <c r="DL160" s="70">
        <v>557012.0</v>
      </c>
      <c r="DM160" s="70">
        <v>204756.0</v>
      </c>
      <c r="DN160" s="70">
        <v>21829.0</v>
      </c>
      <c r="DO160" s="70">
        <v>66114.0</v>
      </c>
      <c r="DP160" s="70">
        <v>41992.0</v>
      </c>
      <c r="DQ160" s="70">
        <v>27991.0</v>
      </c>
      <c r="DR160" s="70">
        <v>98122.0</v>
      </c>
      <c r="DS160" s="70">
        <v>240608.0</v>
      </c>
      <c r="DT160" s="70">
        <v>12862.0</v>
      </c>
      <c r="DU160" s="70">
        <v>28788.0</v>
      </c>
      <c r="DV160" s="70">
        <v>85208.0</v>
      </c>
      <c r="DW160" s="70">
        <v>54706.0</v>
      </c>
      <c r="DX160" s="70">
        <v>50334.0</v>
      </c>
      <c r="DY160" s="70">
        <v>184200.0</v>
      </c>
      <c r="DZ160" s="70">
        <v>222134.0</v>
      </c>
      <c r="EA160" s="70">
        <v>24301.0</v>
      </c>
      <c r="EB160" s="70">
        <v>218554.0</v>
      </c>
      <c r="EC160" s="70">
        <v>340640.0</v>
      </c>
      <c r="ED160" s="70">
        <v>16381.0</v>
      </c>
      <c r="EE160" s="70">
        <v>13919.0</v>
      </c>
      <c r="EF160" s="70">
        <v>5323.0</v>
      </c>
      <c r="EG160" s="70">
        <v>26918.0</v>
      </c>
      <c r="EH160" s="70">
        <v>117006.0</v>
      </c>
      <c r="EI160" s="70">
        <v>45049.0</v>
      </c>
      <c r="EJ160" s="70">
        <v>14134.0</v>
      </c>
      <c r="EK160" s="70">
        <v>7964.0</v>
      </c>
      <c r="EL160" s="70">
        <v>4322.0</v>
      </c>
      <c r="EM160" s="70">
        <v>25116.0</v>
      </c>
      <c r="EN160" s="70">
        <v>117178.0</v>
      </c>
      <c r="EO160" s="70">
        <v>2755.0</v>
      </c>
      <c r="EP160" s="70">
        <v>21333.0</v>
      </c>
      <c r="EQ160" s="70">
        <v>797149.0</v>
      </c>
      <c r="ER160" s="70">
        <v>5667.0</v>
      </c>
      <c r="ES160" s="70">
        <v>58082.0</v>
      </c>
      <c r="ET160" s="70">
        <v>20858.0</v>
      </c>
      <c r="EU160" s="70">
        <v>1833885.0</v>
      </c>
      <c r="EV160" s="70">
        <v>122053.0</v>
      </c>
      <c r="EW160" s="70">
        <v>10810.0</v>
      </c>
      <c r="EX160" s="70">
        <v>184727.0</v>
      </c>
      <c r="EY160" s="70">
        <v>741922.0</v>
      </c>
      <c r="EZ160" s="70">
        <v>3055573.0</v>
      </c>
      <c r="FA160" s="70">
        <v>1745133.0</v>
      </c>
      <c r="FB160" s="70">
        <v>1.9170733E7</v>
      </c>
      <c r="FC160" s="70">
        <v>2489.0</v>
      </c>
      <c r="FD160" s="70">
        <v>4.6466001E7</v>
      </c>
      <c r="FE160" s="70">
        <v>440889.0</v>
      </c>
      <c r="FF160" s="70">
        <v>227742.0</v>
      </c>
      <c r="FG160" s="70">
        <v>1048423.0</v>
      </c>
      <c r="FH160" s="70">
        <v>907123.0</v>
      </c>
      <c r="FI160" s="70">
        <v>3608794.0</v>
      </c>
      <c r="FJ160" s="70">
        <v>34927.0</v>
      </c>
      <c r="FK160" s="70">
        <v>14092.0</v>
      </c>
      <c r="FL160" s="70">
        <v>142439.0</v>
      </c>
      <c r="FM160" s="70">
        <v>61379.0</v>
      </c>
      <c r="FN160" s="70">
        <v>375917.0</v>
      </c>
      <c r="FO160" s="70">
        <v>60555.0</v>
      </c>
      <c r="FP160" s="70">
        <v>1715417.0</v>
      </c>
      <c r="FQ160" s="70">
        <v>910390.0</v>
      </c>
      <c r="FR160" s="70">
        <v>5583.0</v>
      </c>
      <c r="FS160" s="70">
        <v>73517.0</v>
      </c>
      <c r="FT160" s="70">
        <v>1493849.0</v>
      </c>
      <c r="FU160" s="70">
        <v>5734941.0</v>
      </c>
      <c r="FV160" s="70">
        <v>8368273.0</v>
      </c>
      <c r="FW160" s="70">
        <v>2369693.0</v>
      </c>
      <c r="FX160" s="70">
        <v>214523.0</v>
      </c>
      <c r="FY160" s="70">
        <v>3490945.0</v>
      </c>
      <c r="FZ160" s="70">
        <v>4455.0</v>
      </c>
      <c r="GA160" s="70">
        <v>928721.0</v>
      </c>
      <c r="GB160" s="70">
        <v>1162940.0</v>
      </c>
      <c r="GC160" s="70">
        <v>171496.0</v>
      </c>
      <c r="GD160" s="70">
        <v>22335.0</v>
      </c>
      <c r="GE160" s="70">
        <v>2872608.0</v>
      </c>
      <c r="GF160" s="71">
        <v>1.27353921E8</v>
      </c>
      <c r="GG160" s="72">
        <v>1.16432442E8</v>
      </c>
      <c r="GH160" s="73">
        <v>0.0</v>
      </c>
      <c r="GI160" s="72">
        <v>0.0</v>
      </c>
      <c r="GJ160" s="72">
        <v>0.0</v>
      </c>
      <c r="GK160" s="72">
        <v>0.0</v>
      </c>
      <c r="GL160" s="72">
        <v>0.0</v>
      </c>
      <c r="GM160" s="72">
        <v>0.0</v>
      </c>
      <c r="GN160" s="71">
        <v>1.16432442E8</v>
      </c>
      <c r="GO160" s="74">
        <v>2.43786363E8</v>
      </c>
      <c r="GP160" s="72">
        <v>0.0</v>
      </c>
      <c r="GQ160" s="72">
        <v>0.0</v>
      </c>
      <c r="GR160" s="73">
        <v>0.0</v>
      </c>
      <c r="GS160" s="71">
        <v>0.0</v>
      </c>
      <c r="GT160" s="75">
        <v>0.0</v>
      </c>
      <c r="GU160" s="75">
        <v>0.0</v>
      </c>
      <c r="GV160" s="75">
        <v>0.0</v>
      </c>
      <c r="GW160" s="71">
        <v>0.0</v>
      </c>
      <c r="GX160" s="71">
        <v>4734963.0</v>
      </c>
      <c r="GY160" s="71">
        <v>2.390514E8</v>
      </c>
      <c r="GZ160" s="74">
        <v>2.43786363E8</v>
      </c>
      <c r="HH160" s="106"/>
    </row>
    <row r="161" ht="15.75" customHeight="1">
      <c r="A161" s="52">
        <v>156.0</v>
      </c>
      <c r="B161" s="111" t="s">
        <v>615</v>
      </c>
      <c r="C161" s="54">
        <v>0.0</v>
      </c>
      <c r="D161" s="54">
        <v>0.0</v>
      </c>
      <c r="E161" s="54">
        <v>0.0</v>
      </c>
      <c r="F161" s="54">
        <v>0.0</v>
      </c>
      <c r="G161" s="54">
        <v>0.0</v>
      </c>
      <c r="H161" s="54">
        <v>0.0</v>
      </c>
      <c r="I161" s="54">
        <v>0.0</v>
      </c>
      <c r="J161" s="54">
        <v>0.0</v>
      </c>
      <c r="K161" s="54">
        <v>0.0</v>
      </c>
      <c r="L161" s="54">
        <v>0.0</v>
      </c>
      <c r="M161" s="54">
        <v>0.0</v>
      </c>
      <c r="N161" s="54">
        <v>0.0</v>
      </c>
      <c r="O161" s="54">
        <v>0.0</v>
      </c>
      <c r="P161" s="54">
        <v>0.0</v>
      </c>
      <c r="Q161" s="54">
        <v>0.0</v>
      </c>
      <c r="R161" s="54">
        <v>0.0</v>
      </c>
      <c r="S161" s="54">
        <v>0.0</v>
      </c>
      <c r="T161" s="54">
        <v>0.0</v>
      </c>
      <c r="U161" s="54">
        <v>0.0</v>
      </c>
      <c r="V161" s="54">
        <v>0.0</v>
      </c>
      <c r="W161" s="54">
        <v>0.0</v>
      </c>
      <c r="X161" s="54">
        <v>0.0</v>
      </c>
      <c r="Y161" s="54">
        <v>0.0</v>
      </c>
      <c r="Z161" s="54">
        <v>0.0</v>
      </c>
      <c r="AA161" s="54">
        <v>0.0</v>
      </c>
      <c r="AB161" s="54">
        <v>0.0</v>
      </c>
      <c r="AC161" s="54">
        <v>0.0</v>
      </c>
      <c r="AD161" s="54">
        <v>0.0</v>
      </c>
      <c r="AE161" s="54">
        <v>0.0</v>
      </c>
      <c r="AF161" s="54">
        <v>0.0</v>
      </c>
      <c r="AG161" s="54">
        <v>0.0</v>
      </c>
      <c r="AH161" s="54">
        <v>0.0</v>
      </c>
      <c r="AI161" s="54">
        <v>0.0</v>
      </c>
      <c r="AJ161" s="54">
        <v>0.0</v>
      </c>
      <c r="AK161" s="54">
        <v>0.0</v>
      </c>
      <c r="AL161" s="54">
        <v>0.0</v>
      </c>
      <c r="AM161" s="54">
        <v>0.0</v>
      </c>
      <c r="AN161" s="54">
        <v>0.0</v>
      </c>
      <c r="AO161" s="54">
        <v>0.0</v>
      </c>
      <c r="AP161" s="54">
        <v>0.0</v>
      </c>
      <c r="AQ161" s="54">
        <v>0.0</v>
      </c>
      <c r="AR161" s="54">
        <v>0.0</v>
      </c>
      <c r="AS161" s="54">
        <v>0.0</v>
      </c>
      <c r="AT161" s="54">
        <v>0.0</v>
      </c>
      <c r="AU161" s="54">
        <v>0.0</v>
      </c>
      <c r="AV161" s="54">
        <v>0.0</v>
      </c>
      <c r="AW161" s="54">
        <v>0.0</v>
      </c>
      <c r="AX161" s="54">
        <v>0.0</v>
      </c>
      <c r="AY161" s="54">
        <v>0.0</v>
      </c>
      <c r="AZ161" s="54">
        <v>0.0</v>
      </c>
      <c r="BA161" s="54">
        <v>0.0</v>
      </c>
      <c r="BB161" s="54">
        <v>0.0</v>
      </c>
      <c r="BC161" s="54">
        <v>0.0</v>
      </c>
      <c r="BD161" s="54">
        <v>0.0</v>
      </c>
      <c r="BE161" s="54">
        <v>0.0</v>
      </c>
      <c r="BF161" s="54">
        <v>0.0</v>
      </c>
      <c r="BG161" s="54">
        <v>0.0</v>
      </c>
      <c r="BH161" s="54">
        <v>0.0</v>
      </c>
      <c r="BI161" s="54">
        <v>0.0</v>
      </c>
      <c r="BJ161" s="54">
        <v>0.0</v>
      </c>
      <c r="BK161" s="54">
        <v>0.0</v>
      </c>
      <c r="BL161" s="54">
        <v>0.0</v>
      </c>
      <c r="BM161" s="54">
        <v>0.0</v>
      </c>
      <c r="BN161" s="54">
        <v>0.0</v>
      </c>
      <c r="BO161" s="54">
        <v>0.0</v>
      </c>
      <c r="BP161" s="54">
        <v>0.0</v>
      </c>
      <c r="BQ161" s="54">
        <v>0.0</v>
      </c>
      <c r="BR161" s="54">
        <v>0.0</v>
      </c>
      <c r="BS161" s="54">
        <v>0.0</v>
      </c>
      <c r="BT161" s="54">
        <v>0.0</v>
      </c>
      <c r="BU161" s="54">
        <v>0.0</v>
      </c>
      <c r="BV161" s="54">
        <v>0.0</v>
      </c>
      <c r="BW161" s="54">
        <v>0.0</v>
      </c>
      <c r="BX161" s="54">
        <v>0.0</v>
      </c>
      <c r="BY161" s="54">
        <v>0.0</v>
      </c>
      <c r="BZ161" s="54">
        <v>0.0</v>
      </c>
      <c r="CA161" s="54">
        <v>0.0</v>
      </c>
      <c r="CB161" s="54">
        <v>0.0</v>
      </c>
      <c r="CC161" s="54">
        <v>0.0</v>
      </c>
      <c r="CD161" s="54">
        <v>0.0</v>
      </c>
      <c r="CE161" s="54">
        <v>0.0</v>
      </c>
      <c r="CF161" s="54">
        <v>0.0</v>
      </c>
      <c r="CG161" s="54">
        <v>0.0</v>
      </c>
      <c r="CH161" s="54">
        <v>0.0</v>
      </c>
      <c r="CI161" s="54">
        <v>0.0</v>
      </c>
      <c r="CJ161" s="54">
        <v>0.0</v>
      </c>
      <c r="CK161" s="54">
        <v>0.0</v>
      </c>
      <c r="CL161" s="54">
        <v>0.0</v>
      </c>
      <c r="CM161" s="54">
        <v>0.0</v>
      </c>
      <c r="CN161" s="54">
        <v>0.0</v>
      </c>
      <c r="CO161" s="54">
        <v>0.0</v>
      </c>
      <c r="CP161" s="54">
        <v>0.0</v>
      </c>
      <c r="CQ161" s="54">
        <v>0.0</v>
      </c>
      <c r="CR161" s="54">
        <v>0.0</v>
      </c>
      <c r="CS161" s="54">
        <v>0.0</v>
      </c>
      <c r="CT161" s="54">
        <v>0.0</v>
      </c>
      <c r="CU161" s="54">
        <v>0.0</v>
      </c>
      <c r="CV161" s="54">
        <v>0.0</v>
      </c>
      <c r="CW161" s="54">
        <v>0.0</v>
      </c>
      <c r="CX161" s="54">
        <v>0.0</v>
      </c>
      <c r="CY161" s="54">
        <v>0.0</v>
      </c>
      <c r="CZ161" s="54">
        <v>0.0</v>
      </c>
      <c r="DA161" s="54">
        <v>0.0</v>
      </c>
      <c r="DB161" s="54">
        <v>0.0</v>
      </c>
      <c r="DC161" s="54">
        <v>0.0</v>
      </c>
      <c r="DD161" s="54">
        <v>0.0</v>
      </c>
      <c r="DE161" s="54">
        <v>0.0</v>
      </c>
      <c r="DF161" s="54">
        <v>0.0</v>
      </c>
      <c r="DG161" s="54">
        <v>0.0</v>
      </c>
      <c r="DH161" s="54">
        <v>0.0</v>
      </c>
      <c r="DI161" s="54">
        <v>0.0</v>
      </c>
      <c r="DJ161" s="54">
        <v>0.0</v>
      </c>
      <c r="DK161" s="54">
        <v>0.0</v>
      </c>
      <c r="DL161" s="54">
        <v>0.0</v>
      </c>
      <c r="DM161" s="54">
        <v>0.0</v>
      </c>
      <c r="DN161" s="54">
        <v>0.0</v>
      </c>
      <c r="DO161" s="54">
        <v>0.0</v>
      </c>
      <c r="DP161" s="54">
        <v>0.0</v>
      </c>
      <c r="DQ161" s="54">
        <v>0.0</v>
      </c>
      <c r="DR161" s="54">
        <v>0.0</v>
      </c>
      <c r="DS161" s="54">
        <v>0.0</v>
      </c>
      <c r="DT161" s="54">
        <v>0.0</v>
      </c>
      <c r="DU161" s="54">
        <v>0.0</v>
      </c>
      <c r="DV161" s="54">
        <v>0.0</v>
      </c>
      <c r="DW161" s="54">
        <v>0.0</v>
      </c>
      <c r="DX161" s="54">
        <v>0.0</v>
      </c>
      <c r="DY161" s="54">
        <v>0.0</v>
      </c>
      <c r="DZ161" s="54">
        <v>0.0</v>
      </c>
      <c r="EA161" s="54">
        <v>0.0</v>
      </c>
      <c r="EB161" s="54">
        <v>0.0</v>
      </c>
      <c r="EC161" s="54">
        <v>0.0</v>
      </c>
      <c r="ED161" s="54">
        <v>0.0</v>
      </c>
      <c r="EE161" s="54">
        <v>0.0</v>
      </c>
      <c r="EF161" s="54">
        <v>0.0</v>
      </c>
      <c r="EG161" s="54">
        <v>0.0</v>
      </c>
      <c r="EH161" s="54">
        <v>0.0</v>
      </c>
      <c r="EI161" s="54">
        <v>0.0</v>
      </c>
      <c r="EJ161" s="54">
        <v>0.0</v>
      </c>
      <c r="EK161" s="54">
        <v>0.0</v>
      </c>
      <c r="EL161" s="54">
        <v>0.0</v>
      </c>
      <c r="EM161" s="54">
        <v>0.0</v>
      </c>
      <c r="EN161" s="54">
        <v>0.0</v>
      </c>
      <c r="EO161" s="54">
        <v>0.0</v>
      </c>
      <c r="EP161" s="54">
        <v>0.0</v>
      </c>
      <c r="EQ161" s="54">
        <v>0.0</v>
      </c>
      <c r="ER161" s="54">
        <v>0.0</v>
      </c>
      <c r="ES161" s="54">
        <v>0.0</v>
      </c>
      <c r="ET161" s="54">
        <v>0.0</v>
      </c>
      <c r="EU161" s="54">
        <v>0.0</v>
      </c>
      <c r="EV161" s="54">
        <v>0.0</v>
      </c>
      <c r="EW161" s="54">
        <v>0.0</v>
      </c>
      <c r="EX161" s="54">
        <v>0.0</v>
      </c>
      <c r="EY161" s="54">
        <v>0.0</v>
      </c>
      <c r="EZ161" s="54">
        <v>0.0</v>
      </c>
      <c r="FA161" s="54">
        <v>0.0</v>
      </c>
      <c r="FB161" s="54">
        <v>0.0</v>
      </c>
      <c r="FC161" s="54">
        <v>0.0</v>
      </c>
      <c r="FD161" s="54">
        <v>0.0</v>
      </c>
      <c r="FE161" s="54">
        <v>0.0</v>
      </c>
      <c r="FF161" s="54">
        <v>0.0</v>
      </c>
      <c r="FG161" s="54">
        <v>0.0</v>
      </c>
      <c r="FH161" s="54">
        <v>0.0</v>
      </c>
      <c r="FI161" s="54">
        <v>0.0</v>
      </c>
      <c r="FJ161" s="54">
        <v>0.0</v>
      </c>
      <c r="FK161" s="54">
        <v>0.0</v>
      </c>
      <c r="FL161" s="54">
        <v>0.0</v>
      </c>
      <c r="FM161" s="54">
        <v>0.0</v>
      </c>
      <c r="FN161" s="54">
        <v>0.0</v>
      </c>
      <c r="FO161" s="54">
        <v>0.0</v>
      </c>
      <c r="FP161" s="54">
        <v>0.0</v>
      </c>
      <c r="FQ161" s="54">
        <v>0.0</v>
      </c>
      <c r="FR161" s="54">
        <v>0.0</v>
      </c>
      <c r="FS161" s="54">
        <v>0.0</v>
      </c>
      <c r="FT161" s="54">
        <v>0.0</v>
      </c>
      <c r="FU161" s="54">
        <v>0.0</v>
      </c>
      <c r="FV161" s="54">
        <v>0.0</v>
      </c>
      <c r="FW161" s="54">
        <v>0.0</v>
      </c>
      <c r="FX161" s="54">
        <v>0.0</v>
      </c>
      <c r="FY161" s="54">
        <v>0.0</v>
      </c>
      <c r="FZ161" s="54">
        <v>0.0</v>
      </c>
      <c r="GA161" s="54">
        <v>0.0</v>
      </c>
      <c r="GB161" s="54">
        <v>0.0</v>
      </c>
      <c r="GC161" s="54">
        <v>0.0</v>
      </c>
      <c r="GD161" s="54">
        <v>0.0</v>
      </c>
      <c r="GE161" s="54">
        <v>0.0</v>
      </c>
      <c r="GF161" s="55">
        <v>0.0</v>
      </c>
      <c r="GG161" s="56">
        <v>0.0</v>
      </c>
      <c r="GH161" s="57">
        <v>0.0</v>
      </c>
      <c r="GI161" s="56">
        <v>0.0</v>
      </c>
      <c r="GJ161" s="56">
        <v>0.0</v>
      </c>
      <c r="GK161" s="56">
        <v>0.0</v>
      </c>
      <c r="GL161" s="56">
        <v>0.0</v>
      </c>
      <c r="GM161" s="56">
        <v>0.0</v>
      </c>
      <c r="GN161" s="55">
        <v>0.0</v>
      </c>
      <c r="GO161" s="58">
        <v>0.0</v>
      </c>
      <c r="GP161" s="56">
        <v>0.0</v>
      </c>
      <c r="GQ161" s="56">
        <v>0.0</v>
      </c>
      <c r="GR161" s="57">
        <v>0.0</v>
      </c>
      <c r="GS161" s="55">
        <v>0.0</v>
      </c>
      <c r="GT161" s="59">
        <v>-1.270420692E9</v>
      </c>
      <c r="GU161" s="59">
        <v>-1.16123571E9</v>
      </c>
      <c r="GV161" s="59">
        <v>0.0</v>
      </c>
      <c r="GW161" s="55">
        <v>-2.431656402E9</v>
      </c>
      <c r="GX161" s="55">
        <v>0.0</v>
      </c>
      <c r="GY161" s="55">
        <v>2.431656402E9</v>
      </c>
      <c r="GZ161" s="58">
        <v>0.0</v>
      </c>
      <c r="HH161" s="106"/>
    </row>
    <row r="162" ht="15.75" customHeight="1">
      <c r="A162" s="60">
        <v>157.0</v>
      </c>
      <c r="B162" s="111" t="s">
        <v>427</v>
      </c>
      <c r="C162" s="62">
        <v>0.0</v>
      </c>
      <c r="D162" s="62">
        <v>0.0</v>
      </c>
      <c r="E162" s="62">
        <v>0.0</v>
      </c>
      <c r="F162" s="62">
        <v>0.0</v>
      </c>
      <c r="G162" s="62">
        <v>0.0</v>
      </c>
      <c r="H162" s="62">
        <v>0.0</v>
      </c>
      <c r="I162" s="62">
        <v>0.0</v>
      </c>
      <c r="J162" s="62">
        <v>0.0</v>
      </c>
      <c r="K162" s="62">
        <v>0.0</v>
      </c>
      <c r="L162" s="62">
        <v>3.0</v>
      </c>
      <c r="M162" s="62">
        <v>0.0</v>
      </c>
      <c r="N162" s="62">
        <v>67.0</v>
      </c>
      <c r="O162" s="62">
        <v>245.0</v>
      </c>
      <c r="P162" s="62">
        <v>23.0</v>
      </c>
      <c r="Q162" s="62">
        <v>0.0</v>
      </c>
      <c r="R162" s="62">
        <v>4.0</v>
      </c>
      <c r="S162" s="62">
        <v>0.0</v>
      </c>
      <c r="T162" s="62">
        <v>40.0</v>
      </c>
      <c r="U162" s="62">
        <v>6.0</v>
      </c>
      <c r="V162" s="62">
        <v>11.0</v>
      </c>
      <c r="W162" s="62">
        <v>0.0</v>
      </c>
      <c r="X162" s="62">
        <v>103.0</v>
      </c>
      <c r="Y162" s="62">
        <v>0.0</v>
      </c>
      <c r="Z162" s="62">
        <v>32.0</v>
      </c>
      <c r="AA162" s="62">
        <v>10.0</v>
      </c>
      <c r="AB162" s="62">
        <v>0.0</v>
      </c>
      <c r="AC162" s="62">
        <v>1.0</v>
      </c>
      <c r="AD162" s="62">
        <v>0.0</v>
      </c>
      <c r="AE162" s="62">
        <v>0.0</v>
      </c>
      <c r="AF162" s="62">
        <v>0.0</v>
      </c>
      <c r="AG162" s="62">
        <v>10.0</v>
      </c>
      <c r="AH162" s="62">
        <v>7.0</v>
      </c>
      <c r="AI162" s="62">
        <v>85.0</v>
      </c>
      <c r="AJ162" s="62">
        <v>64.0</v>
      </c>
      <c r="AK162" s="62">
        <v>37.0</v>
      </c>
      <c r="AL162" s="62">
        <v>21.0</v>
      </c>
      <c r="AM162" s="62">
        <v>990820.0</v>
      </c>
      <c r="AN162" s="62">
        <v>77117.0</v>
      </c>
      <c r="AO162" s="62">
        <v>26535.0</v>
      </c>
      <c r="AP162" s="62">
        <v>36.0</v>
      </c>
      <c r="AQ162" s="62">
        <v>2309.0</v>
      </c>
      <c r="AR162" s="62">
        <v>0.0</v>
      </c>
      <c r="AS162" s="62">
        <v>6.0</v>
      </c>
      <c r="AT162" s="62">
        <v>1.0</v>
      </c>
      <c r="AU162" s="62">
        <v>5.0</v>
      </c>
      <c r="AV162" s="62">
        <v>8.0</v>
      </c>
      <c r="AW162" s="62">
        <v>28.0</v>
      </c>
      <c r="AX162" s="62">
        <v>785.0</v>
      </c>
      <c r="AY162" s="62">
        <v>84.0</v>
      </c>
      <c r="AZ162" s="62">
        <v>25.0</v>
      </c>
      <c r="BA162" s="62">
        <v>26.0</v>
      </c>
      <c r="BB162" s="62">
        <v>93.0</v>
      </c>
      <c r="BC162" s="62">
        <v>0.0</v>
      </c>
      <c r="BD162" s="62">
        <v>0.0</v>
      </c>
      <c r="BE162" s="62">
        <v>0.0</v>
      </c>
      <c r="BF162" s="62">
        <v>3.0</v>
      </c>
      <c r="BG162" s="62">
        <v>3.0</v>
      </c>
      <c r="BH162" s="62">
        <v>125.0</v>
      </c>
      <c r="BI162" s="62">
        <v>20.0</v>
      </c>
      <c r="BJ162" s="62">
        <v>72.0</v>
      </c>
      <c r="BK162" s="62">
        <v>29.0</v>
      </c>
      <c r="BL162" s="62">
        <v>33.0</v>
      </c>
      <c r="BM162" s="62">
        <v>0.0</v>
      </c>
      <c r="BN162" s="62">
        <v>0.0</v>
      </c>
      <c r="BO162" s="62">
        <v>64.0</v>
      </c>
      <c r="BP162" s="62">
        <v>0.0</v>
      </c>
      <c r="BQ162" s="62">
        <v>0.0</v>
      </c>
      <c r="BR162" s="62">
        <v>22.0</v>
      </c>
      <c r="BS162" s="62">
        <v>3.0</v>
      </c>
      <c r="BT162" s="62">
        <v>2.0</v>
      </c>
      <c r="BU162" s="62">
        <v>136.0</v>
      </c>
      <c r="BV162" s="62">
        <v>0.0</v>
      </c>
      <c r="BW162" s="62">
        <v>0.0</v>
      </c>
      <c r="BX162" s="62">
        <v>1.0</v>
      </c>
      <c r="BY162" s="62">
        <v>33.0</v>
      </c>
      <c r="BZ162" s="62">
        <v>1.0</v>
      </c>
      <c r="CA162" s="62">
        <v>1.0</v>
      </c>
      <c r="CB162" s="62">
        <v>0.0</v>
      </c>
      <c r="CC162" s="62">
        <v>0.0</v>
      </c>
      <c r="CD162" s="62">
        <v>3.0</v>
      </c>
      <c r="CE162" s="62">
        <v>0.0</v>
      </c>
      <c r="CF162" s="62">
        <v>1.0</v>
      </c>
      <c r="CG162" s="62">
        <v>0.0</v>
      </c>
      <c r="CH162" s="62">
        <v>0.0</v>
      </c>
      <c r="CI162" s="62">
        <v>0.0</v>
      </c>
      <c r="CJ162" s="62">
        <v>0.0</v>
      </c>
      <c r="CK162" s="62">
        <v>0.0</v>
      </c>
      <c r="CL162" s="62">
        <v>0.0</v>
      </c>
      <c r="CM162" s="62">
        <v>0.0</v>
      </c>
      <c r="CN162" s="62">
        <v>0.0</v>
      </c>
      <c r="CO162" s="62">
        <v>0.0</v>
      </c>
      <c r="CP162" s="62">
        <v>0.0</v>
      </c>
      <c r="CQ162" s="62">
        <v>1.0</v>
      </c>
      <c r="CR162" s="62">
        <v>335.0</v>
      </c>
      <c r="CS162" s="62">
        <v>10.0</v>
      </c>
      <c r="CT162" s="62">
        <v>18.0</v>
      </c>
      <c r="CU162" s="62">
        <v>417.0</v>
      </c>
      <c r="CV162" s="62">
        <v>12.0</v>
      </c>
      <c r="CW162" s="62">
        <v>290.0</v>
      </c>
      <c r="CX162" s="62">
        <v>3.0</v>
      </c>
      <c r="CY162" s="62">
        <v>0.0</v>
      </c>
      <c r="CZ162" s="62">
        <v>7.0</v>
      </c>
      <c r="DA162" s="62">
        <v>0.0</v>
      </c>
      <c r="DB162" s="62">
        <v>7.0</v>
      </c>
      <c r="DC162" s="62">
        <v>91.0</v>
      </c>
      <c r="DD162" s="62">
        <v>0.0</v>
      </c>
      <c r="DE162" s="62">
        <v>91.0</v>
      </c>
      <c r="DF162" s="62">
        <v>109.0</v>
      </c>
      <c r="DG162" s="62">
        <v>22.0</v>
      </c>
      <c r="DH162" s="62">
        <v>299.0</v>
      </c>
      <c r="DI162" s="62">
        <v>433.0</v>
      </c>
      <c r="DJ162" s="62">
        <v>184.0</v>
      </c>
      <c r="DK162" s="62">
        <v>364.0</v>
      </c>
      <c r="DL162" s="62">
        <v>80.0</v>
      </c>
      <c r="DM162" s="62">
        <v>29.0</v>
      </c>
      <c r="DN162" s="62">
        <v>5.0</v>
      </c>
      <c r="DO162" s="62">
        <v>2471.0</v>
      </c>
      <c r="DP162" s="62">
        <v>265.0</v>
      </c>
      <c r="DQ162" s="62">
        <v>1328.0</v>
      </c>
      <c r="DR162" s="62">
        <v>3356.0</v>
      </c>
      <c r="DS162" s="62">
        <v>73.0</v>
      </c>
      <c r="DT162" s="62">
        <v>14.0</v>
      </c>
      <c r="DU162" s="62">
        <v>13.0</v>
      </c>
      <c r="DV162" s="62">
        <v>9.0</v>
      </c>
      <c r="DW162" s="62">
        <v>8.0</v>
      </c>
      <c r="DX162" s="62">
        <v>38.0</v>
      </c>
      <c r="DY162" s="62">
        <v>14.0</v>
      </c>
      <c r="DZ162" s="62">
        <v>0.0</v>
      </c>
      <c r="EA162" s="62">
        <v>289.0</v>
      </c>
      <c r="EB162" s="62">
        <v>2593.0</v>
      </c>
      <c r="EC162" s="62">
        <v>0.0</v>
      </c>
      <c r="ED162" s="62">
        <v>0.0</v>
      </c>
      <c r="EE162" s="62">
        <v>0.0</v>
      </c>
      <c r="EF162" s="62">
        <v>250.0</v>
      </c>
      <c r="EG162" s="62">
        <v>17.0</v>
      </c>
      <c r="EH162" s="62">
        <v>104.0</v>
      </c>
      <c r="EI162" s="62">
        <v>7.0</v>
      </c>
      <c r="EJ162" s="62">
        <v>0.0</v>
      </c>
      <c r="EK162" s="62">
        <v>0.0</v>
      </c>
      <c r="EL162" s="62">
        <v>5.0</v>
      </c>
      <c r="EM162" s="62">
        <v>0.0</v>
      </c>
      <c r="EN162" s="62">
        <v>103.0</v>
      </c>
      <c r="EO162" s="62">
        <v>35.0</v>
      </c>
      <c r="EP162" s="62">
        <v>51.0</v>
      </c>
      <c r="EQ162" s="62">
        <v>318.0</v>
      </c>
      <c r="ER162" s="62">
        <v>38.0</v>
      </c>
      <c r="ES162" s="62">
        <v>355.0</v>
      </c>
      <c r="ET162" s="62">
        <v>3508.0</v>
      </c>
      <c r="EU162" s="62">
        <v>62520.0</v>
      </c>
      <c r="EV162" s="62">
        <v>696.0</v>
      </c>
      <c r="EW162" s="62">
        <v>636.0</v>
      </c>
      <c r="EX162" s="62">
        <v>3287.0</v>
      </c>
      <c r="EY162" s="62">
        <v>16922.0</v>
      </c>
      <c r="EZ162" s="62">
        <v>4525.0</v>
      </c>
      <c r="FA162" s="62">
        <v>2335.0</v>
      </c>
      <c r="FB162" s="62">
        <v>200735.0</v>
      </c>
      <c r="FC162" s="62">
        <v>147.0</v>
      </c>
      <c r="FD162" s="62">
        <v>6534.0</v>
      </c>
      <c r="FE162" s="62">
        <v>53.0</v>
      </c>
      <c r="FF162" s="62">
        <v>39.0</v>
      </c>
      <c r="FG162" s="62">
        <v>3007.0</v>
      </c>
      <c r="FH162" s="62">
        <v>712.0</v>
      </c>
      <c r="FI162" s="62">
        <v>414.0</v>
      </c>
      <c r="FJ162" s="62">
        <v>120.0</v>
      </c>
      <c r="FK162" s="62">
        <v>145.0</v>
      </c>
      <c r="FL162" s="62">
        <v>3494.0</v>
      </c>
      <c r="FM162" s="62">
        <v>13188.0</v>
      </c>
      <c r="FN162" s="62">
        <v>18217.0</v>
      </c>
      <c r="FO162" s="62">
        <v>1421.0</v>
      </c>
      <c r="FP162" s="62">
        <v>11665.0</v>
      </c>
      <c r="FQ162" s="62">
        <v>27030.0</v>
      </c>
      <c r="FR162" s="62">
        <v>2.0</v>
      </c>
      <c r="FS162" s="62">
        <v>494.0</v>
      </c>
      <c r="FT162" s="62">
        <v>4920.0</v>
      </c>
      <c r="FU162" s="62">
        <v>39732.0</v>
      </c>
      <c r="FV162" s="62">
        <v>51137.0</v>
      </c>
      <c r="FW162" s="62">
        <v>1737282.0</v>
      </c>
      <c r="FX162" s="62">
        <v>241695.0</v>
      </c>
      <c r="FY162" s="62">
        <v>962086.0</v>
      </c>
      <c r="FZ162" s="62">
        <v>92283.0</v>
      </c>
      <c r="GA162" s="62">
        <v>13782.0</v>
      </c>
      <c r="GB162" s="62">
        <v>2451.0</v>
      </c>
      <c r="GC162" s="62">
        <v>740.0</v>
      </c>
      <c r="GD162" s="62">
        <v>25.0</v>
      </c>
      <c r="GE162" s="62">
        <v>17635.0</v>
      </c>
      <c r="GF162" s="63">
        <v>4659374.0</v>
      </c>
      <c r="GG162" s="64">
        <v>1924616.0</v>
      </c>
      <c r="GH162" s="65">
        <v>0.0</v>
      </c>
      <c r="GI162" s="64">
        <v>0.0</v>
      </c>
      <c r="GJ162" s="64">
        <v>0.0</v>
      </c>
      <c r="GK162" s="64">
        <v>0.0</v>
      </c>
      <c r="GL162" s="64">
        <v>0.0</v>
      </c>
      <c r="GM162" s="64">
        <v>134946.0</v>
      </c>
      <c r="GN162" s="63">
        <v>2059562.0</v>
      </c>
      <c r="GO162" s="66">
        <v>6718936.0</v>
      </c>
      <c r="GP162" s="64">
        <v>0.0</v>
      </c>
      <c r="GQ162" s="64">
        <v>166562.0</v>
      </c>
      <c r="GR162" s="65">
        <v>0.0</v>
      </c>
      <c r="GS162" s="63">
        <v>166562.0</v>
      </c>
      <c r="GT162" s="67">
        <v>0.0</v>
      </c>
      <c r="GU162" s="67">
        <v>0.0</v>
      </c>
      <c r="GV162" s="67">
        <v>-3693823.0</v>
      </c>
      <c r="GW162" s="63">
        <v>-3693823.0</v>
      </c>
      <c r="GX162" s="63">
        <v>-3268598.0</v>
      </c>
      <c r="GY162" s="63">
        <v>1.3514795E7</v>
      </c>
      <c r="GZ162" s="66">
        <v>6718936.0</v>
      </c>
      <c r="HH162" s="106"/>
    </row>
    <row r="163" ht="15.75" customHeight="1">
      <c r="A163" s="60">
        <v>158.0</v>
      </c>
      <c r="B163" s="111" t="s">
        <v>428</v>
      </c>
      <c r="C163" s="62">
        <v>9538.0</v>
      </c>
      <c r="D163" s="62">
        <v>29270.0</v>
      </c>
      <c r="E163" s="62">
        <v>2112.0</v>
      </c>
      <c r="F163" s="62">
        <v>20361.0</v>
      </c>
      <c r="G163" s="62">
        <v>371.0</v>
      </c>
      <c r="H163" s="62">
        <v>427.0</v>
      </c>
      <c r="I163" s="62">
        <v>2510.0</v>
      </c>
      <c r="J163" s="62">
        <v>112.0</v>
      </c>
      <c r="K163" s="62">
        <v>88.0</v>
      </c>
      <c r="L163" s="62">
        <v>578825.0</v>
      </c>
      <c r="M163" s="62">
        <v>10982.0</v>
      </c>
      <c r="N163" s="62">
        <v>99501.0</v>
      </c>
      <c r="O163" s="62">
        <v>66752.0</v>
      </c>
      <c r="P163" s="62">
        <v>1559.0</v>
      </c>
      <c r="Q163" s="62">
        <v>76268.0</v>
      </c>
      <c r="R163" s="62">
        <v>511281.0</v>
      </c>
      <c r="S163" s="62">
        <v>5491.0</v>
      </c>
      <c r="T163" s="62">
        <v>256546.0</v>
      </c>
      <c r="U163" s="62">
        <v>50306.0</v>
      </c>
      <c r="V163" s="62">
        <v>324300.0</v>
      </c>
      <c r="W163" s="62">
        <v>3044.0</v>
      </c>
      <c r="X163" s="62">
        <v>11589.0</v>
      </c>
      <c r="Y163" s="62">
        <v>52658.0</v>
      </c>
      <c r="Z163" s="62">
        <v>54207.0</v>
      </c>
      <c r="AA163" s="62">
        <v>16433.0</v>
      </c>
      <c r="AB163" s="62">
        <v>19516.0</v>
      </c>
      <c r="AC163" s="62">
        <v>5927.0</v>
      </c>
      <c r="AD163" s="62">
        <v>50286.0</v>
      </c>
      <c r="AE163" s="62">
        <v>9037.0</v>
      </c>
      <c r="AF163" s="62">
        <v>25002.0</v>
      </c>
      <c r="AG163" s="62">
        <v>162112.0</v>
      </c>
      <c r="AH163" s="62">
        <v>46421.0</v>
      </c>
      <c r="AI163" s="62">
        <v>985732.0</v>
      </c>
      <c r="AJ163" s="62">
        <v>37416.0</v>
      </c>
      <c r="AK163" s="62">
        <v>9756.0</v>
      </c>
      <c r="AL163" s="62">
        <v>7968.0</v>
      </c>
      <c r="AM163" s="62">
        <v>9320485.0</v>
      </c>
      <c r="AN163" s="62">
        <v>663590.0</v>
      </c>
      <c r="AO163" s="62">
        <v>1634630.0</v>
      </c>
      <c r="AP163" s="62">
        <v>9877.0</v>
      </c>
      <c r="AQ163" s="62">
        <v>306328.0</v>
      </c>
      <c r="AR163" s="62">
        <v>419790.0</v>
      </c>
      <c r="AS163" s="62">
        <v>984909.0</v>
      </c>
      <c r="AT163" s="62">
        <v>344103.0</v>
      </c>
      <c r="AU163" s="62">
        <v>155507.0</v>
      </c>
      <c r="AV163" s="62">
        <v>2067349.0</v>
      </c>
      <c r="AW163" s="62">
        <v>20622.0</v>
      </c>
      <c r="AX163" s="62">
        <v>9492421.0</v>
      </c>
      <c r="AY163" s="62">
        <v>515139.0</v>
      </c>
      <c r="AZ163" s="62">
        <v>52475.0</v>
      </c>
      <c r="BA163" s="62">
        <v>876543.0</v>
      </c>
      <c r="BB163" s="62">
        <v>1478106.0</v>
      </c>
      <c r="BC163" s="62">
        <v>943469.0</v>
      </c>
      <c r="BD163" s="62">
        <v>923999.0</v>
      </c>
      <c r="BE163" s="62">
        <v>52513.0</v>
      </c>
      <c r="BF163" s="62">
        <v>177854.0</v>
      </c>
      <c r="BG163" s="62">
        <v>25865.0</v>
      </c>
      <c r="BH163" s="62">
        <v>220752.0</v>
      </c>
      <c r="BI163" s="62">
        <v>2712.0</v>
      </c>
      <c r="BJ163" s="62">
        <v>20499.0</v>
      </c>
      <c r="BK163" s="62">
        <v>49747.0</v>
      </c>
      <c r="BL163" s="62">
        <v>1398.0</v>
      </c>
      <c r="BM163" s="62">
        <v>196.0</v>
      </c>
      <c r="BN163" s="62">
        <v>80.0</v>
      </c>
      <c r="BO163" s="62">
        <v>1103978.0</v>
      </c>
      <c r="BP163" s="62">
        <v>191.0</v>
      </c>
      <c r="BQ163" s="62">
        <v>146.0</v>
      </c>
      <c r="BR163" s="62">
        <v>40948.0</v>
      </c>
      <c r="BS163" s="62">
        <v>45549.0</v>
      </c>
      <c r="BT163" s="62">
        <v>339059.0</v>
      </c>
      <c r="BU163" s="62">
        <v>548738.0</v>
      </c>
      <c r="BV163" s="62">
        <v>93118.0</v>
      </c>
      <c r="BW163" s="62">
        <v>624.0</v>
      </c>
      <c r="BX163" s="62">
        <v>154284.0</v>
      </c>
      <c r="BY163" s="62">
        <v>1755515.0</v>
      </c>
      <c r="BZ163" s="62">
        <v>117030.0</v>
      </c>
      <c r="CA163" s="62">
        <v>565377.0</v>
      </c>
      <c r="CB163" s="62">
        <v>694141.0</v>
      </c>
      <c r="CC163" s="62">
        <v>64312.0</v>
      </c>
      <c r="CD163" s="62">
        <v>97264.0</v>
      </c>
      <c r="CE163" s="62">
        <v>58193.0</v>
      </c>
      <c r="CF163" s="62">
        <v>311286.0</v>
      </c>
      <c r="CG163" s="62">
        <v>116425.0</v>
      </c>
      <c r="CH163" s="62">
        <v>99766.0</v>
      </c>
      <c r="CI163" s="62">
        <v>408778.0</v>
      </c>
      <c r="CJ163" s="62">
        <v>600291.0</v>
      </c>
      <c r="CK163" s="62">
        <v>1249543.0</v>
      </c>
      <c r="CL163" s="62">
        <v>729829.0</v>
      </c>
      <c r="CM163" s="62">
        <v>287571.0</v>
      </c>
      <c r="CN163" s="62">
        <v>1567253.0</v>
      </c>
      <c r="CO163" s="62">
        <v>1630042.0</v>
      </c>
      <c r="CP163" s="62">
        <v>2376088.0</v>
      </c>
      <c r="CQ163" s="62">
        <v>1468317.0</v>
      </c>
      <c r="CR163" s="62">
        <v>696948.0</v>
      </c>
      <c r="CS163" s="62">
        <v>1170594.0</v>
      </c>
      <c r="CT163" s="62">
        <v>1262305.0</v>
      </c>
      <c r="CU163" s="62">
        <v>393012.0</v>
      </c>
      <c r="CV163" s="62">
        <v>880386.0</v>
      </c>
      <c r="CW163" s="62">
        <v>68783.0</v>
      </c>
      <c r="CX163" s="62">
        <v>371369.0</v>
      </c>
      <c r="CY163" s="62">
        <v>16960.0</v>
      </c>
      <c r="CZ163" s="62">
        <v>223061.0</v>
      </c>
      <c r="DA163" s="62">
        <v>363100.0</v>
      </c>
      <c r="DB163" s="62">
        <v>326746.0</v>
      </c>
      <c r="DC163" s="62">
        <v>799563.0</v>
      </c>
      <c r="DD163" s="62">
        <v>276031.0</v>
      </c>
      <c r="DE163" s="62">
        <v>118626.0</v>
      </c>
      <c r="DF163" s="62">
        <v>142435.0</v>
      </c>
      <c r="DG163" s="62">
        <v>29177.0</v>
      </c>
      <c r="DH163" s="62">
        <v>405258.0</v>
      </c>
      <c r="DI163" s="62">
        <v>354649.0</v>
      </c>
      <c r="DJ163" s="62">
        <v>606077.0</v>
      </c>
      <c r="DK163" s="62">
        <v>1529261.0</v>
      </c>
      <c r="DL163" s="62">
        <v>1848307.0</v>
      </c>
      <c r="DM163" s="62">
        <v>553558.0</v>
      </c>
      <c r="DN163" s="62">
        <v>67096.0</v>
      </c>
      <c r="DO163" s="62">
        <v>932687.0</v>
      </c>
      <c r="DP163" s="62">
        <v>94839.0</v>
      </c>
      <c r="DQ163" s="62">
        <v>594992.0</v>
      </c>
      <c r="DR163" s="62">
        <v>1241201.0</v>
      </c>
      <c r="DS163" s="62">
        <v>909791.0</v>
      </c>
      <c r="DT163" s="62">
        <v>49640.0</v>
      </c>
      <c r="DU163" s="62">
        <v>112933.0</v>
      </c>
      <c r="DV163" s="62">
        <v>330659.0</v>
      </c>
      <c r="DW163" s="62">
        <v>212718.0</v>
      </c>
      <c r="DX163" s="62">
        <v>182217.0</v>
      </c>
      <c r="DY163" s="62">
        <v>609704.0</v>
      </c>
      <c r="DZ163" s="62">
        <v>71589.0</v>
      </c>
      <c r="EA163" s="62">
        <v>8495.0</v>
      </c>
      <c r="EB163" s="62">
        <v>79631.0</v>
      </c>
      <c r="EC163" s="62">
        <v>149702.0</v>
      </c>
      <c r="ED163" s="62">
        <v>105778.0</v>
      </c>
      <c r="EE163" s="62">
        <v>84506.0</v>
      </c>
      <c r="EF163" s="62">
        <v>71500.0</v>
      </c>
      <c r="EG163" s="62">
        <v>64415.0</v>
      </c>
      <c r="EH163" s="62">
        <v>391318.0</v>
      </c>
      <c r="EI163" s="62">
        <v>1823137.0</v>
      </c>
      <c r="EJ163" s="62">
        <v>537531.0</v>
      </c>
      <c r="EK163" s="62">
        <v>149079.0</v>
      </c>
      <c r="EL163" s="62">
        <v>175584.0</v>
      </c>
      <c r="EM163" s="62">
        <v>192130.0</v>
      </c>
      <c r="EN163" s="62">
        <v>138722.0</v>
      </c>
      <c r="EO163" s="62">
        <v>31938.0</v>
      </c>
      <c r="EP163" s="62">
        <v>45279.0</v>
      </c>
      <c r="EQ163" s="62">
        <v>242637.0</v>
      </c>
      <c r="ER163" s="62">
        <v>32230.0</v>
      </c>
      <c r="ES163" s="62">
        <v>881781.0</v>
      </c>
      <c r="ET163" s="62">
        <v>611358.0</v>
      </c>
      <c r="EU163" s="62">
        <v>5.3010943E7</v>
      </c>
      <c r="EV163" s="62">
        <v>4872567.0</v>
      </c>
      <c r="EW163" s="62">
        <v>982040.0</v>
      </c>
      <c r="EX163" s="62">
        <v>4282749.0</v>
      </c>
      <c r="EY163" s="62">
        <v>3.9160149E7</v>
      </c>
      <c r="EZ163" s="62">
        <v>4881142.0</v>
      </c>
      <c r="FA163" s="62">
        <v>1854231.0</v>
      </c>
      <c r="FB163" s="62">
        <v>5.6446462E7</v>
      </c>
      <c r="FC163" s="62">
        <v>6888.0</v>
      </c>
      <c r="FD163" s="62">
        <v>1964358.0</v>
      </c>
      <c r="FE163" s="62">
        <v>201750.0</v>
      </c>
      <c r="FF163" s="62">
        <v>305806.0</v>
      </c>
      <c r="FG163" s="62">
        <v>801383.0</v>
      </c>
      <c r="FH163" s="62">
        <v>1936611.0</v>
      </c>
      <c r="FI163" s="62">
        <v>5474986.0</v>
      </c>
      <c r="FJ163" s="62">
        <v>34002.0</v>
      </c>
      <c r="FK163" s="62">
        <v>459241.0</v>
      </c>
      <c r="FL163" s="62">
        <v>1405485.0</v>
      </c>
      <c r="FM163" s="62">
        <v>425769.0</v>
      </c>
      <c r="FN163" s="62">
        <v>1558086.0</v>
      </c>
      <c r="FO163" s="62">
        <v>399285.0</v>
      </c>
      <c r="FP163" s="62">
        <v>1247497.0</v>
      </c>
      <c r="FQ163" s="62">
        <v>358111.0</v>
      </c>
      <c r="FR163" s="62">
        <v>94.0</v>
      </c>
      <c r="FS163" s="62">
        <v>308015.0</v>
      </c>
      <c r="FT163" s="62">
        <v>1576153.0</v>
      </c>
      <c r="FU163" s="62">
        <v>6254521.0</v>
      </c>
      <c r="FV163" s="62">
        <v>2994745.0</v>
      </c>
      <c r="FW163" s="62">
        <v>2.9143831E7</v>
      </c>
      <c r="FX163" s="62">
        <v>5229359.0</v>
      </c>
      <c r="FY163" s="62">
        <v>4461598.0</v>
      </c>
      <c r="FZ163" s="62">
        <v>164724.0</v>
      </c>
      <c r="GA163" s="62">
        <v>7464702.0</v>
      </c>
      <c r="GB163" s="62">
        <v>2669315.0</v>
      </c>
      <c r="GC163" s="62">
        <v>1365258.0</v>
      </c>
      <c r="GD163" s="62">
        <v>173522.0</v>
      </c>
      <c r="GE163" s="62">
        <v>1806135.0</v>
      </c>
      <c r="GF163" s="63">
        <v>3.20172854E8</v>
      </c>
      <c r="GG163" s="64">
        <v>1.79119077E8</v>
      </c>
      <c r="GH163" s="65">
        <v>0.0</v>
      </c>
      <c r="GI163" s="64">
        <v>0.0</v>
      </c>
      <c r="GJ163" s="64">
        <v>0.0</v>
      </c>
      <c r="GK163" s="64">
        <v>0.0</v>
      </c>
      <c r="GL163" s="64">
        <v>0.0</v>
      </c>
      <c r="GM163" s="64">
        <v>1822669.0</v>
      </c>
      <c r="GN163" s="63">
        <v>1.80941746E8</v>
      </c>
      <c r="GO163" s="66">
        <v>5.011146E8</v>
      </c>
      <c r="GP163" s="64">
        <v>0.0</v>
      </c>
      <c r="GQ163" s="64">
        <v>5283253.0</v>
      </c>
      <c r="GR163" s="65">
        <v>-4602581.0</v>
      </c>
      <c r="GS163" s="63">
        <v>680672.0</v>
      </c>
      <c r="GT163" s="67">
        <v>0.0</v>
      </c>
      <c r="GU163" s="67">
        <v>0.0</v>
      </c>
      <c r="GV163" s="67">
        <v>-2.96741497E8</v>
      </c>
      <c r="GW163" s="63">
        <v>-2.96741497E8</v>
      </c>
      <c r="GX163" s="63">
        <v>-1663354.0</v>
      </c>
      <c r="GY163" s="63">
        <v>7.98838779E8</v>
      </c>
      <c r="GZ163" s="66">
        <v>5.011146E8</v>
      </c>
      <c r="HH163" s="106"/>
    </row>
    <row r="164" ht="15.75" customHeight="1">
      <c r="A164" s="60">
        <v>159.0</v>
      </c>
      <c r="B164" s="111" t="s">
        <v>429</v>
      </c>
      <c r="C164" s="62">
        <v>0.0</v>
      </c>
      <c r="D164" s="62">
        <v>0.0</v>
      </c>
      <c r="E164" s="62">
        <v>0.0</v>
      </c>
      <c r="F164" s="62">
        <v>0.0</v>
      </c>
      <c r="G164" s="62">
        <v>0.0</v>
      </c>
      <c r="H164" s="62">
        <v>0.0</v>
      </c>
      <c r="I164" s="62">
        <v>0.0</v>
      </c>
      <c r="J164" s="62">
        <v>0.0</v>
      </c>
      <c r="K164" s="62">
        <v>0.0</v>
      </c>
      <c r="L164" s="62">
        <v>686.0</v>
      </c>
      <c r="M164" s="62">
        <v>274.0</v>
      </c>
      <c r="N164" s="62">
        <v>7223.0</v>
      </c>
      <c r="O164" s="62">
        <v>4801.0</v>
      </c>
      <c r="P164" s="62">
        <v>0.0</v>
      </c>
      <c r="Q164" s="62">
        <v>1396.0</v>
      </c>
      <c r="R164" s="62">
        <v>2183.0</v>
      </c>
      <c r="S164" s="62">
        <v>135.0</v>
      </c>
      <c r="T164" s="62">
        <v>545.0</v>
      </c>
      <c r="U164" s="62">
        <v>510.0</v>
      </c>
      <c r="V164" s="62">
        <v>3191.0</v>
      </c>
      <c r="W164" s="62">
        <v>109.0</v>
      </c>
      <c r="X164" s="62">
        <v>357.0</v>
      </c>
      <c r="Y164" s="62">
        <v>643.0</v>
      </c>
      <c r="Z164" s="62">
        <v>654.0</v>
      </c>
      <c r="AA164" s="62">
        <v>817.0</v>
      </c>
      <c r="AB164" s="62">
        <v>935.0</v>
      </c>
      <c r="AC164" s="62">
        <v>770.0</v>
      </c>
      <c r="AD164" s="62">
        <v>1238.0</v>
      </c>
      <c r="AE164" s="62">
        <v>0.0</v>
      </c>
      <c r="AF164" s="62">
        <v>502.0</v>
      </c>
      <c r="AG164" s="62">
        <v>4418.0</v>
      </c>
      <c r="AH164" s="62">
        <v>1123.0</v>
      </c>
      <c r="AI164" s="62">
        <v>7920.0</v>
      </c>
      <c r="AJ164" s="62">
        <v>1428.0</v>
      </c>
      <c r="AK164" s="62">
        <v>1764.0</v>
      </c>
      <c r="AL164" s="62">
        <v>2859.0</v>
      </c>
      <c r="AM164" s="62">
        <v>1.6777799E7</v>
      </c>
      <c r="AN164" s="62">
        <v>2330720.0</v>
      </c>
      <c r="AO164" s="62">
        <v>1474816.0</v>
      </c>
      <c r="AP164" s="62">
        <v>285.0</v>
      </c>
      <c r="AQ164" s="62">
        <v>126623.0</v>
      </c>
      <c r="AR164" s="62">
        <v>1536.0</v>
      </c>
      <c r="AS164" s="62">
        <v>35181.0</v>
      </c>
      <c r="AT164" s="62">
        <v>2532.0</v>
      </c>
      <c r="AU164" s="62">
        <v>48610.0</v>
      </c>
      <c r="AV164" s="62">
        <v>776952.0</v>
      </c>
      <c r="AW164" s="62">
        <v>13631.0</v>
      </c>
      <c r="AX164" s="62">
        <v>1590049.0</v>
      </c>
      <c r="AY164" s="62">
        <v>159649.0</v>
      </c>
      <c r="AZ164" s="62">
        <v>1177.0</v>
      </c>
      <c r="BA164" s="62">
        <v>150297.0</v>
      </c>
      <c r="BB164" s="62">
        <v>379112.0</v>
      </c>
      <c r="BC164" s="62">
        <v>17207.0</v>
      </c>
      <c r="BD164" s="62">
        <v>2913.0</v>
      </c>
      <c r="BE164" s="62">
        <v>3337.0</v>
      </c>
      <c r="BF164" s="62">
        <v>14786.0</v>
      </c>
      <c r="BG164" s="62">
        <v>431.0</v>
      </c>
      <c r="BH164" s="62">
        <v>37387.0</v>
      </c>
      <c r="BI164" s="62">
        <v>4577.0</v>
      </c>
      <c r="BJ164" s="62">
        <v>13964.0</v>
      </c>
      <c r="BK164" s="62">
        <v>912.0</v>
      </c>
      <c r="BL164" s="62">
        <v>154.0</v>
      </c>
      <c r="BM164" s="62">
        <v>14.0</v>
      </c>
      <c r="BN164" s="62">
        <v>0.0</v>
      </c>
      <c r="BO164" s="62">
        <v>314.0</v>
      </c>
      <c r="BP164" s="62">
        <v>202.0</v>
      </c>
      <c r="BQ164" s="62">
        <v>133.0</v>
      </c>
      <c r="BR164" s="62">
        <v>166.0</v>
      </c>
      <c r="BS164" s="62">
        <v>19330.0</v>
      </c>
      <c r="BT164" s="62">
        <v>5068.0</v>
      </c>
      <c r="BU164" s="62">
        <v>4960.0</v>
      </c>
      <c r="BV164" s="62">
        <v>19044.0</v>
      </c>
      <c r="BW164" s="62">
        <v>553.0</v>
      </c>
      <c r="BX164" s="62">
        <v>1344.0</v>
      </c>
      <c r="BY164" s="62">
        <v>15737.0</v>
      </c>
      <c r="BZ164" s="62">
        <v>1049.0</v>
      </c>
      <c r="CA164" s="62">
        <v>70338.0</v>
      </c>
      <c r="CB164" s="62">
        <v>38764.0</v>
      </c>
      <c r="CC164" s="62">
        <v>32655.0</v>
      </c>
      <c r="CD164" s="62">
        <v>51418.0</v>
      </c>
      <c r="CE164" s="62">
        <v>45456.0</v>
      </c>
      <c r="CF164" s="62">
        <v>28936.0</v>
      </c>
      <c r="CG164" s="62">
        <v>28439.0</v>
      </c>
      <c r="CH164" s="62">
        <v>6491.0</v>
      </c>
      <c r="CI164" s="62">
        <v>34622.0</v>
      </c>
      <c r="CJ164" s="62">
        <v>196679.0</v>
      </c>
      <c r="CK164" s="62">
        <v>880350.0</v>
      </c>
      <c r="CL164" s="62">
        <v>243233.0</v>
      </c>
      <c r="CM164" s="62">
        <v>74813.0</v>
      </c>
      <c r="CN164" s="62">
        <v>25088.0</v>
      </c>
      <c r="CO164" s="62">
        <v>30165.0</v>
      </c>
      <c r="CP164" s="62">
        <v>45063.0</v>
      </c>
      <c r="CQ164" s="62">
        <v>40540.0</v>
      </c>
      <c r="CR164" s="62">
        <v>94299.0</v>
      </c>
      <c r="CS164" s="62">
        <v>2073934.0</v>
      </c>
      <c r="CT164" s="62">
        <v>44688.0</v>
      </c>
      <c r="CU164" s="62">
        <v>1959.0</v>
      </c>
      <c r="CV164" s="62">
        <v>3649.0</v>
      </c>
      <c r="CW164" s="62">
        <v>395.0</v>
      </c>
      <c r="CX164" s="62">
        <v>951.0</v>
      </c>
      <c r="CY164" s="62">
        <v>64.0</v>
      </c>
      <c r="CZ164" s="62">
        <v>1222.0</v>
      </c>
      <c r="DA164" s="62">
        <v>2025.0</v>
      </c>
      <c r="DB164" s="62">
        <v>4626.0</v>
      </c>
      <c r="DC164" s="62">
        <v>3095.0</v>
      </c>
      <c r="DD164" s="62">
        <v>513.0</v>
      </c>
      <c r="DE164" s="62">
        <v>3144.0</v>
      </c>
      <c r="DF164" s="62">
        <v>3774.0</v>
      </c>
      <c r="DG164" s="62">
        <v>810.0</v>
      </c>
      <c r="DH164" s="62">
        <v>10839.0</v>
      </c>
      <c r="DI164" s="62">
        <v>49373.0</v>
      </c>
      <c r="DJ164" s="62">
        <v>50826.0</v>
      </c>
      <c r="DK164" s="62">
        <v>82662.0</v>
      </c>
      <c r="DL164" s="62">
        <v>108152.0</v>
      </c>
      <c r="DM164" s="62">
        <v>151282.0</v>
      </c>
      <c r="DN164" s="62">
        <v>15045.0</v>
      </c>
      <c r="DO164" s="62">
        <v>147710.0</v>
      </c>
      <c r="DP164" s="62">
        <v>8551.0</v>
      </c>
      <c r="DQ164" s="62">
        <v>58540.0</v>
      </c>
      <c r="DR164" s="62">
        <v>103868.0</v>
      </c>
      <c r="DS164" s="62">
        <v>11703.0</v>
      </c>
      <c r="DT164" s="62">
        <v>534.0</v>
      </c>
      <c r="DU164" s="62">
        <v>971.0</v>
      </c>
      <c r="DV164" s="62">
        <v>2718.0</v>
      </c>
      <c r="DW164" s="62">
        <v>1754.0</v>
      </c>
      <c r="DX164" s="62">
        <v>1673.0</v>
      </c>
      <c r="DY164" s="62">
        <v>4971.0</v>
      </c>
      <c r="DZ164" s="62">
        <v>6919.0</v>
      </c>
      <c r="EA164" s="62">
        <v>731.0</v>
      </c>
      <c r="EB164" s="62">
        <v>6605.0</v>
      </c>
      <c r="EC164" s="62">
        <v>8936.0</v>
      </c>
      <c r="ED164" s="62">
        <v>2627.0</v>
      </c>
      <c r="EE164" s="62">
        <v>2128.0</v>
      </c>
      <c r="EF164" s="62">
        <v>8367.0</v>
      </c>
      <c r="EG164" s="62">
        <v>2117.0</v>
      </c>
      <c r="EH164" s="62">
        <v>32758.0</v>
      </c>
      <c r="EI164" s="62">
        <v>22404.0</v>
      </c>
      <c r="EJ164" s="62">
        <v>10457.0</v>
      </c>
      <c r="EK164" s="62">
        <v>2820.0</v>
      </c>
      <c r="EL164" s="62">
        <v>3767.0</v>
      </c>
      <c r="EM164" s="62">
        <v>3221.0</v>
      </c>
      <c r="EN164" s="62">
        <v>2558.0</v>
      </c>
      <c r="EO164" s="62">
        <v>3725.0</v>
      </c>
      <c r="EP164" s="62">
        <v>1429.0</v>
      </c>
      <c r="EQ164" s="62">
        <v>8967.0</v>
      </c>
      <c r="ER164" s="62">
        <v>130.0</v>
      </c>
      <c r="ES164" s="62">
        <v>10674.0</v>
      </c>
      <c r="ET164" s="62">
        <v>82713.0</v>
      </c>
      <c r="EU164" s="62">
        <v>176557.0</v>
      </c>
      <c r="EV164" s="62">
        <v>6057.0</v>
      </c>
      <c r="EW164" s="62">
        <v>3241.0</v>
      </c>
      <c r="EX164" s="62">
        <v>13059.0</v>
      </c>
      <c r="EY164" s="62">
        <v>71077.0</v>
      </c>
      <c r="EZ164" s="62">
        <v>419210.0</v>
      </c>
      <c r="FA164" s="62">
        <v>27668.0</v>
      </c>
      <c r="FB164" s="62">
        <v>1435932.0</v>
      </c>
      <c r="FC164" s="62">
        <v>94.0</v>
      </c>
      <c r="FD164" s="62">
        <v>2061.0</v>
      </c>
      <c r="FE164" s="62">
        <v>22865.0</v>
      </c>
      <c r="FF164" s="62">
        <v>7195.0</v>
      </c>
      <c r="FG164" s="62">
        <v>32886.0</v>
      </c>
      <c r="FH164" s="62">
        <v>1084634.0</v>
      </c>
      <c r="FI164" s="62">
        <v>655558.0</v>
      </c>
      <c r="FJ164" s="62">
        <v>651.0</v>
      </c>
      <c r="FK164" s="62">
        <v>5704.0</v>
      </c>
      <c r="FL164" s="62">
        <v>209120.0</v>
      </c>
      <c r="FM164" s="62">
        <v>13574.0</v>
      </c>
      <c r="FN164" s="62">
        <v>395154.0</v>
      </c>
      <c r="FO164" s="62">
        <v>24665.0</v>
      </c>
      <c r="FP164" s="62">
        <v>38404.0</v>
      </c>
      <c r="FQ164" s="62">
        <v>16254.0</v>
      </c>
      <c r="FR164" s="62">
        <v>7.0</v>
      </c>
      <c r="FS164" s="62">
        <v>11163.0</v>
      </c>
      <c r="FT164" s="62">
        <v>83673.0</v>
      </c>
      <c r="FU164" s="62">
        <v>769839.0</v>
      </c>
      <c r="FV164" s="62">
        <v>538261.0</v>
      </c>
      <c r="FW164" s="62">
        <v>1289449.0</v>
      </c>
      <c r="FX164" s="62">
        <v>79571.0</v>
      </c>
      <c r="FY164" s="62">
        <v>239661.0</v>
      </c>
      <c r="FZ164" s="62">
        <v>23778.0</v>
      </c>
      <c r="GA164" s="62">
        <v>40038.0</v>
      </c>
      <c r="GB164" s="62">
        <v>23960.0</v>
      </c>
      <c r="GC164" s="62">
        <v>3199.0</v>
      </c>
      <c r="GD164" s="62">
        <v>3450.0</v>
      </c>
      <c r="GE164" s="62">
        <v>43726.0</v>
      </c>
      <c r="GF164" s="63">
        <v>3.703785E7</v>
      </c>
      <c r="GG164" s="64">
        <v>7875909.0</v>
      </c>
      <c r="GH164" s="65">
        <v>0.0</v>
      </c>
      <c r="GI164" s="64">
        <v>0.0</v>
      </c>
      <c r="GJ164" s="64">
        <v>0.0</v>
      </c>
      <c r="GK164" s="64">
        <v>0.0</v>
      </c>
      <c r="GL164" s="64">
        <v>0.0</v>
      </c>
      <c r="GM164" s="64">
        <v>1.3617165E7</v>
      </c>
      <c r="GN164" s="63">
        <v>2.1493074E7</v>
      </c>
      <c r="GO164" s="66">
        <v>5.8530924E7</v>
      </c>
      <c r="GP164" s="64">
        <v>0.0</v>
      </c>
      <c r="GQ164" s="64">
        <v>8.2799387E7</v>
      </c>
      <c r="GR164" s="65">
        <v>-8.2396154E7</v>
      </c>
      <c r="GS164" s="63">
        <v>403233.0</v>
      </c>
      <c r="GT164" s="67">
        <v>0.0</v>
      </c>
      <c r="GU164" s="67">
        <v>0.0</v>
      </c>
      <c r="GV164" s="67">
        <v>-7.807709E7</v>
      </c>
      <c r="GW164" s="63">
        <v>-7.807709E7</v>
      </c>
      <c r="GX164" s="63">
        <v>-2046300.0</v>
      </c>
      <c r="GY164" s="63">
        <v>1.38251081E8</v>
      </c>
      <c r="GZ164" s="66">
        <v>5.8530924E7</v>
      </c>
      <c r="HH164" s="106"/>
    </row>
    <row r="165" ht="15.75" customHeight="1">
      <c r="A165" s="68">
        <v>160.0</v>
      </c>
      <c r="B165" s="111" t="s">
        <v>430</v>
      </c>
      <c r="C165" s="70">
        <v>6569.0</v>
      </c>
      <c r="D165" s="70">
        <v>8241.0</v>
      </c>
      <c r="E165" s="70">
        <v>27.0</v>
      </c>
      <c r="F165" s="70">
        <v>3995.0</v>
      </c>
      <c r="G165" s="70">
        <v>206.0</v>
      </c>
      <c r="H165" s="70">
        <v>975.0</v>
      </c>
      <c r="I165" s="70">
        <v>109.0</v>
      </c>
      <c r="J165" s="70">
        <v>255.0</v>
      </c>
      <c r="K165" s="70">
        <v>7.0</v>
      </c>
      <c r="L165" s="70">
        <v>6842.0</v>
      </c>
      <c r="M165" s="70">
        <v>4038.0</v>
      </c>
      <c r="N165" s="70">
        <v>1644.0</v>
      </c>
      <c r="O165" s="70">
        <v>14992.0</v>
      </c>
      <c r="P165" s="70">
        <v>0.0</v>
      </c>
      <c r="Q165" s="70">
        <v>6244.0</v>
      </c>
      <c r="R165" s="70">
        <v>3567.0</v>
      </c>
      <c r="S165" s="70">
        <v>3531.0</v>
      </c>
      <c r="T165" s="70">
        <v>44399.0</v>
      </c>
      <c r="U165" s="70">
        <v>2753.0</v>
      </c>
      <c r="V165" s="70">
        <v>11426.0</v>
      </c>
      <c r="W165" s="70">
        <v>142.0</v>
      </c>
      <c r="X165" s="70">
        <v>1406.0</v>
      </c>
      <c r="Y165" s="70">
        <v>4949.0</v>
      </c>
      <c r="Z165" s="70">
        <v>5605.0</v>
      </c>
      <c r="AA165" s="70">
        <v>6768.0</v>
      </c>
      <c r="AB165" s="70">
        <v>6873.0</v>
      </c>
      <c r="AC165" s="70">
        <v>877.0</v>
      </c>
      <c r="AD165" s="70">
        <v>6286.0</v>
      </c>
      <c r="AE165" s="70">
        <v>0.0</v>
      </c>
      <c r="AF165" s="70">
        <v>1823.0</v>
      </c>
      <c r="AG165" s="70">
        <v>28426.0</v>
      </c>
      <c r="AH165" s="70">
        <v>6991.0</v>
      </c>
      <c r="AI165" s="70">
        <v>45753.0</v>
      </c>
      <c r="AJ165" s="70">
        <v>14219.0</v>
      </c>
      <c r="AK165" s="70">
        <v>2047.0</v>
      </c>
      <c r="AL165" s="70">
        <v>1305.0</v>
      </c>
      <c r="AM165" s="70">
        <v>2567700.0</v>
      </c>
      <c r="AN165" s="70">
        <v>1350293.0</v>
      </c>
      <c r="AO165" s="70">
        <v>1544430.0</v>
      </c>
      <c r="AP165" s="70">
        <v>260.0</v>
      </c>
      <c r="AQ165" s="70">
        <v>41019.0</v>
      </c>
      <c r="AR165" s="70">
        <v>426.0</v>
      </c>
      <c r="AS165" s="70">
        <v>39818.0</v>
      </c>
      <c r="AT165" s="70">
        <v>969.0</v>
      </c>
      <c r="AU165" s="70">
        <v>85898.0</v>
      </c>
      <c r="AV165" s="70">
        <v>110899.0</v>
      </c>
      <c r="AW165" s="70">
        <v>10292.0</v>
      </c>
      <c r="AX165" s="70">
        <v>119827.0</v>
      </c>
      <c r="AY165" s="70">
        <v>251501.0</v>
      </c>
      <c r="AZ165" s="70">
        <v>241.0</v>
      </c>
      <c r="BA165" s="70">
        <v>70725.0</v>
      </c>
      <c r="BB165" s="70">
        <v>44636.0</v>
      </c>
      <c r="BC165" s="70">
        <v>15601.0</v>
      </c>
      <c r="BD165" s="70">
        <v>1793.0</v>
      </c>
      <c r="BE165" s="70">
        <v>1669.0</v>
      </c>
      <c r="BF165" s="70">
        <v>6436.0</v>
      </c>
      <c r="BG165" s="70">
        <v>1048.0</v>
      </c>
      <c r="BH165" s="70">
        <v>19089.0</v>
      </c>
      <c r="BI165" s="70">
        <v>2166.0</v>
      </c>
      <c r="BJ165" s="70">
        <v>16025.0</v>
      </c>
      <c r="BK165" s="70">
        <v>1862.0</v>
      </c>
      <c r="BL165" s="70">
        <v>514.0</v>
      </c>
      <c r="BM165" s="70">
        <v>27.0</v>
      </c>
      <c r="BN165" s="70">
        <v>20.0</v>
      </c>
      <c r="BO165" s="70">
        <v>3043.0</v>
      </c>
      <c r="BP165" s="70">
        <v>192.0</v>
      </c>
      <c r="BQ165" s="70">
        <v>132.0</v>
      </c>
      <c r="BR165" s="70">
        <v>418.0</v>
      </c>
      <c r="BS165" s="70">
        <v>585.0</v>
      </c>
      <c r="BT165" s="70">
        <v>13435.0</v>
      </c>
      <c r="BU165" s="70">
        <v>12453.0</v>
      </c>
      <c r="BV165" s="70">
        <v>1847.0</v>
      </c>
      <c r="BW165" s="70">
        <v>246.0</v>
      </c>
      <c r="BX165" s="70">
        <v>10976.0</v>
      </c>
      <c r="BY165" s="70">
        <v>96719.0</v>
      </c>
      <c r="BZ165" s="70">
        <v>6447.0</v>
      </c>
      <c r="CA165" s="70">
        <v>49931.0</v>
      </c>
      <c r="CB165" s="70">
        <v>17021.0</v>
      </c>
      <c r="CC165" s="70">
        <v>7626.0</v>
      </c>
      <c r="CD165" s="70">
        <v>9764.0</v>
      </c>
      <c r="CE165" s="70">
        <v>5417.0</v>
      </c>
      <c r="CF165" s="70">
        <v>38151.0</v>
      </c>
      <c r="CG165" s="70">
        <v>6626.0</v>
      </c>
      <c r="CH165" s="70">
        <v>11302.0</v>
      </c>
      <c r="CI165" s="70">
        <v>70532.0</v>
      </c>
      <c r="CJ165" s="70">
        <v>201202.0</v>
      </c>
      <c r="CK165" s="70">
        <v>428387.0</v>
      </c>
      <c r="CL165" s="70">
        <v>244515.0</v>
      </c>
      <c r="CM165" s="70">
        <v>86355.0</v>
      </c>
      <c r="CN165" s="70">
        <v>2232.0</v>
      </c>
      <c r="CO165" s="70">
        <v>5491.0</v>
      </c>
      <c r="CP165" s="70">
        <v>11140.0</v>
      </c>
      <c r="CQ165" s="70">
        <v>5101.0</v>
      </c>
      <c r="CR165" s="70">
        <v>150783.0</v>
      </c>
      <c r="CS165" s="70">
        <v>366246.0</v>
      </c>
      <c r="CT165" s="70">
        <v>44991.0</v>
      </c>
      <c r="CU165" s="70">
        <v>12785.0</v>
      </c>
      <c r="CV165" s="70">
        <v>23814.0</v>
      </c>
      <c r="CW165" s="70">
        <v>2591.0</v>
      </c>
      <c r="CX165" s="70">
        <v>6246.0</v>
      </c>
      <c r="CY165" s="70">
        <v>425.0</v>
      </c>
      <c r="CZ165" s="70">
        <v>8241.0</v>
      </c>
      <c r="DA165" s="70">
        <v>9747.0</v>
      </c>
      <c r="DB165" s="70">
        <v>9580.0</v>
      </c>
      <c r="DC165" s="70">
        <v>12767.0</v>
      </c>
      <c r="DD165" s="70">
        <v>3368.0</v>
      </c>
      <c r="DE165" s="70">
        <v>4009.0</v>
      </c>
      <c r="DF165" s="70">
        <v>4814.0</v>
      </c>
      <c r="DG165" s="70">
        <v>990.0</v>
      </c>
      <c r="DH165" s="70">
        <v>13896.0</v>
      </c>
      <c r="DI165" s="70">
        <v>77302.0</v>
      </c>
      <c r="DJ165" s="70">
        <v>82476.0</v>
      </c>
      <c r="DK165" s="70">
        <v>119650.0</v>
      </c>
      <c r="DL165" s="70">
        <v>148395.0</v>
      </c>
      <c r="DM165" s="70">
        <v>155227.0</v>
      </c>
      <c r="DN165" s="70">
        <v>16138.0</v>
      </c>
      <c r="DO165" s="70">
        <v>147155.0</v>
      </c>
      <c r="DP165" s="70">
        <v>2380.0</v>
      </c>
      <c r="DQ165" s="70">
        <v>50488.0</v>
      </c>
      <c r="DR165" s="70">
        <v>79495.0</v>
      </c>
      <c r="DS165" s="70">
        <v>3922.0</v>
      </c>
      <c r="DT165" s="70">
        <v>163.0</v>
      </c>
      <c r="DU165" s="70">
        <v>103.0</v>
      </c>
      <c r="DV165" s="70">
        <v>64.0</v>
      </c>
      <c r="DW165" s="70">
        <v>69.0</v>
      </c>
      <c r="DX165" s="70">
        <v>659.0</v>
      </c>
      <c r="DY165" s="70">
        <v>65.0</v>
      </c>
      <c r="DZ165" s="70">
        <v>18820.0</v>
      </c>
      <c r="EA165" s="70">
        <v>2148.0</v>
      </c>
      <c r="EB165" s="70">
        <v>19287.0</v>
      </c>
      <c r="EC165" s="70">
        <v>2397.0</v>
      </c>
      <c r="ED165" s="70">
        <v>13537.0</v>
      </c>
      <c r="EE165" s="70">
        <v>0.0</v>
      </c>
      <c r="EF165" s="70">
        <v>0.0</v>
      </c>
      <c r="EG165" s="70">
        <v>590.0</v>
      </c>
      <c r="EH165" s="70">
        <v>156324.0</v>
      </c>
      <c r="EI165" s="70">
        <v>69446.0</v>
      </c>
      <c r="EJ165" s="70">
        <v>1490.0</v>
      </c>
      <c r="EK165" s="70">
        <v>8621.0</v>
      </c>
      <c r="EL165" s="70">
        <v>8374.0</v>
      </c>
      <c r="EM165" s="70">
        <v>9810.0</v>
      </c>
      <c r="EN165" s="70">
        <v>8878.0</v>
      </c>
      <c r="EO165" s="70">
        <v>805.0</v>
      </c>
      <c r="EP165" s="70">
        <v>3733.0</v>
      </c>
      <c r="EQ165" s="70">
        <v>6272.0</v>
      </c>
      <c r="ER165" s="70">
        <v>1240.0</v>
      </c>
      <c r="ES165" s="70">
        <v>9386.0</v>
      </c>
      <c r="ET165" s="70">
        <v>5790.0</v>
      </c>
      <c r="EU165" s="70">
        <v>1613206.0</v>
      </c>
      <c r="EV165" s="70">
        <v>6737.0</v>
      </c>
      <c r="EW165" s="70">
        <v>9056.0</v>
      </c>
      <c r="EX165" s="70">
        <v>27440.0</v>
      </c>
      <c r="EY165" s="70">
        <v>203223.0</v>
      </c>
      <c r="EZ165" s="70">
        <v>117110.0</v>
      </c>
      <c r="FA165" s="70">
        <v>31159.0</v>
      </c>
      <c r="FB165" s="70">
        <v>469929.0</v>
      </c>
      <c r="FC165" s="70">
        <v>65.0</v>
      </c>
      <c r="FD165" s="70">
        <v>47855.0</v>
      </c>
      <c r="FE165" s="70">
        <v>30637.0</v>
      </c>
      <c r="FF165" s="70">
        <v>12551.0</v>
      </c>
      <c r="FG165" s="70">
        <v>0.0</v>
      </c>
      <c r="FH165" s="70">
        <v>324653.0</v>
      </c>
      <c r="FI165" s="70">
        <v>263754.0</v>
      </c>
      <c r="FJ165" s="70">
        <v>5337.0</v>
      </c>
      <c r="FK165" s="70">
        <v>33651.0</v>
      </c>
      <c r="FL165" s="70">
        <v>579951.0</v>
      </c>
      <c r="FM165" s="70">
        <v>9504.0</v>
      </c>
      <c r="FN165" s="70">
        <v>37807.0</v>
      </c>
      <c r="FO165" s="70">
        <v>25171.0</v>
      </c>
      <c r="FP165" s="70">
        <v>6630.0</v>
      </c>
      <c r="FQ165" s="70">
        <v>5076.0</v>
      </c>
      <c r="FR165" s="70">
        <v>10.0</v>
      </c>
      <c r="FS165" s="70">
        <v>3847.0</v>
      </c>
      <c r="FT165" s="70">
        <v>12842.0</v>
      </c>
      <c r="FU165" s="70">
        <v>1240296.0</v>
      </c>
      <c r="FV165" s="70">
        <v>1136927.0</v>
      </c>
      <c r="FW165" s="70">
        <v>8353.0</v>
      </c>
      <c r="FX165" s="70">
        <v>1035.0</v>
      </c>
      <c r="FY165" s="70">
        <v>4988.0</v>
      </c>
      <c r="FZ165" s="70">
        <v>364.0</v>
      </c>
      <c r="GA165" s="70">
        <v>29348.0</v>
      </c>
      <c r="GB165" s="70">
        <v>19938.0</v>
      </c>
      <c r="GC165" s="70">
        <v>4664.0</v>
      </c>
      <c r="GD165" s="70">
        <v>6503.0</v>
      </c>
      <c r="GE165" s="70">
        <v>34447.0</v>
      </c>
      <c r="GF165" s="71">
        <v>1.6175816E7</v>
      </c>
      <c r="GG165" s="72">
        <v>1.2229841E7</v>
      </c>
      <c r="GH165" s="73">
        <v>0.0</v>
      </c>
      <c r="GI165" s="72">
        <v>0.0</v>
      </c>
      <c r="GJ165" s="72">
        <v>0.0</v>
      </c>
      <c r="GK165" s="72">
        <v>0.0</v>
      </c>
      <c r="GL165" s="72">
        <v>0.0</v>
      </c>
      <c r="GM165" s="72">
        <v>556686.0</v>
      </c>
      <c r="GN165" s="71">
        <v>1.2786527E7</v>
      </c>
      <c r="GO165" s="74">
        <v>2.8962343E7</v>
      </c>
      <c r="GP165" s="72">
        <v>0.0</v>
      </c>
      <c r="GQ165" s="72">
        <v>65589.0</v>
      </c>
      <c r="GR165" s="73">
        <v>0.0</v>
      </c>
      <c r="GS165" s="71">
        <v>65589.0</v>
      </c>
      <c r="GT165" s="75">
        <v>0.0</v>
      </c>
      <c r="GU165" s="75">
        <v>0.0</v>
      </c>
      <c r="GV165" s="75">
        <v>-7908634.0</v>
      </c>
      <c r="GW165" s="71">
        <v>-7908634.0</v>
      </c>
      <c r="GX165" s="71">
        <v>0.0</v>
      </c>
      <c r="GY165" s="71">
        <v>3.6805388E7</v>
      </c>
      <c r="GZ165" s="74">
        <v>2.8962343E7</v>
      </c>
      <c r="HH165" s="106"/>
    </row>
    <row r="166" ht="15.75" customHeight="1">
      <c r="A166" s="52">
        <v>161.0</v>
      </c>
      <c r="B166" s="111" t="s">
        <v>431</v>
      </c>
      <c r="C166" s="54">
        <v>0.0</v>
      </c>
      <c r="D166" s="54">
        <v>0.0</v>
      </c>
      <c r="E166" s="54">
        <v>0.0</v>
      </c>
      <c r="F166" s="54">
        <v>0.0</v>
      </c>
      <c r="G166" s="54">
        <v>0.0</v>
      </c>
      <c r="H166" s="54">
        <v>0.0</v>
      </c>
      <c r="I166" s="54">
        <v>0.0</v>
      </c>
      <c r="J166" s="54">
        <v>0.0</v>
      </c>
      <c r="K166" s="54">
        <v>0.0</v>
      </c>
      <c r="L166" s="54">
        <v>0.0</v>
      </c>
      <c r="M166" s="54">
        <v>106.0</v>
      </c>
      <c r="N166" s="54">
        <v>13838.0</v>
      </c>
      <c r="O166" s="54">
        <v>5112.0</v>
      </c>
      <c r="P166" s="54">
        <v>110.0</v>
      </c>
      <c r="Q166" s="54">
        <v>34485.0</v>
      </c>
      <c r="R166" s="54">
        <v>0.0</v>
      </c>
      <c r="S166" s="54">
        <v>0.0</v>
      </c>
      <c r="T166" s="54">
        <v>31730.0</v>
      </c>
      <c r="U166" s="54">
        <v>12064.0</v>
      </c>
      <c r="V166" s="54">
        <v>334982.0</v>
      </c>
      <c r="W166" s="54">
        <v>352.0</v>
      </c>
      <c r="X166" s="54">
        <v>3491.0</v>
      </c>
      <c r="Y166" s="54">
        <v>18855.0</v>
      </c>
      <c r="Z166" s="54">
        <v>32581.0</v>
      </c>
      <c r="AA166" s="54">
        <v>2411.0</v>
      </c>
      <c r="AB166" s="54">
        <v>17652.0</v>
      </c>
      <c r="AC166" s="54">
        <v>1641.0</v>
      </c>
      <c r="AD166" s="54">
        <v>21282.0</v>
      </c>
      <c r="AE166" s="54">
        <v>0.0</v>
      </c>
      <c r="AF166" s="54">
        <v>4965.0</v>
      </c>
      <c r="AG166" s="54">
        <v>60230.0</v>
      </c>
      <c r="AH166" s="54">
        <v>16690.0</v>
      </c>
      <c r="AI166" s="54">
        <v>169756.0</v>
      </c>
      <c r="AJ166" s="54">
        <v>41861.0</v>
      </c>
      <c r="AK166" s="54">
        <v>3149.0</v>
      </c>
      <c r="AL166" s="54">
        <v>3879.0</v>
      </c>
      <c r="AM166" s="54">
        <v>1680463.0</v>
      </c>
      <c r="AN166" s="54">
        <v>570110.0</v>
      </c>
      <c r="AO166" s="54">
        <v>1136587.0</v>
      </c>
      <c r="AP166" s="54">
        <v>639.0</v>
      </c>
      <c r="AQ166" s="54">
        <v>157911.0</v>
      </c>
      <c r="AR166" s="54">
        <v>16549.0</v>
      </c>
      <c r="AS166" s="54">
        <v>95550.0</v>
      </c>
      <c r="AT166" s="54">
        <v>9031.0</v>
      </c>
      <c r="AU166" s="54">
        <v>86054.0</v>
      </c>
      <c r="AV166" s="54">
        <v>1097667.0</v>
      </c>
      <c r="AW166" s="54">
        <v>11357.0</v>
      </c>
      <c r="AX166" s="54">
        <v>1413156.0</v>
      </c>
      <c r="AY166" s="54">
        <v>2140.0</v>
      </c>
      <c r="AZ166" s="54">
        <v>2517.0</v>
      </c>
      <c r="BA166" s="54">
        <v>217357.0</v>
      </c>
      <c r="BB166" s="54">
        <v>386042.0</v>
      </c>
      <c r="BC166" s="54">
        <v>24556.0</v>
      </c>
      <c r="BD166" s="54">
        <v>2132.0</v>
      </c>
      <c r="BE166" s="54">
        <v>19918.0</v>
      </c>
      <c r="BF166" s="54">
        <v>67089.0</v>
      </c>
      <c r="BG166" s="54">
        <v>6226.0</v>
      </c>
      <c r="BH166" s="54">
        <v>128181.0</v>
      </c>
      <c r="BI166" s="54">
        <v>10635.0</v>
      </c>
      <c r="BJ166" s="54">
        <v>78765.0</v>
      </c>
      <c r="BK166" s="54">
        <v>11064.0</v>
      </c>
      <c r="BL166" s="54">
        <v>2422.0</v>
      </c>
      <c r="BM166" s="54">
        <v>55.0</v>
      </c>
      <c r="BN166" s="54">
        <v>2599.0</v>
      </c>
      <c r="BO166" s="54">
        <v>22650.0</v>
      </c>
      <c r="BP166" s="54">
        <v>239.0</v>
      </c>
      <c r="BQ166" s="54">
        <v>654.0</v>
      </c>
      <c r="BR166" s="54">
        <v>7717.0</v>
      </c>
      <c r="BS166" s="54">
        <v>18604.0</v>
      </c>
      <c r="BT166" s="54">
        <v>81213.0</v>
      </c>
      <c r="BU166" s="54">
        <v>105967.0</v>
      </c>
      <c r="BV166" s="54">
        <v>19171.0</v>
      </c>
      <c r="BW166" s="54">
        <v>946.0</v>
      </c>
      <c r="BX166" s="54">
        <v>142894.0</v>
      </c>
      <c r="BY166" s="54">
        <v>1129937.0</v>
      </c>
      <c r="BZ166" s="54">
        <v>75326.0</v>
      </c>
      <c r="CA166" s="54">
        <v>627392.0</v>
      </c>
      <c r="CB166" s="54">
        <v>104032.0</v>
      </c>
      <c r="CC166" s="54">
        <v>44950.0</v>
      </c>
      <c r="CD166" s="54">
        <v>43929.0</v>
      </c>
      <c r="CE166" s="54">
        <v>88736.0</v>
      </c>
      <c r="CF166" s="54">
        <v>57836.0</v>
      </c>
      <c r="CG166" s="54">
        <v>38161.0</v>
      </c>
      <c r="CH166" s="54">
        <v>63234.0</v>
      </c>
      <c r="CI166" s="54">
        <v>194358.0</v>
      </c>
      <c r="CJ166" s="54">
        <v>157542.0</v>
      </c>
      <c r="CK166" s="54">
        <v>335430.0</v>
      </c>
      <c r="CL166" s="54">
        <v>191457.0</v>
      </c>
      <c r="CM166" s="54">
        <v>70688.0</v>
      </c>
      <c r="CN166" s="54">
        <v>97591.0</v>
      </c>
      <c r="CO166" s="54">
        <v>117696.0</v>
      </c>
      <c r="CP166" s="54">
        <v>180793.0</v>
      </c>
      <c r="CQ166" s="54">
        <v>94516.0</v>
      </c>
      <c r="CR166" s="54">
        <v>377595.0</v>
      </c>
      <c r="CS166" s="54">
        <v>210572.0</v>
      </c>
      <c r="CT166" s="54">
        <v>184538.0</v>
      </c>
      <c r="CU166" s="54">
        <v>70314.0</v>
      </c>
      <c r="CV166" s="54">
        <v>122821.0</v>
      </c>
      <c r="CW166" s="54">
        <v>35025.0</v>
      </c>
      <c r="CX166" s="54">
        <v>77029.0</v>
      </c>
      <c r="CY166" s="54">
        <v>4388.0</v>
      </c>
      <c r="CZ166" s="54">
        <v>64491.0</v>
      </c>
      <c r="DA166" s="54">
        <v>154378.0</v>
      </c>
      <c r="DB166" s="54">
        <v>62313.0</v>
      </c>
      <c r="DC166" s="54">
        <v>265350.0</v>
      </c>
      <c r="DD166" s="54">
        <v>31046.0</v>
      </c>
      <c r="DE166" s="54">
        <v>47369.0</v>
      </c>
      <c r="DF166" s="54">
        <v>56876.0</v>
      </c>
      <c r="DG166" s="54">
        <v>11888.0</v>
      </c>
      <c r="DH166" s="54">
        <v>103121.0</v>
      </c>
      <c r="DI166" s="54">
        <v>283698.0</v>
      </c>
      <c r="DJ166" s="54">
        <v>144007.0</v>
      </c>
      <c r="DK166" s="54">
        <v>168424.0</v>
      </c>
      <c r="DL166" s="54">
        <v>569840.0</v>
      </c>
      <c r="DM166" s="54">
        <v>123914.0</v>
      </c>
      <c r="DN166" s="54">
        <v>12079.0</v>
      </c>
      <c r="DO166" s="54">
        <v>41516.0</v>
      </c>
      <c r="DP166" s="54">
        <v>11828.0</v>
      </c>
      <c r="DQ166" s="54">
        <v>44804.0</v>
      </c>
      <c r="DR166" s="54">
        <v>595211.0</v>
      </c>
      <c r="DS166" s="54">
        <v>201552.0</v>
      </c>
      <c r="DT166" s="54">
        <v>13865.0</v>
      </c>
      <c r="DU166" s="54">
        <v>33719.0</v>
      </c>
      <c r="DV166" s="54">
        <v>99803.0</v>
      </c>
      <c r="DW166" s="54">
        <v>64076.0</v>
      </c>
      <c r="DX166" s="54">
        <v>59267.0</v>
      </c>
      <c r="DY166" s="54">
        <v>184972.0</v>
      </c>
      <c r="DZ166" s="54">
        <v>230026.0</v>
      </c>
      <c r="EA166" s="54">
        <v>25533.0</v>
      </c>
      <c r="EB166" s="54">
        <v>124145.0</v>
      </c>
      <c r="EC166" s="54">
        <v>149283.0</v>
      </c>
      <c r="ED166" s="54">
        <v>63085.0</v>
      </c>
      <c r="EE166" s="54">
        <v>57590.0</v>
      </c>
      <c r="EF166" s="54">
        <v>14289.0</v>
      </c>
      <c r="EG166" s="54">
        <v>25844.0</v>
      </c>
      <c r="EH166" s="54">
        <v>322381.0</v>
      </c>
      <c r="EI166" s="54">
        <v>302926.0</v>
      </c>
      <c r="EJ166" s="54">
        <v>88321.0</v>
      </c>
      <c r="EK166" s="54">
        <v>59181.0</v>
      </c>
      <c r="EL166" s="54">
        <v>72144.0</v>
      </c>
      <c r="EM166" s="54">
        <v>18303.0</v>
      </c>
      <c r="EN166" s="54">
        <v>162541.0</v>
      </c>
      <c r="EO166" s="54">
        <v>26212.0</v>
      </c>
      <c r="EP166" s="54">
        <v>35048.0</v>
      </c>
      <c r="EQ166" s="54">
        <v>73781.0</v>
      </c>
      <c r="ER166" s="54">
        <v>5408.0</v>
      </c>
      <c r="ES166" s="54">
        <v>46627.0</v>
      </c>
      <c r="ET166" s="54">
        <v>90040.0</v>
      </c>
      <c r="EU166" s="54">
        <v>3131468.0</v>
      </c>
      <c r="EV166" s="54">
        <v>188476.0</v>
      </c>
      <c r="EW166" s="54">
        <v>976843.0</v>
      </c>
      <c r="EX166" s="54">
        <v>355485.0</v>
      </c>
      <c r="EY166" s="54">
        <v>880348.0</v>
      </c>
      <c r="EZ166" s="54">
        <v>1631986.0</v>
      </c>
      <c r="FA166" s="54">
        <v>433803.0</v>
      </c>
      <c r="FB166" s="54">
        <v>1.0420909E7</v>
      </c>
      <c r="FC166" s="54">
        <v>21422.0</v>
      </c>
      <c r="FD166" s="54">
        <v>1269794.0</v>
      </c>
      <c r="FE166" s="54">
        <v>372424.0</v>
      </c>
      <c r="FF166" s="54">
        <v>319192.0</v>
      </c>
      <c r="FG166" s="54">
        <v>2156149.0</v>
      </c>
      <c r="FH166" s="54">
        <v>1448275.0</v>
      </c>
      <c r="FI166" s="54">
        <v>480994.0</v>
      </c>
      <c r="FJ166" s="54">
        <v>20341.0</v>
      </c>
      <c r="FK166" s="54">
        <v>69943.0</v>
      </c>
      <c r="FL166" s="54">
        <v>1087546.0</v>
      </c>
      <c r="FM166" s="54">
        <v>79750.0</v>
      </c>
      <c r="FN166" s="54">
        <v>393911.0</v>
      </c>
      <c r="FO166" s="54">
        <v>196864.0</v>
      </c>
      <c r="FP166" s="54">
        <v>1755465.0</v>
      </c>
      <c r="FQ166" s="54">
        <v>290534.0</v>
      </c>
      <c r="FR166" s="54">
        <v>50.0</v>
      </c>
      <c r="FS166" s="54">
        <v>121965.0</v>
      </c>
      <c r="FT166" s="54">
        <v>1383693.0</v>
      </c>
      <c r="FU166" s="54">
        <v>1920936.0</v>
      </c>
      <c r="FV166" s="54">
        <v>1271760.0</v>
      </c>
      <c r="FW166" s="54">
        <v>1.9146093E7</v>
      </c>
      <c r="FX166" s="54">
        <v>2185403.0</v>
      </c>
      <c r="FY166" s="54">
        <v>2904063.0</v>
      </c>
      <c r="FZ166" s="54">
        <v>30450.0</v>
      </c>
      <c r="GA166" s="54">
        <v>578661.0</v>
      </c>
      <c r="GB166" s="54">
        <v>1016795.0</v>
      </c>
      <c r="GC166" s="54">
        <v>240419.0</v>
      </c>
      <c r="GD166" s="54">
        <v>42766.0</v>
      </c>
      <c r="GE166" s="54">
        <v>499847.0</v>
      </c>
      <c r="GF166" s="55">
        <v>7.8030873E7</v>
      </c>
      <c r="GG166" s="56">
        <v>1.60597197E8</v>
      </c>
      <c r="GH166" s="57">
        <v>0.0</v>
      </c>
      <c r="GI166" s="56">
        <v>0.0</v>
      </c>
      <c r="GJ166" s="56">
        <v>0.0</v>
      </c>
      <c r="GK166" s="56">
        <v>0.0</v>
      </c>
      <c r="GL166" s="56">
        <v>0.0</v>
      </c>
      <c r="GM166" s="56">
        <v>1.6378362E7</v>
      </c>
      <c r="GN166" s="55">
        <v>1.76975559E8</v>
      </c>
      <c r="GO166" s="58">
        <v>2.55006432E8</v>
      </c>
      <c r="GP166" s="56">
        <v>0.0</v>
      </c>
      <c r="GQ166" s="56">
        <v>1.1864036E7</v>
      </c>
      <c r="GR166" s="57">
        <v>-7245881.0</v>
      </c>
      <c r="GS166" s="55">
        <v>4618155.0</v>
      </c>
      <c r="GT166" s="59">
        <v>0.0</v>
      </c>
      <c r="GU166" s="59">
        <v>0.0</v>
      </c>
      <c r="GV166" s="59">
        <v>-3.562957E7</v>
      </c>
      <c r="GW166" s="55">
        <v>-3.562957E7</v>
      </c>
      <c r="GX166" s="55">
        <v>3265506.0</v>
      </c>
      <c r="GY166" s="55">
        <v>2.82752341E8</v>
      </c>
      <c r="GZ166" s="58">
        <v>2.55006432E8</v>
      </c>
      <c r="HH166" s="106"/>
    </row>
    <row r="167" ht="15.75" customHeight="1">
      <c r="A167" s="60">
        <v>162.0</v>
      </c>
      <c r="B167" s="111" t="s">
        <v>432</v>
      </c>
      <c r="C167" s="62">
        <v>489.0</v>
      </c>
      <c r="D167" s="62">
        <v>4190.0</v>
      </c>
      <c r="E167" s="62">
        <v>32.0</v>
      </c>
      <c r="F167" s="62">
        <v>1733.0</v>
      </c>
      <c r="G167" s="62">
        <v>73.0</v>
      </c>
      <c r="H167" s="62">
        <v>423.0</v>
      </c>
      <c r="I167" s="62">
        <v>202.0</v>
      </c>
      <c r="J167" s="62">
        <v>111.0</v>
      </c>
      <c r="K167" s="62">
        <v>10.0</v>
      </c>
      <c r="L167" s="62">
        <v>20216.0</v>
      </c>
      <c r="M167" s="62">
        <v>3388.0</v>
      </c>
      <c r="N167" s="62">
        <v>10394.0</v>
      </c>
      <c r="O167" s="62">
        <v>10134.0</v>
      </c>
      <c r="P167" s="62">
        <v>49.0</v>
      </c>
      <c r="Q167" s="62">
        <v>29272.0</v>
      </c>
      <c r="R167" s="62">
        <v>246249.0</v>
      </c>
      <c r="S167" s="62">
        <v>2770.0</v>
      </c>
      <c r="T167" s="62">
        <v>160788.0</v>
      </c>
      <c r="U167" s="62">
        <v>57065.0</v>
      </c>
      <c r="V167" s="62">
        <v>297994.0</v>
      </c>
      <c r="W167" s="62">
        <v>9975.0</v>
      </c>
      <c r="X167" s="62">
        <v>4424.0</v>
      </c>
      <c r="Y167" s="62">
        <v>25410.0</v>
      </c>
      <c r="Z167" s="62">
        <v>34983.0</v>
      </c>
      <c r="AA167" s="62">
        <v>9039.0</v>
      </c>
      <c r="AB167" s="62">
        <v>1310.0</v>
      </c>
      <c r="AC167" s="62">
        <v>48.0</v>
      </c>
      <c r="AD167" s="62">
        <v>1645.0</v>
      </c>
      <c r="AE167" s="62">
        <v>0.0</v>
      </c>
      <c r="AF167" s="62">
        <v>2535.0</v>
      </c>
      <c r="AG167" s="62">
        <v>49021.0</v>
      </c>
      <c r="AH167" s="62">
        <v>15318.0</v>
      </c>
      <c r="AI167" s="62">
        <v>199032.0</v>
      </c>
      <c r="AJ167" s="62">
        <v>31514.0</v>
      </c>
      <c r="AK167" s="62">
        <v>4207.0</v>
      </c>
      <c r="AL167" s="62">
        <v>8818.0</v>
      </c>
      <c r="AM167" s="62">
        <v>5334284.0</v>
      </c>
      <c r="AN167" s="62">
        <v>99332.0</v>
      </c>
      <c r="AO167" s="62">
        <v>610491.0</v>
      </c>
      <c r="AP167" s="62">
        <v>897.0</v>
      </c>
      <c r="AQ167" s="62">
        <v>32824.0</v>
      </c>
      <c r="AR167" s="62">
        <v>1970.0</v>
      </c>
      <c r="AS167" s="62">
        <v>32929.0</v>
      </c>
      <c r="AT167" s="62">
        <v>3425.0</v>
      </c>
      <c r="AU167" s="62">
        <v>27652.0</v>
      </c>
      <c r="AV167" s="62">
        <v>331980.0</v>
      </c>
      <c r="AW167" s="62">
        <v>1487.0</v>
      </c>
      <c r="AX167" s="62">
        <v>484379.0</v>
      </c>
      <c r="AY167" s="62">
        <v>638.0</v>
      </c>
      <c r="AZ167" s="62">
        <v>719.0</v>
      </c>
      <c r="BA167" s="62">
        <v>160461.0</v>
      </c>
      <c r="BB167" s="62">
        <v>134027.0</v>
      </c>
      <c r="BC167" s="62">
        <v>1761.0</v>
      </c>
      <c r="BD167" s="62">
        <v>44.0</v>
      </c>
      <c r="BE167" s="62">
        <v>5481.0</v>
      </c>
      <c r="BF167" s="62">
        <v>16941.0</v>
      </c>
      <c r="BG167" s="62">
        <v>3110.0</v>
      </c>
      <c r="BH167" s="62">
        <v>19492.0</v>
      </c>
      <c r="BI167" s="62">
        <v>4433.0</v>
      </c>
      <c r="BJ167" s="62">
        <v>32905.0</v>
      </c>
      <c r="BK167" s="62">
        <v>4586.0</v>
      </c>
      <c r="BL167" s="62">
        <v>1082.0</v>
      </c>
      <c r="BM167" s="62">
        <v>22.0</v>
      </c>
      <c r="BN167" s="62">
        <v>1899.0</v>
      </c>
      <c r="BO167" s="62">
        <v>6774.0</v>
      </c>
      <c r="BP167" s="62">
        <v>274.0</v>
      </c>
      <c r="BQ167" s="62">
        <v>872.0</v>
      </c>
      <c r="BR167" s="62">
        <v>519.0</v>
      </c>
      <c r="BS167" s="62">
        <v>0.0</v>
      </c>
      <c r="BT167" s="62">
        <v>24484.0</v>
      </c>
      <c r="BU167" s="62">
        <v>40809.0</v>
      </c>
      <c r="BV167" s="62">
        <v>5926.0</v>
      </c>
      <c r="BW167" s="62">
        <v>571.0</v>
      </c>
      <c r="BX167" s="62">
        <v>36625.0</v>
      </c>
      <c r="BY167" s="62">
        <v>224612.0</v>
      </c>
      <c r="BZ167" s="62">
        <v>14974.0</v>
      </c>
      <c r="CA167" s="62">
        <v>171561.0</v>
      </c>
      <c r="CB167" s="62">
        <v>38297.0</v>
      </c>
      <c r="CC167" s="62">
        <v>10929.0</v>
      </c>
      <c r="CD167" s="62">
        <v>8270.0</v>
      </c>
      <c r="CE167" s="62">
        <v>12215.0</v>
      </c>
      <c r="CF167" s="62">
        <v>35697.0</v>
      </c>
      <c r="CG167" s="62">
        <v>18473.0</v>
      </c>
      <c r="CH167" s="62">
        <v>10610.0</v>
      </c>
      <c r="CI167" s="62">
        <v>63286.0</v>
      </c>
      <c r="CJ167" s="62">
        <v>69673.0</v>
      </c>
      <c r="CK167" s="62">
        <v>148343.0</v>
      </c>
      <c r="CL167" s="62">
        <v>84672.0</v>
      </c>
      <c r="CM167" s="62">
        <v>35378.0</v>
      </c>
      <c r="CN167" s="62">
        <v>68900.0</v>
      </c>
      <c r="CO167" s="62">
        <v>83100.0</v>
      </c>
      <c r="CP167" s="62">
        <v>124805.0</v>
      </c>
      <c r="CQ167" s="62">
        <v>3734.0</v>
      </c>
      <c r="CR167" s="62">
        <v>409326.0</v>
      </c>
      <c r="CS167" s="62">
        <v>42318.0</v>
      </c>
      <c r="CT167" s="62">
        <v>309130.0</v>
      </c>
      <c r="CU167" s="62">
        <v>84314.0</v>
      </c>
      <c r="CV167" s="62">
        <v>156806.0</v>
      </c>
      <c r="CW167" s="62">
        <v>78713.0</v>
      </c>
      <c r="CX167" s="62">
        <v>41158.0</v>
      </c>
      <c r="CY167" s="62">
        <v>2801.0</v>
      </c>
      <c r="CZ167" s="62">
        <v>46859.0</v>
      </c>
      <c r="DA167" s="62">
        <v>138261.0</v>
      </c>
      <c r="DB167" s="62">
        <v>52841.0</v>
      </c>
      <c r="DC167" s="62">
        <v>559680.0</v>
      </c>
      <c r="DD167" s="62">
        <v>23343.0</v>
      </c>
      <c r="DE167" s="62">
        <v>11664.0</v>
      </c>
      <c r="DF167" s="62">
        <v>14005.0</v>
      </c>
      <c r="DG167" s="62">
        <v>22006.0</v>
      </c>
      <c r="DH167" s="62">
        <v>43156.0</v>
      </c>
      <c r="DI167" s="62">
        <v>195268.0</v>
      </c>
      <c r="DJ167" s="62">
        <v>242692.0</v>
      </c>
      <c r="DK167" s="62">
        <v>3379777.0</v>
      </c>
      <c r="DL167" s="62">
        <v>333244.0</v>
      </c>
      <c r="DM167" s="62">
        <v>98096.0</v>
      </c>
      <c r="DN167" s="62">
        <v>13356.0</v>
      </c>
      <c r="DO167" s="62">
        <v>52295.0</v>
      </c>
      <c r="DP167" s="62">
        <v>5564.0</v>
      </c>
      <c r="DQ167" s="62">
        <v>72396.0</v>
      </c>
      <c r="DR167" s="62">
        <v>63723.0</v>
      </c>
      <c r="DS167" s="62">
        <v>769516.0</v>
      </c>
      <c r="DT167" s="62">
        <v>119457.0</v>
      </c>
      <c r="DU167" s="62">
        <v>288055.0</v>
      </c>
      <c r="DV167" s="62">
        <v>852603.0</v>
      </c>
      <c r="DW167" s="62">
        <v>547395.0</v>
      </c>
      <c r="DX167" s="62">
        <v>466320.0</v>
      </c>
      <c r="DY167" s="62">
        <v>1580491.0</v>
      </c>
      <c r="DZ167" s="62">
        <v>294418.0</v>
      </c>
      <c r="EA167" s="62">
        <v>33337.0</v>
      </c>
      <c r="EB167" s="62">
        <v>305224.0</v>
      </c>
      <c r="EC167" s="62">
        <v>81833.0</v>
      </c>
      <c r="ED167" s="62">
        <v>69102.0</v>
      </c>
      <c r="EE167" s="62">
        <v>36397.0</v>
      </c>
      <c r="EF167" s="62">
        <v>17013.0</v>
      </c>
      <c r="EG167" s="62">
        <v>46737.0</v>
      </c>
      <c r="EH167" s="62">
        <v>90441.0</v>
      </c>
      <c r="EI167" s="62">
        <v>639019.0</v>
      </c>
      <c r="EJ167" s="62">
        <v>80548.0</v>
      </c>
      <c r="EK167" s="62">
        <v>21951.0</v>
      </c>
      <c r="EL167" s="62">
        <v>22097.0</v>
      </c>
      <c r="EM167" s="62">
        <v>30629.0</v>
      </c>
      <c r="EN167" s="62">
        <v>201313.0</v>
      </c>
      <c r="EO167" s="62">
        <v>1501072.0</v>
      </c>
      <c r="EP167" s="62">
        <v>121858.0</v>
      </c>
      <c r="EQ167" s="62">
        <v>25374.0</v>
      </c>
      <c r="ER167" s="62">
        <v>444.0</v>
      </c>
      <c r="ES167" s="62">
        <v>51951.0</v>
      </c>
      <c r="ET167" s="62">
        <v>52081.0</v>
      </c>
      <c r="EU167" s="62">
        <v>1.9586591E7</v>
      </c>
      <c r="EV167" s="62">
        <v>236361.0</v>
      </c>
      <c r="EW167" s="62">
        <v>408448.0</v>
      </c>
      <c r="EX167" s="62">
        <v>1339329.0</v>
      </c>
      <c r="EY167" s="62">
        <v>1.492519E7</v>
      </c>
      <c r="EZ167" s="62">
        <v>401795.0</v>
      </c>
      <c r="FA167" s="62">
        <v>525991.0</v>
      </c>
      <c r="FB167" s="62">
        <v>1.3649816E7</v>
      </c>
      <c r="FC167" s="62">
        <v>10866.0</v>
      </c>
      <c r="FD167" s="62">
        <v>3.1053708E7</v>
      </c>
      <c r="FE167" s="62">
        <v>1.2046961E7</v>
      </c>
      <c r="FF167" s="62">
        <v>2089447.0</v>
      </c>
      <c r="FG167" s="62">
        <v>2.4661585E7</v>
      </c>
      <c r="FH167" s="62">
        <v>3941613.0</v>
      </c>
      <c r="FI167" s="62">
        <v>187731.0</v>
      </c>
      <c r="FJ167" s="62">
        <v>7222.0</v>
      </c>
      <c r="FK167" s="62">
        <v>43201.0</v>
      </c>
      <c r="FL167" s="62">
        <v>507424.0</v>
      </c>
      <c r="FM167" s="62">
        <v>10929.0</v>
      </c>
      <c r="FN167" s="62">
        <v>126315.0</v>
      </c>
      <c r="FO167" s="62">
        <v>35131.0</v>
      </c>
      <c r="FP167" s="62">
        <v>215374.0</v>
      </c>
      <c r="FQ167" s="62">
        <v>5006.0</v>
      </c>
      <c r="FR167" s="62">
        <v>2.0</v>
      </c>
      <c r="FS167" s="62">
        <v>25611.0</v>
      </c>
      <c r="FT167" s="62">
        <v>240850.0</v>
      </c>
      <c r="FU167" s="62">
        <v>759605.0</v>
      </c>
      <c r="FV167" s="62">
        <v>257009.0</v>
      </c>
      <c r="FW167" s="62">
        <v>487632.0</v>
      </c>
      <c r="FX167" s="62">
        <v>31586.0</v>
      </c>
      <c r="FY167" s="62">
        <v>239059.0</v>
      </c>
      <c r="FZ167" s="62">
        <v>5914.0</v>
      </c>
      <c r="GA167" s="62">
        <v>395810.0</v>
      </c>
      <c r="GB167" s="62">
        <v>240115.0</v>
      </c>
      <c r="GC167" s="62">
        <v>36313.0</v>
      </c>
      <c r="GD167" s="62">
        <v>24766.0</v>
      </c>
      <c r="GE167" s="62">
        <v>128538.0</v>
      </c>
      <c r="GF167" s="63">
        <v>1.53664807E8</v>
      </c>
      <c r="GG167" s="64">
        <v>1.1403728E7</v>
      </c>
      <c r="GH167" s="65">
        <v>0.0</v>
      </c>
      <c r="GI167" s="64">
        <v>0.0</v>
      </c>
      <c r="GJ167" s="64">
        <v>0.0</v>
      </c>
      <c r="GK167" s="64">
        <v>0.0</v>
      </c>
      <c r="GL167" s="64">
        <v>0.0</v>
      </c>
      <c r="GM167" s="64">
        <v>8488226.0</v>
      </c>
      <c r="GN167" s="63">
        <v>1.9891954E7</v>
      </c>
      <c r="GO167" s="66">
        <v>1.73556761E8</v>
      </c>
      <c r="GP167" s="64">
        <v>0.0</v>
      </c>
      <c r="GQ167" s="64">
        <v>9647540.0</v>
      </c>
      <c r="GR167" s="65">
        <v>0.0</v>
      </c>
      <c r="GS167" s="63">
        <v>9647540.0</v>
      </c>
      <c r="GT167" s="67">
        <v>0.0</v>
      </c>
      <c r="GU167" s="67">
        <v>0.0</v>
      </c>
      <c r="GV167" s="67">
        <v>-3.3104991E7</v>
      </c>
      <c r="GW167" s="63">
        <v>-3.3104991E7</v>
      </c>
      <c r="GX167" s="63">
        <v>1078452.0</v>
      </c>
      <c r="GY167" s="63">
        <v>1.9593576E8</v>
      </c>
      <c r="GZ167" s="66">
        <v>1.73556761E8</v>
      </c>
      <c r="HH167" s="106"/>
    </row>
    <row r="168" ht="15.75" customHeight="1">
      <c r="A168" s="60">
        <v>163.0</v>
      </c>
      <c r="B168" s="111" t="s">
        <v>433</v>
      </c>
      <c r="C168" s="62">
        <v>99.0</v>
      </c>
      <c r="D168" s="62">
        <v>28.0</v>
      </c>
      <c r="E168" s="62">
        <v>22.0</v>
      </c>
      <c r="F168" s="62">
        <v>19.0</v>
      </c>
      <c r="G168" s="62">
        <v>57.0</v>
      </c>
      <c r="H168" s="62">
        <v>192.0</v>
      </c>
      <c r="I168" s="62">
        <v>75.0</v>
      </c>
      <c r="J168" s="62">
        <v>90.0</v>
      </c>
      <c r="K168" s="62">
        <v>9.0</v>
      </c>
      <c r="L168" s="62">
        <v>241.0</v>
      </c>
      <c r="M168" s="62">
        <v>19.0</v>
      </c>
      <c r="N168" s="62">
        <v>129.0</v>
      </c>
      <c r="O168" s="62">
        <v>265.0</v>
      </c>
      <c r="P168" s="62">
        <v>78.0</v>
      </c>
      <c r="Q168" s="62">
        <v>399.0</v>
      </c>
      <c r="R168" s="62">
        <v>235.0</v>
      </c>
      <c r="S168" s="62">
        <v>25.0</v>
      </c>
      <c r="T168" s="62">
        <v>124.0</v>
      </c>
      <c r="U168" s="62">
        <v>45.0</v>
      </c>
      <c r="V168" s="62">
        <v>47.0</v>
      </c>
      <c r="W168" s="62">
        <v>12.0</v>
      </c>
      <c r="X168" s="62">
        <v>948.0</v>
      </c>
      <c r="Y168" s="62">
        <v>46.0</v>
      </c>
      <c r="Z168" s="62">
        <v>42.0</v>
      </c>
      <c r="AA168" s="62">
        <v>64.0</v>
      </c>
      <c r="AB168" s="62">
        <v>47.0</v>
      </c>
      <c r="AC168" s="62">
        <v>39.0</v>
      </c>
      <c r="AD168" s="62">
        <v>116.0</v>
      </c>
      <c r="AE168" s="62">
        <v>33.0</v>
      </c>
      <c r="AF168" s="62">
        <v>28.0</v>
      </c>
      <c r="AG168" s="62">
        <v>94.0</v>
      </c>
      <c r="AH168" s="62">
        <v>72.0</v>
      </c>
      <c r="AI168" s="62">
        <v>634.0</v>
      </c>
      <c r="AJ168" s="62">
        <v>332.0</v>
      </c>
      <c r="AK168" s="62">
        <v>224.0</v>
      </c>
      <c r="AL168" s="62">
        <v>55.0</v>
      </c>
      <c r="AM168" s="62">
        <v>354.0</v>
      </c>
      <c r="AN168" s="62">
        <v>176.0</v>
      </c>
      <c r="AO168" s="62">
        <v>226.0</v>
      </c>
      <c r="AP168" s="62">
        <v>56.0</v>
      </c>
      <c r="AQ168" s="62">
        <v>91.0</v>
      </c>
      <c r="AR168" s="62">
        <v>101.0</v>
      </c>
      <c r="AS168" s="62">
        <v>70.0</v>
      </c>
      <c r="AT168" s="62">
        <v>31.0</v>
      </c>
      <c r="AU168" s="62">
        <v>31.0</v>
      </c>
      <c r="AV168" s="62">
        <v>109.0</v>
      </c>
      <c r="AW168" s="62">
        <v>138.0</v>
      </c>
      <c r="AX168" s="62">
        <v>359.0</v>
      </c>
      <c r="AY168" s="62">
        <v>58.0</v>
      </c>
      <c r="AZ168" s="62">
        <v>187.0</v>
      </c>
      <c r="BA168" s="62">
        <v>237.0</v>
      </c>
      <c r="BB168" s="62">
        <v>205.0</v>
      </c>
      <c r="BC168" s="62">
        <v>229.0</v>
      </c>
      <c r="BD168" s="62">
        <v>21.0</v>
      </c>
      <c r="BE168" s="62">
        <v>41.0</v>
      </c>
      <c r="BF168" s="62">
        <v>144.0</v>
      </c>
      <c r="BG168" s="62">
        <v>100.0</v>
      </c>
      <c r="BH168" s="62">
        <v>1601.0</v>
      </c>
      <c r="BI168" s="62">
        <v>32.0</v>
      </c>
      <c r="BJ168" s="62">
        <v>278.0</v>
      </c>
      <c r="BK168" s="62">
        <v>187.0</v>
      </c>
      <c r="BL168" s="62">
        <v>94.0</v>
      </c>
      <c r="BM168" s="62">
        <v>14.0</v>
      </c>
      <c r="BN168" s="62">
        <v>0.0</v>
      </c>
      <c r="BO168" s="62">
        <v>98.0</v>
      </c>
      <c r="BP168" s="62">
        <v>196.0</v>
      </c>
      <c r="BQ168" s="62">
        <v>0.0</v>
      </c>
      <c r="BR168" s="62">
        <v>51.0</v>
      </c>
      <c r="BS168" s="62">
        <v>0.0</v>
      </c>
      <c r="BT168" s="62">
        <v>789.0</v>
      </c>
      <c r="BU168" s="62">
        <v>1671.0</v>
      </c>
      <c r="BV168" s="62">
        <v>118.0</v>
      </c>
      <c r="BW168" s="62">
        <v>12.0</v>
      </c>
      <c r="BX168" s="62">
        <v>221.0</v>
      </c>
      <c r="BY168" s="62">
        <v>369.0</v>
      </c>
      <c r="BZ168" s="62">
        <v>25.0</v>
      </c>
      <c r="CA168" s="62">
        <v>1728.0</v>
      </c>
      <c r="CB168" s="62">
        <v>927.0</v>
      </c>
      <c r="CC168" s="62">
        <v>122.0</v>
      </c>
      <c r="CD168" s="62">
        <v>93.0</v>
      </c>
      <c r="CE168" s="62">
        <v>136.0</v>
      </c>
      <c r="CF168" s="62">
        <v>393.0</v>
      </c>
      <c r="CG168" s="62">
        <v>1313.0</v>
      </c>
      <c r="CH168" s="62">
        <v>13186.0</v>
      </c>
      <c r="CI168" s="62">
        <v>83820.0</v>
      </c>
      <c r="CJ168" s="62">
        <v>20.0</v>
      </c>
      <c r="CK168" s="62">
        <v>44.0</v>
      </c>
      <c r="CL168" s="62">
        <v>25.0</v>
      </c>
      <c r="CM168" s="62">
        <v>242.0</v>
      </c>
      <c r="CN168" s="62">
        <v>16183.0</v>
      </c>
      <c r="CO168" s="62">
        <v>22884.0</v>
      </c>
      <c r="CP168" s="62">
        <v>35829.0</v>
      </c>
      <c r="CQ168" s="62">
        <v>18583.0</v>
      </c>
      <c r="CR168" s="62">
        <v>7779.0</v>
      </c>
      <c r="CS168" s="62">
        <v>0.0</v>
      </c>
      <c r="CT168" s="62">
        <v>90593.0</v>
      </c>
      <c r="CU168" s="62">
        <v>8995.0</v>
      </c>
      <c r="CV168" s="62">
        <v>16804.0</v>
      </c>
      <c r="CW168" s="62">
        <v>1827.0</v>
      </c>
      <c r="CX168" s="62">
        <v>4405.0</v>
      </c>
      <c r="CY168" s="62">
        <v>300.0</v>
      </c>
      <c r="CZ168" s="62">
        <v>5487.0</v>
      </c>
      <c r="DA168" s="62">
        <v>6138.0</v>
      </c>
      <c r="DB168" s="62">
        <v>6825.0</v>
      </c>
      <c r="DC168" s="62">
        <v>7699.0</v>
      </c>
      <c r="DD168" s="62">
        <v>2376.0</v>
      </c>
      <c r="DE168" s="62">
        <v>3844.0</v>
      </c>
      <c r="DF168" s="62">
        <v>4616.0</v>
      </c>
      <c r="DG168" s="62">
        <v>1313.0</v>
      </c>
      <c r="DH168" s="62">
        <v>12713.0</v>
      </c>
      <c r="DI168" s="62">
        <v>8783.0</v>
      </c>
      <c r="DJ168" s="62">
        <v>4289.0</v>
      </c>
      <c r="DK168" s="62">
        <v>5344.0</v>
      </c>
      <c r="DL168" s="62">
        <v>87.0</v>
      </c>
      <c r="DM168" s="62">
        <v>32.0</v>
      </c>
      <c r="DN168" s="62">
        <v>42.0</v>
      </c>
      <c r="DO168" s="62">
        <v>259.0</v>
      </c>
      <c r="DP168" s="62">
        <v>27.0</v>
      </c>
      <c r="DQ168" s="62">
        <v>333.0</v>
      </c>
      <c r="DR168" s="62">
        <v>359.0</v>
      </c>
      <c r="DS168" s="62">
        <v>705.0</v>
      </c>
      <c r="DT168" s="62">
        <v>2078.0</v>
      </c>
      <c r="DU168" s="62">
        <v>45.0</v>
      </c>
      <c r="DV168" s="62">
        <v>134.0</v>
      </c>
      <c r="DW168" s="62">
        <v>86.0</v>
      </c>
      <c r="DX168" s="62">
        <v>92.0</v>
      </c>
      <c r="DY168" s="62">
        <v>251.0</v>
      </c>
      <c r="DZ168" s="62">
        <v>172.0</v>
      </c>
      <c r="EA168" s="62">
        <v>17.0</v>
      </c>
      <c r="EB168" s="62">
        <v>158.0</v>
      </c>
      <c r="EC168" s="62">
        <v>490.0</v>
      </c>
      <c r="ED168" s="62">
        <v>126.0</v>
      </c>
      <c r="EE168" s="62">
        <v>67.0</v>
      </c>
      <c r="EF168" s="62">
        <v>354.0</v>
      </c>
      <c r="EG168" s="62">
        <v>264.0</v>
      </c>
      <c r="EH168" s="62">
        <v>848.0</v>
      </c>
      <c r="EI168" s="62">
        <v>1375.0</v>
      </c>
      <c r="EJ168" s="62">
        <v>6459.0</v>
      </c>
      <c r="EK168" s="62">
        <v>124.0</v>
      </c>
      <c r="EL168" s="62">
        <v>355.0</v>
      </c>
      <c r="EM168" s="62">
        <v>197.0</v>
      </c>
      <c r="EN168" s="62">
        <v>372.0</v>
      </c>
      <c r="EO168" s="62">
        <v>695.0</v>
      </c>
      <c r="EP168" s="62">
        <v>74.0</v>
      </c>
      <c r="EQ168" s="62">
        <v>620.0</v>
      </c>
      <c r="ER168" s="62">
        <v>263.0</v>
      </c>
      <c r="ES168" s="62">
        <v>917.0</v>
      </c>
      <c r="ET168" s="62">
        <v>9887.0</v>
      </c>
      <c r="EU168" s="62">
        <v>310818.0</v>
      </c>
      <c r="EV168" s="62">
        <v>6929.0</v>
      </c>
      <c r="EW168" s="62">
        <v>3748.0</v>
      </c>
      <c r="EX168" s="62">
        <v>32066.0</v>
      </c>
      <c r="EY168" s="62">
        <v>115922.0</v>
      </c>
      <c r="EZ168" s="62">
        <v>108376.0</v>
      </c>
      <c r="FA168" s="62">
        <v>98353.0</v>
      </c>
      <c r="FB168" s="62">
        <v>1402705.0</v>
      </c>
      <c r="FC168" s="62">
        <v>528.0</v>
      </c>
      <c r="FD168" s="62">
        <v>22828.0</v>
      </c>
      <c r="FE168" s="62">
        <v>1019.0</v>
      </c>
      <c r="FF168" s="62">
        <v>1254.0</v>
      </c>
      <c r="FG168" s="62">
        <v>155863.0</v>
      </c>
      <c r="FH168" s="62">
        <v>139362.0</v>
      </c>
      <c r="FI168" s="62">
        <v>5717.0</v>
      </c>
      <c r="FJ168" s="62">
        <v>43.0</v>
      </c>
      <c r="FK168" s="62">
        <v>4090.0</v>
      </c>
      <c r="FL168" s="62">
        <v>665994.0</v>
      </c>
      <c r="FM168" s="62">
        <v>4915.0</v>
      </c>
      <c r="FN168" s="62">
        <v>22807.0</v>
      </c>
      <c r="FO168" s="62">
        <v>18994.0</v>
      </c>
      <c r="FP168" s="62">
        <v>23368.0</v>
      </c>
      <c r="FQ168" s="62">
        <v>2007.0</v>
      </c>
      <c r="FR168" s="62">
        <v>3.0</v>
      </c>
      <c r="FS168" s="62">
        <v>5003.0</v>
      </c>
      <c r="FT168" s="62">
        <v>7282.0</v>
      </c>
      <c r="FU168" s="62">
        <v>51600.0</v>
      </c>
      <c r="FV168" s="62">
        <v>111933.0</v>
      </c>
      <c r="FW168" s="62">
        <v>3383448.0</v>
      </c>
      <c r="FX168" s="62">
        <v>842088.0</v>
      </c>
      <c r="FY168" s="62">
        <v>825320.0</v>
      </c>
      <c r="FZ168" s="62">
        <v>4546.0</v>
      </c>
      <c r="GA168" s="62">
        <v>1700.0</v>
      </c>
      <c r="GB168" s="62">
        <v>2074.0</v>
      </c>
      <c r="GC168" s="62">
        <v>622.0</v>
      </c>
      <c r="GD168" s="62">
        <v>89.0</v>
      </c>
      <c r="GE168" s="62">
        <v>41048.0</v>
      </c>
      <c r="GF168" s="63">
        <v>8862188.0</v>
      </c>
      <c r="GG168" s="64">
        <v>2.0763253E7</v>
      </c>
      <c r="GH168" s="65">
        <v>0.0</v>
      </c>
      <c r="GI168" s="64">
        <v>0.0</v>
      </c>
      <c r="GJ168" s="64">
        <v>0.0</v>
      </c>
      <c r="GK168" s="64">
        <v>0.0</v>
      </c>
      <c r="GL168" s="64">
        <v>42.0</v>
      </c>
      <c r="GM168" s="64">
        <v>847940.0</v>
      </c>
      <c r="GN168" s="63">
        <v>2.1611235E7</v>
      </c>
      <c r="GO168" s="66">
        <v>3.0473423E7</v>
      </c>
      <c r="GP168" s="64">
        <v>231.0</v>
      </c>
      <c r="GQ168" s="64">
        <v>4892.0</v>
      </c>
      <c r="GR168" s="65">
        <v>0.0</v>
      </c>
      <c r="GS168" s="63">
        <v>5123.0</v>
      </c>
      <c r="GT168" s="67">
        <v>0.0</v>
      </c>
      <c r="GU168" s="67">
        <v>37606.0</v>
      </c>
      <c r="GV168" s="67">
        <v>-3.6074278E7</v>
      </c>
      <c r="GW168" s="63">
        <v>-3.6036672E7</v>
      </c>
      <c r="GX168" s="63">
        <v>422190.0</v>
      </c>
      <c r="GY168" s="63">
        <v>6.6082782E7</v>
      </c>
      <c r="GZ168" s="66">
        <v>3.0473423E7</v>
      </c>
      <c r="HH168" s="106"/>
    </row>
    <row r="169" ht="15.75" customHeight="1">
      <c r="A169" s="60">
        <v>164.0</v>
      </c>
      <c r="B169" s="111" t="s">
        <v>434</v>
      </c>
      <c r="C169" s="62">
        <v>0.0</v>
      </c>
      <c r="D169" s="62">
        <v>0.0</v>
      </c>
      <c r="E169" s="62">
        <v>0.0</v>
      </c>
      <c r="F169" s="62">
        <v>0.0</v>
      </c>
      <c r="G169" s="62">
        <v>0.0</v>
      </c>
      <c r="H169" s="62">
        <v>0.0</v>
      </c>
      <c r="I169" s="62">
        <v>0.0</v>
      </c>
      <c r="J169" s="62">
        <v>0.0</v>
      </c>
      <c r="K169" s="62">
        <v>0.0</v>
      </c>
      <c r="L169" s="62">
        <v>7202.0</v>
      </c>
      <c r="M169" s="62">
        <v>105.0</v>
      </c>
      <c r="N169" s="62">
        <v>149.0</v>
      </c>
      <c r="O169" s="62">
        <v>1711.0</v>
      </c>
      <c r="P169" s="62">
        <v>26.0</v>
      </c>
      <c r="Q169" s="62">
        <v>605.0</v>
      </c>
      <c r="R169" s="62">
        <v>8311.0</v>
      </c>
      <c r="S169" s="62">
        <v>299.0</v>
      </c>
      <c r="T169" s="62">
        <v>208.0</v>
      </c>
      <c r="U169" s="62">
        <v>103.0</v>
      </c>
      <c r="V169" s="62">
        <v>4456.0</v>
      </c>
      <c r="W169" s="62">
        <v>90.0</v>
      </c>
      <c r="X169" s="62">
        <v>0.0</v>
      </c>
      <c r="Y169" s="62">
        <v>644.0</v>
      </c>
      <c r="Z169" s="62">
        <v>592.0</v>
      </c>
      <c r="AA169" s="62">
        <v>276.0</v>
      </c>
      <c r="AB169" s="62">
        <v>93.0</v>
      </c>
      <c r="AC169" s="62">
        <v>16.0</v>
      </c>
      <c r="AD169" s="62">
        <v>254.0</v>
      </c>
      <c r="AE169" s="62">
        <v>0.0</v>
      </c>
      <c r="AF169" s="62">
        <v>830.0</v>
      </c>
      <c r="AG169" s="62">
        <v>3797.0</v>
      </c>
      <c r="AH169" s="62">
        <v>1082.0</v>
      </c>
      <c r="AI169" s="62">
        <v>488.0</v>
      </c>
      <c r="AJ169" s="62">
        <v>204.0</v>
      </c>
      <c r="AK169" s="62">
        <v>158.0</v>
      </c>
      <c r="AL169" s="62">
        <v>113.0</v>
      </c>
      <c r="AM169" s="62">
        <v>196818.0</v>
      </c>
      <c r="AN169" s="62">
        <v>49699.0</v>
      </c>
      <c r="AO169" s="62">
        <v>35130.0</v>
      </c>
      <c r="AP169" s="62">
        <v>100.0</v>
      </c>
      <c r="AQ169" s="62">
        <v>1121.0</v>
      </c>
      <c r="AR169" s="62">
        <v>2120.0</v>
      </c>
      <c r="AS169" s="62">
        <v>15414.0</v>
      </c>
      <c r="AT169" s="62">
        <v>3380.0</v>
      </c>
      <c r="AU169" s="62">
        <v>740.0</v>
      </c>
      <c r="AV169" s="62">
        <v>6266.0</v>
      </c>
      <c r="AW169" s="62">
        <v>274.0</v>
      </c>
      <c r="AX169" s="62">
        <v>65078.0</v>
      </c>
      <c r="AY169" s="62">
        <v>20192.0</v>
      </c>
      <c r="AZ169" s="62">
        <v>166.0</v>
      </c>
      <c r="BA169" s="62">
        <v>246917.0</v>
      </c>
      <c r="BB169" s="62">
        <v>187418.0</v>
      </c>
      <c r="BC169" s="62">
        <v>19869.0</v>
      </c>
      <c r="BD169" s="62">
        <v>455.0</v>
      </c>
      <c r="BE169" s="62">
        <v>6242.0</v>
      </c>
      <c r="BF169" s="62">
        <v>21529.0</v>
      </c>
      <c r="BG169" s="62">
        <v>49650.0</v>
      </c>
      <c r="BH169" s="62">
        <v>163620.0</v>
      </c>
      <c r="BI169" s="62">
        <v>5294.0</v>
      </c>
      <c r="BJ169" s="62">
        <v>197351.0</v>
      </c>
      <c r="BK169" s="62">
        <v>9055.0</v>
      </c>
      <c r="BL169" s="62">
        <v>2798.0</v>
      </c>
      <c r="BM169" s="62">
        <v>115.0</v>
      </c>
      <c r="BN169" s="62">
        <v>2486.0</v>
      </c>
      <c r="BO169" s="62">
        <v>110077.0</v>
      </c>
      <c r="BP169" s="62">
        <v>16960.0</v>
      </c>
      <c r="BQ169" s="62">
        <v>79241.0</v>
      </c>
      <c r="BR169" s="62">
        <v>1290.0</v>
      </c>
      <c r="BS169" s="62">
        <v>3565.0</v>
      </c>
      <c r="BT169" s="62">
        <v>134657.0</v>
      </c>
      <c r="BU169" s="62">
        <v>111641.0</v>
      </c>
      <c r="BV169" s="62">
        <v>71828.0</v>
      </c>
      <c r="BW169" s="62">
        <v>2172.0</v>
      </c>
      <c r="BX169" s="62">
        <v>105891.0</v>
      </c>
      <c r="BY169" s="62">
        <v>458230.0</v>
      </c>
      <c r="BZ169" s="62">
        <v>30547.0</v>
      </c>
      <c r="CA169" s="62">
        <v>62212.0</v>
      </c>
      <c r="CB169" s="62">
        <v>31769.0</v>
      </c>
      <c r="CC169" s="62">
        <v>1165.0</v>
      </c>
      <c r="CD169" s="62">
        <v>4813.0</v>
      </c>
      <c r="CE169" s="62">
        <v>1301.0</v>
      </c>
      <c r="CF169" s="62">
        <v>12327.0</v>
      </c>
      <c r="CG169" s="62">
        <v>6277.0</v>
      </c>
      <c r="CH169" s="62">
        <v>36319.0</v>
      </c>
      <c r="CI169" s="62">
        <v>130239.0</v>
      </c>
      <c r="CJ169" s="62">
        <v>16605.0</v>
      </c>
      <c r="CK169" s="62">
        <v>35353.0</v>
      </c>
      <c r="CL169" s="62">
        <v>20179.0</v>
      </c>
      <c r="CM169" s="62">
        <v>11869.0</v>
      </c>
      <c r="CN169" s="62">
        <v>65701.0</v>
      </c>
      <c r="CO169" s="62">
        <v>78887.0</v>
      </c>
      <c r="CP169" s="62">
        <v>119399.0</v>
      </c>
      <c r="CQ169" s="62">
        <v>63326.0</v>
      </c>
      <c r="CR169" s="62">
        <v>33965.0</v>
      </c>
      <c r="CS169" s="62">
        <v>11873.0</v>
      </c>
      <c r="CT169" s="62">
        <v>101847.0</v>
      </c>
      <c r="CU169" s="62">
        <v>94251.0</v>
      </c>
      <c r="CV169" s="62">
        <v>176518.0</v>
      </c>
      <c r="CW169" s="62">
        <v>47865.0</v>
      </c>
      <c r="CX169" s="62">
        <v>46304.0</v>
      </c>
      <c r="CY169" s="62">
        <v>3152.0</v>
      </c>
      <c r="CZ169" s="62">
        <v>55569.0</v>
      </c>
      <c r="DA169" s="62">
        <v>85567.0</v>
      </c>
      <c r="DB169" s="62">
        <v>62084.0</v>
      </c>
      <c r="DC169" s="62">
        <v>243379.0</v>
      </c>
      <c r="DD169" s="62">
        <v>127211.0</v>
      </c>
      <c r="DE169" s="62">
        <v>26421.0</v>
      </c>
      <c r="DF169" s="62">
        <v>31724.0</v>
      </c>
      <c r="DG169" s="62">
        <v>6782.0</v>
      </c>
      <c r="DH169" s="62">
        <v>90273.0</v>
      </c>
      <c r="DI169" s="62">
        <v>75621.0</v>
      </c>
      <c r="DJ169" s="62">
        <v>18470.0</v>
      </c>
      <c r="DK169" s="62">
        <v>22864.0</v>
      </c>
      <c r="DL169" s="62">
        <v>48405.0</v>
      </c>
      <c r="DM169" s="62">
        <v>17711.0</v>
      </c>
      <c r="DN169" s="62">
        <v>2299.0</v>
      </c>
      <c r="DO169" s="62">
        <v>56834.0</v>
      </c>
      <c r="DP169" s="62">
        <v>5954.0</v>
      </c>
      <c r="DQ169" s="62">
        <v>31805.0</v>
      </c>
      <c r="DR169" s="62">
        <v>84683.0</v>
      </c>
      <c r="DS169" s="62">
        <v>121330.0</v>
      </c>
      <c r="DT169" s="62">
        <v>29597.0</v>
      </c>
      <c r="DU169" s="62">
        <v>2797.0</v>
      </c>
      <c r="DV169" s="62">
        <v>3199.0</v>
      </c>
      <c r="DW169" s="62">
        <v>2121.0</v>
      </c>
      <c r="DX169" s="62">
        <v>4700.0</v>
      </c>
      <c r="DY169" s="62">
        <v>31.0</v>
      </c>
      <c r="DZ169" s="62">
        <v>209751.0</v>
      </c>
      <c r="EA169" s="62">
        <v>22807.0</v>
      </c>
      <c r="EB169" s="62">
        <v>204496.0</v>
      </c>
      <c r="EC169" s="62">
        <v>263495.0</v>
      </c>
      <c r="ED169" s="62">
        <v>23097.0</v>
      </c>
      <c r="EE169" s="62">
        <v>41272.0</v>
      </c>
      <c r="EF169" s="62">
        <v>14304.0</v>
      </c>
      <c r="EG169" s="62">
        <v>34750.0</v>
      </c>
      <c r="EH169" s="62">
        <v>437636.0</v>
      </c>
      <c r="EI169" s="62">
        <v>597723.0</v>
      </c>
      <c r="EJ169" s="62">
        <v>43185.0</v>
      </c>
      <c r="EK169" s="62">
        <v>3605.0</v>
      </c>
      <c r="EL169" s="62">
        <v>9247.0</v>
      </c>
      <c r="EM169" s="62">
        <v>4534.0</v>
      </c>
      <c r="EN169" s="62">
        <v>139088.0</v>
      </c>
      <c r="EO169" s="62">
        <v>26880.0</v>
      </c>
      <c r="EP169" s="62">
        <v>18013.0</v>
      </c>
      <c r="EQ169" s="62">
        <v>67326.0</v>
      </c>
      <c r="ER169" s="62">
        <v>1765.0</v>
      </c>
      <c r="ES169" s="62">
        <v>43112.0</v>
      </c>
      <c r="ET169" s="62">
        <v>31760.0</v>
      </c>
      <c r="EU169" s="62">
        <v>2415751.0</v>
      </c>
      <c r="EV169" s="62">
        <v>18269.0</v>
      </c>
      <c r="EW169" s="62">
        <v>12951.0</v>
      </c>
      <c r="EX169" s="62">
        <v>48499.0</v>
      </c>
      <c r="EY169" s="62">
        <v>209415.0</v>
      </c>
      <c r="EZ169" s="62">
        <v>433723.0</v>
      </c>
      <c r="FA169" s="62">
        <v>197653.0</v>
      </c>
      <c r="FB169" s="62">
        <v>4099670.0</v>
      </c>
      <c r="FC169" s="62">
        <v>6746.0</v>
      </c>
      <c r="FD169" s="62">
        <v>2448864.0</v>
      </c>
      <c r="FE169" s="62">
        <v>312042.0</v>
      </c>
      <c r="FF169" s="62">
        <v>104040.0</v>
      </c>
      <c r="FG169" s="62">
        <v>2205909.0</v>
      </c>
      <c r="FH169" s="62">
        <v>391157.0</v>
      </c>
      <c r="FI169" s="62">
        <v>74775.0</v>
      </c>
      <c r="FJ169" s="62">
        <v>14638.0</v>
      </c>
      <c r="FK169" s="62">
        <v>20275.0</v>
      </c>
      <c r="FL169" s="62">
        <v>748556.0</v>
      </c>
      <c r="FM169" s="62">
        <v>49116.0</v>
      </c>
      <c r="FN169" s="62">
        <v>400227.0</v>
      </c>
      <c r="FO169" s="62">
        <v>166669.0</v>
      </c>
      <c r="FP169" s="62">
        <v>574093.0</v>
      </c>
      <c r="FQ169" s="62">
        <v>206751.0</v>
      </c>
      <c r="FR169" s="62">
        <v>56.0</v>
      </c>
      <c r="FS169" s="62">
        <v>289572.0</v>
      </c>
      <c r="FT169" s="62">
        <v>1092041.0</v>
      </c>
      <c r="FU169" s="62">
        <v>1531034.0</v>
      </c>
      <c r="FV169" s="62">
        <v>784430.0</v>
      </c>
      <c r="FW169" s="62">
        <v>2.3607432E7</v>
      </c>
      <c r="FX169" s="62">
        <v>1.2267867E7</v>
      </c>
      <c r="FY169" s="62">
        <v>4319699.0</v>
      </c>
      <c r="FZ169" s="62">
        <v>89922.0</v>
      </c>
      <c r="GA169" s="62">
        <v>972369.0</v>
      </c>
      <c r="GB169" s="62">
        <v>1486811.0</v>
      </c>
      <c r="GC169" s="62">
        <v>614958.0</v>
      </c>
      <c r="GD169" s="62">
        <v>8632.0</v>
      </c>
      <c r="GE169" s="62">
        <v>6621218.0</v>
      </c>
      <c r="GF169" s="63">
        <v>7.6021831E7</v>
      </c>
      <c r="GG169" s="64">
        <v>5.3964208E7</v>
      </c>
      <c r="GH169" s="65">
        <v>0.0</v>
      </c>
      <c r="GI169" s="64">
        <v>0.0</v>
      </c>
      <c r="GJ169" s="64">
        <v>0.0</v>
      </c>
      <c r="GK169" s="64">
        <v>0.0</v>
      </c>
      <c r="GL169" s="64">
        <v>0.0</v>
      </c>
      <c r="GM169" s="64">
        <v>2.0854821E7</v>
      </c>
      <c r="GN169" s="63">
        <v>7.4819029E7</v>
      </c>
      <c r="GO169" s="66">
        <v>1.5084086E8</v>
      </c>
      <c r="GP169" s="64">
        <v>0.0</v>
      </c>
      <c r="GQ169" s="64">
        <v>8516649.0</v>
      </c>
      <c r="GR169" s="65">
        <v>0.0</v>
      </c>
      <c r="GS169" s="63">
        <v>8516649.0</v>
      </c>
      <c r="GT169" s="67">
        <v>0.0</v>
      </c>
      <c r="GU169" s="67">
        <v>0.0</v>
      </c>
      <c r="GV169" s="67">
        <v>0.0</v>
      </c>
      <c r="GW169" s="63">
        <v>0.0</v>
      </c>
      <c r="GX169" s="63">
        <v>3239350.0</v>
      </c>
      <c r="GY169" s="63">
        <v>1.39084861E8</v>
      </c>
      <c r="GZ169" s="66">
        <v>1.5084086E8</v>
      </c>
      <c r="HH169" s="106"/>
    </row>
    <row r="170" ht="15.75" customHeight="1">
      <c r="A170" s="68">
        <v>165.0</v>
      </c>
      <c r="B170" s="111" t="s">
        <v>435</v>
      </c>
      <c r="C170" s="70">
        <v>14109.0</v>
      </c>
      <c r="D170" s="70">
        <v>217.0</v>
      </c>
      <c r="E170" s="70">
        <v>35.0</v>
      </c>
      <c r="F170" s="70">
        <v>552.0</v>
      </c>
      <c r="G170" s="70">
        <v>88.0</v>
      </c>
      <c r="H170" s="70">
        <v>487.0</v>
      </c>
      <c r="I170" s="70">
        <v>979.0</v>
      </c>
      <c r="J170" s="70">
        <v>332.0</v>
      </c>
      <c r="K170" s="70">
        <v>10.0</v>
      </c>
      <c r="L170" s="70">
        <v>17838.0</v>
      </c>
      <c r="M170" s="70">
        <v>5649.0</v>
      </c>
      <c r="N170" s="70">
        <v>3339.0</v>
      </c>
      <c r="O170" s="70">
        <v>7291.0</v>
      </c>
      <c r="P170" s="70">
        <v>19.0</v>
      </c>
      <c r="Q170" s="70">
        <v>7246.0</v>
      </c>
      <c r="R170" s="70">
        <v>2020.0</v>
      </c>
      <c r="S170" s="70">
        <v>416.0</v>
      </c>
      <c r="T170" s="70">
        <v>42703.0</v>
      </c>
      <c r="U170" s="70">
        <v>738.0</v>
      </c>
      <c r="V170" s="70">
        <v>19311.0</v>
      </c>
      <c r="W170" s="70">
        <v>494.0</v>
      </c>
      <c r="X170" s="70">
        <v>4467.0</v>
      </c>
      <c r="Y170" s="70">
        <v>1556.0</v>
      </c>
      <c r="Z170" s="70">
        <v>1247.0</v>
      </c>
      <c r="AA170" s="70">
        <v>2837.0</v>
      </c>
      <c r="AB170" s="70">
        <v>19268.0</v>
      </c>
      <c r="AC170" s="70">
        <v>2895.0</v>
      </c>
      <c r="AD170" s="70">
        <v>30509.0</v>
      </c>
      <c r="AE170" s="70">
        <v>8066.0</v>
      </c>
      <c r="AF170" s="70">
        <v>23913.0</v>
      </c>
      <c r="AG170" s="70">
        <v>60573.0</v>
      </c>
      <c r="AH170" s="70">
        <v>14288.0</v>
      </c>
      <c r="AI170" s="70">
        <v>502798.0</v>
      </c>
      <c r="AJ170" s="70">
        <v>8303.0</v>
      </c>
      <c r="AK170" s="70">
        <v>2696.0</v>
      </c>
      <c r="AL170" s="70">
        <v>1280.0</v>
      </c>
      <c r="AM170" s="70">
        <v>438.0</v>
      </c>
      <c r="AN170" s="70">
        <v>276034.0</v>
      </c>
      <c r="AO170" s="70">
        <v>27464.0</v>
      </c>
      <c r="AP170" s="70">
        <v>59.0</v>
      </c>
      <c r="AQ170" s="70">
        <v>6604.0</v>
      </c>
      <c r="AR170" s="70">
        <v>905.0</v>
      </c>
      <c r="AS170" s="70">
        <v>47600.0</v>
      </c>
      <c r="AT170" s="70">
        <v>2753.0</v>
      </c>
      <c r="AU170" s="70">
        <v>31082.0</v>
      </c>
      <c r="AV170" s="70">
        <v>98033.0</v>
      </c>
      <c r="AW170" s="70">
        <v>8729.0</v>
      </c>
      <c r="AX170" s="70">
        <v>433971.0</v>
      </c>
      <c r="AY170" s="70">
        <v>421.0</v>
      </c>
      <c r="AZ170" s="70">
        <v>9750.0</v>
      </c>
      <c r="BA170" s="70">
        <v>22518.0</v>
      </c>
      <c r="BB170" s="70">
        <v>29291.0</v>
      </c>
      <c r="BC170" s="70">
        <v>25617.0</v>
      </c>
      <c r="BD170" s="70">
        <v>2939.0</v>
      </c>
      <c r="BE170" s="70">
        <v>26.0</v>
      </c>
      <c r="BF170" s="70">
        <v>113.0</v>
      </c>
      <c r="BG170" s="70">
        <v>23274.0</v>
      </c>
      <c r="BH170" s="70">
        <v>99147.0</v>
      </c>
      <c r="BI170" s="70">
        <v>125.0</v>
      </c>
      <c r="BJ170" s="70">
        <v>4439.0</v>
      </c>
      <c r="BK170" s="70">
        <v>271.0</v>
      </c>
      <c r="BL170" s="70">
        <v>15.0</v>
      </c>
      <c r="BM170" s="70">
        <v>13.0</v>
      </c>
      <c r="BN170" s="70">
        <v>0.0</v>
      </c>
      <c r="BO170" s="70">
        <v>379.0</v>
      </c>
      <c r="BP170" s="70">
        <v>65.0</v>
      </c>
      <c r="BQ170" s="70">
        <v>53.0</v>
      </c>
      <c r="BR170" s="70">
        <v>78.0</v>
      </c>
      <c r="BS170" s="70">
        <v>154.0</v>
      </c>
      <c r="BT170" s="70">
        <v>16170.0</v>
      </c>
      <c r="BU170" s="70">
        <v>22833.0</v>
      </c>
      <c r="BV170" s="70">
        <v>0.0</v>
      </c>
      <c r="BW170" s="70">
        <v>887.0</v>
      </c>
      <c r="BX170" s="70">
        <v>17496.0</v>
      </c>
      <c r="BY170" s="70">
        <v>285332.0</v>
      </c>
      <c r="BZ170" s="70">
        <v>28309.0</v>
      </c>
      <c r="CA170" s="70">
        <v>22077.0</v>
      </c>
      <c r="CB170" s="70">
        <v>11884.0</v>
      </c>
      <c r="CC170" s="70">
        <v>37884.0</v>
      </c>
      <c r="CD170" s="70">
        <v>1433.0</v>
      </c>
      <c r="CE170" s="70">
        <v>23644.0</v>
      </c>
      <c r="CF170" s="70">
        <v>14813.0</v>
      </c>
      <c r="CG170" s="70">
        <v>14127.0</v>
      </c>
      <c r="CH170" s="70">
        <v>12091.0</v>
      </c>
      <c r="CI170" s="70">
        <v>25732.0</v>
      </c>
      <c r="CJ170" s="70">
        <v>45795.0</v>
      </c>
      <c r="CK170" s="70">
        <v>97504.0</v>
      </c>
      <c r="CL170" s="70">
        <v>55654.0</v>
      </c>
      <c r="CM170" s="70">
        <v>20326.0</v>
      </c>
      <c r="CN170" s="70">
        <v>29692.0</v>
      </c>
      <c r="CO170" s="70">
        <v>36089.0</v>
      </c>
      <c r="CP170" s="70">
        <v>54488.0</v>
      </c>
      <c r="CQ170" s="70">
        <v>275197.0</v>
      </c>
      <c r="CR170" s="70">
        <v>208338.0</v>
      </c>
      <c r="CS170" s="70">
        <v>365078.0</v>
      </c>
      <c r="CT170" s="70">
        <v>34512.0</v>
      </c>
      <c r="CU170" s="70">
        <v>10973.0</v>
      </c>
      <c r="CV170" s="70">
        <v>66309.0</v>
      </c>
      <c r="CW170" s="70">
        <v>2234.0</v>
      </c>
      <c r="CX170" s="70">
        <v>11283.0</v>
      </c>
      <c r="CY170" s="70">
        <v>2797.0</v>
      </c>
      <c r="CZ170" s="70">
        <v>8434.0</v>
      </c>
      <c r="DA170" s="70">
        <v>320576.0</v>
      </c>
      <c r="DB170" s="70">
        <v>8988.0</v>
      </c>
      <c r="DC170" s="70">
        <v>669294.0</v>
      </c>
      <c r="DD170" s="70">
        <v>2905.0</v>
      </c>
      <c r="DE170" s="70">
        <v>24815.0</v>
      </c>
      <c r="DF170" s="70">
        <v>23483.0</v>
      </c>
      <c r="DG170" s="70">
        <v>4952.0</v>
      </c>
      <c r="DH170" s="70">
        <v>72605.0</v>
      </c>
      <c r="DI170" s="70">
        <v>226311.0</v>
      </c>
      <c r="DJ170" s="70">
        <v>27297.0</v>
      </c>
      <c r="DK170" s="70">
        <v>40127.0</v>
      </c>
      <c r="DL170" s="70">
        <v>77596.0</v>
      </c>
      <c r="DM170" s="70">
        <v>39122.0</v>
      </c>
      <c r="DN170" s="70">
        <v>6483.0</v>
      </c>
      <c r="DO170" s="70">
        <v>631799.0</v>
      </c>
      <c r="DP170" s="70">
        <v>1525.0</v>
      </c>
      <c r="DQ170" s="70">
        <v>86955.0</v>
      </c>
      <c r="DR170" s="70">
        <v>37888.0</v>
      </c>
      <c r="DS170" s="70">
        <v>567678.0</v>
      </c>
      <c r="DT170" s="70">
        <v>29533.0</v>
      </c>
      <c r="DU170" s="70">
        <v>69676.0</v>
      </c>
      <c r="DV170" s="70">
        <v>206231.0</v>
      </c>
      <c r="DW170" s="70">
        <v>132406.0</v>
      </c>
      <c r="DX170" s="70">
        <v>116191.0</v>
      </c>
      <c r="DY170" s="70">
        <v>382170.0</v>
      </c>
      <c r="DZ170" s="70">
        <v>23580.0</v>
      </c>
      <c r="EA170" s="70">
        <v>8274.0</v>
      </c>
      <c r="EB170" s="70">
        <v>62072.0</v>
      </c>
      <c r="EC170" s="70">
        <v>367103.0</v>
      </c>
      <c r="ED170" s="70">
        <v>26192.0</v>
      </c>
      <c r="EE170" s="70">
        <v>7762.0</v>
      </c>
      <c r="EF170" s="70">
        <v>863.0</v>
      </c>
      <c r="EG170" s="70">
        <v>39075.0</v>
      </c>
      <c r="EH170" s="70">
        <v>128479.0</v>
      </c>
      <c r="EI170" s="70">
        <v>35610.0</v>
      </c>
      <c r="EJ170" s="70">
        <v>108632.0</v>
      </c>
      <c r="EK170" s="70">
        <v>55142.0</v>
      </c>
      <c r="EL170" s="70">
        <v>63829.0</v>
      </c>
      <c r="EM170" s="70">
        <v>31287.0</v>
      </c>
      <c r="EN170" s="70">
        <v>139620.0</v>
      </c>
      <c r="EO170" s="70">
        <v>1178.0</v>
      </c>
      <c r="EP170" s="70">
        <v>10857.0</v>
      </c>
      <c r="EQ170" s="70">
        <v>172424.0</v>
      </c>
      <c r="ER170" s="70">
        <v>74962.0</v>
      </c>
      <c r="ES170" s="70">
        <v>385612.0</v>
      </c>
      <c r="ET170" s="70">
        <v>603907.0</v>
      </c>
      <c r="EU170" s="70">
        <v>1.0756302E7</v>
      </c>
      <c r="EV170" s="70">
        <v>73588.0</v>
      </c>
      <c r="EW170" s="70">
        <v>393565.0</v>
      </c>
      <c r="EX170" s="70">
        <v>485165.0</v>
      </c>
      <c r="EY170" s="70">
        <v>727192.0</v>
      </c>
      <c r="EZ170" s="70">
        <v>766488.0</v>
      </c>
      <c r="FA170" s="70">
        <v>594379.0</v>
      </c>
      <c r="FB170" s="70">
        <v>1.4699658E7</v>
      </c>
      <c r="FC170" s="70">
        <v>29522.0</v>
      </c>
      <c r="FD170" s="70">
        <v>2817148.0</v>
      </c>
      <c r="FE170" s="70">
        <v>326291.0</v>
      </c>
      <c r="FF170" s="70">
        <v>137727.0</v>
      </c>
      <c r="FG170" s="70">
        <v>3395156.0</v>
      </c>
      <c r="FH170" s="70">
        <v>929953.0</v>
      </c>
      <c r="FI170" s="70">
        <v>299352.0</v>
      </c>
      <c r="FJ170" s="70">
        <v>6186.0</v>
      </c>
      <c r="FK170" s="70">
        <v>322079.0</v>
      </c>
      <c r="FL170" s="70">
        <v>1032779.0</v>
      </c>
      <c r="FM170" s="70">
        <v>321583.0</v>
      </c>
      <c r="FN170" s="70">
        <v>914478.0</v>
      </c>
      <c r="FO170" s="70">
        <v>221345.0</v>
      </c>
      <c r="FP170" s="70">
        <v>1491475.0</v>
      </c>
      <c r="FQ170" s="70">
        <v>50044.0</v>
      </c>
      <c r="FR170" s="70">
        <v>41.0</v>
      </c>
      <c r="FS170" s="70">
        <v>290079.0</v>
      </c>
      <c r="FT170" s="70">
        <v>958009.0</v>
      </c>
      <c r="FU170" s="70">
        <v>2770755.0</v>
      </c>
      <c r="FV170" s="70">
        <v>252973.0</v>
      </c>
      <c r="FW170" s="70">
        <v>3.4957616E7</v>
      </c>
      <c r="FX170" s="70">
        <v>4446273.0</v>
      </c>
      <c r="FY170" s="70">
        <v>1.148273E7</v>
      </c>
      <c r="FZ170" s="70">
        <v>335341.0</v>
      </c>
      <c r="GA170" s="70">
        <v>3741570.0</v>
      </c>
      <c r="GB170" s="70">
        <v>2806956.0</v>
      </c>
      <c r="GC170" s="70">
        <v>282988.0</v>
      </c>
      <c r="GD170" s="70">
        <v>29188.0</v>
      </c>
      <c r="GE170" s="70">
        <v>3064440.0</v>
      </c>
      <c r="GF170" s="71">
        <v>1.16183824E8</v>
      </c>
      <c r="GG170" s="72">
        <v>9.67923684E8</v>
      </c>
      <c r="GH170" s="73">
        <v>0.0</v>
      </c>
      <c r="GI170" s="72">
        <v>0.0</v>
      </c>
      <c r="GJ170" s="72">
        <v>0.0</v>
      </c>
      <c r="GK170" s="72">
        <v>0.0</v>
      </c>
      <c r="GL170" s="72">
        <v>0.0</v>
      </c>
      <c r="GM170" s="72">
        <v>1.4918331E7</v>
      </c>
      <c r="GN170" s="71">
        <v>9.82842015E8</v>
      </c>
      <c r="GO170" s="74">
        <v>1.099025839E9</v>
      </c>
      <c r="GP170" s="72">
        <v>0.0</v>
      </c>
      <c r="GQ170" s="72">
        <v>6955690.0</v>
      </c>
      <c r="GR170" s="73">
        <v>0.0</v>
      </c>
      <c r="GS170" s="71">
        <v>6955690.0</v>
      </c>
      <c r="GT170" s="75">
        <v>0.0</v>
      </c>
      <c r="GU170" s="75">
        <v>0.0</v>
      </c>
      <c r="GV170" s="75">
        <v>3.6141121E7</v>
      </c>
      <c r="GW170" s="71">
        <v>3.6141121E7</v>
      </c>
      <c r="GX170" s="71">
        <v>7448932.0</v>
      </c>
      <c r="GY170" s="71">
        <v>1.048480096E9</v>
      </c>
      <c r="GZ170" s="74">
        <v>1.099025839E9</v>
      </c>
      <c r="HH170" s="106"/>
    </row>
    <row r="171" ht="15.75" customHeight="1">
      <c r="A171" s="52">
        <v>166.0</v>
      </c>
      <c r="B171" s="111" t="s">
        <v>436</v>
      </c>
      <c r="C171" s="54">
        <v>101.0</v>
      </c>
      <c r="D171" s="54">
        <v>16.0</v>
      </c>
      <c r="E171" s="54">
        <v>8.0</v>
      </c>
      <c r="F171" s="54">
        <v>913.0</v>
      </c>
      <c r="G171" s="54">
        <v>331.0</v>
      </c>
      <c r="H171" s="54">
        <v>809.0</v>
      </c>
      <c r="I171" s="54">
        <v>56.0</v>
      </c>
      <c r="J171" s="54">
        <v>713.0</v>
      </c>
      <c r="K171" s="54">
        <v>13.0</v>
      </c>
      <c r="L171" s="54">
        <v>1341.0</v>
      </c>
      <c r="M171" s="54">
        <v>101.0</v>
      </c>
      <c r="N171" s="54">
        <v>1090.0</v>
      </c>
      <c r="O171" s="54">
        <v>1116.0</v>
      </c>
      <c r="P171" s="54">
        <v>295.0</v>
      </c>
      <c r="Q171" s="54">
        <v>1804.0</v>
      </c>
      <c r="R171" s="54">
        <v>1449.0</v>
      </c>
      <c r="S171" s="54">
        <v>1939.0</v>
      </c>
      <c r="T171" s="54">
        <v>549.0</v>
      </c>
      <c r="U171" s="54">
        <v>630.0</v>
      </c>
      <c r="V171" s="54">
        <v>911.0</v>
      </c>
      <c r="W171" s="54">
        <v>18.0</v>
      </c>
      <c r="X171" s="54">
        <v>4226.0</v>
      </c>
      <c r="Y171" s="54">
        <v>459.0</v>
      </c>
      <c r="Z171" s="54">
        <v>594.0</v>
      </c>
      <c r="AA171" s="54">
        <v>1097.0</v>
      </c>
      <c r="AB171" s="54">
        <v>2974.0</v>
      </c>
      <c r="AC171" s="54">
        <v>2257.0</v>
      </c>
      <c r="AD171" s="54">
        <v>34.0</v>
      </c>
      <c r="AE171" s="54">
        <v>73.0</v>
      </c>
      <c r="AF171" s="54">
        <v>983.0</v>
      </c>
      <c r="AG171" s="54">
        <v>3966.0</v>
      </c>
      <c r="AH171" s="54">
        <v>3871.0</v>
      </c>
      <c r="AI171" s="54">
        <v>791.0</v>
      </c>
      <c r="AJ171" s="54">
        <v>271.0</v>
      </c>
      <c r="AK171" s="54">
        <v>254.0</v>
      </c>
      <c r="AL171" s="54">
        <v>75.0</v>
      </c>
      <c r="AM171" s="54">
        <v>20534.0</v>
      </c>
      <c r="AN171" s="54">
        <v>416.0</v>
      </c>
      <c r="AO171" s="54">
        <v>2181.0</v>
      </c>
      <c r="AP171" s="54">
        <v>633.0</v>
      </c>
      <c r="AQ171" s="54">
        <v>9658.0</v>
      </c>
      <c r="AR171" s="54">
        <v>0.0</v>
      </c>
      <c r="AS171" s="54">
        <v>110.0</v>
      </c>
      <c r="AT171" s="54">
        <v>20.0</v>
      </c>
      <c r="AU171" s="54">
        <v>31.0</v>
      </c>
      <c r="AV171" s="54">
        <v>5051.0</v>
      </c>
      <c r="AW171" s="54">
        <v>16.0</v>
      </c>
      <c r="AX171" s="54">
        <v>217.0</v>
      </c>
      <c r="AY171" s="54">
        <v>70.0</v>
      </c>
      <c r="AZ171" s="54">
        <v>21.0</v>
      </c>
      <c r="BA171" s="54">
        <v>61.0</v>
      </c>
      <c r="BB171" s="54">
        <v>639.0</v>
      </c>
      <c r="BC171" s="54">
        <v>0.0</v>
      </c>
      <c r="BD171" s="54">
        <v>0.0</v>
      </c>
      <c r="BE171" s="54">
        <v>0.0</v>
      </c>
      <c r="BF171" s="54">
        <v>0.0</v>
      </c>
      <c r="BG171" s="54">
        <v>2042.0</v>
      </c>
      <c r="BH171" s="54">
        <v>26379.0</v>
      </c>
      <c r="BI171" s="54">
        <v>43.0</v>
      </c>
      <c r="BJ171" s="54">
        <v>689.0</v>
      </c>
      <c r="BK171" s="54">
        <v>247.0</v>
      </c>
      <c r="BL171" s="54">
        <v>163.0</v>
      </c>
      <c r="BM171" s="54">
        <v>15.0</v>
      </c>
      <c r="BN171" s="54">
        <v>87.0</v>
      </c>
      <c r="BO171" s="54">
        <v>1176.0</v>
      </c>
      <c r="BP171" s="54">
        <v>707.0</v>
      </c>
      <c r="BQ171" s="54">
        <v>88.0</v>
      </c>
      <c r="BR171" s="54">
        <v>0.0</v>
      </c>
      <c r="BS171" s="54">
        <v>0.0</v>
      </c>
      <c r="BT171" s="54">
        <v>283.0</v>
      </c>
      <c r="BU171" s="54">
        <v>51162.0</v>
      </c>
      <c r="BV171" s="54">
        <v>0.0</v>
      </c>
      <c r="BW171" s="54">
        <v>18.0</v>
      </c>
      <c r="BX171" s="54">
        <v>406.0</v>
      </c>
      <c r="BY171" s="54">
        <v>596.0</v>
      </c>
      <c r="BZ171" s="54">
        <v>38.0</v>
      </c>
      <c r="CA171" s="54">
        <v>8552.0</v>
      </c>
      <c r="CB171" s="54">
        <v>422.0</v>
      </c>
      <c r="CC171" s="54">
        <v>357.0</v>
      </c>
      <c r="CD171" s="54">
        <v>0.0</v>
      </c>
      <c r="CE171" s="54">
        <v>3.0</v>
      </c>
      <c r="CF171" s="54">
        <v>42.0</v>
      </c>
      <c r="CG171" s="54">
        <v>169.0</v>
      </c>
      <c r="CH171" s="54">
        <v>21.0</v>
      </c>
      <c r="CI171" s="54">
        <v>92.0</v>
      </c>
      <c r="CJ171" s="54">
        <v>15.0</v>
      </c>
      <c r="CK171" s="54">
        <v>463.0</v>
      </c>
      <c r="CL171" s="54">
        <v>810.0</v>
      </c>
      <c r="CM171" s="54">
        <v>3732.0</v>
      </c>
      <c r="CN171" s="54">
        <v>68.0</v>
      </c>
      <c r="CO171" s="54">
        <v>11023.0</v>
      </c>
      <c r="CP171" s="54">
        <v>22196.0</v>
      </c>
      <c r="CQ171" s="54">
        <v>887677.0</v>
      </c>
      <c r="CR171" s="54">
        <v>33039.0</v>
      </c>
      <c r="CS171" s="54">
        <v>107428.0</v>
      </c>
      <c r="CT171" s="54">
        <v>273296.0</v>
      </c>
      <c r="CU171" s="54">
        <v>77111.0</v>
      </c>
      <c r="CV171" s="54">
        <v>144445.0</v>
      </c>
      <c r="CW171" s="54">
        <v>15720.0</v>
      </c>
      <c r="CX171" s="54">
        <v>37677.0</v>
      </c>
      <c r="CY171" s="54">
        <v>2560.0</v>
      </c>
      <c r="CZ171" s="54">
        <v>44530.0</v>
      </c>
      <c r="DA171" s="54">
        <v>80500.0</v>
      </c>
      <c r="DB171" s="54">
        <v>52134.0</v>
      </c>
      <c r="DC171" s="54">
        <v>451782.0</v>
      </c>
      <c r="DD171" s="54">
        <v>20318.0</v>
      </c>
      <c r="DE171" s="54">
        <v>10422.0</v>
      </c>
      <c r="DF171" s="54">
        <v>12514.0</v>
      </c>
      <c r="DG171" s="54">
        <v>2548.0</v>
      </c>
      <c r="DH171" s="54">
        <v>35537.0</v>
      </c>
      <c r="DI171" s="54">
        <v>102370.0</v>
      </c>
      <c r="DJ171" s="54">
        <v>18241.0</v>
      </c>
      <c r="DK171" s="54">
        <v>22448.0</v>
      </c>
      <c r="DL171" s="54">
        <v>568.0</v>
      </c>
      <c r="DM171" s="54">
        <v>208.0</v>
      </c>
      <c r="DN171" s="54">
        <v>542.0</v>
      </c>
      <c r="DO171" s="54">
        <v>2931.0</v>
      </c>
      <c r="DP171" s="54">
        <v>313.0</v>
      </c>
      <c r="DQ171" s="54">
        <v>2061.0</v>
      </c>
      <c r="DR171" s="54">
        <v>14012.0</v>
      </c>
      <c r="DS171" s="54">
        <v>231194.0</v>
      </c>
      <c r="DT171" s="54">
        <v>11788.0</v>
      </c>
      <c r="DU171" s="54">
        <v>28424.0</v>
      </c>
      <c r="DV171" s="54">
        <v>84130.0</v>
      </c>
      <c r="DW171" s="54">
        <v>54014.0</v>
      </c>
      <c r="DX171" s="54">
        <v>46996.0</v>
      </c>
      <c r="DY171" s="54">
        <v>155905.0</v>
      </c>
      <c r="DZ171" s="54">
        <v>13785.0</v>
      </c>
      <c r="EA171" s="54">
        <v>195.0</v>
      </c>
      <c r="EB171" s="54">
        <v>2322.0</v>
      </c>
      <c r="EC171" s="54">
        <v>583557.0</v>
      </c>
      <c r="ED171" s="54">
        <v>23418.0</v>
      </c>
      <c r="EE171" s="54">
        <v>12903.0</v>
      </c>
      <c r="EF171" s="54">
        <v>153.0</v>
      </c>
      <c r="EG171" s="54">
        <v>2804.0</v>
      </c>
      <c r="EH171" s="54">
        <v>21470.0</v>
      </c>
      <c r="EI171" s="54">
        <v>186505.0</v>
      </c>
      <c r="EJ171" s="54">
        <v>119321.0</v>
      </c>
      <c r="EK171" s="54">
        <v>59561.0</v>
      </c>
      <c r="EL171" s="54">
        <v>23940.0</v>
      </c>
      <c r="EM171" s="54">
        <v>577.0</v>
      </c>
      <c r="EN171" s="54">
        <v>217.0</v>
      </c>
      <c r="EO171" s="54">
        <v>365.0</v>
      </c>
      <c r="EP171" s="54">
        <v>14683.0</v>
      </c>
      <c r="EQ171" s="54">
        <v>91420.0</v>
      </c>
      <c r="ER171" s="54">
        <v>70858.0</v>
      </c>
      <c r="ES171" s="54">
        <v>8495.0</v>
      </c>
      <c r="ET171" s="54">
        <v>1822.0</v>
      </c>
      <c r="EU171" s="54">
        <v>11571.0</v>
      </c>
      <c r="EV171" s="54">
        <v>739.0</v>
      </c>
      <c r="EW171" s="54">
        <v>8031.0</v>
      </c>
      <c r="EX171" s="54">
        <v>560.0</v>
      </c>
      <c r="EY171" s="54">
        <v>6643.0</v>
      </c>
      <c r="EZ171" s="54">
        <v>1041664.0</v>
      </c>
      <c r="FA171" s="54">
        <v>1050970.0</v>
      </c>
      <c r="FB171" s="54">
        <v>6556732.0</v>
      </c>
      <c r="FC171" s="54">
        <v>13474.0</v>
      </c>
      <c r="FD171" s="54">
        <v>3915934.0</v>
      </c>
      <c r="FE171" s="54">
        <v>613561.0</v>
      </c>
      <c r="FF171" s="54">
        <v>273000.0</v>
      </c>
      <c r="FG171" s="54">
        <v>3057995.0</v>
      </c>
      <c r="FH171" s="54">
        <v>1480810.0</v>
      </c>
      <c r="FI171" s="54">
        <v>26262.0</v>
      </c>
      <c r="FJ171" s="54">
        <v>32235.0</v>
      </c>
      <c r="FK171" s="54">
        <v>231930.0</v>
      </c>
      <c r="FL171" s="54">
        <v>1.1318677E7</v>
      </c>
      <c r="FM171" s="54">
        <v>4145479.0</v>
      </c>
      <c r="FN171" s="54">
        <v>1260037.0</v>
      </c>
      <c r="FO171" s="54">
        <v>3782634.0</v>
      </c>
      <c r="FP171" s="54">
        <v>3695407.0</v>
      </c>
      <c r="FQ171" s="54">
        <v>1535833.0</v>
      </c>
      <c r="FR171" s="54">
        <v>361.0</v>
      </c>
      <c r="FS171" s="54">
        <v>296254.0</v>
      </c>
      <c r="FT171" s="54">
        <v>1.2032468E7</v>
      </c>
      <c r="FU171" s="54">
        <v>1.2581421E7</v>
      </c>
      <c r="FV171" s="54">
        <v>7894693.0</v>
      </c>
      <c r="FW171" s="54">
        <v>530437.0</v>
      </c>
      <c r="FX171" s="54">
        <v>412373.0</v>
      </c>
      <c r="FY171" s="54">
        <v>83129.0</v>
      </c>
      <c r="FZ171" s="54">
        <v>28785.0</v>
      </c>
      <c r="GA171" s="54">
        <v>5643714.0</v>
      </c>
      <c r="GB171" s="54">
        <v>1448223.0</v>
      </c>
      <c r="GC171" s="54">
        <v>1989822.0</v>
      </c>
      <c r="GD171" s="54">
        <v>45471.0</v>
      </c>
      <c r="GE171" s="54">
        <v>276852.0</v>
      </c>
      <c r="GF171" s="55">
        <v>9.1835825E7</v>
      </c>
      <c r="GG171" s="56">
        <v>5.3917124E7</v>
      </c>
      <c r="GH171" s="57">
        <v>0.0</v>
      </c>
      <c r="GI171" s="56">
        <v>0.0</v>
      </c>
      <c r="GJ171" s="56">
        <v>2.5809191E7</v>
      </c>
      <c r="GK171" s="56">
        <v>-996951.0</v>
      </c>
      <c r="GL171" s="56">
        <v>12755.0</v>
      </c>
      <c r="GM171" s="56">
        <v>8860734.0</v>
      </c>
      <c r="GN171" s="55">
        <v>8.7602853E7</v>
      </c>
      <c r="GO171" s="58">
        <v>1.79438678E8</v>
      </c>
      <c r="GP171" s="56">
        <v>328199.0</v>
      </c>
      <c r="GQ171" s="56">
        <v>2.2279962E7</v>
      </c>
      <c r="GR171" s="57">
        <v>0.0</v>
      </c>
      <c r="GS171" s="55">
        <v>2.2608161E7</v>
      </c>
      <c r="GT171" s="59">
        <v>5996764.0</v>
      </c>
      <c r="GU171" s="59">
        <v>1.2547458E7</v>
      </c>
      <c r="GV171" s="59">
        <v>4815277.0</v>
      </c>
      <c r="GW171" s="55">
        <v>2.3359499E7</v>
      </c>
      <c r="GX171" s="55">
        <v>3294108.0</v>
      </c>
      <c r="GY171" s="55">
        <v>1.3017691E8</v>
      </c>
      <c r="GZ171" s="58">
        <v>1.79438678E8</v>
      </c>
      <c r="HH171" s="106"/>
    </row>
    <row r="172" ht="15.75" customHeight="1">
      <c r="A172" s="60">
        <v>167.0</v>
      </c>
      <c r="B172" s="111" t="s">
        <v>437</v>
      </c>
      <c r="C172" s="62">
        <v>0.0</v>
      </c>
      <c r="D172" s="62">
        <v>0.0</v>
      </c>
      <c r="E172" s="62">
        <v>0.0</v>
      </c>
      <c r="F172" s="62">
        <v>0.0</v>
      </c>
      <c r="G172" s="62">
        <v>0.0</v>
      </c>
      <c r="H172" s="62">
        <v>0.0</v>
      </c>
      <c r="I172" s="62">
        <v>0.0</v>
      </c>
      <c r="J172" s="62">
        <v>0.0</v>
      </c>
      <c r="K172" s="62">
        <v>11.0</v>
      </c>
      <c r="L172" s="62">
        <v>0.0</v>
      </c>
      <c r="M172" s="62">
        <v>0.0</v>
      </c>
      <c r="N172" s="62">
        <v>0.0</v>
      </c>
      <c r="O172" s="62">
        <v>0.0</v>
      </c>
      <c r="P172" s="62">
        <v>0.0</v>
      </c>
      <c r="Q172" s="62">
        <v>0.0</v>
      </c>
      <c r="R172" s="62">
        <v>0.0</v>
      </c>
      <c r="S172" s="62">
        <v>0.0</v>
      </c>
      <c r="T172" s="62">
        <v>0.0</v>
      </c>
      <c r="U172" s="62">
        <v>0.0</v>
      </c>
      <c r="V172" s="62">
        <v>0.0</v>
      </c>
      <c r="W172" s="62">
        <v>0.0</v>
      </c>
      <c r="X172" s="62">
        <v>0.0</v>
      </c>
      <c r="Y172" s="62">
        <v>0.0</v>
      </c>
      <c r="Z172" s="62">
        <v>0.0</v>
      </c>
      <c r="AA172" s="62">
        <v>0.0</v>
      </c>
      <c r="AB172" s="62">
        <v>0.0</v>
      </c>
      <c r="AC172" s="62">
        <v>0.0</v>
      </c>
      <c r="AD172" s="62">
        <v>0.0</v>
      </c>
      <c r="AE172" s="62">
        <v>0.0</v>
      </c>
      <c r="AF172" s="62">
        <v>0.0</v>
      </c>
      <c r="AG172" s="62">
        <v>0.0</v>
      </c>
      <c r="AH172" s="62">
        <v>0.0</v>
      </c>
      <c r="AI172" s="62">
        <v>0.0</v>
      </c>
      <c r="AJ172" s="62">
        <v>0.0</v>
      </c>
      <c r="AK172" s="62">
        <v>0.0</v>
      </c>
      <c r="AL172" s="62">
        <v>0.0</v>
      </c>
      <c r="AM172" s="62">
        <v>0.0</v>
      </c>
      <c r="AN172" s="62">
        <v>0.0</v>
      </c>
      <c r="AO172" s="62">
        <v>0.0</v>
      </c>
      <c r="AP172" s="62">
        <v>0.0</v>
      </c>
      <c r="AQ172" s="62">
        <v>0.0</v>
      </c>
      <c r="AR172" s="62">
        <v>0.0</v>
      </c>
      <c r="AS172" s="62">
        <v>0.0</v>
      </c>
      <c r="AT172" s="62">
        <v>0.0</v>
      </c>
      <c r="AU172" s="62">
        <v>5.0</v>
      </c>
      <c r="AV172" s="62">
        <v>1091.0</v>
      </c>
      <c r="AW172" s="62">
        <v>126.0</v>
      </c>
      <c r="AX172" s="62">
        <v>0.0</v>
      </c>
      <c r="AY172" s="62">
        <v>0.0</v>
      </c>
      <c r="AZ172" s="62">
        <v>0.0</v>
      </c>
      <c r="BA172" s="62">
        <v>0.0</v>
      </c>
      <c r="BB172" s="62">
        <v>0.0</v>
      </c>
      <c r="BC172" s="62">
        <v>43425.0</v>
      </c>
      <c r="BD172" s="62">
        <v>4830.0</v>
      </c>
      <c r="BE172" s="62">
        <v>0.0</v>
      </c>
      <c r="BF172" s="62">
        <v>0.0</v>
      </c>
      <c r="BG172" s="62">
        <v>882.0</v>
      </c>
      <c r="BH172" s="62">
        <v>603816.0</v>
      </c>
      <c r="BI172" s="62">
        <v>0.0</v>
      </c>
      <c r="BJ172" s="62">
        <v>1062029.0</v>
      </c>
      <c r="BK172" s="62">
        <v>31538.0</v>
      </c>
      <c r="BL172" s="62">
        <v>41532.0</v>
      </c>
      <c r="BM172" s="62">
        <v>235.0</v>
      </c>
      <c r="BN172" s="62">
        <v>72514.0</v>
      </c>
      <c r="BO172" s="62">
        <v>424465.0</v>
      </c>
      <c r="BP172" s="62">
        <v>61957.0</v>
      </c>
      <c r="BQ172" s="62">
        <v>604483.0</v>
      </c>
      <c r="BR172" s="62">
        <v>20232.0</v>
      </c>
      <c r="BS172" s="62">
        <v>2180090.0</v>
      </c>
      <c r="BT172" s="62">
        <v>1024.0</v>
      </c>
      <c r="BU172" s="62">
        <v>47017.0</v>
      </c>
      <c r="BV172" s="62">
        <v>0.0</v>
      </c>
      <c r="BW172" s="62">
        <v>0.0</v>
      </c>
      <c r="BX172" s="62">
        <v>580731.0</v>
      </c>
      <c r="BY172" s="62">
        <v>3536148.0</v>
      </c>
      <c r="BZ172" s="62">
        <v>0.0</v>
      </c>
      <c r="CA172" s="62">
        <v>0.0</v>
      </c>
      <c r="CB172" s="62">
        <v>177211.0</v>
      </c>
      <c r="CC172" s="62">
        <v>0.0</v>
      </c>
      <c r="CD172" s="62">
        <v>14813.0</v>
      </c>
      <c r="CE172" s="62">
        <v>0.0</v>
      </c>
      <c r="CF172" s="62">
        <v>62717.0</v>
      </c>
      <c r="CG172" s="62">
        <v>24263.0</v>
      </c>
      <c r="CH172" s="62">
        <v>165770.0</v>
      </c>
      <c r="CI172" s="62">
        <v>383926.0</v>
      </c>
      <c r="CJ172" s="62">
        <v>0.0</v>
      </c>
      <c r="CK172" s="62">
        <v>0.0</v>
      </c>
      <c r="CL172" s="62">
        <v>0.0</v>
      </c>
      <c r="CM172" s="62">
        <v>0.0</v>
      </c>
      <c r="CN172" s="62">
        <v>1454795.0</v>
      </c>
      <c r="CO172" s="62">
        <v>657873.0</v>
      </c>
      <c r="CP172" s="62">
        <v>1855516.0</v>
      </c>
      <c r="CQ172" s="62">
        <v>70143.0</v>
      </c>
      <c r="CR172" s="62">
        <v>237624.0</v>
      </c>
      <c r="CS172" s="62">
        <v>377083.0</v>
      </c>
      <c r="CT172" s="62">
        <v>2613094.0</v>
      </c>
      <c r="CU172" s="62">
        <v>98097.0</v>
      </c>
      <c r="CV172" s="62">
        <v>427528.0</v>
      </c>
      <c r="CW172" s="62">
        <v>98286.0</v>
      </c>
      <c r="CX172" s="62">
        <v>511155.0</v>
      </c>
      <c r="CY172" s="62">
        <v>21397.0</v>
      </c>
      <c r="CZ172" s="62">
        <v>729181.0</v>
      </c>
      <c r="DA172" s="62">
        <v>885184.0</v>
      </c>
      <c r="DB172" s="62">
        <v>47071.0</v>
      </c>
      <c r="DC172" s="62">
        <v>472824.0</v>
      </c>
      <c r="DD172" s="62">
        <v>385667.0</v>
      </c>
      <c r="DE172" s="62">
        <v>619211.0</v>
      </c>
      <c r="DF172" s="62">
        <v>253962.0</v>
      </c>
      <c r="DG172" s="62">
        <v>51774.0</v>
      </c>
      <c r="DH172" s="62">
        <v>699186.0</v>
      </c>
      <c r="DI172" s="62">
        <v>117751.0</v>
      </c>
      <c r="DJ172" s="62">
        <v>131157.0</v>
      </c>
      <c r="DK172" s="62">
        <v>138759.0</v>
      </c>
      <c r="DL172" s="62">
        <v>14961.0</v>
      </c>
      <c r="DM172" s="62">
        <v>0.0</v>
      </c>
      <c r="DN172" s="62">
        <v>1194.0</v>
      </c>
      <c r="DO172" s="62">
        <v>8229.0</v>
      </c>
      <c r="DP172" s="62">
        <v>0.0</v>
      </c>
      <c r="DQ172" s="62">
        <v>10092.0</v>
      </c>
      <c r="DR172" s="62">
        <v>82685.0</v>
      </c>
      <c r="DS172" s="62">
        <v>271300.0</v>
      </c>
      <c r="DT172" s="62">
        <v>1327.0</v>
      </c>
      <c r="DU172" s="62">
        <v>0.0</v>
      </c>
      <c r="DV172" s="62">
        <v>1.0</v>
      </c>
      <c r="DW172" s="62">
        <v>0.0</v>
      </c>
      <c r="DX172" s="62">
        <v>14148.0</v>
      </c>
      <c r="DY172" s="62">
        <v>172.0</v>
      </c>
      <c r="DZ172" s="62">
        <v>1384709.0</v>
      </c>
      <c r="EA172" s="62">
        <v>146853.0</v>
      </c>
      <c r="EB172" s="62">
        <v>1800378.0</v>
      </c>
      <c r="EC172" s="62">
        <v>3333007.0</v>
      </c>
      <c r="ED172" s="62">
        <v>0.0</v>
      </c>
      <c r="EE172" s="62">
        <v>0.0</v>
      </c>
      <c r="EF172" s="62">
        <v>0.0</v>
      </c>
      <c r="EG172" s="62">
        <v>0.0</v>
      </c>
      <c r="EH172" s="62">
        <v>1224592.0</v>
      </c>
      <c r="EI172" s="62">
        <v>1341.0</v>
      </c>
      <c r="EJ172" s="62">
        <v>0.0</v>
      </c>
      <c r="EK172" s="62">
        <v>54.0</v>
      </c>
      <c r="EL172" s="62">
        <v>460.0</v>
      </c>
      <c r="EM172" s="62">
        <v>286.0</v>
      </c>
      <c r="EN172" s="62">
        <v>225.0</v>
      </c>
      <c r="EO172" s="62">
        <v>2431.0</v>
      </c>
      <c r="EP172" s="62">
        <v>202491.0</v>
      </c>
      <c r="EQ172" s="62">
        <v>698721.0</v>
      </c>
      <c r="ER172" s="62">
        <v>46512.0</v>
      </c>
      <c r="ES172" s="62">
        <v>9579.0</v>
      </c>
      <c r="ET172" s="62">
        <v>5836.0</v>
      </c>
      <c r="EU172" s="62">
        <v>2081521.0</v>
      </c>
      <c r="EV172" s="62">
        <v>1626.0</v>
      </c>
      <c r="EW172" s="62">
        <v>5056.0</v>
      </c>
      <c r="EX172" s="62">
        <v>7781.0</v>
      </c>
      <c r="EY172" s="62">
        <v>1168.0</v>
      </c>
      <c r="EZ172" s="62">
        <v>1087185.0</v>
      </c>
      <c r="FA172" s="62">
        <v>451953.0</v>
      </c>
      <c r="FB172" s="62">
        <v>3900470.0</v>
      </c>
      <c r="FC172" s="62">
        <v>81296.0</v>
      </c>
      <c r="FD172" s="62">
        <v>2345820.0</v>
      </c>
      <c r="FE172" s="62">
        <v>220066.0</v>
      </c>
      <c r="FF172" s="62">
        <v>2345.0</v>
      </c>
      <c r="FG172" s="62">
        <v>2197351.0</v>
      </c>
      <c r="FH172" s="62">
        <v>1683144.0</v>
      </c>
      <c r="FI172" s="62">
        <v>64818.0</v>
      </c>
      <c r="FJ172" s="62">
        <v>103084.0</v>
      </c>
      <c r="FK172" s="62">
        <v>74182.0</v>
      </c>
      <c r="FL172" s="62">
        <v>4405560.0</v>
      </c>
      <c r="FM172" s="62">
        <v>2.384362E7</v>
      </c>
      <c r="FN172" s="62">
        <v>1.4051659E7</v>
      </c>
      <c r="FO172" s="62">
        <v>2638376.0</v>
      </c>
      <c r="FP172" s="62">
        <v>6138683.0</v>
      </c>
      <c r="FQ172" s="62">
        <v>1983069.0</v>
      </c>
      <c r="FR172" s="62">
        <v>6158.0</v>
      </c>
      <c r="FS172" s="62">
        <v>466407.0</v>
      </c>
      <c r="FT172" s="62">
        <v>1.3049245E7</v>
      </c>
      <c r="FU172" s="62">
        <v>2.5706436E7</v>
      </c>
      <c r="FV172" s="62">
        <v>1.5831053E7</v>
      </c>
      <c r="FW172" s="62">
        <v>5561429.0</v>
      </c>
      <c r="FX172" s="62">
        <v>105470.0</v>
      </c>
      <c r="FY172" s="62">
        <v>720109.0</v>
      </c>
      <c r="FZ172" s="62">
        <v>99919.0</v>
      </c>
      <c r="GA172" s="62">
        <v>2268539.0</v>
      </c>
      <c r="GB172" s="62">
        <v>377638.0</v>
      </c>
      <c r="GC172" s="62">
        <v>826939.0</v>
      </c>
      <c r="GD172" s="62">
        <v>97.0</v>
      </c>
      <c r="GE172" s="62">
        <v>1116925.0</v>
      </c>
      <c r="GF172" s="63">
        <v>1.6586898E8</v>
      </c>
      <c r="GG172" s="64">
        <v>8955954.0</v>
      </c>
      <c r="GH172" s="65">
        <v>0.0</v>
      </c>
      <c r="GI172" s="64">
        <v>3766311.0</v>
      </c>
      <c r="GJ172" s="64">
        <v>0.0</v>
      </c>
      <c r="GK172" s="64">
        <v>0.0</v>
      </c>
      <c r="GL172" s="64">
        <v>0.0</v>
      </c>
      <c r="GM172" s="64">
        <v>1407922.0</v>
      </c>
      <c r="GN172" s="63">
        <v>1.4130187E7</v>
      </c>
      <c r="GO172" s="66">
        <v>1.79999167E8</v>
      </c>
      <c r="GP172" s="64">
        <v>0.0</v>
      </c>
      <c r="GQ172" s="64">
        <v>0.0</v>
      </c>
      <c r="GR172" s="65">
        <v>0.0</v>
      </c>
      <c r="GS172" s="63">
        <v>0.0</v>
      </c>
      <c r="GT172" s="67">
        <v>0.0</v>
      </c>
      <c r="GU172" s="67">
        <v>0.0</v>
      </c>
      <c r="GV172" s="67">
        <v>0.0</v>
      </c>
      <c r="GW172" s="63">
        <v>0.0</v>
      </c>
      <c r="GX172" s="63">
        <v>178847.0</v>
      </c>
      <c r="GY172" s="63">
        <v>1.7982032E8</v>
      </c>
      <c r="GZ172" s="66">
        <v>1.79999167E8</v>
      </c>
      <c r="HH172" s="106"/>
    </row>
    <row r="173" ht="15.75" customHeight="1">
      <c r="A173" s="60">
        <v>168.0</v>
      </c>
      <c r="B173" s="111" t="s">
        <v>438</v>
      </c>
      <c r="C173" s="62">
        <v>127.0</v>
      </c>
      <c r="D173" s="62">
        <v>134.0</v>
      </c>
      <c r="E173" s="62">
        <v>366.0</v>
      </c>
      <c r="F173" s="62">
        <v>11.0</v>
      </c>
      <c r="G173" s="62">
        <v>3.0</v>
      </c>
      <c r="H173" s="62">
        <v>19.0</v>
      </c>
      <c r="I173" s="62">
        <v>43.0</v>
      </c>
      <c r="J173" s="62">
        <v>5.0</v>
      </c>
      <c r="K173" s="62">
        <v>9.0</v>
      </c>
      <c r="L173" s="62">
        <v>19643.0</v>
      </c>
      <c r="M173" s="62">
        <v>2456.0</v>
      </c>
      <c r="N173" s="62">
        <v>3368.0</v>
      </c>
      <c r="O173" s="62">
        <v>11484.0</v>
      </c>
      <c r="P173" s="62">
        <v>357.0</v>
      </c>
      <c r="Q173" s="62">
        <v>2401.0</v>
      </c>
      <c r="R173" s="62">
        <v>64632.0</v>
      </c>
      <c r="S173" s="62">
        <v>254.0</v>
      </c>
      <c r="T173" s="62">
        <v>946.0</v>
      </c>
      <c r="U173" s="62">
        <v>6341.0</v>
      </c>
      <c r="V173" s="62">
        <v>18767.0</v>
      </c>
      <c r="W173" s="62">
        <v>1749.0</v>
      </c>
      <c r="X173" s="62">
        <v>1477.0</v>
      </c>
      <c r="Y173" s="62">
        <v>792.0</v>
      </c>
      <c r="Z173" s="62">
        <v>1507.0</v>
      </c>
      <c r="AA173" s="62">
        <v>1397.0</v>
      </c>
      <c r="AB173" s="62">
        <v>270.0</v>
      </c>
      <c r="AC173" s="62">
        <v>613.0</v>
      </c>
      <c r="AD173" s="62">
        <v>1498.0</v>
      </c>
      <c r="AE173" s="62">
        <v>3079.0</v>
      </c>
      <c r="AF173" s="62">
        <v>52338.0</v>
      </c>
      <c r="AG173" s="62">
        <v>518957.0</v>
      </c>
      <c r="AH173" s="62">
        <v>300725.0</v>
      </c>
      <c r="AI173" s="62">
        <v>139048.0</v>
      </c>
      <c r="AJ173" s="62">
        <v>22379.0</v>
      </c>
      <c r="AK173" s="62">
        <v>6604.0</v>
      </c>
      <c r="AL173" s="62">
        <v>2966.0</v>
      </c>
      <c r="AM173" s="62">
        <v>1392803.0</v>
      </c>
      <c r="AN173" s="62">
        <v>585694.0</v>
      </c>
      <c r="AO173" s="62">
        <v>375381.0</v>
      </c>
      <c r="AP173" s="62">
        <v>4236.0</v>
      </c>
      <c r="AQ173" s="62">
        <v>17159.0</v>
      </c>
      <c r="AR173" s="62">
        <v>8854.0</v>
      </c>
      <c r="AS173" s="62">
        <v>65229.0</v>
      </c>
      <c r="AT173" s="62">
        <v>7757.0</v>
      </c>
      <c r="AU173" s="62">
        <v>5745.0</v>
      </c>
      <c r="AV173" s="62">
        <v>107500.0</v>
      </c>
      <c r="AW173" s="62">
        <v>2230.0</v>
      </c>
      <c r="AX173" s="62">
        <v>430523.0</v>
      </c>
      <c r="AY173" s="62">
        <v>35065.0</v>
      </c>
      <c r="AZ173" s="62">
        <v>5171.0</v>
      </c>
      <c r="BA173" s="62">
        <v>444202.0</v>
      </c>
      <c r="BB173" s="62">
        <v>335964.0</v>
      </c>
      <c r="BC173" s="62">
        <v>59366.0</v>
      </c>
      <c r="BD173" s="62">
        <v>3257.0</v>
      </c>
      <c r="BE173" s="62">
        <v>12202.0</v>
      </c>
      <c r="BF173" s="62">
        <v>43206.0</v>
      </c>
      <c r="BG173" s="62">
        <v>95628.0</v>
      </c>
      <c r="BH173" s="62">
        <v>449751.0</v>
      </c>
      <c r="BI173" s="62">
        <v>12273.0</v>
      </c>
      <c r="BJ173" s="62">
        <v>495231.0</v>
      </c>
      <c r="BK173" s="62">
        <v>19412.0</v>
      </c>
      <c r="BL173" s="62">
        <v>4471.0</v>
      </c>
      <c r="BM173" s="62">
        <v>209.0</v>
      </c>
      <c r="BN173" s="62">
        <v>39371.0</v>
      </c>
      <c r="BO173" s="62">
        <v>188597.0</v>
      </c>
      <c r="BP173" s="62">
        <v>39005.0</v>
      </c>
      <c r="BQ173" s="62">
        <v>144314.0</v>
      </c>
      <c r="BR173" s="62">
        <v>58.0</v>
      </c>
      <c r="BS173" s="62">
        <v>2991.0</v>
      </c>
      <c r="BT173" s="62">
        <v>266746.0</v>
      </c>
      <c r="BU173" s="62">
        <v>375401.0</v>
      </c>
      <c r="BV173" s="62">
        <v>132891.0</v>
      </c>
      <c r="BW173" s="62">
        <v>1390.0</v>
      </c>
      <c r="BX173" s="62">
        <v>151220.0</v>
      </c>
      <c r="BY173" s="62">
        <v>682049.0</v>
      </c>
      <c r="BZ173" s="62">
        <v>45468.0</v>
      </c>
      <c r="CA173" s="62">
        <v>408787.0</v>
      </c>
      <c r="CB173" s="62">
        <v>79907.0</v>
      </c>
      <c r="CC173" s="62">
        <v>62296.0</v>
      </c>
      <c r="CD173" s="62">
        <v>29201.0</v>
      </c>
      <c r="CE173" s="62">
        <v>43038.0</v>
      </c>
      <c r="CF173" s="62">
        <v>123137.0</v>
      </c>
      <c r="CG173" s="62">
        <v>18242.0</v>
      </c>
      <c r="CH173" s="62">
        <v>57532.0</v>
      </c>
      <c r="CI173" s="62">
        <v>362737.0</v>
      </c>
      <c r="CJ173" s="62">
        <v>254874.0</v>
      </c>
      <c r="CK173" s="62">
        <v>542664.0</v>
      </c>
      <c r="CL173" s="62">
        <v>309742.0</v>
      </c>
      <c r="CM173" s="62">
        <v>119238.0</v>
      </c>
      <c r="CN173" s="62">
        <v>513245.0</v>
      </c>
      <c r="CO173" s="62">
        <v>383593.0</v>
      </c>
      <c r="CP173" s="62">
        <v>537131.0</v>
      </c>
      <c r="CQ173" s="62">
        <v>465675.0</v>
      </c>
      <c r="CR173" s="62">
        <v>234673.0</v>
      </c>
      <c r="CS173" s="62">
        <v>251652.0</v>
      </c>
      <c r="CT173" s="62">
        <v>1049869.0</v>
      </c>
      <c r="CU173" s="62">
        <v>247833.0</v>
      </c>
      <c r="CV173" s="62">
        <v>532493.0</v>
      </c>
      <c r="CW173" s="62">
        <v>50444.0</v>
      </c>
      <c r="CX173" s="62">
        <v>222436.0</v>
      </c>
      <c r="CY173" s="62">
        <v>11206.0</v>
      </c>
      <c r="CZ173" s="62">
        <v>356673.0</v>
      </c>
      <c r="DA173" s="62">
        <v>372851.0</v>
      </c>
      <c r="DB173" s="62">
        <v>434743.0</v>
      </c>
      <c r="DC173" s="62">
        <v>166027.0</v>
      </c>
      <c r="DD173" s="62">
        <v>125035.0</v>
      </c>
      <c r="DE173" s="62">
        <v>104921.0</v>
      </c>
      <c r="DF173" s="62">
        <v>125980.0</v>
      </c>
      <c r="DG173" s="62">
        <v>26173.0</v>
      </c>
      <c r="DH173" s="62">
        <v>354730.0</v>
      </c>
      <c r="DI173" s="62">
        <v>330750.0</v>
      </c>
      <c r="DJ173" s="62">
        <v>632784.0</v>
      </c>
      <c r="DK173" s="62">
        <v>154333.0</v>
      </c>
      <c r="DL173" s="62">
        <v>438197.0</v>
      </c>
      <c r="DM173" s="62">
        <v>122216.0</v>
      </c>
      <c r="DN173" s="62">
        <v>19728.0</v>
      </c>
      <c r="DO173" s="62">
        <v>209606.0</v>
      </c>
      <c r="DP173" s="62">
        <v>21150.0</v>
      </c>
      <c r="DQ173" s="62">
        <v>169095.0</v>
      </c>
      <c r="DR173" s="62">
        <v>291674.0</v>
      </c>
      <c r="DS173" s="62">
        <v>1510205.0</v>
      </c>
      <c r="DT173" s="62">
        <v>111283.0</v>
      </c>
      <c r="DU173" s="62">
        <v>168330.0</v>
      </c>
      <c r="DV173" s="62">
        <v>498233.0</v>
      </c>
      <c r="DW173" s="62">
        <v>319880.0</v>
      </c>
      <c r="DX173" s="62">
        <v>281558.0</v>
      </c>
      <c r="DY173" s="62">
        <v>923344.0</v>
      </c>
      <c r="DZ173" s="62">
        <v>1435874.0</v>
      </c>
      <c r="EA173" s="62">
        <v>233670.0</v>
      </c>
      <c r="EB173" s="62">
        <v>1589030.0</v>
      </c>
      <c r="EC173" s="62">
        <v>839189.0</v>
      </c>
      <c r="ED173" s="62">
        <v>64630.0</v>
      </c>
      <c r="EE173" s="62">
        <v>10319.0</v>
      </c>
      <c r="EF173" s="62">
        <v>3126.0</v>
      </c>
      <c r="EG173" s="62">
        <v>67686.0</v>
      </c>
      <c r="EH173" s="62">
        <v>183400.0</v>
      </c>
      <c r="EI173" s="62">
        <v>1034352.0</v>
      </c>
      <c r="EJ173" s="62">
        <v>255015.0</v>
      </c>
      <c r="EK173" s="62">
        <v>33281.0</v>
      </c>
      <c r="EL173" s="62">
        <v>64382.0</v>
      </c>
      <c r="EM173" s="62">
        <v>128837.0</v>
      </c>
      <c r="EN173" s="62">
        <v>373503.0</v>
      </c>
      <c r="EO173" s="62">
        <v>46354.0</v>
      </c>
      <c r="EP173" s="62">
        <v>104013.0</v>
      </c>
      <c r="EQ173" s="62">
        <v>493567.0</v>
      </c>
      <c r="ER173" s="62">
        <v>16667.0</v>
      </c>
      <c r="ES173" s="62">
        <v>173564.0</v>
      </c>
      <c r="ET173" s="62">
        <v>174395.0</v>
      </c>
      <c r="EU173" s="62">
        <v>1.7185962E7</v>
      </c>
      <c r="EV173" s="62">
        <v>1270128.0</v>
      </c>
      <c r="EW173" s="62">
        <v>210624.0</v>
      </c>
      <c r="EX173" s="62">
        <v>911422.0</v>
      </c>
      <c r="EY173" s="62">
        <v>6107319.0</v>
      </c>
      <c r="EZ173" s="62">
        <v>2786823.0</v>
      </c>
      <c r="FA173" s="62">
        <v>2503306.0</v>
      </c>
      <c r="FB173" s="62">
        <v>4.0481662E7</v>
      </c>
      <c r="FC173" s="62">
        <v>348674.0</v>
      </c>
      <c r="FD173" s="62">
        <v>8664473.0</v>
      </c>
      <c r="FE173" s="62">
        <v>5170938.0</v>
      </c>
      <c r="FF173" s="62">
        <v>751497.0</v>
      </c>
      <c r="FG173" s="62">
        <v>8499737.0</v>
      </c>
      <c r="FH173" s="62">
        <v>5888435.0</v>
      </c>
      <c r="FI173" s="62">
        <v>3341040.0</v>
      </c>
      <c r="FJ173" s="62">
        <v>237904.0</v>
      </c>
      <c r="FK173" s="62">
        <v>433820.0</v>
      </c>
      <c r="FL173" s="62">
        <v>1432304.0</v>
      </c>
      <c r="FM173" s="62">
        <v>2150656.0</v>
      </c>
      <c r="FN173" s="62">
        <v>4.7903297E7</v>
      </c>
      <c r="FO173" s="62">
        <v>2.1086119E7</v>
      </c>
      <c r="FP173" s="62">
        <v>6520505.0</v>
      </c>
      <c r="FQ173" s="62">
        <v>1095259.0</v>
      </c>
      <c r="FR173" s="62">
        <v>9693.0</v>
      </c>
      <c r="FS173" s="62">
        <v>1172311.0</v>
      </c>
      <c r="FT173" s="62">
        <v>1.0655805E7</v>
      </c>
      <c r="FU173" s="62">
        <v>1.1714455E7</v>
      </c>
      <c r="FV173" s="62">
        <v>7221795.0</v>
      </c>
      <c r="FW173" s="62">
        <v>2.6338835E7</v>
      </c>
      <c r="FX173" s="62">
        <v>2482452.0</v>
      </c>
      <c r="FY173" s="62">
        <v>8223155.0</v>
      </c>
      <c r="FZ173" s="62">
        <v>313020.0</v>
      </c>
      <c r="GA173" s="62">
        <v>4238226.0</v>
      </c>
      <c r="GB173" s="62">
        <v>1992868.0</v>
      </c>
      <c r="GC173" s="62">
        <v>1170885.0</v>
      </c>
      <c r="GD173" s="62">
        <v>418855.0</v>
      </c>
      <c r="GE173" s="62">
        <v>3673726.0</v>
      </c>
      <c r="GF173" s="63">
        <v>2.95388768E8</v>
      </c>
      <c r="GG173" s="64">
        <v>3.48955944E8</v>
      </c>
      <c r="GH173" s="65">
        <v>0.0</v>
      </c>
      <c r="GI173" s="64">
        <v>0.0</v>
      </c>
      <c r="GJ173" s="64">
        <v>0.0</v>
      </c>
      <c r="GK173" s="64">
        <v>0.0</v>
      </c>
      <c r="GL173" s="64">
        <v>0.0</v>
      </c>
      <c r="GM173" s="64">
        <v>1.5052449E7</v>
      </c>
      <c r="GN173" s="63">
        <v>3.64008393E8</v>
      </c>
      <c r="GO173" s="66">
        <v>6.59397161E8</v>
      </c>
      <c r="GP173" s="64">
        <v>0.0</v>
      </c>
      <c r="GQ173" s="64">
        <v>3.9755824E7</v>
      </c>
      <c r="GR173" s="65">
        <v>0.0</v>
      </c>
      <c r="GS173" s="63">
        <v>3.9755824E7</v>
      </c>
      <c r="GT173" s="67">
        <v>0.0</v>
      </c>
      <c r="GU173" s="67">
        <v>0.0</v>
      </c>
      <c r="GV173" s="67">
        <v>0.0</v>
      </c>
      <c r="GW173" s="63">
        <v>0.0</v>
      </c>
      <c r="GX173" s="63">
        <v>1.4191006E7</v>
      </c>
      <c r="GY173" s="63">
        <v>6.05450331E8</v>
      </c>
      <c r="GZ173" s="66">
        <v>6.59397161E8</v>
      </c>
      <c r="HH173" s="106"/>
    </row>
    <row r="174" ht="15.75" customHeight="1">
      <c r="A174" s="60">
        <v>169.0</v>
      </c>
      <c r="B174" s="111" t="s">
        <v>561</v>
      </c>
      <c r="C174" s="62">
        <v>0.0</v>
      </c>
      <c r="D174" s="62">
        <v>0.0</v>
      </c>
      <c r="E174" s="62">
        <v>0.0</v>
      </c>
      <c r="F174" s="62">
        <v>0.0</v>
      </c>
      <c r="G174" s="62">
        <v>0.0</v>
      </c>
      <c r="H174" s="62">
        <v>0.0</v>
      </c>
      <c r="I174" s="62">
        <v>0.0</v>
      </c>
      <c r="J174" s="62">
        <v>0.0</v>
      </c>
      <c r="K174" s="62">
        <v>0.0</v>
      </c>
      <c r="L174" s="62">
        <v>0.0</v>
      </c>
      <c r="M174" s="62">
        <v>0.0</v>
      </c>
      <c r="N174" s="62">
        <v>0.0</v>
      </c>
      <c r="O174" s="62">
        <v>0.0</v>
      </c>
      <c r="P174" s="62">
        <v>0.0</v>
      </c>
      <c r="Q174" s="62">
        <v>0.0</v>
      </c>
      <c r="R174" s="62">
        <v>0.0</v>
      </c>
      <c r="S174" s="62">
        <v>0.0</v>
      </c>
      <c r="T174" s="62">
        <v>0.0</v>
      </c>
      <c r="U174" s="62">
        <v>0.0</v>
      </c>
      <c r="V174" s="62">
        <v>0.0</v>
      </c>
      <c r="W174" s="62">
        <v>0.0</v>
      </c>
      <c r="X174" s="62">
        <v>0.0</v>
      </c>
      <c r="Y174" s="62">
        <v>0.0</v>
      </c>
      <c r="Z174" s="62">
        <v>0.0</v>
      </c>
      <c r="AA174" s="62">
        <v>0.0</v>
      </c>
      <c r="AB174" s="62">
        <v>0.0</v>
      </c>
      <c r="AC174" s="62">
        <v>0.0</v>
      </c>
      <c r="AD174" s="62">
        <v>0.0</v>
      </c>
      <c r="AE174" s="62">
        <v>0.0</v>
      </c>
      <c r="AF174" s="62">
        <v>0.0</v>
      </c>
      <c r="AG174" s="62">
        <v>0.0</v>
      </c>
      <c r="AH174" s="62">
        <v>0.0</v>
      </c>
      <c r="AI174" s="62">
        <v>0.0</v>
      </c>
      <c r="AJ174" s="62">
        <v>0.0</v>
      </c>
      <c r="AK174" s="62">
        <v>0.0</v>
      </c>
      <c r="AL174" s="62">
        <v>0.0</v>
      </c>
      <c r="AM174" s="62">
        <v>2821232.0</v>
      </c>
      <c r="AN174" s="62">
        <v>104429.0</v>
      </c>
      <c r="AO174" s="62">
        <v>83171.0</v>
      </c>
      <c r="AP174" s="62">
        <v>9217.0</v>
      </c>
      <c r="AQ174" s="62">
        <v>38473.0</v>
      </c>
      <c r="AR174" s="62">
        <v>19267.0</v>
      </c>
      <c r="AS174" s="62">
        <v>141944.0</v>
      </c>
      <c r="AT174" s="62">
        <v>16881.0</v>
      </c>
      <c r="AU174" s="62">
        <v>12503.0</v>
      </c>
      <c r="AV174" s="62">
        <v>233930.0</v>
      </c>
      <c r="AW174" s="62">
        <v>4853.0</v>
      </c>
      <c r="AX174" s="62">
        <v>908437.0</v>
      </c>
      <c r="AY174" s="62">
        <v>1167.0</v>
      </c>
      <c r="AZ174" s="62">
        <v>5315.0</v>
      </c>
      <c r="BA174" s="62">
        <v>26712.0</v>
      </c>
      <c r="BB174" s="62">
        <v>209210.0</v>
      </c>
      <c r="BC174" s="62">
        <v>7310.0</v>
      </c>
      <c r="BD174" s="62">
        <v>792.0</v>
      </c>
      <c r="BE174" s="62">
        <v>0.0</v>
      </c>
      <c r="BF174" s="62">
        <v>0.0</v>
      </c>
      <c r="BG174" s="62">
        <v>733.0</v>
      </c>
      <c r="BH174" s="62">
        <v>12257.0</v>
      </c>
      <c r="BI174" s="62">
        <v>1830.0</v>
      </c>
      <c r="BJ174" s="62">
        <v>109640.0</v>
      </c>
      <c r="BK174" s="62">
        <v>3207.0</v>
      </c>
      <c r="BL174" s="62">
        <v>400.0</v>
      </c>
      <c r="BM174" s="62">
        <v>17.0</v>
      </c>
      <c r="BN174" s="62">
        <v>0.0</v>
      </c>
      <c r="BO174" s="62">
        <v>22109.0</v>
      </c>
      <c r="BP174" s="62">
        <v>0.0</v>
      </c>
      <c r="BQ174" s="62">
        <v>0.0</v>
      </c>
      <c r="BR174" s="62">
        <v>3461.0</v>
      </c>
      <c r="BS174" s="62">
        <v>0.0</v>
      </c>
      <c r="BT174" s="62">
        <v>9454.0</v>
      </c>
      <c r="BU174" s="62">
        <v>913.0</v>
      </c>
      <c r="BV174" s="62">
        <v>1330.0</v>
      </c>
      <c r="BW174" s="62">
        <v>2552.0</v>
      </c>
      <c r="BX174" s="62">
        <v>12215.0</v>
      </c>
      <c r="BY174" s="62">
        <v>181373.0</v>
      </c>
      <c r="BZ174" s="62">
        <v>12091.0</v>
      </c>
      <c r="CA174" s="62">
        <v>102917.0</v>
      </c>
      <c r="CB174" s="62">
        <v>71166.0</v>
      </c>
      <c r="CC174" s="62">
        <v>8513.0</v>
      </c>
      <c r="CD174" s="62">
        <v>7440.0</v>
      </c>
      <c r="CE174" s="62">
        <v>10966.0</v>
      </c>
      <c r="CF174" s="62">
        <v>31453.0</v>
      </c>
      <c r="CG174" s="62">
        <v>31464.0</v>
      </c>
      <c r="CH174" s="62">
        <v>5357.0</v>
      </c>
      <c r="CI174" s="62">
        <v>26669.0</v>
      </c>
      <c r="CJ174" s="62">
        <v>70705.0</v>
      </c>
      <c r="CK174" s="62">
        <v>150540.0</v>
      </c>
      <c r="CL174" s="62">
        <v>85925.0</v>
      </c>
      <c r="CM174" s="62">
        <v>30696.0</v>
      </c>
      <c r="CN174" s="62">
        <v>7017.0</v>
      </c>
      <c r="CO174" s="62">
        <v>14257.0</v>
      </c>
      <c r="CP174" s="62">
        <v>25155.0</v>
      </c>
      <c r="CQ174" s="62">
        <v>21475.0</v>
      </c>
      <c r="CR174" s="62">
        <v>44108.0</v>
      </c>
      <c r="CS174" s="62">
        <v>21468.0</v>
      </c>
      <c r="CT174" s="62">
        <v>357051.0</v>
      </c>
      <c r="CU174" s="62">
        <v>49147.0</v>
      </c>
      <c r="CV174" s="62">
        <v>91373.0</v>
      </c>
      <c r="CW174" s="62">
        <v>9947.0</v>
      </c>
      <c r="CX174" s="62">
        <v>23982.0</v>
      </c>
      <c r="CY174" s="62">
        <v>1632.0</v>
      </c>
      <c r="CZ174" s="62">
        <v>30990.0</v>
      </c>
      <c r="DA174" s="62">
        <v>56985.0</v>
      </c>
      <c r="DB174" s="62">
        <v>80537.0</v>
      </c>
      <c r="DC174" s="62">
        <v>821885.0</v>
      </c>
      <c r="DD174" s="62">
        <v>12932.0</v>
      </c>
      <c r="DE174" s="62">
        <v>7724.0</v>
      </c>
      <c r="DF174" s="62">
        <v>9275.0</v>
      </c>
      <c r="DG174" s="62">
        <v>1998.0</v>
      </c>
      <c r="DH174" s="62">
        <v>26166.0</v>
      </c>
      <c r="DI174" s="62">
        <v>127889.0</v>
      </c>
      <c r="DJ174" s="62">
        <v>23016.0</v>
      </c>
      <c r="DK174" s="62">
        <v>28696.0</v>
      </c>
      <c r="DL174" s="62">
        <v>107939.0</v>
      </c>
      <c r="DM174" s="62">
        <v>17100.0</v>
      </c>
      <c r="DN174" s="62">
        <v>3636.0</v>
      </c>
      <c r="DO174" s="62">
        <v>77349.0</v>
      </c>
      <c r="DP174" s="62">
        <v>8009.0</v>
      </c>
      <c r="DQ174" s="62">
        <v>53988.0</v>
      </c>
      <c r="DR174" s="62">
        <v>113268.0</v>
      </c>
      <c r="DS174" s="62">
        <v>46745.0</v>
      </c>
      <c r="DT174" s="62">
        <v>38598.0</v>
      </c>
      <c r="DU174" s="62">
        <v>54.0</v>
      </c>
      <c r="DV174" s="62">
        <v>161.0</v>
      </c>
      <c r="DW174" s="62">
        <v>103.0</v>
      </c>
      <c r="DX174" s="62">
        <v>2042.0</v>
      </c>
      <c r="DY174" s="62">
        <v>307.0</v>
      </c>
      <c r="DZ174" s="62">
        <v>12293.0</v>
      </c>
      <c r="EA174" s="62">
        <v>0.0</v>
      </c>
      <c r="EB174" s="62">
        <v>111.0</v>
      </c>
      <c r="EC174" s="62">
        <v>605847.0</v>
      </c>
      <c r="ED174" s="62">
        <v>62380.0</v>
      </c>
      <c r="EE174" s="62">
        <v>2939.0</v>
      </c>
      <c r="EF174" s="62">
        <v>3109.0</v>
      </c>
      <c r="EG174" s="62">
        <v>1186.0</v>
      </c>
      <c r="EH174" s="62">
        <v>202643.0</v>
      </c>
      <c r="EI174" s="62">
        <v>64695.0</v>
      </c>
      <c r="EJ174" s="62">
        <v>11900.0</v>
      </c>
      <c r="EK174" s="62">
        <v>1575.0</v>
      </c>
      <c r="EL174" s="62">
        <v>6781.0</v>
      </c>
      <c r="EM174" s="62">
        <v>12058.0</v>
      </c>
      <c r="EN174" s="62">
        <v>8141.0</v>
      </c>
      <c r="EO174" s="62">
        <v>8816.0</v>
      </c>
      <c r="EP174" s="62">
        <v>27683.0</v>
      </c>
      <c r="EQ174" s="62">
        <v>173173.0</v>
      </c>
      <c r="ER174" s="62">
        <v>0.0</v>
      </c>
      <c r="ES174" s="62">
        <v>63875.0</v>
      </c>
      <c r="ET174" s="62">
        <v>20407.0</v>
      </c>
      <c r="EU174" s="62">
        <v>1.7962145E7</v>
      </c>
      <c r="EV174" s="62">
        <v>36116.0</v>
      </c>
      <c r="EW174" s="62">
        <v>75407.0</v>
      </c>
      <c r="EX174" s="62">
        <v>194454.0</v>
      </c>
      <c r="EY174" s="62">
        <v>493459.0</v>
      </c>
      <c r="EZ174" s="62">
        <v>940735.0</v>
      </c>
      <c r="FA174" s="62">
        <v>1992509.0</v>
      </c>
      <c r="FB174" s="62">
        <v>9084030.0</v>
      </c>
      <c r="FC174" s="62">
        <v>63942.0</v>
      </c>
      <c r="FD174" s="62">
        <v>2649135.0</v>
      </c>
      <c r="FE174" s="62">
        <v>480222.0</v>
      </c>
      <c r="FF174" s="62">
        <v>186008.0</v>
      </c>
      <c r="FG174" s="62">
        <v>1034712.0</v>
      </c>
      <c r="FH174" s="62">
        <v>921119.0</v>
      </c>
      <c r="FI174" s="62">
        <v>503924.0</v>
      </c>
      <c r="FJ174" s="62">
        <v>39358.0</v>
      </c>
      <c r="FK174" s="62">
        <v>32806.0</v>
      </c>
      <c r="FL174" s="62">
        <v>1268262.0</v>
      </c>
      <c r="FM174" s="62">
        <v>1180405.0</v>
      </c>
      <c r="FN174" s="62">
        <v>1.2741642E7</v>
      </c>
      <c r="FO174" s="62">
        <v>1.9307802E7</v>
      </c>
      <c r="FP174" s="62">
        <v>4924396.0</v>
      </c>
      <c r="FQ174" s="62">
        <v>1559429.0</v>
      </c>
      <c r="FR174" s="62">
        <v>5481.0</v>
      </c>
      <c r="FS174" s="62">
        <v>1362888.0</v>
      </c>
      <c r="FT174" s="62">
        <v>8586139.0</v>
      </c>
      <c r="FU174" s="62">
        <v>2.5508954E7</v>
      </c>
      <c r="FV174" s="62">
        <v>6170067.0</v>
      </c>
      <c r="FW174" s="62">
        <v>7815143.0</v>
      </c>
      <c r="FX174" s="62">
        <v>865880.0</v>
      </c>
      <c r="FY174" s="62">
        <v>1343244.0</v>
      </c>
      <c r="FZ174" s="62">
        <v>53940.0</v>
      </c>
      <c r="GA174" s="62">
        <v>2335038.0</v>
      </c>
      <c r="GB174" s="62">
        <v>892234.0</v>
      </c>
      <c r="GC174" s="62">
        <v>1072578.0</v>
      </c>
      <c r="GD174" s="62">
        <v>147598.0</v>
      </c>
      <c r="GE174" s="62">
        <v>825736.0</v>
      </c>
      <c r="GF174" s="63">
        <v>1.43962789E8</v>
      </c>
      <c r="GG174" s="64">
        <v>7.0326433E7</v>
      </c>
      <c r="GH174" s="65">
        <v>0.0</v>
      </c>
      <c r="GI174" s="64">
        <v>0.0</v>
      </c>
      <c r="GJ174" s="64">
        <v>1773208.0</v>
      </c>
      <c r="GK174" s="64">
        <v>0.0</v>
      </c>
      <c r="GL174" s="64">
        <v>0.0</v>
      </c>
      <c r="GM174" s="64">
        <v>4364471.0</v>
      </c>
      <c r="GN174" s="63">
        <v>7.6464112E7</v>
      </c>
      <c r="GO174" s="66">
        <v>2.20426901E8</v>
      </c>
      <c r="GP174" s="64">
        <v>0.0</v>
      </c>
      <c r="GQ174" s="64">
        <v>1.0369848E7</v>
      </c>
      <c r="GR174" s="65">
        <v>0.0</v>
      </c>
      <c r="GS174" s="63">
        <v>1.0369848E7</v>
      </c>
      <c r="GT174" s="67">
        <v>0.0</v>
      </c>
      <c r="GU174" s="67">
        <v>0.0</v>
      </c>
      <c r="GV174" s="67">
        <v>0.0</v>
      </c>
      <c r="GW174" s="63">
        <v>0.0</v>
      </c>
      <c r="GX174" s="63">
        <v>2932079.0</v>
      </c>
      <c r="GY174" s="63">
        <v>2.07124974E8</v>
      </c>
      <c r="GZ174" s="66">
        <v>2.20426901E8</v>
      </c>
      <c r="HH174" s="106"/>
    </row>
    <row r="175" ht="15.75" customHeight="1">
      <c r="A175" s="68">
        <v>170.0</v>
      </c>
      <c r="B175" s="111" t="s">
        <v>440</v>
      </c>
      <c r="C175" s="70">
        <v>2105130.0</v>
      </c>
      <c r="D175" s="70">
        <v>1222723.0</v>
      </c>
      <c r="E175" s="70">
        <v>78483.0</v>
      </c>
      <c r="F175" s="70">
        <v>703231.0</v>
      </c>
      <c r="G175" s="70">
        <v>36411.0</v>
      </c>
      <c r="H175" s="70">
        <v>97425.0</v>
      </c>
      <c r="I175" s="70">
        <v>131288.0</v>
      </c>
      <c r="J175" s="70">
        <v>206667.0</v>
      </c>
      <c r="K175" s="70">
        <v>3958.0</v>
      </c>
      <c r="L175" s="70">
        <v>1739198.0</v>
      </c>
      <c r="M175" s="70">
        <v>80887.0</v>
      </c>
      <c r="N175" s="70">
        <v>268086.0</v>
      </c>
      <c r="O175" s="70">
        <v>246673.0</v>
      </c>
      <c r="P175" s="70">
        <v>3487.0</v>
      </c>
      <c r="Q175" s="70">
        <v>534167.0</v>
      </c>
      <c r="R175" s="70">
        <v>3315895.0</v>
      </c>
      <c r="S175" s="70">
        <v>168827.0</v>
      </c>
      <c r="T175" s="70">
        <v>1559634.0</v>
      </c>
      <c r="U175" s="70">
        <v>780541.0</v>
      </c>
      <c r="V175" s="70">
        <v>5425527.0</v>
      </c>
      <c r="W175" s="70">
        <v>978362.0</v>
      </c>
      <c r="X175" s="70">
        <v>90528.0</v>
      </c>
      <c r="Y175" s="70">
        <v>930360.0</v>
      </c>
      <c r="Z175" s="70">
        <v>589001.0</v>
      </c>
      <c r="AA175" s="70">
        <v>55729.0</v>
      </c>
      <c r="AB175" s="70">
        <v>1119551.0</v>
      </c>
      <c r="AC175" s="70">
        <v>247985.0</v>
      </c>
      <c r="AD175" s="70">
        <v>4075214.0</v>
      </c>
      <c r="AE175" s="70">
        <v>190056.0</v>
      </c>
      <c r="AF175" s="70">
        <v>746581.0</v>
      </c>
      <c r="AG175" s="70">
        <v>2285111.0</v>
      </c>
      <c r="AH175" s="70">
        <v>1235000.0</v>
      </c>
      <c r="AI175" s="70">
        <v>7545083.0</v>
      </c>
      <c r="AJ175" s="70">
        <v>1578045.0</v>
      </c>
      <c r="AK175" s="70">
        <v>254084.0</v>
      </c>
      <c r="AL175" s="70">
        <v>550169.0</v>
      </c>
      <c r="AM175" s="70">
        <v>7958638.0</v>
      </c>
      <c r="AN175" s="70">
        <v>3674646.0</v>
      </c>
      <c r="AO175" s="70">
        <v>6023394.0</v>
      </c>
      <c r="AP175" s="70">
        <v>54845.0</v>
      </c>
      <c r="AQ175" s="70">
        <v>337750.0</v>
      </c>
      <c r="AR175" s="70">
        <v>110924.0</v>
      </c>
      <c r="AS175" s="70">
        <v>1123085.0</v>
      </c>
      <c r="AT175" s="70">
        <v>164272.0</v>
      </c>
      <c r="AU175" s="70">
        <v>140893.0</v>
      </c>
      <c r="AV175" s="70">
        <v>825288.0</v>
      </c>
      <c r="AW175" s="70">
        <v>29753.0</v>
      </c>
      <c r="AX175" s="70">
        <v>5191515.0</v>
      </c>
      <c r="AY175" s="70">
        <v>534292.0</v>
      </c>
      <c r="AZ175" s="70">
        <v>41685.0</v>
      </c>
      <c r="BA175" s="70">
        <v>432624.0</v>
      </c>
      <c r="BB175" s="70">
        <v>866861.0</v>
      </c>
      <c r="BC175" s="70">
        <v>1310765.0</v>
      </c>
      <c r="BD175" s="70">
        <v>1615483.0</v>
      </c>
      <c r="BE175" s="70">
        <v>393737.0</v>
      </c>
      <c r="BF175" s="70">
        <v>776360.0</v>
      </c>
      <c r="BG175" s="70">
        <v>381330.0</v>
      </c>
      <c r="BH175" s="70">
        <v>3449580.0</v>
      </c>
      <c r="BI175" s="70">
        <v>201687.0</v>
      </c>
      <c r="BJ175" s="70">
        <v>1403159.0</v>
      </c>
      <c r="BK175" s="70">
        <v>128519.0</v>
      </c>
      <c r="BL175" s="70">
        <v>120080.0</v>
      </c>
      <c r="BM175" s="70">
        <v>1051830.0</v>
      </c>
      <c r="BN175" s="70">
        <v>790610.0</v>
      </c>
      <c r="BO175" s="70">
        <v>1076529.0</v>
      </c>
      <c r="BP175" s="70">
        <v>237738.0</v>
      </c>
      <c r="BQ175" s="70">
        <v>683627.0</v>
      </c>
      <c r="BR175" s="70">
        <v>121276.0</v>
      </c>
      <c r="BS175" s="70">
        <v>465263.0</v>
      </c>
      <c r="BT175" s="70">
        <v>2595298.0</v>
      </c>
      <c r="BU175" s="70">
        <v>1817551.0</v>
      </c>
      <c r="BV175" s="70">
        <v>860347.0</v>
      </c>
      <c r="BW175" s="70">
        <v>67355.0</v>
      </c>
      <c r="BX175" s="70">
        <v>853089.0</v>
      </c>
      <c r="BY175" s="70">
        <v>6234244.0</v>
      </c>
      <c r="BZ175" s="70">
        <v>221836.0</v>
      </c>
      <c r="CA175" s="70">
        <v>2666651.0</v>
      </c>
      <c r="CB175" s="70">
        <v>2203333.0</v>
      </c>
      <c r="CC175" s="70">
        <v>23946.0</v>
      </c>
      <c r="CD175" s="70">
        <v>153621.0</v>
      </c>
      <c r="CE175" s="70">
        <v>135385.0</v>
      </c>
      <c r="CF175" s="70">
        <v>633946.0</v>
      </c>
      <c r="CG175" s="70">
        <v>360073.0</v>
      </c>
      <c r="CH175" s="70">
        <v>158363.0</v>
      </c>
      <c r="CI175" s="70">
        <v>1620399.0</v>
      </c>
      <c r="CJ175" s="70">
        <v>487153.0</v>
      </c>
      <c r="CK175" s="70">
        <v>1087061.0</v>
      </c>
      <c r="CL175" s="70">
        <v>495171.0</v>
      </c>
      <c r="CM175" s="70">
        <v>237808.0</v>
      </c>
      <c r="CN175" s="70">
        <v>1082568.0</v>
      </c>
      <c r="CO175" s="70">
        <v>1717675.0</v>
      </c>
      <c r="CP175" s="70">
        <v>1210744.0</v>
      </c>
      <c r="CQ175" s="70">
        <v>664352.0</v>
      </c>
      <c r="CR175" s="70">
        <v>1112480.0</v>
      </c>
      <c r="CS175" s="70">
        <v>5330665.0</v>
      </c>
      <c r="CT175" s="70">
        <v>2200210.0</v>
      </c>
      <c r="CU175" s="70">
        <v>756376.0</v>
      </c>
      <c r="CV175" s="70">
        <v>937949.0</v>
      </c>
      <c r="CW175" s="70">
        <v>184008.0</v>
      </c>
      <c r="CX175" s="70">
        <v>576872.0</v>
      </c>
      <c r="CY175" s="70">
        <v>14422.0</v>
      </c>
      <c r="CZ175" s="70">
        <v>799230.0</v>
      </c>
      <c r="DA175" s="70">
        <v>859980.0</v>
      </c>
      <c r="DB175" s="70">
        <v>615387.0</v>
      </c>
      <c r="DC175" s="70">
        <v>621812.0</v>
      </c>
      <c r="DD175" s="70">
        <v>225230.0</v>
      </c>
      <c r="DE175" s="70">
        <v>1003223.0</v>
      </c>
      <c r="DF175" s="70">
        <v>1232294.0</v>
      </c>
      <c r="DG175" s="70">
        <v>96445.0</v>
      </c>
      <c r="DH175" s="70">
        <v>1490208.0</v>
      </c>
      <c r="DI175" s="70">
        <v>475326.0</v>
      </c>
      <c r="DJ175" s="70">
        <v>525543.0</v>
      </c>
      <c r="DK175" s="70">
        <v>1151887.0</v>
      </c>
      <c r="DL175" s="70">
        <v>1472556.0</v>
      </c>
      <c r="DM175" s="70">
        <v>1605795.0</v>
      </c>
      <c r="DN175" s="70">
        <v>96981.0</v>
      </c>
      <c r="DO175" s="70">
        <v>845705.0</v>
      </c>
      <c r="DP175" s="70">
        <v>140874.0</v>
      </c>
      <c r="DQ175" s="70">
        <v>363470.0</v>
      </c>
      <c r="DR175" s="70">
        <v>1219370.0</v>
      </c>
      <c r="DS175" s="70">
        <v>3855506.0</v>
      </c>
      <c r="DT175" s="70">
        <v>570165.0</v>
      </c>
      <c r="DU175" s="70">
        <v>725612.0</v>
      </c>
      <c r="DV175" s="70">
        <v>1086620.0</v>
      </c>
      <c r="DW175" s="70">
        <v>935515.0</v>
      </c>
      <c r="DX175" s="70">
        <v>1007057.0</v>
      </c>
      <c r="DY175" s="70">
        <v>442791.0</v>
      </c>
      <c r="DZ175" s="70">
        <v>1468025.0</v>
      </c>
      <c r="EA175" s="70">
        <v>250495.0</v>
      </c>
      <c r="EB175" s="70">
        <v>1924995.0</v>
      </c>
      <c r="EC175" s="70">
        <v>7196465.0</v>
      </c>
      <c r="ED175" s="70">
        <v>770374.0</v>
      </c>
      <c r="EE175" s="70">
        <v>84295.0</v>
      </c>
      <c r="EF175" s="70">
        <v>49163.0</v>
      </c>
      <c r="EG175" s="70">
        <v>508262.0</v>
      </c>
      <c r="EH175" s="70">
        <v>3759907.0</v>
      </c>
      <c r="EI175" s="70">
        <v>1662961.0</v>
      </c>
      <c r="EJ175" s="70">
        <v>470465.0</v>
      </c>
      <c r="EK175" s="70">
        <v>128764.0</v>
      </c>
      <c r="EL175" s="70">
        <v>210807.0</v>
      </c>
      <c r="EM175" s="70">
        <v>258784.0</v>
      </c>
      <c r="EN175" s="70">
        <v>527604.0</v>
      </c>
      <c r="EO175" s="70">
        <v>550173.0</v>
      </c>
      <c r="EP175" s="70">
        <v>401957.0</v>
      </c>
      <c r="EQ175" s="70">
        <v>1.4254595E7</v>
      </c>
      <c r="ER175" s="70">
        <v>515578.0</v>
      </c>
      <c r="ES175" s="70">
        <v>346667.0</v>
      </c>
      <c r="ET175" s="70">
        <v>329797.0</v>
      </c>
      <c r="EU175" s="70">
        <v>2.0678658E7</v>
      </c>
      <c r="EV175" s="70">
        <v>3147029.0</v>
      </c>
      <c r="EW175" s="70">
        <v>451647.0</v>
      </c>
      <c r="EX175" s="70">
        <v>2151451.0</v>
      </c>
      <c r="EY175" s="70">
        <v>9017419.0</v>
      </c>
      <c r="EZ175" s="70">
        <v>1.4699856E7</v>
      </c>
      <c r="FA175" s="70">
        <v>1.0324117E7</v>
      </c>
      <c r="FB175" s="70">
        <v>1.15337357E8</v>
      </c>
      <c r="FC175" s="70">
        <v>300989.0</v>
      </c>
      <c r="FD175" s="70">
        <v>1.3282585E7</v>
      </c>
      <c r="FE175" s="70">
        <v>1991371.0</v>
      </c>
      <c r="FF175" s="70">
        <v>872334.0</v>
      </c>
      <c r="FG175" s="70">
        <v>8252118.0</v>
      </c>
      <c r="FH175" s="70">
        <v>3569616.0</v>
      </c>
      <c r="FI175" s="70">
        <v>1501591.0</v>
      </c>
      <c r="FJ175" s="70">
        <v>1395726.0</v>
      </c>
      <c r="FK175" s="70">
        <v>9801482.0</v>
      </c>
      <c r="FL175" s="70">
        <v>1707150.0</v>
      </c>
      <c r="FM175" s="70">
        <v>676388.0</v>
      </c>
      <c r="FN175" s="70">
        <v>7586189.0</v>
      </c>
      <c r="FO175" s="70">
        <v>1536042.0</v>
      </c>
      <c r="FP175" s="70">
        <v>1.7692112E7</v>
      </c>
      <c r="FQ175" s="70">
        <v>4874586.0</v>
      </c>
      <c r="FR175" s="70">
        <v>342923.0</v>
      </c>
      <c r="FS175" s="70">
        <v>2062160.0</v>
      </c>
      <c r="FT175" s="70">
        <v>1.5250067E7</v>
      </c>
      <c r="FU175" s="70">
        <v>1.0072952E7</v>
      </c>
      <c r="FV175" s="70">
        <v>2.4065907E7</v>
      </c>
      <c r="FW175" s="70">
        <v>5335008.0</v>
      </c>
      <c r="FX175" s="70">
        <v>2483632.0</v>
      </c>
      <c r="FY175" s="70">
        <v>3847816.0</v>
      </c>
      <c r="FZ175" s="70">
        <v>179878.0</v>
      </c>
      <c r="GA175" s="70">
        <v>2310776.0</v>
      </c>
      <c r="GB175" s="70">
        <v>4179426.0</v>
      </c>
      <c r="GC175" s="70">
        <v>2162835.0</v>
      </c>
      <c r="GD175" s="70">
        <v>2251607.0</v>
      </c>
      <c r="GE175" s="70">
        <v>1.4103766E7</v>
      </c>
      <c r="GF175" s="71">
        <v>5.20229367E8</v>
      </c>
      <c r="GG175" s="72">
        <v>1.62740601E8</v>
      </c>
      <c r="GH175" s="73">
        <v>0.0</v>
      </c>
      <c r="GI175" s="72">
        <v>1.5603595E7</v>
      </c>
      <c r="GJ175" s="72">
        <v>0.0</v>
      </c>
      <c r="GK175" s="72">
        <v>0.0</v>
      </c>
      <c r="GL175" s="72">
        <v>0.0</v>
      </c>
      <c r="GM175" s="72">
        <v>6410081.0</v>
      </c>
      <c r="GN175" s="71">
        <v>1.84754277E8</v>
      </c>
      <c r="GO175" s="74">
        <v>7.04983644E8</v>
      </c>
      <c r="GP175" s="72">
        <v>0.0</v>
      </c>
      <c r="GQ175" s="72">
        <v>1.5682206E7</v>
      </c>
      <c r="GR175" s="73">
        <v>0.0</v>
      </c>
      <c r="GS175" s="71">
        <v>1.5682206E7</v>
      </c>
      <c r="GT175" s="75">
        <v>0.0</v>
      </c>
      <c r="GU175" s="75">
        <v>0.0</v>
      </c>
      <c r="GV175" s="75">
        <v>0.0</v>
      </c>
      <c r="GW175" s="71">
        <v>0.0</v>
      </c>
      <c r="GX175" s="71">
        <v>0.0</v>
      </c>
      <c r="GY175" s="71">
        <v>6.89301438E8</v>
      </c>
      <c r="GZ175" s="74">
        <v>7.04983644E8</v>
      </c>
      <c r="HH175" s="106"/>
    </row>
    <row r="176" ht="15.75" customHeight="1">
      <c r="A176" s="52">
        <v>171.0</v>
      </c>
      <c r="B176" s="111" t="s">
        <v>441</v>
      </c>
      <c r="C176" s="54">
        <v>2876.0</v>
      </c>
      <c r="D176" s="54">
        <v>1737.0</v>
      </c>
      <c r="E176" s="54">
        <v>309.0</v>
      </c>
      <c r="F176" s="54">
        <v>1946.0</v>
      </c>
      <c r="G176" s="54">
        <v>80.0</v>
      </c>
      <c r="H176" s="54">
        <v>163.0</v>
      </c>
      <c r="I176" s="54">
        <v>155.0</v>
      </c>
      <c r="J176" s="54">
        <v>344.0</v>
      </c>
      <c r="K176" s="54">
        <v>3.0</v>
      </c>
      <c r="L176" s="54">
        <v>967.0</v>
      </c>
      <c r="M176" s="54">
        <v>37.0</v>
      </c>
      <c r="N176" s="54">
        <v>458.0</v>
      </c>
      <c r="O176" s="54">
        <v>207.0</v>
      </c>
      <c r="P176" s="54">
        <v>215.0</v>
      </c>
      <c r="Q176" s="54">
        <v>2451.0</v>
      </c>
      <c r="R176" s="54">
        <v>1232.0</v>
      </c>
      <c r="S176" s="54">
        <v>537.0</v>
      </c>
      <c r="T176" s="54">
        <v>4272.0</v>
      </c>
      <c r="U176" s="54">
        <v>2209.0</v>
      </c>
      <c r="V176" s="54">
        <v>13832.0</v>
      </c>
      <c r="W176" s="54">
        <v>1800.0</v>
      </c>
      <c r="X176" s="54">
        <v>408.0</v>
      </c>
      <c r="Y176" s="54">
        <v>2699.0</v>
      </c>
      <c r="Z176" s="54">
        <v>1733.0</v>
      </c>
      <c r="AA176" s="54">
        <v>179.0</v>
      </c>
      <c r="AB176" s="54">
        <v>112.0</v>
      </c>
      <c r="AC176" s="54">
        <v>1.0</v>
      </c>
      <c r="AD176" s="54">
        <v>16.0</v>
      </c>
      <c r="AE176" s="54">
        <v>0.0</v>
      </c>
      <c r="AF176" s="54">
        <v>582.0</v>
      </c>
      <c r="AG176" s="54">
        <v>13651.0</v>
      </c>
      <c r="AH176" s="54">
        <v>7244.0</v>
      </c>
      <c r="AI176" s="54">
        <v>32181.0</v>
      </c>
      <c r="AJ176" s="54">
        <v>3353.0</v>
      </c>
      <c r="AK176" s="54">
        <v>551.0</v>
      </c>
      <c r="AL176" s="54">
        <v>1359.0</v>
      </c>
      <c r="AM176" s="54">
        <v>64738.0</v>
      </c>
      <c r="AN176" s="54">
        <v>2321337.0</v>
      </c>
      <c r="AO176" s="54">
        <v>330662.0</v>
      </c>
      <c r="AP176" s="54">
        <v>566.0</v>
      </c>
      <c r="AQ176" s="54">
        <v>2964.0</v>
      </c>
      <c r="AR176" s="54">
        <v>1183.0</v>
      </c>
      <c r="AS176" s="54">
        <v>13908.0</v>
      </c>
      <c r="AT176" s="54">
        <v>2985.0</v>
      </c>
      <c r="AU176" s="54">
        <v>2339.0</v>
      </c>
      <c r="AV176" s="54">
        <v>11633.0</v>
      </c>
      <c r="AW176" s="54">
        <v>528.0</v>
      </c>
      <c r="AX176" s="54">
        <v>26364.0</v>
      </c>
      <c r="AY176" s="54">
        <v>3339.0</v>
      </c>
      <c r="AZ176" s="54">
        <v>243.0</v>
      </c>
      <c r="BA176" s="54">
        <v>12544.0</v>
      </c>
      <c r="BB176" s="54">
        <v>3579.0</v>
      </c>
      <c r="BC176" s="54">
        <v>16.0</v>
      </c>
      <c r="BD176" s="54">
        <v>303.0</v>
      </c>
      <c r="BE176" s="54">
        <v>2.0</v>
      </c>
      <c r="BF176" s="54">
        <v>5.0</v>
      </c>
      <c r="BG176" s="54">
        <v>4.0</v>
      </c>
      <c r="BH176" s="54">
        <v>21.0</v>
      </c>
      <c r="BI176" s="54">
        <v>2.0</v>
      </c>
      <c r="BJ176" s="54">
        <v>123.0</v>
      </c>
      <c r="BK176" s="54">
        <v>204.0</v>
      </c>
      <c r="BL176" s="54">
        <v>100.0</v>
      </c>
      <c r="BM176" s="54">
        <v>101.0</v>
      </c>
      <c r="BN176" s="54">
        <v>114.0</v>
      </c>
      <c r="BO176" s="54">
        <v>212.0</v>
      </c>
      <c r="BP176" s="54">
        <v>2.0</v>
      </c>
      <c r="BQ176" s="54">
        <v>6.0</v>
      </c>
      <c r="BR176" s="54">
        <v>2.0</v>
      </c>
      <c r="BS176" s="54">
        <v>0.0</v>
      </c>
      <c r="BT176" s="54">
        <v>21.0</v>
      </c>
      <c r="BU176" s="54">
        <v>186.0</v>
      </c>
      <c r="BV176" s="54">
        <v>8.0</v>
      </c>
      <c r="BW176" s="54">
        <v>185.0</v>
      </c>
      <c r="BX176" s="54">
        <v>1989.0</v>
      </c>
      <c r="BY176" s="54">
        <v>51858.0</v>
      </c>
      <c r="BZ176" s="54">
        <v>3153.0</v>
      </c>
      <c r="CA176" s="54">
        <v>8678.0</v>
      </c>
      <c r="CB176" s="54">
        <v>7556.0</v>
      </c>
      <c r="CC176" s="54">
        <v>53.0</v>
      </c>
      <c r="CD176" s="54">
        <v>245.0</v>
      </c>
      <c r="CE176" s="54">
        <v>414.0</v>
      </c>
      <c r="CF176" s="54">
        <v>2699.0</v>
      </c>
      <c r="CG176" s="54">
        <v>183.0</v>
      </c>
      <c r="CH176" s="54">
        <v>38.0</v>
      </c>
      <c r="CI176" s="54">
        <v>335.0</v>
      </c>
      <c r="CJ176" s="54">
        <v>228.0</v>
      </c>
      <c r="CK176" s="54">
        <v>506.0</v>
      </c>
      <c r="CL176" s="54">
        <v>178.0</v>
      </c>
      <c r="CM176" s="54">
        <v>402.0</v>
      </c>
      <c r="CN176" s="54">
        <v>550.0</v>
      </c>
      <c r="CO176" s="54">
        <v>1762.0</v>
      </c>
      <c r="CP176" s="54">
        <v>2812.0</v>
      </c>
      <c r="CQ176" s="54">
        <v>1151.0</v>
      </c>
      <c r="CR176" s="54">
        <v>513.0</v>
      </c>
      <c r="CS176" s="54">
        <v>40098.0</v>
      </c>
      <c r="CT176" s="54">
        <v>4229.0</v>
      </c>
      <c r="CU176" s="54">
        <v>1432.0</v>
      </c>
      <c r="CV176" s="54">
        <v>1973.0</v>
      </c>
      <c r="CW176" s="54">
        <v>251.0</v>
      </c>
      <c r="CX176" s="54">
        <v>707.0</v>
      </c>
      <c r="CY176" s="54">
        <v>26.0</v>
      </c>
      <c r="CZ176" s="54">
        <v>946.0</v>
      </c>
      <c r="DA176" s="54">
        <v>6049.0</v>
      </c>
      <c r="DB176" s="54">
        <v>800.0</v>
      </c>
      <c r="DC176" s="54">
        <v>7921.0</v>
      </c>
      <c r="DD176" s="54">
        <v>304.0</v>
      </c>
      <c r="DE176" s="54">
        <v>5189.0</v>
      </c>
      <c r="DF176" s="54">
        <v>0.0</v>
      </c>
      <c r="DG176" s="54">
        <v>223.0</v>
      </c>
      <c r="DH176" s="54">
        <v>500.0</v>
      </c>
      <c r="DI176" s="54">
        <v>34.0</v>
      </c>
      <c r="DJ176" s="54">
        <v>134.0</v>
      </c>
      <c r="DK176" s="54">
        <v>111.0</v>
      </c>
      <c r="DL176" s="54">
        <v>475.0</v>
      </c>
      <c r="DM176" s="54">
        <v>288.0</v>
      </c>
      <c r="DN176" s="54">
        <v>19.0</v>
      </c>
      <c r="DO176" s="54">
        <v>129.0</v>
      </c>
      <c r="DP176" s="54">
        <v>21.0</v>
      </c>
      <c r="DQ176" s="54">
        <v>66.0</v>
      </c>
      <c r="DR176" s="54">
        <v>2124.0</v>
      </c>
      <c r="DS176" s="54">
        <v>197711.0</v>
      </c>
      <c r="DT176" s="54">
        <v>32725.0</v>
      </c>
      <c r="DU176" s="54">
        <v>8417.0</v>
      </c>
      <c r="DV176" s="54">
        <v>96610.0</v>
      </c>
      <c r="DW176" s="54">
        <v>50139.0</v>
      </c>
      <c r="DX176" s="54">
        <v>72388.0</v>
      </c>
      <c r="DY176" s="54">
        <v>250550.0</v>
      </c>
      <c r="DZ176" s="54">
        <v>54845.0</v>
      </c>
      <c r="EA176" s="54">
        <v>13032.0</v>
      </c>
      <c r="EB176" s="54">
        <v>94827.0</v>
      </c>
      <c r="EC176" s="54">
        <v>368712.0</v>
      </c>
      <c r="ED176" s="54">
        <v>9959.0</v>
      </c>
      <c r="EE176" s="54">
        <v>1051.0</v>
      </c>
      <c r="EF176" s="54">
        <v>1162.0</v>
      </c>
      <c r="EG176" s="54">
        <v>6732.0</v>
      </c>
      <c r="EH176" s="54">
        <v>51272.0</v>
      </c>
      <c r="EI176" s="54">
        <v>142552.0</v>
      </c>
      <c r="EJ176" s="54">
        <v>1129.0</v>
      </c>
      <c r="EK176" s="54">
        <v>1734.0</v>
      </c>
      <c r="EL176" s="54">
        <v>1011.0</v>
      </c>
      <c r="EM176" s="54">
        <v>0.0</v>
      </c>
      <c r="EN176" s="54">
        <v>0.0</v>
      </c>
      <c r="EO176" s="54">
        <v>380.0</v>
      </c>
      <c r="EP176" s="54">
        <v>11749.0</v>
      </c>
      <c r="EQ176" s="54">
        <v>54953.0</v>
      </c>
      <c r="ER176" s="54">
        <v>2623.0</v>
      </c>
      <c r="ES176" s="54">
        <v>6263.0</v>
      </c>
      <c r="ET176" s="54">
        <v>3874.0</v>
      </c>
      <c r="EU176" s="54">
        <v>2474697.0</v>
      </c>
      <c r="EV176" s="54">
        <v>181753.0</v>
      </c>
      <c r="EW176" s="54">
        <v>15348.0</v>
      </c>
      <c r="EX176" s="54">
        <v>202208.0</v>
      </c>
      <c r="EY176" s="54">
        <v>653784.0</v>
      </c>
      <c r="EZ176" s="54">
        <v>576124.0</v>
      </c>
      <c r="FA176" s="54">
        <v>795228.0</v>
      </c>
      <c r="FB176" s="54">
        <v>4853734.0</v>
      </c>
      <c r="FC176" s="54">
        <v>2649.0</v>
      </c>
      <c r="FD176" s="54">
        <v>37810.0</v>
      </c>
      <c r="FE176" s="54">
        <v>672717.0</v>
      </c>
      <c r="FF176" s="54">
        <v>465929.0</v>
      </c>
      <c r="FG176" s="54">
        <v>511331.0</v>
      </c>
      <c r="FH176" s="54">
        <v>891689.0</v>
      </c>
      <c r="FI176" s="54">
        <v>386312.0</v>
      </c>
      <c r="FJ176" s="54">
        <v>22095.0</v>
      </c>
      <c r="FK176" s="54">
        <v>95369.0</v>
      </c>
      <c r="FL176" s="54">
        <v>249326.0</v>
      </c>
      <c r="FM176" s="54">
        <v>154837.0</v>
      </c>
      <c r="FN176" s="54">
        <v>2510312.0</v>
      </c>
      <c r="FO176" s="54">
        <v>119135.0</v>
      </c>
      <c r="FP176" s="54">
        <v>2.4453127E7</v>
      </c>
      <c r="FQ176" s="54">
        <v>1621770.0</v>
      </c>
      <c r="FR176" s="54">
        <v>6653.0</v>
      </c>
      <c r="FS176" s="54">
        <v>252027.0</v>
      </c>
      <c r="FT176" s="54">
        <v>4370156.0</v>
      </c>
      <c r="FU176" s="54">
        <v>30402.0</v>
      </c>
      <c r="FV176" s="54">
        <v>602511.0</v>
      </c>
      <c r="FW176" s="54">
        <v>102131.0</v>
      </c>
      <c r="FX176" s="54">
        <v>2490.0</v>
      </c>
      <c r="FY176" s="54">
        <v>716377.0</v>
      </c>
      <c r="FZ176" s="54">
        <v>670.0</v>
      </c>
      <c r="GA176" s="54">
        <v>107427.0</v>
      </c>
      <c r="GB176" s="54">
        <v>287403.0</v>
      </c>
      <c r="GC176" s="54">
        <v>6256.0</v>
      </c>
      <c r="GD176" s="54">
        <v>2299.0</v>
      </c>
      <c r="GE176" s="54">
        <v>273011.0</v>
      </c>
      <c r="GF176" s="55">
        <v>5.3303277E7</v>
      </c>
      <c r="GG176" s="56">
        <v>1.27545366E8</v>
      </c>
      <c r="GH176" s="57">
        <v>0.0</v>
      </c>
      <c r="GI176" s="56">
        <v>0.0</v>
      </c>
      <c r="GJ176" s="56">
        <v>0.0</v>
      </c>
      <c r="GK176" s="56">
        <v>0.0</v>
      </c>
      <c r="GL176" s="56">
        <v>0.0</v>
      </c>
      <c r="GM176" s="56">
        <v>4317037.0</v>
      </c>
      <c r="GN176" s="55">
        <v>1.31862403E8</v>
      </c>
      <c r="GO176" s="58">
        <v>1.8516568E8</v>
      </c>
      <c r="GP176" s="56">
        <v>0.0</v>
      </c>
      <c r="GQ176" s="56">
        <v>1.6625315E7</v>
      </c>
      <c r="GR176" s="57">
        <v>-4157527.0</v>
      </c>
      <c r="GS176" s="55">
        <v>1.2467788E7</v>
      </c>
      <c r="GT176" s="59">
        <v>0.0</v>
      </c>
      <c r="GU176" s="59">
        <v>0.0</v>
      </c>
      <c r="GV176" s="59">
        <v>0.0</v>
      </c>
      <c r="GW176" s="55">
        <v>0.0</v>
      </c>
      <c r="GX176" s="55">
        <v>0.0</v>
      </c>
      <c r="GY176" s="55">
        <v>1.72697892E8</v>
      </c>
      <c r="GZ176" s="58">
        <v>1.8516568E8</v>
      </c>
      <c r="HH176" s="106"/>
    </row>
    <row r="177" ht="15.75" customHeight="1">
      <c r="A177" s="60">
        <v>172.0</v>
      </c>
      <c r="B177" s="111" t="s">
        <v>442</v>
      </c>
      <c r="C177" s="62">
        <v>0.0</v>
      </c>
      <c r="D177" s="62">
        <v>0.0</v>
      </c>
      <c r="E177" s="62">
        <v>0.0</v>
      </c>
      <c r="F177" s="62">
        <v>0.0</v>
      </c>
      <c r="G177" s="62">
        <v>0.0</v>
      </c>
      <c r="H177" s="62">
        <v>0.0</v>
      </c>
      <c r="I177" s="62">
        <v>0.0</v>
      </c>
      <c r="J177" s="62">
        <v>0.0</v>
      </c>
      <c r="K177" s="62">
        <v>0.0</v>
      </c>
      <c r="L177" s="62">
        <v>0.0</v>
      </c>
      <c r="M177" s="62">
        <v>0.0</v>
      </c>
      <c r="N177" s="62">
        <v>0.0</v>
      </c>
      <c r="O177" s="62">
        <v>0.0</v>
      </c>
      <c r="P177" s="62">
        <v>0.0</v>
      </c>
      <c r="Q177" s="62">
        <v>0.0</v>
      </c>
      <c r="R177" s="62">
        <v>0.0</v>
      </c>
      <c r="S177" s="62">
        <v>0.0</v>
      </c>
      <c r="T177" s="62">
        <v>0.0</v>
      </c>
      <c r="U177" s="62">
        <v>0.0</v>
      </c>
      <c r="V177" s="62">
        <v>0.0</v>
      </c>
      <c r="W177" s="62">
        <v>0.0</v>
      </c>
      <c r="X177" s="62">
        <v>0.0</v>
      </c>
      <c r="Y177" s="62">
        <v>0.0</v>
      </c>
      <c r="Z177" s="62">
        <v>0.0</v>
      </c>
      <c r="AA177" s="62">
        <v>0.0</v>
      </c>
      <c r="AB177" s="62">
        <v>0.0</v>
      </c>
      <c r="AC177" s="62">
        <v>0.0</v>
      </c>
      <c r="AD177" s="62">
        <v>0.0</v>
      </c>
      <c r="AE177" s="62">
        <v>0.0</v>
      </c>
      <c r="AF177" s="62">
        <v>0.0</v>
      </c>
      <c r="AG177" s="62">
        <v>0.0</v>
      </c>
      <c r="AH177" s="62">
        <v>0.0</v>
      </c>
      <c r="AI177" s="62">
        <v>0.0</v>
      </c>
      <c r="AJ177" s="62">
        <v>0.0</v>
      </c>
      <c r="AK177" s="62">
        <v>0.0</v>
      </c>
      <c r="AL177" s="62">
        <v>0.0</v>
      </c>
      <c r="AM177" s="62">
        <v>0.0</v>
      </c>
      <c r="AN177" s="62">
        <v>0.0</v>
      </c>
      <c r="AO177" s="62">
        <v>0.0</v>
      </c>
      <c r="AP177" s="62">
        <v>0.0</v>
      </c>
      <c r="AQ177" s="62">
        <v>0.0</v>
      </c>
      <c r="AR177" s="62">
        <v>0.0</v>
      </c>
      <c r="AS177" s="62">
        <v>0.0</v>
      </c>
      <c r="AT177" s="62">
        <v>0.0</v>
      </c>
      <c r="AU177" s="62">
        <v>0.0</v>
      </c>
      <c r="AV177" s="62">
        <v>0.0</v>
      </c>
      <c r="AW177" s="62">
        <v>0.0</v>
      </c>
      <c r="AX177" s="62">
        <v>0.0</v>
      </c>
      <c r="AY177" s="62">
        <v>0.0</v>
      </c>
      <c r="AZ177" s="62">
        <v>0.0</v>
      </c>
      <c r="BA177" s="62">
        <v>0.0</v>
      </c>
      <c r="BB177" s="62">
        <v>0.0</v>
      </c>
      <c r="BC177" s="62">
        <v>0.0</v>
      </c>
      <c r="BD177" s="62">
        <v>0.0</v>
      </c>
      <c r="BE177" s="62">
        <v>0.0</v>
      </c>
      <c r="BF177" s="62">
        <v>0.0</v>
      </c>
      <c r="BG177" s="62">
        <v>0.0</v>
      </c>
      <c r="BH177" s="62">
        <v>0.0</v>
      </c>
      <c r="BI177" s="62">
        <v>0.0</v>
      </c>
      <c r="BJ177" s="62">
        <v>0.0</v>
      </c>
      <c r="BK177" s="62">
        <v>0.0</v>
      </c>
      <c r="BL177" s="62">
        <v>0.0</v>
      </c>
      <c r="BM177" s="62">
        <v>0.0</v>
      </c>
      <c r="BN177" s="62">
        <v>0.0</v>
      </c>
      <c r="BO177" s="62">
        <v>0.0</v>
      </c>
      <c r="BP177" s="62">
        <v>0.0</v>
      </c>
      <c r="BQ177" s="62">
        <v>0.0</v>
      </c>
      <c r="BR177" s="62">
        <v>0.0</v>
      </c>
      <c r="BS177" s="62">
        <v>0.0</v>
      </c>
      <c r="BT177" s="62">
        <v>0.0</v>
      </c>
      <c r="BU177" s="62">
        <v>0.0</v>
      </c>
      <c r="BV177" s="62">
        <v>0.0</v>
      </c>
      <c r="BW177" s="62">
        <v>0.0</v>
      </c>
      <c r="BX177" s="62">
        <v>0.0</v>
      </c>
      <c r="BY177" s="62">
        <v>0.0</v>
      </c>
      <c r="BZ177" s="62">
        <v>0.0</v>
      </c>
      <c r="CA177" s="62">
        <v>0.0</v>
      </c>
      <c r="CB177" s="62">
        <v>0.0</v>
      </c>
      <c r="CC177" s="62">
        <v>0.0</v>
      </c>
      <c r="CD177" s="62">
        <v>0.0</v>
      </c>
      <c r="CE177" s="62">
        <v>0.0</v>
      </c>
      <c r="CF177" s="62">
        <v>0.0</v>
      </c>
      <c r="CG177" s="62">
        <v>0.0</v>
      </c>
      <c r="CH177" s="62">
        <v>0.0</v>
      </c>
      <c r="CI177" s="62">
        <v>0.0</v>
      </c>
      <c r="CJ177" s="62">
        <v>0.0</v>
      </c>
      <c r="CK177" s="62">
        <v>0.0</v>
      </c>
      <c r="CL177" s="62">
        <v>0.0</v>
      </c>
      <c r="CM177" s="62">
        <v>0.0</v>
      </c>
      <c r="CN177" s="62">
        <v>0.0</v>
      </c>
      <c r="CO177" s="62">
        <v>0.0</v>
      </c>
      <c r="CP177" s="62">
        <v>0.0</v>
      </c>
      <c r="CQ177" s="62">
        <v>0.0</v>
      </c>
      <c r="CR177" s="62">
        <v>0.0</v>
      </c>
      <c r="CS177" s="62">
        <v>0.0</v>
      </c>
      <c r="CT177" s="62">
        <v>0.0</v>
      </c>
      <c r="CU177" s="62">
        <v>0.0</v>
      </c>
      <c r="CV177" s="62">
        <v>0.0</v>
      </c>
      <c r="CW177" s="62">
        <v>0.0</v>
      </c>
      <c r="CX177" s="62">
        <v>0.0</v>
      </c>
      <c r="CY177" s="62">
        <v>0.0</v>
      </c>
      <c r="CZ177" s="62">
        <v>0.0</v>
      </c>
      <c r="DA177" s="62">
        <v>0.0</v>
      </c>
      <c r="DB177" s="62">
        <v>0.0</v>
      </c>
      <c r="DC177" s="62">
        <v>0.0</v>
      </c>
      <c r="DD177" s="62">
        <v>0.0</v>
      </c>
      <c r="DE177" s="62">
        <v>0.0</v>
      </c>
      <c r="DF177" s="62">
        <v>0.0</v>
      </c>
      <c r="DG177" s="62">
        <v>0.0</v>
      </c>
      <c r="DH177" s="62">
        <v>0.0</v>
      </c>
      <c r="DI177" s="62">
        <v>0.0</v>
      </c>
      <c r="DJ177" s="62">
        <v>0.0</v>
      </c>
      <c r="DK177" s="62">
        <v>0.0</v>
      </c>
      <c r="DL177" s="62">
        <v>0.0</v>
      </c>
      <c r="DM177" s="62">
        <v>0.0</v>
      </c>
      <c r="DN177" s="62">
        <v>0.0</v>
      </c>
      <c r="DO177" s="62">
        <v>0.0</v>
      </c>
      <c r="DP177" s="62">
        <v>0.0</v>
      </c>
      <c r="DQ177" s="62">
        <v>0.0</v>
      </c>
      <c r="DR177" s="62">
        <v>0.0</v>
      </c>
      <c r="DS177" s="62">
        <v>0.0</v>
      </c>
      <c r="DT177" s="62">
        <v>0.0</v>
      </c>
      <c r="DU177" s="62">
        <v>0.0</v>
      </c>
      <c r="DV177" s="62">
        <v>0.0</v>
      </c>
      <c r="DW177" s="62">
        <v>0.0</v>
      </c>
      <c r="DX177" s="62">
        <v>0.0</v>
      </c>
      <c r="DY177" s="62">
        <v>0.0</v>
      </c>
      <c r="DZ177" s="62">
        <v>0.0</v>
      </c>
      <c r="EA177" s="62">
        <v>0.0</v>
      </c>
      <c r="EB177" s="62">
        <v>0.0</v>
      </c>
      <c r="EC177" s="62">
        <v>0.0</v>
      </c>
      <c r="ED177" s="62">
        <v>0.0</v>
      </c>
      <c r="EE177" s="62">
        <v>0.0</v>
      </c>
      <c r="EF177" s="62">
        <v>0.0</v>
      </c>
      <c r="EG177" s="62">
        <v>0.0</v>
      </c>
      <c r="EH177" s="62">
        <v>0.0</v>
      </c>
      <c r="EI177" s="62">
        <v>0.0</v>
      </c>
      <c r="EJ177" s="62">
        <v>0.0</v>
      </c>
      <c r="EK177" s="62">
        <v>0.0</v>
      </c>
      <c r="EL177" s="62">
        <v>0.0</v>
      </c>
      <c r="EM177" s="62">
        <v>0.0</v>
      </c>
      <c r="EN177" s="62">
        <v>0.0</v>
      </c>
      <c r="EO177" s="62">
        <v>0.0</v>
      </c>
      <c r="EP177" s="62">
        <v>0.0</v>
      </c>
      <c r="EQ177" s="62">
        <v>0.0</v>
      </c>
      <c r="ER177" s="62">
        <v>0.0</v>
      </c>
      <c r="ES177" s="62">
        <v>0.0</v>
      </c>
      <c r="ET177" s="62">
        <v>0.0</v>
      </c>
      <c r="EU177" s="62">
        <v>0.0</v>
      </c>
      <c r="EV177" s="62">
        <v>0.0</v>
      </c>
      <c r="EW177" s="62">
        <v>0.0</v>
      </c>
      <c r="EX177" s="62">
        <v>0.0</v>
      </c>
      <c r="EY177" s="62">
        <v>0.0</v>
      </c>
      <c r="EZ177" s="62">
        <v>0.0</v>
      </c>
      <c r="FA177" s="62">
        <v>0.0</v>
      </c>
      <c r="FB177" s="62">
        <v>0.0</v>
      </c>
      <c r="FC177" s="62">
        <v>0.0</v>
      </c>
      <c r="FD177" s="62">
        <v>0.0</v>
      </c>
      <c r="FE177" s="62">
        <v>0.0</v>
      </c>
      <c r="FF177" s="62">
        <v>0.0</v>
      </c>
      <c r="FG177" s="62">
        <v>0.0</v>
      </c>
      <c r="FH177" s="62">
        <v>0.0</v>
      </c>
      <c r="FI177" s="62">
        <v>0.0</v>
      </c>
      <c r="FJ177" s="62">
        <v>0.0</v>
      </c>
      <c r="FK177" s="62">
        <v>0.0</v>
      </c>
      <c r="FL177" s="62">
        <v>0.0</v>
      </c>
      <c r="FM177" s="62">
        <v>0.0</v>
      </c>
      <c r="FN177" s="62">
        <v>0.0</v>
      </c>
      <c r="FO177" s="62">
        <v>0.0</v>
      </c>
      <c r="FP177" s="62">
        <v>0.0</v>
      </c>
      <c r="FQ177" s="62">
        <v>0.0</v>
      </c>
      <c r="FR177" s="62">
        <v>0.0</v>
      </c>
      <c r="FS177" s="62">
        <v>0.0</v>
      </c>
      <c r="FT177" s="62">
        <v>0.0</v>
      </c>
      <c r="FU177" s="62">
        <v>0.0</v>
      </c>
      <c r="FV177" s="62">
        <v>0.0</v>
      </c>
      <c r="FW177" s="62">
        <v>0.0</v>
      </c>
      <c r="FX177" s="62">
        <v>0.0</v>
      </c>
      <c r="FY177" s="62">
        <v>0.0</v>
      </c>
      <c r="FZ177" s="62">
        <v>0.0</v>
      </c>
      <c r="GA177" s="62">
        <v>0.0</v>
      </c>
      <c r="GB177" s="62">
        <v>0.0</v>
      </c>
      <c r="GC177" s="62">
        <v>0.0</v>
      </c>
      <c r="GD177" s="62">
        <v>0.0</v>
      </c>
      <c r="GE177" s="62">
        <v>0.0</v>
      </c>
      <c r="GF177" s="63">
        <v>0.0</v>
      </c>
      <c r="GG177" s="64">
        <v>2446940.0</v>
      </c>
      <c r="GH177" s="65">
        <v>0.0</v>
      </c>
      <c r="GI177" s="64">
        <v>0.0</v>
      </c>
      <c r="GJ177" s="64">
        <v>0.0</v>
      </c>
      <c r="GK177" s="64">
        <v>0.0</v>
      </c>
      <c r="GL177" s="64">
        <v>0.0</v>
      </c>
      <c r="GM177" s="64">
        <v>0.0</v>
      </c>
      <c r="GN177" s="63">
        <v>2446940.0</v>
      </c>
      <c r="GO177" s="66">
        <v>2446940.0</v>
      </c>
      <c r="GP177" s="64">
        <v>0.0</v>
      </c>
      <c r="GQ177" s="64">
        <v>0.0</v>
      </c>
      <c r="GR177" s="65">
        <v>0.0</v>
      </c>
      <c r="GS177" s="63">
        <v>0.0</v>
      </c>
      <c r="GT177" s="67">
        <v>0.0</v>
      </c>
      <c r="GU177" s="67">
        <v>0.0</v>
      </c>
      <c r="GV177" s="67">
        <v>0.0</v>
      </c>
      <c r="GW177" s="63">
        <v>0.0</v>
      </c>
      <c r="GX177" s="63">
        <v>0.0</v>
      </c>
      <c r="GY177" s="63">
        <v>2446940.0</v>
      </c>
      <c r="GZ177" s="66">
        <v>2446940.0</v>
      </c>
      <c r="HH177" s="106"/>
    </row>
    <row r="178" ht="15.75" customHeight="1">
      <c r="A178" s="60">
        <v>173.0</v>
      </c>
      <c r="B178" s="111" t="s">
        <v>443</v>
      </c>
      <c r="C178" s="62">
        <v>12028.0</v>
      </c>
      <c r="D178" s="62">
        <v>10880.0</v>
      </c>
      <c r="E178" s="62">
        <v>28.0</v>
      </c>
      <c r="F178" s="62">
        <v>10850.0</v>
      </c>
      <c r="G178" s="62">
        <v>247.0</v>
      </c>
      <c r="H178" s="62">
        <v>2799.0</v>
      </c>
      <c r="I178" s="62">
        <v>675.0</v>
      </c>
      <c r="J178" s="62">
        <v>934.0</v>
      </c>
      <c r="K178" s="62">
        <v>10.0</v>
      </c>
      <c r="L178" s="62">
        <v>2058.0</v>
      </c>
      <c r="M178" s="62">
        <v>1231.0</v>
      </c>
      <c r="N178" s="62">
        <v>493.0</v>
      </c>
      <c r="O178" s="62">
        <v>4733.0</v>
      </c>
      <c r="P178" s="62">
        <v>33.0</v>
      </c>
      <c r="Q178" s="62">
        <v>1077.0</v>
      </c>
      <c r="R178" s="62">
        <v>4017.0</v>
      </c>
      <c r="S178" s="62">
        <v>289.0</v>
      </c>
      <c r="T178" s="62">
        <v>794.0</v>
      </c>
      <c r="U178" s="62">
        <v>143.0</v>
      </c>
      <c r="V178" s="62">
        <v>6284.0</v>
      </c>
      <c r="W178" s="62">
        <v>469.0</v>
      </c>
      <c r="X178" s="62">
        <v>0.0</v>
      </c>
      <c r="Y178" s="62">
        <v>1107.0</v>
      </c>
      <c r="Z178" s="62">
        <v>926.0</v>
      </c>
      <c r="AA178" s="62">
        <v>540.0</v>
      </c>
      <c r="AB178" s="62">
        <v>180.0</v>
      </c>
      <c r="AC178" s="62">
        <v>0.0</v>
      </c>
      <c r="AD178" s="62">
        <v>117.0</v>
      </c>
      <c r="AE178" s="62">
        <v>0.0</v>
      </c>
      <c r="AF178" s="62">
        <v>11057.0</v>
      </c>
      <c r="AG178" s="62">
        <v>16550.0</v>
      </c>
      <c r="AH178" s="62">
        <v>5409.0</v>
      </c>
      <c r="AI178" s="62">
        <v>156818.0</v>
      </c>
      <c r="AJ178" s="62">
        <v>21783.0</v>
      </c>
      <c r="AK178" s="62">
        <v>2547.0</v>
      </c>
      <c r="AL178" s="62">
        <v>10473.0</v>
      </c>
      <c r="AM178" s="62">
        <v>1319385.0</v>
      </c>
      <c r="AN178" s="62">
        <v>417327.0</v>
      </c>
      <c r="AO178" s="62">
        <v>886706.0</v>
      </c>
      <c r="AP178" s="62">
        <v>1299.0</v>
      </c>
      <c r="AQ178" s="62">
        <v>28456.0</v>
      </c>
      <c r="AR178" s="62">
        <v>523.0</v>
      </c>
      <c r="AS178" s="62">
        <v>49336.0</v>
      </c>
      <c r="AT178" s="62">
        <v>12798.0</v>
      </c>
      <c r="AU178" s="62">
        <v>66989.0</v>
      </c>
      <c r="AV178" s="62">
        <v>22288.0</v>
      </c>
      <c r="AW178" s="62">
        <v>6483.0</v>
      </c>
      <c r="AX178" s="62">
        <v>518839.0</v>
      </c>
      <c r="AY178" s="62">
        <v>416.0</v>
      </c>
      <c r="AZ178" s="62">
        <v>1077.0</v>
      </c>
      <c r="BA178" s="62">
        <v>23574.0</v>
      </c>
      <c r="BB178" s="62">
        <v>101320.0</v>
      </c>
      <c r="BC178" s="62">
        <v>3822.0</v>
      </c>
      <c r="BD178" s="62">
        <v>2575.0</v>
      </c>
      <c r="BE178" s="62">
        <v>8620.0</v>
      </c>
      <c r="BF178" s="62">
        <v>21845.0</v>
      </c>
      <c r="BG178" s="62">
        <v>4253.0</v>
      </c>
      <c r="BH178" s="62">
        <v>30567.0</v>
      </c>
      <c r="BI178" s="62">
        <v>19107.0</v>
      </c>
      <c r="BJ178" s="62">
        <v>25134.0</v>
      </c>
      <c r="BK178" s="62">
        <v>4697.0</v>
      </c>
      <c r="BL178" s="62">
        <v>391.0</v>
      </c>
      <c r="BM178" s="62">
        <v>120.0</v>
      </c>
      <c r="BN178" s="62">
        <v>0.0</v>
      </c>
      <c r="BO178" s="62">
        <v>54681.0</v>
      </c>
      <c r="BP178" s="62">
        <v>0.0</v>
      </c>
      <c r="BQ178" s="62">
        <v>0.0</v>
      </c>
      <c r="BR178" s="62">
        <v>16.0</v>
      </c>
      <c r="BS178" s="62">
        <v>0.0</v>
      </c>
      <c r="BT178" s="62">
        <v>45233.0</v>
      </c>
      <c r="BU178" s="62">
        <v>39657.0</v>
      </c>
      <c r="BV178" s="62">
        <v>0.0</v>
      </c>
      <c r="BW178" s="62">
        <v>1166.0</v>
      </c>
      <c r="BX178" s="62">
        <v>19551.0</v>
      </c>
      <c r="BY178" s="62">
        <v>256799.0</v>
      </c>
      <c r="BZ178" s="62">
        <v>20600.0</v>
      </c>
      <c r="CA178" s="62">
        <v>328509.0</v>
      </c>
      <c r="CB178" s="62">
        <v>342117.0</v>
      </c>
      <c r="CC178" s="62">
        <v>631.0</v>
      </c>
      <c r="CD178" s="62">
        <v>4327.0</v>
      </c>
      <c r="CE178" s="62">
        <v>3866.0</v>
      </c>
      <c r="CF178" s="62">
        <v>3624.0</v>
      </c>
      <c r="CG178" s="62">
        <v>16310.0</v>
      </c>
      <c r="CH178" s="62">
        <v>11394.0</v>
      </c>
      <c r="CI178" s="62">
        <v>108216.0</v>
      </c>
      <c r="CJ178" s="62">
        <v>21154.0</v>
      </c>
      <c r="CK178" s="62">
        <v>47769.0</v>
      </c>
      <c r="CL178" s="62">
        <v>17244.0</v>
      </c>
      <c r="CM178" s="62">
        <v>10267.0</v>
      </c>
      <c r="CN178" s="62">
        <v>33890.0</v>
      </c>
      <c r="CO178" s="62">
        <v>52693.0</v>
      </c>
      <c r="CP178" s="62">
        <v>48312.0</v>
      </c>
      <c r="CQ178" s="62">
        <v>32583.0</v>
      </c>
      <c r="CR178" s="62">
        <v>33929.0</v>
      </c>
      <c r="CS178" s="62">
        <v>315398.0</v>
      </c>
      <c r="CT178" s="62">
        <v>38633.0</v>
      </c>
      <c r="CU178" s="62">
        <v>15916.0</v>
      </c>
      <c r="CV178" s="62">
        <v>15486.0</v>
      </c>
      <c r="CW178" s="62">
        <v>2881.0</v>
      </c>
      <c r="CX178" s="62">
        <v>7683.0</v>
      </c>
      <c r="CY178" s="62">
        <v>272.0</v>
      </c>
      <c r="CZ178" s="62">
        <v>10970.0</v>
      </c>
      <c r="DA178" s="62">
        <v>12532.0</v>
      </c>
      <c r="DB178" s="62">
        <v>8393.0</v>
      </c>
      <c r="DC178" s="62">
        <v>6609.0</v>
      </c>
      <c r="DD178" s="62">
        <v>3601.0</v>
      </c>
      <c r="DE178" s="62">
        <v>89457.0</v>
      </c>
      <c r="DF178" s="62">
        <v>45407.0</v>
      </c>
      <c r="DG178" s="62">
        <v>6099.0</v>
      </c>
      <c r="DH178" s="62">
        <v>93491.0</v>
      </c>
      <c r="DI178" s="62">
        <v>14296.0</v>
      </c>
      <c r="DJ178" s="62">
        <v>14073.0</v>
      </c>
      <c r="DK178" s="62">
        <v>36603.0</v>
      </c>
      <c r="DL178" s="62">
        <v>72745.0</v>
      </c>
      <c r="DM178" s="62">
        <v>49327.0</v>
      </c>
      <c r="DN178" s="62">
        <v>4116.0</v>
      </c>
      <c r="DO178" s="62">
        <v>52975.0</v>
      </c>
      <c r="DP178" s="62">
        <v>9869.0</v>
      </c>
      <c r="DQ178" s="62">
        <v>44596.0</v>
      </c>
      <c r="DR178" s="62">
        <v>76464.0</v>
      </c>
      <c r="DS178" s="62">
        <v>117836.0</v>
      </c>
      <c r="DT178" s="62">
        <v>22597.0</v>
      </c>
      <c r="DU178" s="62">
        <v>4325.0</v>
      </c>
      <c r="DV178" s="62">
        <v>27560.0</v>
      </c>
      <c r="DW178" s="62">
        <v>21152.0</v>
      </c>
      <c r="DX178" s="62">
        <v>26644.0</v>
      </c>
      <c r="DY178" s="62">
        <v>41415.0</v>
      </c>
      <c r="DZ178" s="62">
        <v>11030.0</v>
      </c>
      <c r="EA178" s="62">
        <v>2244.0</v>
      </c>
      <c r="EB178" s="62">
        <v>19804.0</v>
      </c>
      <c r="EC178" s="62">
        <v>569685.0</v>
      </c>
      <c r="ED178" s="62">
        <v>30689.0</v>
      </c>
      <c r="EE178" s="62">
        <v>3611.0</v>
      </c>
      <c r="EF178" s="62">
        <v>3260.0</v>
      </c>
      <c r="EG178" s="62">
        <v>1006.0</v>
      </c>
      <c r="EH178" s="62">
        <v>139213.0</v>
      </c>
      <c r="EI178" s="62">
        <v>145159.0</v>
      </c>
      <c r="EJ178" s="62">
        <v>2152.0</v>
      </c>
      <c r="EK178" s="62">
        <v>5540.0</v>
      </c>
      <c r="EL178" s="62">
        <v>26021.0</v>
      </c>
      <c r="EM178" s="62">
        <v>26161.0</v>
      </c>
      <c r="EN178" s="62">
        <v>20743.0</v>
      </c>
      <c r="EO178" s="62">
        <v>25968.0</v>
      </c>
      <c r="EP178" s="62">
        <v>3929.0</v>
      </c>
      <c r="EQ178" s="62">
        <v>55346.0</v>
      </c>
      <c r="ER178" s="62">
        <v>12519.0</v>
      </c>
      <c r="ES178" s="62">
        <v>65.0</v>
      </c>
      <c r="ET178" s="62">
        <v>71.0</v>
      </c>
      <c r="EU178" s="62">
        <v>2124690.0</v>
      </c>
      <c r="EV178" s="62">
        <v>59667.0</v>
      </c>
      <c r="EW178" s="62">
        <v>57825.0</v>
      </c>
      <c r="EX178" s="62">
        <v>637198.0</v>
      </c>
      <c r="EY178" s="62">
        <v>709875.0</v>
      </c>
      <c r="EZ178" s="62">
        <v>682481.0</v>
      </c>
      <c r="FA178" s="62">
        <v>369136.0</v>
      </c>
      <c r="FB178" s="62">
        <v>3780107.0</v>
      </c>
      <c r="FC178" s="62">
        <v>17980.0</v>
      </c>
      <c r="FD178" s="62">
        <v>362663.0</v>
      </c>
      <c r="FE178" s="62">
        <v>100507.0</v>
      </c>
      <c r="FF178" s="62">
        <v>33734.0</v>
      </c>
      <c r="FG178" s="62">
        <v>525751.0</v>
      </c>
      <c r="FH178" s="62">
        <v>142445.0</v>
      </c>
      <c r="FI178" s="62">
        <v>29175.0</v>
      </c>
      <c r="FJ178" s="62">
        <v>73603.0</v>
      </c>
      <c r="FK178" s="62">
        <v>335374.0</v>
      </c>
      <c r="FL178" s="62">
        <v>769417.0</v>
      </c>
      <c r="FM178" s="62">
        <v>389378.0</v>
      </c>
      <c r="FN178" s="62">
        <v>990263.0</v>
      </c>
      <c r="FO178" s="62">
        <v>171276.0</v>
      </c>
      <c r="FP178" s="62">
        <v>9590635.0</v>
      </c>
      <c r="FQ178" s="62">
        <v>6612873.0</v>
      </c>
      <c r="FR178" s="62">
        <v>97871.0</v>
      </c>
      <c r="FS178" s="62">
        <v>7947225.0</v>
      </c>
      <c r="FT178" s="62">
        <v>455907.0</v>
      </c>
      <c r="FU178" s="62">
        <v>2496251.0</v>
      </c>
      <c r="FV178" s="62">
        <v>1131007.0</v>
      </c>
      <c r="FW178" s="62">
        <v>25387.0</v>
      </c>
      <c r="FX178" s="62">
        <v>878.0</v>
      </c>
      <c r="FY178" s="62">
        <v>7201.0</v>
      </c>
      <c r="FZ178" s="62">
        <v>1.0</v>
      </c>
      <c r="GA178" s="62">
        <v>156131.0</v>
      </c>
      <c r="GB178" s="62">
        <v>293489.0</v>
      </c>
      <c r="GC178" s="62">
        <v>48283.0</v>
      </c>
      <c r="GD178" s="62">
        <v>9525.0</v>
      </c>
      <c r="GE178" s="62">
        <v>189276.0</v>
      </c>
      <c r="GF178" s="63">
        <v>4.9258186E7</v>
      </c>
      <c r="GG178" s="64">
        <v>1.5201659E7</v>
      </c>
      <c r="GH178" s="65">
        <v>0.0</v>
      </c>
      <c r="GI178" s="64">
        <v>0.0</v>
      </c>
      <c r="GJ178" s="64">
        <v>0.0</v>
      </c>
      <c r="GK178" s="64">
        <v>0.0</v>
      </c>
      <c r="GL178" s="64">
        <v>0.0</v>
      </c>
      <c r="GM178" s="64">
        <v>1192773.0</v>
      </c>
      <c r="GN178" s="63">
        <v>1.6394432E7</v>
      </c>
      <c r="GO178" s="66">
        <v>6.5652618E7</v>
      </c>
      <c r="GP178" s="64">
        <v>0.0</v>
      </c>
      <c r="GQ178" s="64">
        <v>98718.0</v>
      </c>
      <c r="GR178" s="65">
        <v>0.0</v>
      </c>
      <c r="GS178" s="63">
        <v>98718.0</v>
      </c>
      <c r="GT178" s="67">
        <v>0.0</v>
      </c>
      <c r="GU178" s="67">
        <v>0.0</v>
      </c>
      <c r="GV178" s="67">
        <v>0.0</v>
      </c>
      <c r="GW178" s="63">
        <v>0.0</v>
      </c>
      <c r="GX178" s="63">
        <v>0.0</v>
      </c>
      <c r="GY178" s="63">
        <v>6.55539E7</v>
      </c>
      <c r="GZ178" s="66">
        <v>6.5652618E7</v>
      </c>
      <c r="HH178" s="106"/>
    </row>
    <row r="179" ht="15.75" customHeight="1">
      <c r="A179" s="60">
        <v>174.0</v>
      </c>
      <c r="B179" s="111" t="s">
        <v>444</v>
      </c>
      <c r="C179" s="62">
        <v>3583.0</v>
      </c>
      <c r="D179" s="62">
        <v>1327.0</v>
      </c>
      <c r="E179" s="62">
        <v>98.0</v>
      </c>
      <c r="F179" s="62">
        <v>773.0</v>
      </c>
      <c r="G179" s="62">
        <v>48.0</v>
      </c>
      <c r="H179" s="62">
        <v>141.0</v>
      </c>
      <c r="I179" s="62">
        <v>122.0</v>
      </c>
      <c r="J179" s="62">
        <v>252.0</v>
      </c>
      <c r="K179" s="62">
        <v>12.0</v>
      </c>
      <c r="L179" s="62">
        <v>0.0</v>
      </c>
      <c r="M179" s="62">
        <v>0.0</v>
      </c>
      <c r="N179" s="62">
        <v>1551.0</v>
      </c>
      <c r="O179" s="62">
        <v>1407.0</v>
      </c>
      <c r="P179" s="62">
        <v>0.0</v>
      </c>
      <c r="Q179" s="62">
        <v>527.0</v>
      </c>
      <c r="R179" s="62">
        <v>0.0</v>
      </c>
      <c r="S179" s="62">
        <v>0.0</v>
      </c>
      <c r="T179" s="62">
        <v>747.0</v>
      </c>
      <c r="U179" s="62">
        <v>155.0</v>
      </c>
      <c r="V179" s="62">
        <v>4858.0</v>
      </c>
      <c r="W179" s="62">
        <v>185.0</v>
      </c>
      <c r="X179" s="62">
        <v>1631.0</v>
      </c>
      <c r="Y179" s="62">
        <v>784.0</v>
      </c>
      <c r="Z179" s="62">
        <v>188.0</v>
      </c>
      <c r="AA179" s="62">
        <v>608.0</v>
      </c>
      <c r="AB179" s="62">
        <v>3649.0</v>
      </c>
      <c r="AC179" s="62">
        <v>117.0</v>
      </c>
      <c r="AD179" s="62">
        <v>7071.0</v>
      </c>
      <c r="AE179" s="62">
        <v>906.0</v>
      </c>
      <c r="AF179" s="62">
        <v>349.0</v>
      </c>
      <c r="AG179" s="62">
        <v>2002.0</v>
      </c>
      <c r="AH179" s="62">
        <v>941.0</v>
      </c>
      <c r="AI179" s="62">
        <v>2752.0</v>
      </c>
      <c r="AJ179" s="62">
        <v>700.0</v>
      </c>
      <c r="AK179" s="62">
        <v>171.0</v>
      </c>
      <c r="AL179" s="62">
        <v>243.0</v>
      </c>
      <c r="AM179" s="62">
        <v>4929147.0</v>
      </c>
      <c r="AN179" s="62">
        <v>930795.0</v>
      </c>
      <c r="AO179" s="62">
        <v>1654055.0</v>
      </c>
      <c r="AP179" s="62">
        <v>7975.0</v>
      </c>
      <c r="AQ179" s="62">
        <v>66123.0</v>
      </c>
      <c r="AR179" s="62">
        <v>16624.0</v>
      </c>
      <c r="AS179" s="62">
        <v>380665.0</v>
      </c>
      <c r="AT179" s="62">
        <v>75372.0</v>
      </c>
      <c r="AU179" s="62">
        <v>87928.0</v>
      </c>
      <c r="AV179" s="62">
        <v>604470.0</v>
      </c>
      <c r="AW179" s="62">
        <v>2667.0</v>
      </c>
      <c r="AX179" s="62">
        <v>6087037.0</v>
      </c>
      <c r="AY179" s="62">
        <v>123540.0</v>
      </c>
      <c r="AZ179" s="62">
        <v>77817.0</v>
      </c>
      <c r="BA179" s="62">
        <v>464698.0</v>
      </c>
      <c r="BB179" s="62">
        <v>520440.0</v>
      </c>
      <c r="BC179" s="62">
        <v>120656.0</v>
      </c>
      <c r="BD179" s="62">
        <v>19379.0</v>
      </c>
      <c r="BE179" s="62">
        <v>174497.0</v>
      </c>
      <c r="BF179" s="62">
        <v>199806.0</v>
      </c>
      <c r="BG179" s="62">
        <v>165709.0</v>
      </c>
      <c r="BH179" s="62">
        <v>151722.0</v>
      </c>
      <c r="BI179" s="62">
        <v>15543.0</v>
      </c>
      <c r="BJ179" s="62">
        <v>106134.0</v>
      </c>
      <c r="BK179" s="62">
        <v>49042.0</v>
      </c>
      <c r="BL179" s="62">
        <v>2796.0</v>
      </c>
      <c r="BM179" s="62">
        <v>141.0</v>
      </c>
      <c r="BN179" s="62">
        <v>9403.0</v>
      </c>
      <c r="BO179" s="62">
        <v>69316.0</v>
      </c>
      <c r="BP179" s="62">
        <v>4288.0</v>
      </c>
      <c r="BQ179" s="62">
        <v>13275.0</v>
      </c>
      <c r="BR179" s="62">
        <v>33934.0</v>
      </c>
      <c r="BS179" s="62">
        <v>51644.0</v>
      </c>
      <c r="BT179" s="62">
        <v>405960.0</v>
      </c>
      <c r="BU179" s="62">
        <v>539329.0</v>
      </c>
      <c r="BV179" s="62">
        <v>37448.0</v>
      </c>
      <c r="BW179" s="62">
        <v>1306.0</v>
      </c>
      <c r="BX179" s="62">
        <v>65233.0</v>
      </c>
      <c r="BY179" s="62">
        <v>199201.0</v>
      </c>
      <c r="BZ179" s="62">
        <v>13291.0</v>
      </c>
      <c r="CA179" s="62">
        <v>181316.0</v>
      </c>
      <c r="CB179" s="62">
        <v>121850.0</v>
      </c>
      <c r="CC179" s="62">
        <v>4344.0</v>
      </c>
      <c r="CD179" s="62">
        <v>14014.0</v>
      </c>
      <c r="CE179" s="62">
        <v>0.0</v>
      </c>
      <c r="CF179" s="62">
        <v>2740.0</v>
      </c>
      <c r="CG179" s="62">
        <v>91786.0</v>
      </c>
      <c r="CH179" s="62">
        <v>168733.0</v>
      </c>
      <c r="CI179" s="62">
        <v>243716.0</v>
      </c>
      <c r="CJ179" s="62">
        <v>64977.0</v>
      </c>
      <c r="CK179" s="62">
        <v>148027.0</v>
      </c>
      <c r="CL179" s="62">
        <v>77843.0</v>
      </c>
      <c r="CM179" s="62">
        <v>31533.0</v>
      </c>
      <c r="CN179" s="62">
        <v>213507.0</v>
      </c>
      <c r="CO179" s="62">
        <v>252252.0</v>
      </c>
      <c r="CP179" s="62">
        <v>379200.0</v>
      </c>
      <c r="CQ179" s="62">
        <v>245843.0</v>
      </c>
      <c r="CR179" s="62">
        <v>221864.0</v>
      </c>
      <c r="CS179" s="62">
        <v>1036675.0</v>
      </c>
      <c r="CT179" s="62">
        <v>488423.0</v>
      </c>
      <c r="CU179" s="62">
        <v>187352.0</v>
      </c>
      <c r="CV179" s="62">
        <v>550909.0</v>
      </c>
      <c r="CW179" s="62">
        <v>87113.0</v>
      </c>
      <c r="CX179" s="62">
        <v>92339.0</v>
      </c>
      <c r="CY179" s="62">
        <v>6285.0</v>
      </c>
      <c r="CZ179" s="62">
        <v>116182.0</v>
      </c>
      <c r="DA179" s="62">
        <v>250151.0</v>
      </c>
      <c r="DB179" s="62">
        <v>250393.0</v>
      </c>
      <c r="DC179" s="62">
        <v>863376.0</v>
      </c>
      <c r="DD179" s="62">
        <v>165575.0</v>
      </c>
      <c r="DE179" s="62">
        <v>69762.0</v>
      </c>
      <c r="DF179" s="62">
        <v>83764.0</v>
      </c>
      <c r="DG179" s="62">
        <v>17585.0</v>
      </c>
      <c r="DH179" s="62">
        <v>313345.0</v>
      </c>
      <c r="DI179" s="62">
        <v>341879.0</v>
      </c>
      <c r="DJ179" s="62">
        <v>917900.0</v>
      </c>
      <c r="DK179" s="62">
        <v>138509.0</v>
      </c>
      <c r="DL179" s="62">
        <v>376184.0</v>
      </c>
      <c r="DM179" s="62">
        <v>100147.0</v>
      </c>
      <c r="DN179" s="62">
        <v>22801.0</v>
      </c>
      <c r="DO179" s="62">
        <v>295344.0</v>
      </c>
      <c r="DP179" s="62">
        <v>33747.0</v>
      </c>
      <c r="DQ179" s="62">
        <v>254822.0</v>
      </c>
      <c r="DR179" s="62">
        <v>414167.0</v>
      </c>
      <c r="DS179" s="62">
        <v>158629.0</v>
      </c>
      <c r="DT179" s="62">
        <v>20190.0</v>
      </c>
      <c r="DU179" s="62">
        <v>31934.0</v>
      </c>
      <c r="DV179" s="62">
        <v>87476.0</v>
      </c>
      <c r="DW179" s="62">
        <v>56209.0</v>
      </c>
      <c r="DX179" s="62">
        <v>60117.0</v>
      </c>
      <c r="DY179" s="62">
        <v>175239.0</v>
      </c>
      <c r="DZ179" s="62">
        <v>67168.0</v>
      </c>
      <c r="EA179" s="62">
        <v>6471.0</v>
      </c>
      <c r="EB179" s="62">
        <v>59123.0</v>
      </c>
      <c r="EC179" s="62">
        <v>353239.0</v>
      </c>
      <c r="ED179" s="62">
        <v>147607.0</v>
      </c>
      <c r="EE179" s="62">
        <v>3171.0</v>
      </c>
      <c r="EF179" s="62">
        <v>5287.0</v>
      </c>
      <c r="EG179" s="62">
        <v>182470.0</v>
      </c>
      <c r="EH179" s="62">
        <v>307126.0</v>
      </c>
      <c r="EI179" s="62">
        <v>400311.0</v>
      </c>
      <c r="EJ179" s="62">
        <v>102527.0</v>
      </c>
      <c r="EK179" s="62">
        <v>122604.0</v>
      </c>
      <c r="EL179" s="62">
        <v>118352.0</v>
      </c>
      <c r="EM179" s="62">
        <v>95422.0</v>
      </c>
      <c r="EN179" s="62">
        <v>270747.0</v>
      </c>
      <c r="EO179" s="62">
        <v>44926.0</v>
      </c>
      <c r="EP179" s="62">
        <v>477848.0</v>
      </c>
      <c r="EQ179" s="62">
        <v>26853.0</v>
      </c>
      <c r="ER179" s="62">
        <v>56.0</v>
      </c>
      <c r="ES179" s="62">
        <v>286345.0</v>
      </c>
      <c r="ET179" s="62">
        <v>98403.0</v>
      </c>
      <c r="EU179" s="62">
        <v>3.3328278E7</v>
      </c>
      <c r="EV179" s="62">
        <v>693650.0</v>
      </c>
      <c r="EW179" s="62">
        <v>240246.0</v>
      </c>
      <c r="EX179" s="62">
        <v>2079050.0</v>
      </c>
      <c r="EY179" s="62">
        <v>8664583.0</v>
      </c>
      <c r="EZ179" s="62">
        <v>6635011.0</v>
      </c>
      <c r="FA179" s="62">
        <v>5522643.0</v>
      </c>
      <c r="FB179" s="62">
        <v>8.0516521E7</v>
      </c>
      <c r="FC179" s="62">
        <v>6918.0</v>
      </c>
      <c r="FD179" s="62">
        <v>6479394.0</v>
      </c>
      <c r="FE179" s="62">
        <v>623652.0</v>
      </c>
      <c r="FF179" s="62">
        <v>282755.0</v>
      </c>
      <c r="FG179" s="62">
        <v>3008247.0</v>
      </c>
      <c r="FH179" s="62">
        <v>1695528.0</v>
      </c>
      <c r="FI179" s="62">
        <v>630264.0</v>
      </c>
      <c r="FJ179" s="62">
        <v>292850.0</v>
      </c>
      <c r="FK179" s="62">
        <v>1556998.0</v>
      </c>
      <c r="FL179" s="62">
        <v>1654264.0</v>
      </c>
      <c r="FM179" s="62">
        <v>633313.0</v>
      </c>
      <c r="FN179" s="62">
        <v>5850966.0</v>
      </c>
      <c r="FO179" s="62">
        <v>2366720.0</v>
      </c>
      <c r="FP179" s="62">
        <v>6073919.0</v>
      </c>
      <c r="FQ179" s="62">
        <v>968824.0</v>
      </c>
      <c r="FR179" s="62">
        <v>1982.0</v>
      </c>
      <c r="FS179" s="62">
        <v>1279216.0</v>
      </c>
      <c r="FT179" s="62">
        <v>4097369.0</v>
      </c>
      <c r="FU179" s="62">
        <v>9490946.0</v>
      </c>
      <c r="FV179" s="62">
        <v>4068042.0</v>
      </c>
      <c r="FW179" s="62">
        <v>5734144.0</v>
      </c>
      <c r="FX179" s="62">
        <v>3063858.0</v>
      </c>
      <c r="FY179" s="62">
        <v>1249528.0</v>
      </c>
      <c r="FZ179" s="62">
        <v>199603.0</v>
      </c>
      <c r="GA179" s="62">
        <v>1.0157379E7</v>
      </c>
      <c r="GB179" s="62">
        <v>5406024.0</v>
      </c>
      <c r="GC179" s="62">
        <v>1900206.0</v>
      </c>
      <c r="GD179" s="62">
        <v>4411979.0</v>
      </c>
      <c r="GE179" s="62">
        <v>1.7670564E7</v>
      </c>
      <c r="GF179" s="63">
        <v>2.70755862E8</v>
      </c>
      <c r="GG179" s="64">
        <v>7.08263121E8</v>
      </c>
      <c r="GH179" s="65">
        <v>0.0</v>
      </c>
      <c r="GI179" s="64">
        <v>0.0</v>
      </c>
      <c r="GJ179" s="64">
        <v>0.0</v>
      </c>
      <c r="GK179" s="64">
        <v>0.0</v>
      </c>
      <c r="GL179" s="64">
        <v>0.0</v>
      </c>
      <c r="GM179" s="64">
        <v>4699638.0</v>
      </c>
      <c r="GN179" s="63">
        <v>7.12962759E8</v>
      </c>
      <c r="GO179" s="66">
        <v>9.83718621E8</v>
      </c>
      <c r="GP179" s="64">
        <v>0.0</v>
      </c>
      <c r="GQ179" s="64">
        <v>1.1444716E7</v>
      </c>
      <c r="GR179" s="65">
        <v>0.0</v>
      </c>
      <c r="GS179" s="63">
        <v>1.1444716E7</v>
      </c>
      <c r="GT179" s="67">
        <v>0.0</v>
      </c>
      <c r="GU179" s="67">
        <v>0.0</v>
      </c>
      <c r="GV179" s="67">
        <v>0.0</v>
      </c>
      <c r="GW179" s="63">
        <v>0.0</v>
      </c>
      <c r="GX179" s="63">
        <v>8030581.0</v>
      </c>
      <c r="GY179" s="63">
        <v>9.64243324E8</v>
      </c>
      <c r="GZ179" s="66">
        <v>9.83718621E8</v>
      </c>
      <c r="HH179" s="106"/>
    </row>
    <row r="180" ht="15.75" customHeight="1">
      <c r="A180" s="68">
        <v>175.0</v>
      </c>
      <c r="B180" s="111" t="s">
        <v>445</v>
      </c>
      <c r="C180" s="70">
        <v>0.0</v>
      </c>
      <c r="D180" s="70">
        <v>0.0</v>
      </c>
      <c r="E180" s="70">
        <v>0.0</v>
      </c>
      <c r="F180" s="70">
        <v>0.0</v>
      </c>
      <c r="G180" s="70">
        <v>0.0</v>
      </c>
      <c r="H180" s="70">
        <v>0.0</v>
      </c>
      <c r="I180" s="70">
        <v>0.0</v>
      </c>
      <c r="J180" s="70">
        <v>0.0</v>
      </c>
      <c r="K180" s="70">
        <v>0.0</v>
      </c>
      <c r="L180" s="70">
        <v>125.0</v>
      </c>
      <c r="M180" s="70">
        <v>88.0</v>
      </c>
      <c r="N180" s="70">
        <v>726.0</v>
      </c>
      <c r="O180" s="70">
        <v>140.0</v>
      </c>
      <c r="P180" s="70">
        <v>115.0</v>
      </c>
      <c r="Q180" s="70">
        <v>442.0</v>
      </c>
      <c r="R180" s="70">
        <v>0.0</v>
      </c>
      <c r="S180" s="70">
        <v>97.0</v>
      </c>
      <c r="T180" s="70">
        <v>295.0</v>
      </c>
      <c r="U180" s="70">
        <v>284.0</v>
      </c>
      <c r="V180" s="70">
        <v>858.0</v>
      </c>
      <c r="W180" s="70">
        <v>228.0</v>
      </c>
      <c r="X180" s="70">
        <v>597.0</v>
      </c>
      <c r="Y180" s="70">
        <v>688.0</v>
      </c>
      <c r="Z180" s="70">
        <v>379.0</v>
      </c>
      <c r="AA180" s="70">
        <v>295.0</v>
      </c>
      <c r="AB180" s="70">
        <v>9015.0</v>
      </c>
      <c r="AC180" s="70">
        <v>4462.0</v>
      </c>
      <c r="AD180" s="70">
        <v>2902.0</v>
      </c>
      <c r="AE180" s="70">
        <v>0.0</v>
      </c>
      <c r="AF180" s="70">
        <v>371.0</v>
      </c>
      <c r="AG180" s="70">
        <v>5.0</v>
      </c>
      <c r="AH180" s="70">
        <v>1.0</v>
      </c>
      <c r="AI180" s="70">
        <v>6309.0</v>
      </c>
      <c r="AJ180" s="70">
        <v>104.0</v>
      </c>
      <c r="AK180" s="70">
        <v>69.0</v>
      </c>
      <c r="AL180" s="70">
        <v>76.0</v>
      </c>
      <c r="AM180" s="70">
        <v>1.6546956E7</v>
      </c>
      <c r="AN180" s="70">
        <v>1340730.0</v>
      </c>
      <c r="AO180" s="70">
        <v>2853541.0</v>
      </c>
      <c r="AP180" s="70">
        <v>1315.0</v>
      </c>
      <c r="AQ180" s="70">
        <v>256172.0</v>
      </c>
      <c r="AR180" s="70">
        <v>16338.0</v>
      </c>
      <c r="AS180" s="70">
        <v>878411.0</v>
      </c>
      <c r="AT180" s="70">
        <v>178778.0</v>
      </c>
      <c r="AU180" s="70">
        <v>76015.0</v>
      </c>
      <c r="AV180" s="70">
        <v>1958564.0</v>
      </c>
      <c r="AW180" s="70">
        <v>48207.0</v>
      </c>
      <c r="AX180" s="70">
        <v>4093630.0</v>
      </c>
      <c r="AY180" s="70">
        <v>21465.0</v>
      </c>
      <c r="AZ180" s="70">
        <v>2800.0</v>
      </c>
      <c r="BA180" s="70">
        <v>541529.0</v>
      </c>
      <c r="BB180" s="70">
        <v>1351780.0</v>
      </c>
      <c r="BC180" s="70">
        <v>13304.0</v>
      </c>
      <c r="BD180" s="70">
        <v>918.0</v>
      </c>
      <c r="BE180" s="70">
        <v>4712.0</v>
      </c>
      <c r="BF180" s="70">
        <v>16824.0</v>
      </c>
      <c r="BG180" s="70">
        <v>4853.0</v>
      </c>
      <c r="BH180" s="70">
        <v>334469.0</v>
      </c>
      <c r="BI180" s="70">
        <v>3236.0</v>
      </c>
      <c r="BJ180" s="70">
        <v>254214.0</v>
      </c>
      <c r="BK180" s="70">
        <v>16798.0</v>
      </c>
      <c r="BL180" s="70">
        <v>1124.0</v>
      </c>
      <c r="BM180" s="70">
        <v>76.0</v>
      </c>
      <c r="BN180" s="70">
        <v>59.0</v>
      </c>
      <c r="BO180" s="70">
        <v>323867.0</v>
      </c>
      <c r="BP180" s="70">
        <v>31676.0</v>
      </c>
      <c r="BQ180" s="70">
        <v>214978.0</v>
      </c>
      <c r="BR180" s="70">
        <v>17163.0</v>
      </c>
      <c r="BS180" s="70">
        <v>13055.0</v>
      </c>
      <c r="BT180" s="70">
        <v>60898.0</v>
      </c>
      <c r="BU180" s="70">
        <v>209202.0</v>
      </c>
      <c r="BV180" s="70">
        <v>23274.0</v>
      </c>
      <c r="BW180" s="70">
        <v>2236.0</v>
      </c>
      <c r="BX180" s="70">
        <v>155806.0</v>
      </c>
      <c r="BY180" s="70">
        <v>2700349.0</v>
      </c>
      <c r="BZ180" s="70">
        <v>160173.0</v>
      </c>
      <c r="CA180" s="70">
        <v>666030.0</v>
      </c>
      <c r="CB180" s="70">
        <v>350780.0</v>
      </c>
      <c r="CC180" s="70">
        <v>32244.0</v>
      </c>
      <c r="CD180" s="70">
        <v>39157.0</v>
      </c>
      <c r="CE180" s="70">
        <v>51712.0</v>
      </c>
      <c r="CF180" s="70">
        <v>502001.0</v>
      </c>
      <c r="CG180" s="70">
        <v>134714.0</v>
      </c>
      <c r="CH180" s="70">
        <v>30784.0</v>
      </c>
      <c r="CI180" s="70">
        <v>163964.0</v>
      </c>
      <c r="CJ180" s="70">
        <v>340519.0</v>
      </c>
      <c r="CK180" s="70">
        <v>725388.0</v>
      </c>
      <c r="CL180" s="70">
        <v>477525.0</v>
      </c>
      <c r="CM180" s="70">
        <v>174692.0</v>
      </c>
      <c r="CN180" s="70">
        <v>280934.0</v>
      </c>
      <c r="CO180" s="70">
        <v>253283.0</v>
      </c>
      <c r="CP180" s="70">
        <v>313038.0</v>
      </c>
      <c r="CQ180" s="70">
        <v>284243.0</v>
      </c>
      <c r="CR180" s="70">
        <v>207813.0</v>
      </c>
      <c r="CS180" s="70">
        <v>3797827.0</v>
      </c>
      <c r="CT180" s="70">
        <v>603406.0</v>
      </c>
      <c r="CU180" s="70">
        <v>198735.0</v>
      </c>
      <c r="CV180" s="70">
        <v>575108.0</v>
      </c>
      <c r="CW180" s="70">
        <v>41303.0</v>
      </c>
      <c r="CX180" s="70">
        <v>96745.0</v>
      </c>
      <c r="CY180" s="70">
        <v>6585.0</v>
      </c>
      <c r="CZ180" s="70">
        <v>85283.0</v>
      </c>
      <c r="DA180" s="70">
        <v>361555.0</v>
      </c>
      <c r="DB180" s="70">
        <v>150370.0</v>
      </c>
      <c r="DC180" s="70">
        <v>905032.0</v>
      </c>
      <c r="DD180" s="70">
        <v>285516.0</v>
      </c>
      <c r="DE180" s="70">
        <v>28425.0</v>
      </c>
      <c r="DF180" s="70">
        <v>30465.0</v>
      </c>
      <c r="DG180" s="70">
        <v>7392.0</v>
      </c>
      <c r="DH180" s="70">
        <v>98386.0</v>
      </c>
      <c r="DI180" s="70">
        <v>129771.0</v>
      </c>
      <c r="DJ180" s="70">
        <v>123416.0</v>
      </c>
      <c r="DK180" s="70">
        <v>185659.0</v>
      </c>
      <c r="DL180" s="70">
        <v>410429.0</v>
      </c>
      <c r="DM180" s="70">
        <v>154080.0</v>
      </c>
      <c r="DN180" s="70">
        <v>14402.0</v>
      </c>
      <c r="DO180" s="70">
        <v>124304.0</v>
      </c>
      <c r="DP180" s="70">
        <v>46805.0</v>
      </c>
      <c r="DQ180" s="70">
        <v>82638.0</v>
      </c>
      <c r="DR180" s="70">
        <v>103676.0</v>
      </c>
      <c r="DS180" s="70">
        <v>964715.0</v>
      </c>
      <c r="DT180" s="70">
        <v>380988.0</v>
      </c>
      <c r="DU180" s="70">
        <v>638508.0</v>
      </c>
      <c r="DV180" s="70">
        <v>1884805.0</v>
      </c>
      <c r="DW180" s="70">
        <v>1214117.0</v>
      </c>
      <c r="DX180" s="70">
        <v>1040922.0</v>
      </c>
      <c r="DY180" s="70">
        <v>3485725.0</v>
      </c>
      <c r="DZ180" s="70">
        <v>1303947.0</v>
      </c>
      <c r="EA180" s="70">
        <v>138901.0</v>
      </c>
      <c r="EB180" s="70">
        <v>1464343.0</v>
      </c>
      <c r="EC180" s="70">
        <v>2695667.0</v>
      </c>
      <c r="ED180" s="70">
        <v>269036.0</v>
      </c>
      <c r="EE180" s="70">
        <v>75832.0</v>
      </c>
      <c r="EF180" s="70">
        <v>373998.0</v>
      </c>
      <c r="EG180" s="70">
        <v>130536.0</v>
      </c>
      <c r="EH180" s="70">
        <v>2346715.0</v>
      </c>
      <c r="EI180" s="70">
        <v>123613.0</v>
      </c>
      <c r="EJ180" s="70">
        <v>78029.0</v>
      </c>
      <c r="EK180" s="70">
        <v>11990.0</v>
      </c>
      <c r="EL180" s="70">
        <v>24871.0</v>
      </c>
      <c r="EM180" s="70">
        <v>36153.0</v>
      </c>
      <c r="EN180" s="70">
        <v>498479.0</v>
      </c>
      <c r="EO180" s="70">
        <v>40366.0</v>
      </c>
      <c r="EP180" s="70">
        <v>164695.0</v>
      </c>
      <c r="EQ180" s="70">
        <v>7985209.0</v>
      </c>
      <c r="ER180" s="70">
        <v>479909.0</v>
      </c>
      <c r="ES180" s="70">
        <v>381164.0</v>
      </c>
      <c r="ET180" s="70">
        <v>183981.0</v>
      </c>
      <c r="EU180" s="70">
        <v>7.3964452E7</v>
      </c>
      <c r="EV180" s="70">
        <v>1433178.0</v>
      </c>
      <c r="EW180" s="70">
        <v>979184.0</v>
      </c>
      <c r="EX180" s="70">
        <v>5778558.0</v>
      </c>
      <c r="EY180" s="70">
        <v>3.5223915E7</v>
      </c>
      <c r="EZ180" s="70">
        <v>4649601.0</v>
      </c>
      <c r="FA180" s="70">
        <v>2582192.0</v>
      </c>
      <c r="FB180" s="70">
        <v>3.006893E7</v>
      </c>
      <c r="FC180" s="70">
        <v>135202.0</v>
      </c>
      <c r="FD180" s="70">
        <v>9797691.0</v>
      </c>
      <c r="FE180" s="70">
        <v>1518117.0</v>
      </c>
      <c r="FF180" s="70">
        <v>780128.0</v>
      </c>
      <c r="FG180" s="70">
        <v>7433979.0</v>
      </c>
      <c r="FH180" s="70">
        <v>4399471.0</v>
      </c>
      <c r="FI180" s="70">
        <v>735489.0</v>
      </c>
      <c r="FJ180" s="70">
        <v>120182.0</v>
      </c>
      <c r="FK180" s="70">
        <v>306200.0</v>
      </c>
      <c r="FL180" s="70">
        <v>6839097.0</v>
      </c>
      <c r="FM180" s="70">
        <v>5504219.0</v>
      </c>
      <c r="FN180" s="70">
        <v>1.9253983E7</v>
      </c>
      <c r="FO180" s="70">
        <v>1.1405001E7</v>
      </c>
      <c r="FP180" s="70">
        <v>1.3655914E7</v>
      </c>
      <c r="FQ180" s="70">
        <v>1926963.0</v>
      </c>
      <c r="FR180" s="70">
        <v>7836.0</v>
      </c>
      <c r="FS180" s="70">
        <v>1690046.0</v>
      </c>
      <c r="FT180" s="70">
        <v>2.9596726E7</v>
      </c>
      <c r="FU180" s="70">
        <v>2.3478473E7</v>
      </c>
      <c r="FV180" s="70">
        <v>8146797.0</v>
      </c>
      <c r="FW180" s="70">
        <v>3.7230439E7</v>
      </c>
      <c r="FX180" s="70">
        <v>7689449.0</v>
      </c>
      <c r="FY180" s="70">
        <v>2.8090233E7</v>
      </c>
      <c r="FZ180" s="70">
        <v>910000.0</v>
      </c>
      <c r="GA180" s="70">
        <v>1.4191829E7</v>
      </c>
      <c r="GB180" s="70">
        <v>1.08101E7</v>
      </c>
      <c r="GC180" s="70">
        <v>1505005.0</v>
      </c>
      <c r="GD180" s="70">
        <v>32230.0</v>
      </c>
      <c r="GE180" s="70">
        <v>1027282.0</v>
      </c>
      <c r="GF180" s="71">
        <v>4.79749605E8</v>
      </c>
      <c r="GG180" s="72">
        <v>1.2731733E7</v>
      </c>
      <c r="GH180" s="73">
        <v>0.0</v>
      </c>
      <c r="GI180" s="72">
        <v>0.0</v>
      </c>
      <c r="GJ180" s="72">
        <v>3.2115346E7</v>
      </c>
      <c r="GK180" s="72">
        <v>0.0</v>
      </c>
      <c r="GL180" s="72">
        <v>0.0</v>
      </c>
      <c r="GM180" s="72">
        <v>4.6866206E7</v>
      </c>
      <c r="GN180" s="71">
        <v>9.1713285E7</v>
      </c>
      <c r="GO180" s="74">
        <v>5.7146289E8</v>
      </c>
      <c r="GP180" s="72">
        <v>0.0</v>
      </c>
      <c r="GQ180" s="72">
        <v>9.4294163E7</v>
      </c>
      <c r="GR180" s="73">
        <v>0.0</v>
      </c>
      <c r="GS180" s="71">
        <v>9.4294163E7</v>
      </c>
      <c r="GT180" s="75">
        <v>0.0</v>
      </c>
      <c r="GU180" s="75">
        <v>0.0</v>
      </c>
      <c r="GV180" s="75">
        <v>0.0</v>
      </c>
      <c r="GW180" s="71">
        <v>0.0</v>
      </c>
      <c r="GX180" s="71">
        <v>3701339.0</v>
      </c>
      <c r="GY180" s="71">
        <v>4.73467388E8</v>
      </c>
      <c r="GZ180" s="74">
        <v>5.7146289E8</v>
      </c>
      <c r="HH180" s="106"/>
    </row>
    <row r="181" ht="15.75" customHeight="1">
      <c r="A181" s="52">
        <v>176.0</v>
      </c>
      <c r="B181" s="111" t="s">
        <v>446</v>
      </c>
      <c r="C181" s="54">
        <v>49536.0</v>
      </c>
      <c r="D181" s="54">
        <v>54186.0</v>
      </c>
      <c r="E181" s="54">
        <v>5044.0</v>
      </c>
      <c r="F181" s="54">
        <v>42279.0</v>
      </c>
      <c r="G181" s="54">
        <v>2529.0</v>
      </c>
      <c r="H181" s="54">
        <v>21729.0</v>
      </c>
      <c r="I181" s="54">
        <v>12891.0</v>
      </c>
      <c r="J181" s="54">
        <v>5999.0</v>
      </c>
      <c r="K181" s="54">
        <v>9.0</v>
      </c>
      <c r="L181" s="54">
        <v>144731.0</v>
      </c>
      <c r="M181" s="54">
        <v>14110.0</v>
      </c>
      <c r="N181" s="54">
        <v>54551.0</v>
      </c>
      <c r="O181" s="54">
        <v>117517.0</v>
      </c>
      <c r="P181" s="54">
        <v>1318.0</v>
      </c>
      <c r="Q181" s="54">
        <v>11514.0</v>
      </c>
      <c r="R181" s="54">
        <v>826543.0</v>
      </c>
      <c r="S181" s="54">
        <v>6997.0</v>
      </c>
      <c r="T181" s="54">
        <v>104832.0</v>
      </c>
      <c r="U181" s="54">
        <v>10494.0</v>
      </c>
      <c r="V181" s="54">
        <v>66364.0</v>
      </c>
      <c r="W181" s="54">
        <v>2770.0</v>
      </c>
      <c r="X181" s="54">
        <v>888.0</v>
      </c>
      <c r="Y181" s="54">
        <v>8085.0</v>
      </c>
      <c r="Z181" s="54">
        <v>19306.0</v>
      </c>
      <c r="AA181" s="54">
        <v>3483.0</v>
      </c>
      <c r="AB181" s="54">
        <v>100378.0</v>
      </c>
      <c r="AC181" s="54">
        <v>4980.0</v>
      </c>
      <c r="AD181" s="54">
        <v>699916.0</v>
      </c>
      <c r="AE181" s="54">
        <v>63681.0</v>
      </c>
      <c r="AF181" s="54">
        <v>575837.0</v>
      </c>
      <c r="AG181" s="54">
        <v>1640798.0</v>
      </c>
      <c r="AH181" s="54">
        <v>888622.0</v>
      </c>
      <c r="AI181" s="54">
        <v>627540.0</v>
      </c>
      <c r="AJ181" s="54">
        <v>157486.0</v>
      </c>
      <c r="AK181" s="54">
        <v>23973.0</v>
      </c>
      <c r="AL181" s="54">
        <v>25435.0</v>
      </c>
      <c r="AM181" s="54">
        <v>7998248.0</v>
      </c>
      <c r="AN181" s="54">
        <v>1793029.0</v>
      </c>
      <c r="AO181" s="54">
        <v>2379075.0</v>
      </c>
      <c r="AP181" s="54">
        <v>29376.0</v>
      </c>
      <c r="AQ181" s="54">
        <v>178277.0</v>
      </c>
      <c r="AR181" s="54">
        <v>6368.0</v>
      </c>
      <c r="AS181" s="54">
        <v>664189.0</v>
      </c>
      <c r="AT181" s="54">
        <v>109213.0</v>
      </c>
      <c r="AU181" s="54">
        <v>148466.0</v>
      </c>
      <c r="AV181" s="54">
        <v>1765935.0</v>
      </c>
      <c r="AW181" s="54">
        <v>24634.0</v>
      </c>
      <c r="AX181" s="54">
        <v>1.099848E7</v>
      </c>
      <c r="AY181" s="54">
        <v>251445.0</v>
      </c>
      <c r="AZ181" s="54">
        <v>34798.0</v>
      </c>
      <c r="BA181" s="54">
        <v>910478.0</v>
      </c>
      <c r="BB181" s="54">
        <v>1174405.0</v>
      </c>
      <c r="BC181" s="54">
        <v>121336.0</v>
      </c>
      <c r="BD181" s="54">
        <v>11811.0</v>
      </c>
      <c r="BE181" s="54">
        <v>46393.0</v>
      </c>
      <c r="BF181" s="54">
        <v>146242.0</v>
      </c>
      <c r="BG181" s="54">
        <v>149518.0</v>
      </c>
      <c r="BH181" s="54">
        <v>41619.0</v>
      </c>
      <c r="BI181" s="54">
        <v>4323.0</v>
      </c>
      <c r="BJ181" s="54">
        <v>241592.0</v>
      </c>
      <c r="BK181" s="54">
        <v>49489.0</v>
      </c>
      <c r="BL181" s="54">
        <v>1503.0</v>
      </c>
      <c r="BM181" s="54">
        <v>101.0</v>
      </c>
      <c r="BN181" s="54">
        <v>1915.0</v>
      </c>
      <c r="BO181" s="54">
        <v>238528.0</v>
      </c>
      <c r="BP181" s="54">
        <v>127.0</v>
      </c>
      <c r="BQ181" s="54">
        <v>92852.0</v>
      </c>
      <c r="BR181" s="54">
        <v>20520.0</v>
      </c>
      <c r="BS181" s="54">
        <v>26398.0</v>
      </c>
      <c r="BT181" s="54">
        <v>1203430.0</v>
      </c>
      <c r="BU181" s="54">
        <v>411499.0</v>
      </c>
      <c r="BV181" s="54">
        <v>66876.0</v>
      </c>
      <c r="BW181" s="54">
        <v>2239.0</v>
      </c>
      <c r="BX181" s="54">
        <v>146377.0</v>
      </c>
      <c r="BY181" s="54">
        <v>2228190.0</v>
      </c>
      <c r="BZ181" s="54">
        <v>147897.0</v>
      </c>
      <c r="CA181" s="54">
        <v>627358.0</v>
      </c>
      <c r="CB181" s="54">
        <v>337869.0</v>
      </c>
      <c r="CC181" s="54">
        <v>51405.0</v>
      </c>
      <c r="CD181" s="54">
        <v>35794.0</v>
      </c>
      <c r="CE181" s="54">
        <v>50246.0</v>
      </c>
      <c r="CF181" s="54">
        <v>276254.0</v>
      </c>
      <c r="CG181" s="54">
        <v>136138.0</v>
      </c>
      <c r="CH181" s="54">
        <v>50201.0</v>
      </c>
      <c r="CI181" s="54">
        <v>187812.0</v>
      </c>
      <c r="CJ181" s="54">
        <v>273615.0</v>
      </c>
      <c r="CK181" s="54">
        <v>443275.0</v>
      </c>
      <c r="CL181" s="54">
        <v>166195.0</v>
      </c>
      <c r="CM181" s="54">
        <v>199057.0</v>
      </c>
      <c r="CN181" s="54">
        <v>481698.0</v>
      </c>
      <c r="CO181" s="54">
        <v>572350.0</v>
      </c>
      <c r="CP181" s="54">
        <v>947188.0</v>
      </c>
      <c r="CQ181" s="54">
        <v>478225.0</v>
      </c>
      <c r="CR181" s="54">
        <v>123989.0</v>
      </c>
      <c r="CS181" s="54">
        <v>6855884.0</v>
      </c>
      <c r="CT181" s="54">
        <v>976262.0</v>
      </c>
      <c r="CU181" s="54">
        <v>326066.0</v>
      </c>
      <c r="CV181" s="54">
        <v>610162.0</v>
      </c>
      <c r="CW181" s="54">
        <v>66399.0</v>
      </c>
      <c r="CX181" s="54">
        <v>160090.0</v>
      </c>
      <c r="CY181" s="54">
        <v>10896.0</v>
      </c>
      <c r="CZ181" s="54">
        <v>176544.0</v>
      </c>
      <c r="DA181" s="54">
        <v>401442.0</v>
      </c>
      <c r="DB181" s="54">
        <v>223091.0</v>
      </c>
      <c r="DC181" s="54">
        <v>674497.0</v>
      </c>
      <c r="DD181" s="54">
        <v>238123.0</v>
      </c>
      <c r="DE181" s="54">
        <v>76112.0</v>
      </c>
      <c r="DF181" s="54">
        <v>91388.0</v>
      </c>
      <c r="DG181" s="54">
        <v>21008.0</v>
      </c>
      <c r="DH181" s="54">
        <v>225365.0</v>
      </c>
      <c r="DI181" s="54">
        <v>251540.0</v>
      </c>
      <c r="DJ181" s="54">
        <v>62167.0</v>
      </c>
      <c r="DK181" s="54">
        <v>75673.0</v>
      </c>
      <c r="DL181" s="54">
        <v>819587.0</v>
      </c>
      <c r="DM181" s="54">
        <v>201825.0</v>
      </c>
      <c r="DN181" s="54">
        <v>33200.0</v>
      </c>
      <c r="DO181" s="54">
        <v>506631.0</v>
      </c>
      <c r="DP181" s="54">
        <v>54333.0</v>
      </c>
      <c r="DQ181" s="54">
        <v>495691.0</v>
      </c>
      <c r="DR181" s="54">
        <v>869749.0</v>
      </c>
      <c r="DS181" s="54">
        <v>335852.0</v>
      </c>
      <c r="DT181" s="54">
        <v>22067.0</v>
      </c>
      <c r="DU181" s="54">
        <v>0.0</v>
      </c>
      <c r="DV181" s="54">
        <v>0.0</v>
      </c>
      <c r="DW181" s="54">
        <v>0.0</v>
      </c>
      <c r="DX181" s="54">
        <v>12439.0</v>
      </c>
      <c r="DY181" s="54">
        <v>111.0</v>
      </c>
      <c r="DZ181" s="54">
        <v>1883207.0</v>
      </c>
      <c r="EA181" s="54">
        <v>211445.0</v>
      </c>
      <c r="EB181" s="54">
        <v>1969836.0</v>
      </c>
      <c r="EC181" s="54">
        <v>1108798.0</v>
      </c>
      <c r="ED181" s="54">
        <v>95651.0</v>
      </c>
      <c r="EE181" s="54">
        <v>12903.0</v>
      </c>
      <c r="EF181" s="54">
        <v>4035.0</v>
      </c>
      <c r="EG181" s="54">
        <v>435449.0</v>
      </c>
      <c r="EH181" s="54">
        <v>926112.0</v>
      </c>
      <c r="EI181" s="54">
        <v>228150.0</v>
      </c>
      <c r="EJ181" s="54">
        <v>68373.0</v>
      </c>
      <c r="EK181" s="54">
        <v>49545.0</v>
      </c>
      <c r="EL181" s="54">
        <v>94634.0</v>
      </c>
      <c r="EM181" s="54">
        <v>442540.0</v>
      </c>
      <c r="EN181" s="54">
        <v>274112.0</v>
      </c>
      <c r="EO181" s="54">
        <v>136947.0</v>
      </c>
      <c r="EP181" s="54">
        <v>419461.0</v>
      </c>
      <c r="EQ181" s="54">
        <v>4689901.0</v>
      </c>
      <c r="ER181" s="54">
        <v>213126.0</v>
      </c>
      <c r="ES181" s="54">
        <v>702660.0</v>
      </c>
      <c r="ET181" s="54">
        <v>292463.0</v>
      </c>
      <c r="EU181" s="54">
        <v>1.8261503E7</v>
      </c>
      <c r="EV181" s="54">
        <v>441942.0</v>
      </c>
      <c r="EW181" s="54">
        <v>1103159.0</v>
      </c>
      <c r="EX181" s="54">
        <v>1644854.0</v>
      </c>
      <c r="EY181" s="54">
        <v>7183062.0</v>
      </c>
      <c r="EZ181" s="54">
        <v>4040909.0</v>
      </c>
      <c r="FA181" s="54">
        <v>3299489.0</v>
      </c>
      <c r="FB181" s="54">
        <v>2.8191931E7</v>
      </c>
      <c r="FC181" s="54">
        <v>312323.0</v>
      </c>
      <c r="FD181" s="54">
        <v>1.8046313E7</v>
      </c>
      <c r="FE181" s="54">
        <v>4933277.0</v>
      </c>
      <c r="FF181" s="54">
        <v>1491601.0</v>
      </c>
      <c r="FG181" s="54">
        <v>5222758.0</v>
      </c>
      <c r="FH181" s="54">
        <v>6141109.0</v>
      </c>
      <c r="FI181" s="54">
        <v>599102.0</v>
      </c>
      <c r="FJ181" s="54">
        <v>309872.0</v>
      </c>
      <c r="FK181" s="54">
        <v>359352.0</v>
      </c>
      <c r="FL181" s="54">
        <v>2799311.0</v>
      </c>
      <c r="FM181" s="54">
        <v>2126716.0</v>
      </c>
      <c r="FN181" s="54">
        <v>2.961607E7</v>
      </c>
      <c r="FO181" s="54">
        <v>7507021.0</v>
      </c>
      <c r="FP181" s="54">
        <v>2.3653178E7</v>
      </c>
      <c r="FQ181" s="54">
        <v>1212892.0</v>
      </c>
      <c r="FR181" s="54">
        <v>6399.0</v>
      </c>
      <c r="FS181" s="54">
        <v>444104.0</v>
      </c>
      <c r="FT181" s="54">
        <v>9589768.0</v>
      </c>
      <c r="FU181" s="54">
        <v>1.0936737E7</v>
      </c>
      <c r="FV181" s="54">
        <v>4297887.0</v>
      </c>
      <c r="FW181" s="54">
        <v>1.2413046E7</v>
      </c>
      <c r="FX181" s="54">
        <v>4911249.0</v>
      </c>
      <c r="FY181" s="54">
        <v>5219676.0</v>
      </c>
      <c r="FZ181" s="54">
        <v>378105.0</v>
      </c>
      <c r="GA181" s="54">
        <v>8596935.0</v>
      </c>
      <c r="GB181" s="54">
        <v>6627718.0</v>
      </c>
      <c r="GC181" s="54">
        <v>7344628.0</v>
      </c>
      <c r="GD181" s="54">
        <v>2356477.0</v>
      </c>
      <c r="GE181" s="54">
        <v>4460417.0</v>
      </c>
      <c r="GF181" s="55">
        <v>3.20916643E8</v>
      </c>
      <c r="GG181" s="56">
        <v>2.5696916E7</v>
      </c>
      <c r="GH181" s="57">
        <v>0.0</v>
      </c>
      <c r="GI181" s="56">
        <v>0.0</v>
      </c>
      <c r="GJ181" s="56">
        <v>0.0</v>
      </c>
      <c r="GK181" s="56">
        <v>0.0</v>
      </c>
      <c r="GL181" s="56">
        <v>0.0</v>
      </c>
      <c r="GM181" s="56">
        <v>2.0177559E7</v>
      </c>
      <c r="GN181" s="55">
        <v>4.5874475E7</v>
      </c>
      <c r="GO181" s="58">
        <v>3.66791118E8</v>
      </c>
      <c r="GP181" s="56">
        <v>0.0</v>
      </c>
      <c r="GQ181" s="56">
        <v>1.0066851E7</v>
      </c>
      <c r="GR181" s="57">
        <v>0.0</v>
      </c>
      <c r="GS181" s="55">
        <v>1.0066851E7</v>
      </c>
      <c r="GT181" s="59">
        <v>0.0</v>
      </c>
      <c r="GU181" s="59">
        <v>0.0</v>
      </c>
      <c r="GV181" s="59">
        <v>0.0</v>
      </c>
      <c r="GW181" s="55">
        <v>0.0</v>
      </c>
      <c r="GX181" s="55">
        <v>1045018.0</v>
      </c>
      <c r="GY181" s="55">
        <v>3.55679249E8</v>
      </c>
      <c r="GZ181" s="58">
        <v>3.66791118E8</v>
      </c>
      <c r="HH181" s="106"/>
    </row>
    <row r="182" ht="15.75" customHeight="1">
      <c r="A182" s="60">
        <v>177.0</v>
      </c>
      <c r="B182" s="111" t="s">
        <v>447</v>
      </c>
      <c r="C182" s="62">
        <v>0.0</v>
      </c>
      <c r="D182" s="62">
        <v>0.0</v>
      </c>
      <c r="E182" s="62">
        <v>0.0</v>
      </c>
      <c r="F182" s="62">
        <v>0.0</v>
      </c>
      <c r="G182" s="62">
        <v>0.0</v>
      </c>
      <c r="H182" s="62">
        <v>0.0</v>
      </c>
      <c r="I182" s="62">
        <v>0.0</v>
      </c>
      <c r="J182" s="62">
        <v>0.0</v>
      </c>
      <c r="K182" s="62">
        <v>0.0</v>
      </c>
      <c r="L182" s="62">
        <v>0.0</v>
      </c>
      <c r="M182" s="62">
        <v>5632.0</v>
      </c>
      <c r="N182" s="62">
        <v>0.0</v>
      </c>
      <c r="O182" s="62">
        <v>27002.0</v>
      </c>
      <c r="P182" s="62">
        <v>0.0</v>
      </c>
      <c r="Q182" s="62">
        <v>20251.0</v>
      </c>
      <c r="R182" s="62">
        <v>0.0</v>
      </c>
      <c r="S182" s="62">
        <v>23708.0</v>
      </c>
      <c r="T182" s="62">
        <v>162760.0</v>
      </c>
      <c r="U182" s="62">
        <v>19514.0</v>
      </c>
      <c r="V182" s="62">
        <v>127724.0</v>
      </c>
      <c r="W182" s="62">
        <v>5964.0</v>
      </c>
      <c r="X182" s="62">
        <v>9952.0</v>
      </c>
      <c r="Y182" s="62">
        <v>113916.0</v>
      </c>
      <c r="Z182" s="62">
        <v>30913.0</v>
      </c>
      <c r="AA182" s="62">
        <v>376.0</v>
      </c>
      <c r="AB182" s="62">
        <v>0.0</v>
      </c>
      <c r="AC182" s="62">
        <v>0.0</v>
      </c>
      <c r="AD182" s="62">
        <v>0.0</v>
      </c>
      <c r="AE182" s="62">
        <v>0.0</v>
      </c>
      <c r="AF182" s="62">
        <v>0.0</v>
      </c>
      <c r="AG182" s="62">
        <v>0.0</v>
      </c>
      <c r="AH182" s="62">
        <v>0.0</v>
      </c>
      <c r="AI182" s="62">
        <v>21150.0</v>
      </c>
      <c r="AJ182" s="62">
        <v>0.0</v>
      </c>
      <c r="AK182" s="62">
        <v>0.0</v>
      </c>
      <c r="AL182" s="62">
        <v>0.0</v>
      </c>
      <c r="AM182" s="62">
        <v>510786.0</v>
      </c>
      <c r="AN182" s="62">
        <v>1034283.0</v>
      </c>
      <c r="AO182" s="62">
        <v>454535.0</v>
      </c>
      <c r="AP182" s="62">
        <v>1348.0</v>
      </c>
      <c r="AQ182" s="62">
        <v>6379.0</v>
      </c>
      <c r="AR182" s="62">
        <v>2817.0</v>
      </c>
      <c r="AS182" s="62">
        <v>20756.0</v>
      </c>
      <c r="AT182" s="62">
        <v>2468.0</v>
      </c>
      <c r="AU182" s="62">
        <v>1828.0</v>
      </c>
      <c r="AV182" s="62">
        <v>34207.0</v>
      </c>
      <c r="AW182" s="62">
        <v>710.0</v>
      </c>
      <c r="AX182" s="62">
        <v>118362.0</v>
      </c>
      <c r="AY182" s="62">
        <v>41148.0</v>
      </c>
      <c r="AZ182" s="62">
        <v>2789.0</v>
      </c>
      <c r="BA182" s="62">
        <v>46219.0</v>
      </c>
      <c r="BB182" s="62">
        <v>39228.0</v>
      </c>
      <c r="BC182" s="62">
        <v>94168.0</v>
      </c>
      <c r="BD182" s="62">
        <v>10840.0</v>
      </c>
      <c r="BE182" s="62">
        <v>3074.0</v>
      </c>
      <c r="BF182" s="62">
        <v>12707.0</v>
      </c>
      <c r="BG182" s="62">
        <v>11850.0</v>
      </c>
      <c r="BH182" s="62">
        <v>60277.0</v>
      </c>
      <c r="BI182" s="62">
        <v>2089.0</v>
      </c>
      <c r="BJ182" s="62">
        <v>40868.0</v>
      </c>
      <c r="BK182" s="62">
        <v>3771.0</v>
      </c>
      <c r="BL182" s="62">
        <v>733.0</v>
      </c>
      <c r="BM182" s="62">
        <v>84.0</v>
      </c>
      <c r="BN182" s="62">
        <v>1438.0</v>
      </c>
      <c r="BO182" s="62">
        <v>2285.0</v>
      </c>
      <c r="BP182" s="62">
        <v>946.0</v>
      </c>
      <c r="BQ182" s="62">
        <v>1942.0</v>
      </c>
      <c r="BR182" s="62">
        <v>0.0</v>
      </c>
      <c r="BS182" s="62">
        <v>0.0</v>
      </c>
      <c r="BT182" s="62">
        <v>78806.0</v>
      </c>
      <c r="BU182" s="62">
        <v>31713.0</v>
      </c>
      <c r="BV182" s="62">
        <v>0.0</v>
      </c>
      <c r="BW182" s="62">
        <v>0.0</v>
      </c>
      <c r="BX182" s="62">
        <v>12715.0</v>
      </c>
      <c r="BY182" s="62">
        <v>45814.0</v>
      </c>
      <c r="BZ182" s="62">
        <v>3054.0</v>
      </c>
      <c r="CA182" s="62">
        <v>90062.0</v>
      </c>
      <c r="CB182" s="62">
        <v>48403.0</v>
      </c>
      <c r="CC182" s="62">
        <v>7580.0</v>
      </c>
      <c r="CD182" s="62">
        <v>7155.0</v>
      </c>
      <c r="CE182" s="62">
        <v>8455.0</v>
      </c>
      <c r="CF182" s="62">
        <v>157043.0</v>
      </c>
      <c r="CG182" s="62">
        <v>20176.0</v>
      </c>
      <c r="CH182" s="62">
        <v>3399.0</v>
      </c>
      <c r="CI182" s="62">
        <v>16871.0</v>
      </c>
      <c r="CJ182" s="62">
        <v>7189.0</v>
      </c>
      <c r="CK182" s="62">
        <v>15307.0</v>
      </c>
      <c r="CL182" s="62">
        <v>8737.0</v>
      </c>
      <c r="CM182" s="62">
        <v>3819.0</v>
      </c>
      <c r="CN182" s="62">
        <v>155275.0</v>
      </c>
      <c r="CO182" s="62">
        <v>76762.0</v>
      </c>
      <c r="CP182" s="62">
        <v>96006.0</v>
      </c>
      <c r="CQ182" s="62">
        <v>42890.0</v>
      </c>
      <c r="CR182" s="62">
        <v>7598.0</v>
      </c>
      <c r="CS182" s="62">
        <v>39766.0</v>
      </c>
      <c r="CT182" s="62">
        <v>72570.0</v>
      </c>
      <c r="CU182" s="62">
        <v>40316.0</v>
      </c>
      <c r="CV182" s="62">
        <v>72156.0</v>
      </c>
      <c r="CW182" s="62">
        <v>37863.0</v>
      </c>
      <c r="CX182" s="62">
        <v>11986.0</v>
      </c>
      <c r="CY182" s="62">
        <v>816.0</v>
      </c>
      <c r="CZ182" s="62">
        <v>121196.0</v>
      </c>
      <c r="DA182" s="62">
        <v>26300.0</v>
      </c>
      <c r="DB182" s="62">
        <v>19840.0</v>
      </c>
      <c r="DC182" s="62">
        <v>34832.0</v>
      </c>
      <c r="DD182" s="62">
        <v>6464.0</v>
      </c>
      <c r="DE182" s="62">
        <v>14716.0</v>
      </c>
      <c r="DF182" s="62">
        <v>17669.0</v>
      </c>
      <c r="DG182" s="62">
        <v>3719.0</v>
      </c>
      <c r="DH182" s="62">
        <v>48922.0</v>
      </c>
      <c r="DI182" s="62">
        <v>15352.0</v>
      </c>
      <c r="DJ182" s="62">
        <v>4011.0</v>
      </c>
      <c r="DK182" s="62">
        <v>5907.0</v>
      </c>
      <c r="DL182" s="62">
        <v>31007.0</v>
      </c>
      <c r="DM182" s="62">
        <v>11346.0</v>
      </c>
      <c r="DN182" s="62">
        <v>1290.0</v>
      </c>
      <c r="DO182" s="62">
        <v>14143.0</v>
      </c>
      <c r="DP182" s="62">
        <v>1421.0</v>
      </c>
      <c r="DQ182" s="62">
        <v>8106.0</v>
      </c>
      <c r="DR182" s="62">
        <v>24014.0</v>
      </c>
      <c r="DS182" s="62">
        <v>178838.0</v>
      </c>
      <c r="DT182" s="62">
        <v>9499.0</v>
      </c>
      <c r="DU182" s="62">
        <v>22906.0</v>
      </c>
      <c r="DV182" s="62">
        <v>67798.0</v>
      </c>
      <c r="DW182" s="62">
        <v>43528.0</v>
      </c>
      <c r="DX182" s="62">
        <v>37843.0</v>
      </c>
      <c r="DY182" s="62">
        <v>113133.0</v>
      </c>
      <c r="DZ182" s="62">
        <v>14226.0</v>
      </c>
      <c r="EA182" s="62">
        <v>3260.0</v>
      </c>
      <c r="EB182" s="62">
        <v>8390.0</v>
      </c>
      <c r="EC182" s="62">
        <v>251424.0</v>
      </c>
      <c r="ED182" s="62">
        <v>60181.0</v>
      </c>
      <c r="EE182" s="62">
        <v>8873.0</v>
      </c>
      <c r="EF182" s="62">
        <v>7213.0</v>
      </c>
      <c r="EG182" s="62">
        <v>26466.0</v>
      </c>
      <c r="EH182" s="62">
        <v>127450.0</v>
      </c>
      <c r="EI182" s="62">
        <v>36010.0</v>
      </c>
      <c r="EJ182" s="62">
        <v>13859.0</v>
      </c>
      <c r="EK182" s="62">
        <v>3174.0</v>
      </c>
      <c r="EL182" s="62">
        <v>5116.0</v>
      </c>
      <c r="EM182" s="62">
        <v>5060.0</v>
      </c>
      <c r="EN182" s="62">
        <v>14522.0</v>
      </c>
      <c r="EO182" s="62">
        <v>10414.0</v>
      </c>
      <c r="EP182" s="62">
        <v>13067.0</v>
      </c>
      <c r="EQ182" s="62">
        <v>157296.0</v>
      </c>
      <c r="ER182" s="62">
        <v>16478.0</v>
      </c>
      <c r="ES182" s="62">
        <v>175897.0</v>
      </c>
      <c r="ET182" s="62">
        <v>36897.0</v>
      </c>
      <c r="EU182" s="62">
        <v>475708.0</v>
      </c>
      <c r="EV182" s="62">
        <v>82813.0</v>
      </c>
      <c r="EW182" s="62">
        <v>22806.0</v>
      </c>
      <c r="EX182" s="62">
        <v>58449.0</v>
      </c>
      <c r="EY182" s="62">
        <v>394066.0</v>
      </c>
      <c r="EZ182" s="62">
        <v>88503.0</v>
      </c>
      <c r="FA182" s="62">
        <v>73348.0</v>
      </c>
      <c r="FB182" s="62">
        <v>924162.0</v>
      </c>
      <c r="FC182" s="62">
        <v>834571.0</v>
      </c>
      <c r="FD182" s="62">
        <v>1222702.0</v>
      </c>
      <c r="FE182" s="62">
        <v>234904.0</v>
      </c>
      <c r="FF182" s="62">
        <v>40108.0</v>
      </c>
      <c r="FG182" s="62">
        <v>684105.0</v>
      </c>
      <c r="FH182" s="62">
        <v>419220.0</v>
      </c>
      <c r="FI182" s="62">
        <v>138777.0</v>
      </c>
      <c r="FJ182" s="62">
        <v>15409.0</v>
      </c>
      <c r="FK182" s="62">
        <v>80283.0</v>
      </c>
      <c r="FL182" s="62">
        <v>605118.0</v>
      </c>
      <c r="FM182" s="62">
        <v>1714040.0</v>
      </c>
      <c r="FN182" s="62">
        <v>1.9285342E7</v>
      </c>
      <c r="FO182" s="62">
        <v>1156717.0</v>
      </c>
      <c r="FP182" s="62">
        <v>639233.0</v>
      </c>
      <c r="FQ182" s="62">
        <v>246559.0</v>
      </c>
      <c r="FR182" s="62">
        <v>189.0</v>
      </c>
      <c r="FS182" s="62">
        <v>19131.0</v>
      </c>
      <c r="FT182" s="62">
        <v>5627300.0</v>
      </c>
      <c r="FU182" s="62">
        <v>3381535.0</v>
      </c>
      <c r="FV182" s="62">
        <v>324919.0</v>
      </c>
      <c r="FW182" s="62">
        <v>1063718.0</v>
      </c>
      <c r="FX182" s="62">
        <v>107492.0</v>
      </c>
      <c r="FY182" s="62">
        <v>2188051.0</v>
      </c>
      <c r="FZ182" s="62">
        <v>64910.0</v>
      </c>
      <c r="GA182" s="62">
        <v>426817.0</v>
      </c>
      <c r="GB182" s="62">
        <v>180285.0</v>
      </c>
      <c r="GC182" s="62">
        <v>10969.0</v>
      </c>
      <c r="GD182" s="62">
        <v>8918.0</v>
      </c>
      <c r="GE182" s="62">
        <v>14167.0</v>
      </c>
      <c r="GF182" s="63">
        <v>4.9088516E7</v>
      </c>
      <c r="GG182" s="64">
        <v>3110119.0</v>
      </c>
      <c r="GH182" s="65">
        <v>0.0</v>
      </c>
      <c r="GI182" s="64">
        <v>6.87403772E8</v>
      </c>
      <c r="GJ182" s="64">
        <v>6986872.0</v>
      </c>
      <c r="GK182" s="64">
        <v>0.0</v>
      </c>
      <c r="GL182" s="64">
        <v>0.0</v>
      </c>
      <c r="GM182" s="64">
        <v>9043028.0</v>
      </c>
      <c r="GN182" s="63">
        <v>7.06543791E8</v>
      </c>
      <c r="GO182" s="66">
        <v>7.55632307E8</v>
      </c>
      <c r="GP182" s="64">
        <v>0.0</v>
      </c>
      <c r="GQ182" s="64">
        <v>958851.0</v>
      </c>
      <c r="GR182" s="65">
        <v>0.0</v>
      </c>
      <c r="GS182" s="63">
        <v>958851.0</v>
      </c>
      <c r="GT182" s="67">
        <v>0.0</v>
      </c>
      <c r="GU182" s="67">
        <v>0.0</v>
      </c>
      <c r="GV182" s="67">
        <v>0.0</v>
      </c>
      <c r="GW182" s="63">
        <v>0.0</v>
      </c>
      <c r="GX182" s="63">
        <v>0.0</v>
      </c>
      <c r="GY182" s="63">
        <v>7.54673456E8</v>
      </c>
      <c r="GZ182" s="66">
        <v>7.55632307E8</v>
      </c>
      <c r="HH182" s="106"/>
    </row>
    <row r="183" ht="15.75" customHeight="1">
      <c r="A183" s="60">
        <v>178.0</v>
      </c>
      <c r="B183" s="111" t="s">
        <v>448</v>
      </c>
      <c r="C183" s="62">
        <v>0.0</v>
      </c>
      <c r="D183" s="62">
        <v>0.0</v>
      </c>
      <c r="E183" s="62">
        <v>0.0</v>
      </c>
      <c r="F183" s="62">
        <v>0.0</v>
      </c>
      <c r="G183" s="62">
        <v>0.0</v>
      </c>
      <c r="H183" s="62">
        <v>0.0</v>
      </c>
      <c r="I183" s="62">
        <v>0.0</v>
      </c>
      <c r="J183" s="62">
        <v>0.0</v>
      </c>
      <c r="K183" s="62">
        <v>0.0</v>
      </c>
      <c r="L183" s="62">
        <v>0.0</v>
      </c>
      <c r="M183" s="62">
        <v>0.0</v>
      </c>
      <c r="N183" s="62">
        <v>0.0</v>
      </c>
      <c r="O183" s="62">
        <v>0.0</v>
      </c>
      <c r="P183" s="62">
        <v>0.0</v>
      </c>
      <c r="Q183" s="62">
        <v>0.0</v>
      </c>
      <c r="R183" s="62">
        <v>0.0</v>
      </c>
      <c r="S183" s="62">
        <v>0.0</v>
      </c>
      <c r="T183" s="62">
        <v>0.0</v>
      </c>
      <c r="U183" s="62">
        <v>0.0</v>
      </c>
      <c r="V183" s="62">
        <v>0.0</v>
      </c>
      <c r="W183" s="62">
        <v>0.0</v>
      </c>
      <c r="X183" s="62">
        <v>0.0</v>
      </c>
      <c r="Y183" s="62">
        <v>0.0</v>
      </c>
      <c r="Z183" s="62">
        <v>0.0</v>
      </c>
      <c r="AA183" s="62">
        <v>0.0</v>
      </c>
      <c r="AB183" s="62">
        <v>0.0</v>
      </c>
      <c r="AC183" s="62">
        <v>0.0</v>
      </c>
      <c r="AD183" s="62">
        <v>0.0</v>
      </c>
      <c r="AE183" s="62">
        <v>0.0</v>
      </c>
      <c r="AF183" s="62">
        <v>0.0</v>
      </c>
      <c r="AG183" s="62">
        <v>0.0</v>
      </c>
      <c r="AH183" s="62">
        <v>0.0</v>
      </c>
      <c r="AI183" s="62">
        <v>0.0</v>
      </c>
      <c r="AJ183" s="62">
        <v>0.0</v>
      </c>
      <c r="AK183" s="62">
        <v>0.0</v>
      </c>
      <c r="AL183" s="62">
        <v>0.0</v>
      </c>
      <c r="AM183" s="62">
        <v>0.0</v>
      </c>
      <c r="AN183" s="62">
        <v>0.0</v>
      </c>
      <c r="AO183" s="62">
        <v>0.0</v>
      </c>
      <c r="AP183" s="62">
        <v>0.0</v>
      </c>
      <c r="AQ183" s="62">
        <v>0.0</v>
      </c>
      <c r="AR183" s="62">
        <v>0.0</v>
      </c>
      <c r="AS183" s="62">
        <v>0.0</v>
      </c>
      <c r="AT183" s="62">
        <v>0.0</v>
      </c>
      <c r="AU183" s="62">
        <v>0.0</v>
      </c>
      <c r="AV183" s="62">
        <v>0.0</v>
      </c>
      <c r="AW183" s="62">
        <v>0.0</v>
      </c>
      <c r="AX183" s="62">
        <v>0.0</v>
      </c>
      <c r="AY183" s="62">
        <v>0.0</v>
      </c>
      <c r="AZ183" s="62">
        <v>0.0</v>
      </c>
      <c r="BA183" s="62">
        <v>0.0</v>
      </c>
      <c r="BB183" s="62">
        <v>0.0</v>
      </c>
      <c r="BC183" s="62">
        <v>0.0</v>
      </c>
      <c r="BD183" s="62">
        <v>0.0</v>
      </c>
      <c r="BE183" s="62">
        <v>0.0</v>
      </c>
      <c r="BF183" s="62">
        <v>0.0</v>
      </c>
      <c r="BG183" s="62">
        <v>0.0</v>
      </c>
      <c r="BH183" s="62">
        <v>0.0</v>
      </c>
      <c r="BI183" s="62">
        <v>0.0</v>
      </c>
      <c r="BJ183" s="62">
        <v>0.0</v>
      </c>
      <c r="BK183" s="62">
        <v>0.0</v>
      </c>
      <c r="BL183" s="62">
        <v>0.0</v>
      </c>
      <c r="BM183" s="62">
        <v>0.0</v>
      </c>
      <c r="BN183" s="62">
        <v>0.0</v>
      </c>
      <c r="BO183" s="62">
        <v>0.0</v>
      </c>
      <c r="BP183" s="62">
        <v>0.0</v>
      </c>
      <c r="BQ183" s="62">
        <v>0.0</v>
      </c>
      <c r="BR183" s="62">
        <v>0.0</v>
      </c>
      <c r="BS183" s="62">
        <v>0.0</v>
      </c>
      <c r="BT183" s="62">
        <v>0.0</v>
      </c>
      <c r="BU183" s="62">
        <v>4099.0</v>
      </c>
      <c r="BV183" s="62">
        <v>0.0</v>
      </c>
      <c r="BW183" s="62">
        <v>0.0</v>
      </c>
      <c r="BX183" s="62">
        <v>20.0</v>
      </c>
      <c r="BY183" s="62">
        <v>16.0</v>
      </c>
      <c r="BZ183" s="62">
        <v>21.0</v>
      </c>
      <c r="CA183" s="62">
        <v>0.0</v>
      </c>
      <c r="CB183" s="62">
        <v>0.0</v>
      </c>
      <c r="CC183" s="62">
        <v>0.0</v>
      </c>
      <c r="CD183" s="62">
        <v>0.0</v>
      </c>
      <c r="CE183" s="62">
        <v>0.0</v>
      </c>
      <c r="CF183" s="62">
        <v>0.0</v>
      </c>
      <c r="CG183" s="62">
        <v>0.0</v>
      </c>
      <c r="CH183" s="62">
        <v>0.0</v>
      </c>
      <c r="CI183" s="62">
        <v>0.0</v>
      </c>
      <c r="CJ183" s="62">
        <v>0.0</v>
      </c>
      <c r="CK183" s="62">
        <v>0.0</v>
      </c>
      <c r="CL183" s="62">
        <v>0.0</v>
      </c>
      <c r="CM183" s="62">
        <v>0.0</v>
      </c>
      <c r="CN183" s="62">
        <v>0.0</v>
      </c>
      <c r="CO183" s="62">
        <v>0.0</v>
      </c>
      <c r="CP183" s="62">
        <v>0.0</v>
      </c>
      <c r="CQ183" s="62">
        <v>0.0</v>
      </c>
      <c r="CR183" s="62">
        <v>0.0</v>
      </c>
      <c r="CS183" s="62">
        <v>0.0</v>
      </c>
      <c r="CT183" s="62">
        <v>86.0</v>
      </c>
      <c r="CU183" s="62">
        <v>29.0</v>
      </c>
      <c r="CV183" s="62">
        <v>49.0</v>
      </c>
      <c r="CW183" s="62">
        <v>6.0</v>
      </c>
      <c r="CX183" s="62">
        <v>0.0</v>
      </c>
      <c r="CY183" s="62">
        <v>0.0</v>
      </c>
      <c r="CZ183" s="62">
        <v>0.0</v>
      </c>
      <c r="DA183" s="62">
        <v>0.0</v>
      </c>
      <c r="DB183" s="62">
        <v>20.0</v>
      </c>
      <c r="DC183" s="62">
        <v>0.0</v>
      </c>
      <c r="DD183" s="62">
        <v>0.0</v>
      </c>
      <c r="DE183" s="62">
        <v>1.0</v>
      </c>
      <c r="DF183" s="62">
        <v>1.0</v>
      </c>
      <c r="DG183" s="62">
        <v>0.0</v>
      </c>
      <c r="DH183" s="62">
        <v>5.0</v>
      </c>
      <c r="DI183" s="62">
        <v>0.0</v>
      </c>
      <c r="DJ183" s="62">
        <v>0.0</v>
      </c>
      <c r="DK183" s="62">
        <v>0.0</v>
      </c>
      <c r="DL183" s="62">
        <v>1334.0</v>
      </c>
      <c r="DM183" s="62">
        <v>0.0</v>
      </c>
      <c r="DN183" s="62">
        <v>0.0</v>
      </c>
      <c r="DO183" s="62">
        <v>0.0</v>
      </c>
      <c r="DP183" s="62">
        <v>0.0</v>
      </c>
      <c r="DQ183" s="62">
        <v>0.0</v>
      </c>
      <c r="DR183" s="62">
        <v>80.0</v>
      </c>
      <c r="DS183" s="62">
        <v>25507.0</v>
      </c>
      <c r="DT183" s="62">
        <v>0.0</v>
      </c>
      <c r="DU183" s="62">
        <v>19.0</v>
      </c>
      <c r="DV183" s="62">
        <v>31.0</v>
      </c>
      <c r="DW183" s="62">
        <v>0.0</v>
      </c>
      <c r="DX183" s="62">
        <v>25.0</v>
      </c>
      <c r="DY183" s="62">
        <v>0.0</v>
      </c>
      <c r="DZ183" s="62">
        <v>20.0</v>
      </c>
      <c r="EA183" s="62">
        <v>0.0</v>
      </c>
      <c r="EB183" s="62">
        <v>0.0</v>
      </c>
      <c r="EC183" s="62">
        <v>0.0</v>
      </c>
      <c r="ED183" s="62">
        <v>0.0</v>
      </c>
      <c r="EE183" s="62">
        <v>0.0</v>
      </c>
      <c r="EF183" s="62">
        <v>0.0</v>
      </c>
      <c r="EG183" s="62">
        <v>0.0</v>
      </c>
      <c r="EH183" s="62">
        <v>62.0</v>
      </c>
      <c r="EI183" s="62">
        <v>22.0</v>
      </c>
      <c r="EJ183" s="62">
        <v>103.0</v>
      </c>
      <c r="EK183" s="62">
        <v>61.0</v>
      </c>
      <c r="EL183" s="62">
        <v>18.0</v>
      </c>
      <c r="EM183" s="62">
        <v>120.0</v>
      </c>
      <c r="EN183" s="62">
        <v>96.0</v>
      </c>
      <c r="EO183" s="62">
        <v>0.0</v>
      </c>
      <c r="EP183" s="62">
        <v>38.0</v>
      </c>
      <c r="EQ183" s="62">
        <v>112.0</v>
      </c>
      <c r="ER183" s="62">
        <v>0.0</v>
      </c>
      <c r="ES183" s="62">
        <v>339.0</v>
      </c>
      <c r="ET183" s="62">
        <v>622.0</v>
      </c>
      <c r="EU183" s="62">
        <v>0.0</v>
      </c>
      <c r="EV183" s="62">
        <v>0.0</v>
      </c>
      <c r="EW183" s="62">
        <v>0.0</v>
      </c>
      <c r="EX183" s="62">
        <v>0.0</v>
      </c>
      <c r="EY183" s="62">
        <v>0.0</v>
      </c>
      <c r="EZ183" s="62">
        <v>31.0</v>
      </c>
      <c r="FA183" s="62">
        <v>11.0</v>
      </c>
      <c r="FB183" s="62">
        <v>235.0</v>
      </c>
      <c r="FC183" s="62">
        <v>0.0</v>
      </c>
      <c r="FD183" s="62">
        <v>0.0</v>
      </c>
      <c r="FE183" s="62">
        <v>3249.0</v>
      </c>
      <c r="FF183" s="62">
        <v>0.0</v>
      </c>
      <c r="FG183" s="62">
        <v>0.0</v>
      </c>
      <c r="FH183" s="62">
        <v>91.0</v>
      </c>
      <c r="FI183" s="62">
        <v>0.0</v>
      </c>
      <c r="FJ183" s="62">
        <v>6.0</v>
      </c>
      <c r="FK183" s="62">
        <v>103.0</v>
      </c>
      <c r="FL183" s="62">
        <v>0.0</v>
      </c>
      <c r="FM183" s="62">
        <v>3824.0</v>
      </c>
      <c r="FN183" s="62">
        <v>0.0</v>
      </c>
      <c r="FO183" s="62">
        <v>0.0</v>
      </c>
      <c r="FP183" s="62">
        <v>10949.0</v>
      </c>
      <c r="FQ183" s="62">
        <v>3821.0</v>
      </c>
      <c r="FR183" s="62">
        <v>9.0</v>
      </c>
      <c r="FS183" s="62">
        <v>13.0</v>
      </c>
      <c r="FT183" s="62">
        <v>0.0</v>
      </c>
      <c r="FU183" s="62">
        <v>3997.0</v>
      </c>
      <c r="FV183" s="62">
        <v>65.0</v>
      </c>
      <c r="FW183" s="62">
        <v>1695057.0</v>
      </c>
      <c r="FX183" s="62">
        <v>3273938.0</v>
      </c>
      <c r="FY183" s="62">
        <v>850274.0</v>
      </c>
      <c r="FZ183" s="62">
        <v>62894.0</v>
      </c>
      <c r="GA183" s="62">
        <v>72884.0</v>
      </c>
      <c r="GB183" s="62">
        <v>119859.0</v>
      </c>
      <c r="GC183" s="62">
        <v>1.0</v>
      </c>
      <c r="GD183" s="62">
        <v>3.0</v>
      </c>
      <c r="GE183" s="62">
        <v>84499.0</v>
      </c>
      <c r="GF183" s="63">
        <v>6218775.0</v>
      </c>
      <c r="GG183" s="64">
        <v>1.0270599E7</v>
      </c>
      <c r="GH183" s="65">
        <v>0.0</v>
      </c>
      <c r="GI183" s="64">
        <v>3.38022934E8</v>
      </c>
      <c r="GJ183" s="64">
        <v>0.0</v>
      </c>
      <c r="GK183" s="64">
        <v>0.0</v>
      </c>
      <c r="GL183" s="64">
        <v>0.0</v>
      </c>
      <c r="GM183" s="64">
        <v>428501.0</v>
      </c>
      <c r="GN183" s="63">
        <v>3.48722034E8</v>
      </c>
      <c r="GO183" s="66">
        <v>3.54940809E8</v>
      </c>
      <c r="GP183" s="64">
        <v>0.0</v>
      </c>
      <c r="GQ183" s="64">
        <v>4129.0</v>
      </c>
      <c r="GR183" s="65">
        <v>0.0</v>
      </c>
      <c r="GS183" s="63">
        <v>4129.0</v>
      </c>
      <c r="GT183" s="67">
        <v>0.0</v>
      </c>
      <c r="GU183" s="67">
        <v>0.0</v>
      </c>
      <c r="GV183" s="67">
        <v>0.0</v>
      </c>
      <c r="GW183" s="63">
        <v>0.0</v>
      </c>
      <c r="GX183" s="63">
        <v>0.0</v>
      </c>
      <c r="GY183" s="63">
        <v>3.5493668E8</v>
      </c>
      <c r="GZ183" s="66">
        <v>3.54940809E8</v>
      </c>
      <c r="HH183" s="106"/>
    </row>
    <row r="184" ht="15.75" customHeight="1">
      <c r="A184" s="60">
        <v>179.0</v>
      </c>
      <c r="B184" s="111" t="s">
        <v>449</v>
      </c>
      <c r="C184" s="62">
        <v>2787.0</v>
      </c>
      <c r="D184" s="62">
        <v>1565.0</v>
      </c>
      <c r="E184" s="62">
        <v>15.0</v>
      </c>
      <c r="F184" s="62">
        <v>969.0</v>
      </c>
      <c r="G184" s="62">
        <v>49.0</v>
      </c>
      <c r="H184" s="62">
        <v>305.0</v>
      </c>
      <c r="I184" s="62">
        <v>166.0</v>
      </c>
      <c r="J184" s="62">
        <v>109.0</v>
      </c>
      <c r="K184" s="62">
        <v>6.0</v>
      </c>
      <c r="L184" s="62">
        <v>0.0</v>
      </c>
      <c r="M184" s="62">
        <v>0.0</v>
      </c>
      <c r="N184" s="62">
        <v>183.0</v>
      </c>
      <c r="O184" s="62">
        <v>136.0</v>
      </c>
      <c r="P184" s="62">
        <v>0.0</v>
      </c>
      <c r="Q184" s="62">
        <v>0.0</v>
      </c>
      <c r="R184" s="62">
        <v>0.0</v>
      </c>
      <c r="S184" s="62">
        <v>0.0</v>
      </c>
      <c r="T184" s="62">
        <v>0.0</v>
      </c>
      <c r="U184" s="62">
        <v>0.0</v>
      </c>
      <c r="V184" s="62">
        <v>15.0</v>
      </c>
      <c r="W184" s="62">
        <v>0.0</v>
      </c>
      <c r="X184" s="62">
        <v>0.0</v>
      </c>
      <c r="Y184" s="62">
        <v>0.0</v>
      </c>
      <c r="Z184" s="62">
        <v>0.0</v>
      </c>
      <c r="AA184" s="62">
        <v>0.0</v>
      </c>
      <c r="AB184" s="62">
        <v>390.0</v>
      </c>
      <c r="AC184" s="62">
        <v>16.0</v>
      </c>
      <c r="AD184" s="62">
        <v>288.0</v>
      </c>
      <c r="AE184" s="62">
        <v>143.0</v>
      </c>
      <c r="AF184" s="62">
        <v>0.0</v>
      </c>
      <c r="AG184" s="62">
        <v>0.0</v>
      </c>
      <c r="AH184" s="62">
        <v>0.0</v>
      </c>
      <c r="AI184" s="62">
        <v>1303.0</v>
      </c>
      <c r="AJ184" s="62">
        <v>96.0</v>
      </c>
      <c r="AK184" s="62">
        <v>37.0</v>
      </c>
      <c r="AL184" s="62">
        <v>31.0</v>
      </c>
      <c r="AM184" s="62">
        <v>1670.0</v>
      </c>
      <c r="AN184" s="62">
        <v>7171.0</v>
      </c>
      <c r="AO184" s="62">
        <v>4036.0</v>
      </c>
      <c r="AP184" s="62">
        <v>0.0</v>
      </c>
      <c r="AQ184" s="62">
        <v>0.0</v>
      </c>
      <c r="AR184" s="62">
        <v>0.0</v>
      </c>
      <c r="AS184" s="62">
        <v>0.0</v>
      </c>
      <c r="AT184" s="62">
        <v>0.0</v>
      </c>
      <c r="AU184" s="62">
        <v>0.0</v>
      </c>
      <c r="AV184" s="62">
        <v>0.0</v>
      </c>
      <c r="AW184" s="62">
        <v>0.0</v>
      </c>
      <c r="AX184" s="62">
        <v>0.0</v>
      </c>
      <c r="AY184" s="62">
        <v>741.0</v>
      </c>
      <c r="AZ184" s="62">
        <v>2.0</v>
      </c>
      <c r="BA184" s="62">
        <v>281.0</v>
      </c>
      <c r="BB184" s="62">
        <v>39.0</v>
      </c>
      <c r="BC184" s="62">
        <v>0.0</v>
      </c>
      <c r="BD184" s="62">
        <v>0.0</v>
      </c>
      <c r="BE184" s="62">
        <v>0.0</v>
      </c>
      <c r="BF184" s="62">
        <v>0.0</v>
      </c>
      <c r="BG184" s="62">
        <v>1716.0</v>
      </c>
      <c r="BH184" s="62">
        <v>15253.0</v>
      </c>
      <c r="BI184" s="62">
        <v>1501.0</v>
      </c>
      <c r="BJ184" s="62">
        <v>0.0</v>
      </c>
      <c r="BK184" s="62">
        <v>0.0</v>
      </c>
      <c r="BL184" s="62">
        <v>0.0</v>
      </c>
      <c r="BM184" s="62">
        <v>0.0</v>
      </c>
      <c r="BN184" s="62">
        <v>0.0</v>
      </c>
      <c r="BO184" s="62">
        <v>0.0</v>
      </c>
      <c r="BP184" s="62">
        <v>0.0</v>
      </c>
      <c r="BQ184" s="62">
        <v>0.0</v>
      </c>
      <c r="BR184" s="62">
        <v>0.0</v>
      </c>
      <c r="BS184" s="62">
        <v>0.0</v>
      </c>
      <c r="BT184" s="62">
        <v>6263.0</v>
      </c>
      <c r="BU184" s="62">
        <v>887.0</v>
      </c>
      <c r="BV184" s="62">
        <v>0.0</v>
      </c>
      <c r="BW184" s="62">
        <v>19.0</v>
      </c>
      <c r="BX184" s="62">
        <v>323.0</v>
      </c>
      <c r="BY184" s="62">
        <v>500.0</v>
      </c>
      <c r="BZ184" s="62">
        <v>21.0</v>
      </c>
      <c r="CA184" s="62">
        <v>43.0</v>
      </c>
      <c r="CB184" s="62">
        <v>49.0</v>
      </c>
      <c r="CC184" s="62">
        <v>0.0</v>
      </c>
      <c r="CD184" s="62">
        <v>91.0</v>
      </c>
      <c r="CE184" s="62">
        <v>0.0</v>
      </c>
      <c r="CF184" s="62">
        <v>0.0</v>
      </c>
      <c r="CG184" s="62">
        <v>381.0</v>
      </c>
      <c r="CH184" s="62">
        <v>0.0</v>
      </c>
      <c r="CI184" s="62">
        <v>17054.0</v>
      </c>
      <c r="CJ184" s="62">
        <v>0.0</v>
      </c>
      <c r="CK184" s="62">
        <v>0.0</v>
      </c>
      <c r="CL184" s="62">
        <v>0.0</v>
      </c>
      <c r="CM184" s="62">
        <v>4.0</v>
      </c>
      <c r="CN184" s="62">
        <v>0.0</v>
      </c>
      <c r="CO184" s="62">
        <v>0.0</v>
      </c>
      <c r="CP184" s="62">
        <v>908.0</v>
      </c>
      <c r="CQ184" s="62">
        <v>0.0</v>
      </c>
      <c r="CR184" s="62">
        <v>32.0</v>
      </c>
      <c r="CS184" s="62">
        <v>0.0</v>
      </c>
      <c r="CT184" s="62">
        <v>7894.0</v>
      </c>
      <c r="CU184" s="62">
        <v>2670.0</v>
      </c>
      <c r="CV184" s="62">
        <v>4999.0</v>
      </c>
      <c r="CW184" s="62">
        <v>544.0</v>
      </c>
      <c r="CX184" s="62">
        <v>1311.0</v>
      </c>
      <c r="CY184" s="62">
        <v>89.0</v>
      </c>
      <c r="CZ184" s="62">
        <v>2541.0</v>
      </c>
      <c r="DA184" s="62">
        <v>6577.0</v>
      </c>
      <c r="DB184" s="62">
        <v>2899.0</v>
      </c>
      <c r="DC184" s="62">
        <v>11888.0</v>
      </c>
      <c r="DD184" s="62">
        <v>707.0</v>
      </c>
      <c r="DE184" s="62">
        <v>828.0</v>
      </c>
      <c r="DF184" s="62">
        <v>994.0</v>
      </c>
      <c r="DG184" s="62">
        <v>202.0</v>
      </c>
      <c r="DH184" s="62">
        <v>2735.0</v>
      </c>
      <c r="DI184" s="62">
        <v>214.0</v>
      </c>
      <c r="DJ184" s="62">
        <v>4805.0</v>
      </c>
      <c r="DK184" s="62">
        <v>82717.0</v>
      </c>
      <c r="DL184" s="62">
        <v>11993.0</v>
      </c>
      <c r="DM184" s="62">
        <v>0.0</v>
      </c>
      <c r="DN184" s="62">
        <v>0.0</v>
      </c>
      <c r="DO184" s="62">
        <v>0.0</v>
      </c>
      <c r="DP184" s="62">
        <v>0.0</v>
      </c>
      <c r="DQ184" s="62">
        <v>40.0</v>
      </c>
      <c r="DR184" s="62">
        <v>1994.0</v>
      </c>
      <c r="DS184" s="62">
        <v>157.0</v>
      </c>
      <c r="DT184" s="62">
        <v>0.0</v>
      </c>
      <c r="DU184" s="62">
        <v>0.0</v>
      </c>
      <c r="DV184" s="62">
        <v>0.0</v>
      </c>
      <c r="DW184" s="62">
        <v>0.0</v>
      </c>
      <c r="DX184" s="62">
        <v>7.0</v>
      </c>
      <c r="DY184" s="62">
        <v>0.0</v>
      </c>
      <c r="DZ184" s="62">
        <v>50.0</v>
      </c>
      <c r="EA184" s="62">
        <v>0.0</v>
      </c>
      <c r="EB184" s="62">
        <v>0.0</v>
      </c>
      <c r="EC184" s="62">
        <v>2367.0</v>
      </c>
      <c r="ED184" s="62">
        <v>361.0</v>
      </c>
      <c r="EE184" s="62">
        <v>39.0</v>
      </c>
      <c r="EF184" s="62">
        <v>293.0</v>
      </c>
      <c r="EG184" s="62">
        <v>1549.0</v>
      </c>
      <c r="EH184" s="62">
        <v>201.0</v>
      </c>
      <c r="EI184" s="62">
        <v>0.0</v>
      </c>
      <c r="EJ184" s="62">
        <v>502.0</v>
      </c>
      <c r="EK184" s="62">
        <v>18.0</v>
      </c>
      <c r="EL184" s="62">
        <v>9.0</v>
      </c>
      <c r="EM184" s="62">
        <v>0.0</v>
      </c>
      <c r="EN184" s="62">
        <v>0.0</v>
      </c>
      <c r="EO184" s="62">
        <v>69.0</v>
      </c>
      <c r="EP184" s="62">
        <v>98.0</v>
      </c>
      <c r="EQ184" s="62">
        <v>3.0</v>
      </c>
      <c r="ER184" s="62">
        <v>0.0</v>
      </c>
      <c r="ES184" s="62">
        <v>0.0</v>
      </c>
      <c r="ET184" s="62">
        <v>358.0</v>
      </c>
      <c r="EU184" s="62">
        <v>0.0</v>
      </c>
      <c r="EV184" s="62">
        <v>14196.0</v>
      </c>
      <c r="EW184" s="62">
        <v>0.0</v>
      </c>
      <c r="EX184" s="62">
        <v>0.0</v>
      </c>
      <c r="EY184" s="62">
        <v>0.0</v>
      </c>
      <c r="EZ184" s="62">
        <v>18130.0</v>
      </c>
      <c r="FA184" s="62">
        <v>11656.0</v>
      </c>
      <c r="FB184" s="62">
        <v>27128.0</v>
      </c>
      <c r="FC184" s="62">
        <v>0.0</v>
      </c>
      <c r="FD184" s="62">
        <v>0.0</v>
      </c>
      <c r="FE184" s="62">
        <v>0.0</v>
      </c>
      <c r="FF184" s="62">
        <v>0.0</v>
      </c>
      <c r="FG184" s="62">
        <v>0.0</v>
      </c>
      <c r="FH184" s="62">
        <v>268.0</v>
      </c>
      <c r="FI184" s="62">
        <v>34.0</v>
      </c>
      <c r="FJ184" s="62">
        <v>90.0</v>
      </c>
      <c r="FK184" s="62">
        <v>792.0</v>
      </c>
      <c r="FL184" s="62">
        <v>0.0</v>
      </c>
      <c r="FM184" s="62">
        <v>55.0</v>
      </c>
      <c r="FN184" s="62">
        <v>0.0</v>
      </c>
      <c r="FO184" s="62">
        <v>0.0</v>
      </c>
      <c r="FP184" s="62">
        <v>6427.0</v>
      </c>
      <c r="FQ184" s="62">
        <v>86488.0</v>
      </c>
      <c r="FR184" s="62">
        <v>6.0</v>
      </c>
      <c r="FS184" s="62">
        <v>2907.0</v>
      </c>
      <c r="FT184" s="62">
        <v>115940.0</v>
      </c>
      <c r="FU184" s="62">
        <v>82127.0</v>
      </c>
      <c r="FV184" s="62">
        <v>8377.0</v>
      </c>
      <c r="FW184" s="62">
        <v>85707.0</v>
      </c>
      <c r="FX184" s="62">
        <v>39591.0</v>
      </c>
      <c r="FY184" s="62">
        <v>876893.0</v>
      </c>
      <c r="FZ184" s="62">
        <v>185.0</v>
      </c>
      <c r="GA184" s="62">
        <v>76659.0</v>
      </c>
      <c r="GB184" s="62">
        <v>352502.0</v>
      </c>
      <c r="GC184" s="62">
        <v>358.0</v>
      </c>
      <c r="GD184" s="62">
        <v>0.0</v>
      </c>
      <c r="GE184" s="62">
        <v>654433.0</v>
      </c>
      <c r="GF184" s="63">
        <v>2683265.0</v>
      </c>
      <c r="GG184" s="64">
        <v>1.8672572E7</v>
      </c>
      <c r="GH184" s="65">
        <v>0.0</v>
      </c>
      <c r="GI184" s="64">
        <v>3.37035571E8</v>
      </c>
      <c r="GJ184" s="64">
        <v>0.0</v>
      </c>
      <c r="GK184" s="64">
        <v>0.0</v>
      </c>
      <c r="GL184" s="64">
        <v>0.0</v>
      </c>
      <c r="GM184" s="64">
        <v>452553.0</v>
      </c>
      <c r="GN184" s="63">
        <v>3.56160696E8</v>
      </c>
      <c r="GO184" s="66">
        <v>3.58843961E8</v>
      </c>
      <c r="GP184" s="64">
        <v>0.0</v>
      </c>
      <c r="GQ184" s="64">
        <v>11596.0</v>
      </c>
      <c r="GR184" s="65">
        <v>0.0</v>
      </c>
      <c r="GS184" s="63">
        <v>11596.0</v>
      </c>
      <c r="GT184" s="67">
        <v>0.0</v>
      </c>
      <c r="GU184" s="67">
        <v>0.0</v>
      </c>
      <c r="GV184" s="67">
        <v>0.0</v>
      </c>
      <c r="GW184" s="63">
        <v>0.0</v>
      </c>
      <c r="GX184" s="63">
        <v>0.0</v>
      </c>
      <c r="GY184" s="63">
        <v>3.58832365E8</v>
      </c>
      <c r="GZ184" s="66">
        <v>3.58843961E8</v>
      </c>
      <c r="HH184" s="106"/>
    </row>
    <row r="185" ht="15.75" customHeight="1">
      <c r="A185" s="68">
        <v>180.0</v>
      </c>
      <c r="B185" s="111" t="s">
        <v>450</v>
      </c>
      <c r="C185" s="70">
        <v>0.0</v>
      </c>
      <c r="D185" s="70">
        <v>0.0</v>
      </c>
      <c r="E185" s="70">
        <v>0.0</v>
      </c>
      <c r="F185" s="70">
        <v>0.0</v>
      </c>
      <c r="G185" s="70">
        <v>0.0</v>
      </c>
      <c r="H185" s="70">
        <v>0.0</v>
      </c>
      <c r="I185" s="70">
        <v>0.0</v>
      </c>
      <c r="J185" s="70">
        <v>0.0</v>
      </c>
      <c r="K185" s="70">
        <v>0.0</v>
      </c>
      <c r="L185" s="70">
        <v>0.0</v>
      </c>
      <c r="M185" s="70">
        <v>0.0</v>
      </c>
      <c r="N185" s="70">
        <v>0.0</v>
      </c>
      <c r="O185" s="70">
        <v>0.0</v>
      </c>
      <c r="P185" s="70">
        <v>0.0</v>
      </c>
      <c r="Q185" s="70">
        <v>0.0</v>
      </c>
      <c r="R185" s="70">
        <v>0.0</v>
      </c>
      <c r="S185" s="70">
        <v>0.0</v>
      </c>
      <c r="T185" s="70">
        <v>0.0</v>
      </c>
      <c r="U185" s="70">
        <v>0.0</v>
      </c>
      <c r="V185" s="70">
        <v>0.0</v>
      </c>
      <c r="W185" s="70">
        <v>0.0</v>
      </c>
      <c r="X185" s="70">
        <v>0.0</v>
      </c>
      <c r="Y185" s="70">
        <v>0.0</v>
      </c>
      <c r="Z185" s="70">
        <v>0.0</v>
      </c>
      <c r="AA185" s="70">
        <v>0.0</v>
      </c>
      <c r="AB185" s="70">
        <v>0.0</v>
      </c>
      <c r="AC185" s="70">
        <v>0.0</v>
      </c>
      <c r="AD185" s="70">
        <v>0.0</v>
      </c>
      <c r="AE185" s="70">
        <v>0.0</v>
      </c>
      <c r="AF185" s="70">
        <v>0.0</v>
      </c>
      <c r="AG185" s="70">
        <v>0.0</v>
      </c>
      <c r="AH185" s="70">
        <v>0.0</v>
      </c>
      <c r="AI185" s="70">
        <v>0.0</v>
      </c>
      <c r="AJ185" s="70">
        <v>0.0</v>
      </c>
      <c r="AK185" s="70">
        <v>0.0</v>
      </c>
      <c r="AL185" s="70">
        <v>0.0</v>
      </c>
      <c r="AM185" s="70">
        <v>0.0</v>
      </c>
      <c r="AN185" s="70">
        <v>0.0</v>
      </c>
      <c r="AO185" s="70">
        <v>0.0</v>
      </c>
      <c r="AP185" s="70">
        <v>0.0</v>
      </c>
      <c r="AQ185" s="70">
        <v>0.0</v>
      </c>
      <c r="AR185" s="70">
        <v>0.0</v>
      </c>
      <c r="AS185" s="70">
        <v>0.0</v>
      </c>
      <c r="AT185" s="70">
        <v>0.0</v>
      </c>
      <c r="AU185" s="70">
        <v>0.0</v>
      </c>
      <c r="AV185" s="70">
        <v>0.0</v>
      </c>
      <c r="AW185" s="70">
        <v>0.0</v>
      </c>
      <c r="AX185" s="70">
        <v>0.0</v>
      </c>
      <c r="AY185" s="70">
        <v>0.0</v>
      </c>
      <c r="AZ185" s="70">
        <v>0.0</v>
      </c>
      <c r="BA185" s="70">
        <v>0.0</v>
      </c>
      <c r="BB185" s="70">
        <v>0.0</v>
      </c>
      <c r="BC185" s="70">
        <v>0.0</v>
      </c>
      <c r="BD185" s="70">
        <v>0.0</v>
      </c>
      <c r="BE185" s="70">
        <v>0.0</v>
      </c>
      <c r="BF185" s="70">
        <v>0.0</v>
      </c>
      <c r="BG185" s="70">
        <v>0.0</v>
      </c>
      <c r="BH185" s="70">
        <v>0.0</v>
      </c>
      <c r="BI185" s="70">
        <v>0.0</v>
      </c>
      <c r="BJ185" s="70">
        <v>0.0</v>
      </c>
      <c r="BK185" s="70">
        <v>0.0</v>
      </c>
      <c r="BL185" s="70">
        <v>0.0</v>
      </c>
      <c r="BM185" s="70">
        <v>0.0</v>
      </c>
      <c r="BN185" s="70">
        <v>0.0</v>
      </c>
      <c r="BO185" s="70">
        <v>0.0</v>
      </c>
      <c r="BP185" s="70">
        <v>0.0</v>
      </c>
      <c r="BQ185" s="70">
        <v>0.0</v>
      </c>
      <c r="BR185" s="70">
        <v>0.0</v>
      </c>
      <c r="BS185" s="70">
        <v>0.0</v>
      </c>
      <c r="BT185" s="70">
        <v>0.0</v>
      </c>
      <c r="BU185" s="70">
        <v>0.0</v>
      </c>
      <c r="BV185" s="70">
        <v>0.0</v>
      </c>
      <c r="BW185" s="70">
        <v>0.0</v>
      </c>
      <c r="BX185" s="70">
        <v>0.0</v>
      </c>
      <c r="BY185" s="70">
        <v>0.0</v>
      </c>
      <c r="BZ185" s="70">
        <v>0.0</v>
      </c>
      <c r="CA185" s="70">
        <v>0.0</v>
      </c>
      <c r="CB185" s="70">
        <v>0.0</v>
      </c>
      <c r="CC185" s="70">
        <v>0.0</v>
      </c>
      <c r="CD185" s="70">
        <v>0.0</v>
      </c>
      <c r="CE185" s="70">
        <v>0.0</v>
      </c>
      <c r="CF185" s="70">
        <v>0.0</v>
      </c>
      <c r="CG185" s="70">
        <v>233.0</v>
      </c>
      <c r="CH185" s="70">
        <v>0.0</v>
      </c>
      <c r="CI185" s="70">
        <v>1611.0</v>
      </c>
      <c r="CJ185" s="70">
        <v>0.0</v>
      </c>
      <c r="CK185" s="70">
        <v>0.0</v>
      </c>
      <c r="CL185" s="70">
        <v>0.0</v>
      </c>
      <c r="CM185" s="70">
        <v>248.0</v>
      </c>
      <c r="CN185" s="70">
        <v>0.0</v>
      </c>
      <c r="CO185" s="70">
        <v>0.0</v>
      </c>
      <c r="CP185" s="70">
        <v>141.0</v>
      </c>
      <c r="CQ185" s="70">
        <v>0.0</v>
      </c>
      <c r="CR185" s="70">
        <v>0.0</v>
      </c>
      <c r="CS185" s="70">
        <v>0.0</v>
      </c>
      <c r="CT185" s="70">
        <v>0.0</v>
      </c>
      <c r="CU185" s="70">
        <v>0.0</v>
      </c>
      <c r="CV185" s="70">
        <v>0.0</v>
      </c>
      <c r="CW185" s="70">
        <v>0.0</v>
      </c>
      <c r="CX185" s="70">
        <v>0.0</v>
      </c>
      <c r="CY185" s="70">
        <v>0.0</v>
      </c>
      <c r="CZ185" s="70">
        <v>0.0</v>
      </c>
      <c r="DA185" s="70">
        <v>0.0</v>
      </c>
      <c r="DB185" s="70">
        <v>0.0</v>
      </c>
      <c r="DC185" s="70">
        <v>0.0</v>
      </c>
      <c r="DD185" s="70">
        <v>0.0</v>
      </c>
      <c r="DE185" s="70">
        <v>0.0</v>
      </c>
      <c r="DF185" s="70">
        <v>0.0</v>
      </c>
      <c r="DG185" s="70">
        <v>0.0</v>
      </c>
      <c r="DH185" s="70">
        <v>0.0</v>
      </c>
      <c r="DI185" s="70">
        <v>0.0</v>
      </c>
      <c r="DJ185" s="70">
        <v>0.0</v>
      </c>
      <c r="DK185" s="70">
        <v>4366.0</v>
      </c>
      <c r="DL185" s="70">
        <v>0.0</v>
      </c>
      <c r="DM185" s="70">
        <v>0.0</v>
      </c>
      <c r="DN185" s="70">
        <v>0.0</v>
      </c>
      <c r="DO185" s="70">
        <v>0.0</v>
      </c>
      <c r="DP185" s="70">
        <v>0.0</v>
      </c>
      <c r="DQ185" s="70">
        <v>0.0</v>
      </c>
      <c r="DR185" s="70">
        <v>0.0</v>
      </c>
      <c r="DS185" s="70">
        <v>0.0</v>
      </c>
      <c r="DT185" s="70">
        <v>0.0</v>
      </c>
      <c r="DU185" s="70">
        <v>0.0</v>
      </c>
      <c r="DV185" s="70">
        <v>0.0</v>
      </c>
      <c r="DW185" s="70">
        <v>0.0</v>
      </c>
      <c r="DX185" s="70">
        <v>0.0</v>
      </c>
      <c r="DY185" s="70">
        <v>0.0</v>
      </c>
      <c r="DZ185" s="70">
        <v>0.0</v>
      </c>
      <c r="EA185" s="70">
        <v>0.0</v>
      </c>
      <c r="EB185" s="70">
        <v>0.0</v>
      </c>
      <c r="EC185" s="70">
        <v>0.0</v>
      </c>
      <c r="ED185" s="70">
        <v>0.0</v>
      </c>
      <c r="EE185" s="70">
        <v>0.0</v>
      </c>
      <c r="EF185" s="70">
        <v>0.0</v>
      </c>
      <c r="EG185" s="70">
        <v>0.0</v>
      </c>
      <c r="EH185" s="70">
        <v>0.0</v>
      </c>
      <c r="EI185" s="70">
        <v>0.0</v>
      </c>
      <c r="EJ185" s="70">
        <v>0.0</v>
      </c>
      <c r="EK185" s="70">
        <v>0.0</v>
      </c>
      <c r="EL185" s="70">
        <v>0.0</v>
      </c>
      <c r="EM185" s="70">
        <v>0.0</v>
      </c>
      <c r="EN185" s="70">
        <v>0.0</v>
      </c>
      <c r="EO185" s="70">
        <v>0.0</v>
      </c>
      <c r="EP185" s="70">
        <v>788.0</v>
      </c>
      <c r="EQ185" s="70">
        <v>0.0</v>
      </c>
      <c r="ER185" s="70">
        <v>0.0</v>
      </c>
      <c r="ES185" s="70">
        <v>0.0</v>
      </c>
      <c r="ET185" s="70">
        <v>0.0</v>
      </c>
      <c r="EU185" s="70">
        <v>0.0</v>
      </c>
      <c r="EV185" s="70">
        <v>0.0</v>
      </c>
      <c r="EW185" s="70">
        <v>0.0</v>
      </c>
      <c r="EX185" s="70">
        <v>0.0</v>
      </c>
      <c r="EY185" s="70">
        <v>0.0</v>
      </c>
      <c r="EZ185" s="70">
        <v>0.0</v>
      </c>
      <c r="FA185" s="70">
        <v>0.0</v>
      </c>
      <c r="FB185" s="70">
        <v>1060.0</v>
      </c>
      <c r="FC185" s="70">
        <v>0.0</v>
      </c>
      <c r="FD185" s="70">
        <v>0.0</v>
      </c>
      <c r="FE185" s="70">
        <v>0.0</v>
      </c>
      <c r="FF185" s="70">
        <v>0.0</v>
      </c>
      <c r="FG185" s="70">
        <v>0.0</v>
      </c>
      <c r="FH185" s="70">
        <v>0.0</v>
      </c>
      <c r="FI185" s="70">
        <v>0.0</v>
      </c>
      <c r="FJ185" s="70">
        <v>0.0</v>
      </c>
      <c r="FK185" s="70">
        <v>0.0</v>
      </c>
      <c r="FL185" s="70">
        <v>0.0</v>
      </c>
      <c r="FM185" s="70">
        <v>0.0</v>
      </c>
      <c r="FN185" s="70">
        <v>0.0</v>
      </c>
      <c r="FO185" s="70">
        <v>0.0</v>
      </c>
      <c r="FP185" s="70">
        <v>29315.0</v>
      </c>
      <c r="FQ185" s="70">
        <v>3655.0</v>
      </c>
      <c r="FR185" s="70">
        <v>12.0</v>
      </c>
      <c r="FS185" s="70">
        <v>0.0</v>
      </c>
      <c r="FT185" s="70">
        <v>0.0</v>
      </c>
      <c r="FU185" s="70">
        <v>0.0</v>
      </c>
      <c r="FV185" s="70">
        <v>94436.0</v>
      </c>
      <c r="FW185" s="70">
        <v>0.0</v>
      </c>
      <c r="FX185" s="70">
        <v>0.0</v>
      </c>
      <c r="FY185" s="70">
        <v>0.0</v>
      </c>
      <c r="FZ185" s="70">
        <v>0.0</v>
      </c>
      <c r="GA185" s="70">
        <v>51855.0</v>
      </c>
      <c r="GB185" s="70">
        <v>75.0</v>
      </c>
      <c r="GC185" s="70">
        <v>281.0</v>
      </c>
      <c r="GD185" s="70">
        <v>1949.0</v>
      </c>
      <c r="GE185" s="70">
        <v>1383.0</v>
      </c>
      <c r="GF185" s="71">
        <v>191408.0</v>
      </c>
      <c r="GG185" s="72">
        <v>102800.0</v>
      </c>
      <c r="GH185" s="73">
        <v>0.0</v>
      </c>
      <c r="GI185" s="72">
        <v>5833813.0</v>
      </c>
      <c r="GJ185" s="72">
        <v>0.0</v>
      </c>
      <c r="GK185" s="72">
        <v>0.0</v>
      </c>
      <c r="GL185" s="72">
        <v>0.0</v>
      </c>
      <c r="GM185" s="72">
        <v>85079.0</v>
      </c>
      <c r="GN185" s="71">
        <v>6021692.0</v>
      </c>
      <c r="GO185" s="74">
        <v>6213100.0</v>
      </c>
      <c r="GP185" s="72">
        <v>1132.0</v>
      </c>
      <c r="GQ185" s="72">
        <v>37288.0</v>
      </c>
      <c r="GR185" s="73">
        <v>0.0</v>
      </c>
      <c r="GS185" s="71">
        <v>38420.0</v>
      </c>
      <c r="GT185" s="75">
        <v>0.0</v>
      </c>
      <c r="GU185" s="75">
        <v>0.0</v>
      </c>
      <c r="GV185" s="75">
        <v>0.0</v>
      </c>
      <c r="GW185" s="71">
        <v>0.0</v>
      </c>
      <c r="GX185" s="71">
        <v>0.0</v>
      </c>
      <c r="GY185" s="71">
        <v>6174680.0</v>
      </c>
      <c r="GZ185" s="74">
        <v>6213100.0</v>
      </c>
      <c r="HH185" s="106"/>
    </row>
    <row r="186" ht="15.75" customHeight="1">
      <c r="A186" s="52">
        <v>181.0</v>
      </c>
      <c r="B186" s="111" t="s">
        <v>451</v>
      </c>
      <c r="C186" s="54">
        <v>0.0</v>
      </c>
      <c r="D186" s="54">
        <v>0.0</v>
      </c>
      <c r="E186" s="54">
        <v>0.0</v>
      </c>
      <c r="F186" s="54">
        <v>0.0</v>
      </c>
      <c r="G186" s="54">
        <v>0.0</v>
      </c>
      <c r="H186" s="54">
        <v>0.0</v>
      </c>
      <c r="I186" s="54">
        <v>0.0</v>
      </c>
      <c r="J186" s="54">
        <v>0.0</v>
      </c>
      <c r="K186" s="54">
        <v>0.0</v>
      </c>
      <c r="L186" s="54">
        <v>0.0</v>
      </c>
      <c r="M186" s="54">
        <v>0.0</v>
      </c>
      <c r="N186" s="54">
        <v>0.0</v>
      </c>
      <c r="O186" s="54">
        <v>0.0</v>
      </c>
      <c r="P186" s="54">
        <v>0.0</v>
      </c>
      <c r="Q186" s="54">
        <v>0.0</v>
      </c>
      <c r="R186" s="54">
        <v>0.0</v>
      </c>
      <c r="S186" s="54">
        <v>0.0</v>
      </c>
      <c r="T186" s="54">
        <v>0.0</v>
      </c>
      <c r="U186" s="54">
        <v>0.0</v>
      </c>
      <c r="V186" s="54">
        <v>0.0</v>
      </c>
      <c r="W186" s="54">
        <v>0.0</v>
      </c>
      <c r="X186" s="54">
        <v>0.0</v>
      </c>
      <c r="Y186" s="54">
        <v>0.0</v>
      </c>
      <c r="Z186" s="54">
        <v>0.0</v>
      </c>
      <c r="AA186" s="54">
        <v>0.0</v>
      </c>
      <c r="AB186" s="54">
        <v>0.0</v>
      </c>
      <c r="AC186" s="54">
        <v>0.0</v>
      </c>
      <c r="AD186" s="54">
        <v>0.0</v>
      </c>
      <c r="AE186" s="54">
        <v>0.0</v>
      </c>
      <c r="AF186" s="54">
        <v>0.0</v>
      </c>
      <c r="AG186" s="54">
        <v>0.0</v>
      </c>
      <c r="AH186" s="54">
        <v>0.0</v>
      </c>
      <c r="AI186" s="54">
        <v>0.0</v>
      </c>
      <c r="AJ186" s="54">
        <v>0.0</v>
      </c>
      <c r="AK186" s="54">
        <v>0.0</v>
      </c>
      <c r="AL186" s="54">
        <v>0.0</v>
      </c>
      <c r="AM186" s="54">
        <v>328400.0</v>
      </c>
      <c r="AN186" s="54">
        <v>74852.0</v>
      </c>
      <c r="AO186" s="54">
        <v>567978.0</v>
      </c>
      <c r="AP186" s="54">
        <v>635.0</v>
      </c>
      <c r="AQ186" s="54">
        <v>2298.0</v>
      </c>
      <c r="AR186" s="54">
        <v>1327.0</v>
      </c>
      <c r="AS186" s="54">
        <v>9778.0</v>
      </c>
      <c r="AT186" s="54">
        <v>1163.0</v>
      </c>
      <c r="AU186" s="54">
        <v>861.0</v>
      </c>
      <c r="AV186" s="54">
        <v>16115.0</v>
      </c>
      <c r="AW186" s="54">
        <v>334.0</v>
      </c>
      <c r="AX186" s="54">
        <v>24469.0</v>
      </c>
      <c r="AY186" s="54">
        <v>357.0</v>
      </c>
      <c r="AZ186" s="54">
        <v>318.0</v>
      </c>
      <c r="BA186" s="54">
        <v>65752.0</v>
      </c>
      <c r="BB186" s="54">
        <v>92492.0</v>
      </c>
      <c r="BC186" s="54">
        <v>577.0</v>
      </c>
      <c r="BD186" s="54">
        <v>42.0</v>
      </c>
      <c r="BE186" s="54">
        <v>595.0</v>
      </c>
      <c r="BF186" s="54">
        <v>1879.0</v>
      </c>
      <c r="BG186" s="54">
        <v>153.0</v>
      </c>
      <c r="BH186" s="54">
        <v>8400.0</v>
      </c>
      <c r="BI186" s="54">
        <v>403.0</v>
      </c>
      <c r="BJ186" s="54">
        <v>3736.0</v>
      </c>
      <c r="BK186" s="54">
        <v>615.0</v>
      </c>
      <c r="BL186" s="54">
        <v>93.0</v>
      </c>
      <c r="BM186" s="54">
        <v>18.0</v>
      </c>
      <c r="BN186" s="54">
        <v>0.0</v>
      </c>
      <c r="BO186" s="54">
        <v>2806.0</v>
      </c>
      <c r="BP186" s="54">
        <v>0.0</v>
      </c>
      <c r="BQ186" s="54">
        <v>0.0</v>
      </c>
      <c r="BR186" s="54">
        <v>63.0</v>
      </c>
      <c r="BS186" s="54">
        <v>15738.0</v>
      </c>
      <c r="BT186" s="54">
        <v>371.0</v>
      </c>
      <c r="BU186" s="54">
        <v>5178.0</v>
      </c>
      <c r="BV186" s="54">
        <v>891.0</v>
      </c>
      <c r="BW186" s="54">
        <v>117.0</v>
      </c>
      <c r="BX186" s="54">
        <v>0.0</v>
      </c>
      <c r="BY186" s="54">
        <v>38093.0</v>
      </c>
      <c r="BZ186" s="54">
        <v>2539.0</v>
      </c>
      <c r="CA186" s="54">
        <v>25124.0</v>
      </c>
      <c r="CB186" s="54">
        <v>13481.0</v>
      </c>
      <c r="CC186" s="54">
        <v>1614.0</v>
      </c>
      <c r="CD186" s="54">
        <v>1225.0</v>
      </c>
      <c r="CE186" s="54">
        <v>1801.0</v>
      </c>
      <c r="CF186" s="54">
        <v>5162.0</v>
      </c>
      <c r="CG186" s="54">
        <v>953.0</v>
      </c>
      <c r="CH186" s="54">
        <v>1371.0</v>
      </c>
      <c r="CI186" s="54">
        <v>8523.0</v>
      </c>
      <c r="CJ186" s="54">
        <v>42838.0</v>
      </c>
      <c r="CK186" s="54">
        <v>91209.0</v>
      </c>
      <c r="CL186" s="54">
        <v>52060.0</v>
      </c>
      <c r="CM186" s="54">
        <v>18763.0</v>
      </c>
      <c r="CN186" s="54">
        <v>27198.0</v>
      </c>
      <c r="CO186" s="54">
        <v>32084.0</v>
      </c>
      <c r="CP186" s="54">
        <v>47544.0</v>
      </c>
      <c r="CQ186" s="54">
        <v>23823.0</v>
      </c>
      <c r="CR186" s="54">
        <v>49942.0</v>
      </c>
      <c r="CS186" s="54">
        <v>10327.0</v>
      </c>
      <c r="CT186" s="54">
        <v>162367.0</v>
      </c>
      <c r="CU186" s="54">
        <v>54922.0</v>
      </c>
      <c r="CV186" s="54">
        <v>102685.0</v>
      </c>
      <c r="CW186" s="54">
        <v>11184.0</v>
      </c>
      <c r="CX186" s="54">
        <v>26966.0</v>
      </c>
      <c r="CY186" s="54">
        <v>1835.0</v>
      </c>
      <c r="CZ186" s="54">
        <v>7575.0</v>
      </c>
      <c r="DA186" s="54">
        <v>53798.0</v>
      </c>
      <c r="DB186" s="54">
        <v>33905.0</v>
      </c>
      <c r="DC186" s="54">
        <v>88120.0</v>
      </c>
      <c r="DD186" s="54">
        <v>14541.0</v>
      </c>
      <c r="DE186" s="54">
        <v>1455.0</v>
      </c>
      <c r="DF186" s="54">
        <v>1747.0</v>
      </c>
      <c r="DG186" s="54">
        <v>356.0</v>
      </c>
      <c r="DH186" s="54">
        <v>4937.0</v>
      </c>
      <c r="DI186" s="54">
        <v>15889.0</v>
      </c>
      <c r="DJ186" s="54">
        <v>17928.0</v>
      </c>
      <c r="DK186" s="54">
        <v>20266.0</v>
      </c>
      <c r="DL186" s="54">
        <v>71484.0</v>
      </c>
      <c r="DM186" s="54">
        <v>30256.0</v>
      </c>
      <c r="DN186" s="54">
        <v>2957.0</v>
      </c>
      <c r="DO186" s="54">
        <v>8252.0</v>
      </c>
      <c r="DP186" s="54">
        <v>655.0</v>
      </c>
      <c r="DQ186" s="54">
        <v>3339.0</v>
      </c>
      <c r="DR186" s="54">
        <v>11727.0</v>
      </c>
      <c r="DS186" s="54">
        <v>564158.0</v>
      </c>
      <c r="DT186" s="54">
        <v>25312.0</v>
      </c>
      <c r="DU186" s="54">
        <v>69360.0</v>
      </c>
      <c r="DV186" s="54">
        <v>205297.0</v>
      </c>
      <c r="DW186" s="54">
        <v>131806.0</v>
      </c>
      <c r="DX186" s="54">
        <v>111250.0</v>
      </c>
      <c r="DY186" s="54">
        <v>380424.0</v>
      </c>
      <c r="DZ186" s="54">
        <v>149580.0</v>
      </c>
      <c r="EA186" s="54">
        <v>16834.0</v>
      </c>
      <c r="EB186" s="54">
        <v>152280.0</v>
      </c>
      <c r="EC186" s="54">
        <v>108394.0</v>
      </c>
      <c r="ED186" s="54">
        <v>9529.0</v>
      </c>
      <c r="EE186" s="54">
        <v>5547.0</v>
      </c>
      <c r="EF186" s="54">
        <v>526.0</v>
      </c>
      <c r="EG186" s="54">
        <v>7755.0</v>
      </c>
      <c r="EH186" s="54">
        <v>4227.0</v>
      </c>
      <c r="EI186" s="54">
        <v>10939.0</v>
      </c>
      <c r="EJ186" s="54">
        <v>5043.0</v>
      </c>
      <c r="EK186" s="54">
        <v>801.0</v>
      </c>
      <c r="EL186" s="54">
        <v>455.0</v>
      </c>
      <c r="EM186" s="54">
        <v>1200.0</v>
      </c>
      <c r="EN186" s="54">
        <v>14344.0</v>
      </c>
      <c r="EO186" s="54">
        <v>1078.0</v>
      </c>
      <c r="EP186" s="54">
        <v>6145.0</v>
      </c>
      <c r="EQ186" s="54">
        <v>25595.0</v>
      </c>
      <c r="ER186" s="54">
        <v>31796.0</v>
      </c>
      <c r="ES186" s="54">
        <v>54701.0</v>
      </c>
      <c r="ET186" s="54">
        <v>12757.0</v>
      </c>
      <c r="EU186" s="54">
        <v>807362.0</v>
      </c>
      <c r="EV186" s="54">
        <v>11626.0</v>
      </c>
      <c r="EW186" s="54">
        <v>11049.0</v>
      </c>
      <c r="EX186" s="54">
        <v>48760.0</v>
      </c>
      <c r="EY186" s="54">
        <v>229766.0</v>
      </c>
      <c r="EZ186" s="54">
        <v>106239.0</v>
      </c>
      <c r="FA186" s="54">
        <v>90499.0</v>
      </c>
      <c r="FB186" s="54">
        <v>1881358.0</v>
      </c>
      <c r="FC186" s="54">
        <v>38190.0</v>
      </c>
      <c r="FD186" s="54">
        <v>4161200.0</v>
      </c>
      <c r="FE186" s="54">
        <v>285110.0</v>
      </c>
      <c r="FF186" s="54">
        <v>176848.0</v>
      </c>
      <c r="FG186" s="54">
        <v>1804674.0</v>
      </c>
      <c r="FH186" s="54">
        <v>510345.0</v>
      </c>
      <c r="FI186" s="54">
        <v>158702.0</v>
      </c>
      <c r="FJ186" s="54">
        <v>19702.0</v>
      </c>
      <c r="FK186" s="54">
        <v>26535.0</v>
      </c>
      <c r="FL186" s="54">
        <v>140735.0</v>
      </c>
      <c r="FM186" s="54">
        <v>15776.0</v>
      </c>
      <c r="FN186" s="54">
        <v>324630.0</v>
      </c>
      <c r="FO186" s="54">
        <v>14809.0</v>
      </c>
      <c r="FP186" s="54">
        <v>4887182.0</v>
      </c>
      <c r="FQ186" s="54">
        <v>763104.0</v>
      </c>
      <c r="FR186" s="54">
        <v>93.0</v>
      </c>
      <c r="FS186" s="54">
        <v>202139.0</v>
      </c>
      <c r="FT186" s="54">
        <v>31070.0</v>
      </c>
      <c r="FU186" s="54">
        <v>3288499.0</v>
      </c>
      <c r="FV186" s="54">
        <v>267847.0</v>
      </c>
      <c r="FW186" s="54">
        <v>2580705.0</v>
      </c>
      <c r="FX186" s="54">
        <v>905140.0</v>
      </c>
      <c r="FY186" s="54">
        <v>740716.0</v>
      </c>
      <c r="FZ186" s="54">
        <v>98890.0</v>
      </c>
      <c r="GA186" s="54">
        <v>5792200.0</v>
      </c>
      <c r="GB186" s="54">
        <v>1216441.0</v>
      </c>
      <c r="GC186" s="54">
        <v>32361.0</v>
      </c>
      <c r="GD186" s="54">
        <v>11733.0</v>
      </c>
      <c r="GE186" s="54">
        <v>1015454.0</v>
      </c>
      <c r="GF186" s="55">
        <v>3.7278246E7</v>
      </c>
      <c r="GG186" s="56">
        <v>3.53404017E8</v>
      </c>
      <c r="GH186" s="57">
        <v>1.8431015E7</v>
      </c>
      <c r="GI186" s="56">
        <v>0.0</v>
      </c>
      <c r="GJ186" s="56">
        <v>0.0</v>
      </c>
      <c r="GK186" s="56">
        <v>0.0</v>
      </c>
      <c r="GL186" s="56">
        <v>0.0</v>
      </c>
      <c r="GM186" s="56">
        <v>448229.0</v>
      </c>
      <c r="GN186" s="55">
        <v>3.72283261E8</v>
      </c>
      <c r="GO186" s="58">
        <v>4.09561507E8</v>
      </c>
      <c r="GP186" s="56">
        <v>0.0</v>
      </c>
      <c r="GQ186" s="56">
        <v>1059141.0</v>
      </c>
      <c r="GR186" s="57">
        <v>0.0</v>
      </c>
      <c r="GS186" s="55">
        <v>1059141.0</v>
      </c>
      <c r="GT186" s="59">
        <v>0.0</v>
      </c>
      <c r="GU186" s="59">
        <v>0.0</v>
      </c>
      <c r="GV186" s="59">
        <v>0.0</v>
      </c>
      <c r="GW186" s="55">
        <v>0.0</v>
      </c>
      <c r="GX186" s="55">
        <v>0.0</v>
      </c>
      <c r="GY186" s="55">
        <v>4.08502366E8</v>
      </c>
      <c r="GZ186" s="58">
        <v>4.09561507E8</v>
      </c>
      <c r="HH186" s="106"/>
    </row>
    <row r="187" ht="15.75" customHeight="1">
      <c r="A187" s="60">
        <v>182.0</v>
      </c>
      <c r="B187" s="111" t="s">
        <v>616</v>
      </c>
      <c r="C187" s="62">
        <v>0.0</v>
      </c>
      <c r="D187" s="62">
        <v>0.0</v>
      </c>
      <c r="E187" s="62">
        <v>0.0</v>
      </c>
      <c r="F187" s="62">
        <v>0.0</v>
      </c>
      <c r="G187" s="62">
        <v>0.0</v>
      </c>
      <c r="H187" s="62">
        <v>0.0</v>
      </c>
      <c r="I187" s="62">
        <v>0.0</v>
      </c>
      <c r="J187" s="62">
        <v>0.0</v>
      </c>
      <c r="K187" s="62">
        <v>0.0</v>
      </c>
      <c r="L187" s="62">
        <v>0.0</v>
      </c>
      <c r="M187" s="62">
        <v>0.0</v>
      </c>
      <c r="N187" s="62">
        <v>1228.0</v>
      </c>
      <c r="O187" s="62">
        <v>243.0</v>
      </c>
      <c r="P187" s="62">
        <v>7.0</v>
      </c>
      <c r="Q187" s="62">
        <v>0.0</v>
      </c>
      <c r="R187" s="62">
        <v>0.0</v>
      </c>
      <c r="S187" s="62">
        <v>0.0</v>
      </c>
      <c r="T187" s="62">
        <v>0.0</v>
      </c>
      <c r="U187" s="62">
        <v>0.0</v>
      </c>
      <c r="V187" s="62">
        <v>0.0</v>
      </c>
      <c r="W187" s="62">
        <v>0.0</v>
      </c>
      <c r="X187" s="62">
        <v>0.0</v>
      </c>
      <c r="Y187" s="62">
        <v>0.0</v>
      </c>
      <c r="Z187" s="62">
        <v>0.0</v>
      </c>
      <c r="AA187" s="62">
        <v>0.0</v>
      </c>
      <c r="AB187" s="62">
        <v>7282.0</v>
      </c>
      <c r="AC187" s="62">
        <v>275.0</v>
      </c>
      <c r="AD187" s="62">
        <v>20400.0</v>
      </c>
      <c r="AE187" s="62">
        <v>8546.0</v>
      </c>
      <c r="AF187" s="62">
        <v>1656.0</v>
      </c>
      <c r="AG187" s="62">
        <v>0.0</v>
      </c>
      <c r="AH187" s="62">
        <v>0.0</v>
      </c>
      <c r="AI187" s="62">
        <v>15344.0</v>
      </c>
      <c r="AJ187" s="62">
        <v>2815.0</v>
      </c>
      <c r="AK187" s="62">
        <v>305.0</v>
      </c>
      <c r="AL187" s="62">
        <v>1341.0</v>
      </c>
      <c r="AM187" s="62">
        <v>396552.0</v>
      </c>
      <c r="AN187" s="62">
        <v>339068.0</v>
      </c>
      <c r="AO187" s="62">
        <v>168725.0</v>
      </c>
      <c r="AP187" s="62">
        <v>7098.0</v>
      </c>
      <c r="AQ187" s="62">
        <v>26501.0</v>
      </c>
      <c r="AR187" s="62">
        <v>14836.0</v>
      </c>
      <c r="AS187" s="62">
        <v>109304.0</v>
      </c>
      <c r="AT187" s="62">
        <v>12999.0</v>
      </c>
      <c r="AU187" s="62">
        <v>9628.0</v>
      </c>
      <c r="AV187" s="62">
        <v>180139.0</v>
      </c>
      <c r="AW187" s="62">
        <v>3737.0</v>
      </c>
      <c r="AX187" s="62">
        <v>77044.0</v>
      </c>
      <c r="AY187" s="62">
        <v>7520.0</v>
      </c>
      <c r="AZ187" s="62">
        <v>4327.0</v>
      </c>
      <c r="BA187" s="62">
        <v>51207.0</v>
      </c>
      <c r="BB187" s="62">
        <v>56803.0</v>
      </c>
      <c r="BC187" s="62">
        <v>29688.0</v>
      </c>
      <c r="BD187" s="62">
        <v>2060.0</v>
      </c>
      <c r="BE187" s="62">
        <v>1061.0</v>
      </c>
      <c r="BF187" s="62">
        <v>4019.0</v>
      </c>
      <c r="BG187" s="62">
        <v>5284.0</v>
      </c>
      <c r="BH187" s="62">
        <v>36402.0</v>
      </c>
      <c r="BI187" s="62">
        <v>3352.0</v>
      </c>
      <c r="BJ187" s="62">
        <v>960.0</v>
      </c>
      <c r="BK187" s="62">
        <v>179.0</v>
      </c>
      <c r="BL187" s="62">
        <v>402.0</v>
      </c>
      <c r="BM187" s="62">
        <v>9.0</v>
      </c>
      <c r="BN187" s="62">
        <v>124.0</v>
      </c>
      <c r="BO187" s="62">
        <v>641.0</v>
      </c>
      <c r="BP187" s="62">
        <v>392.0</v>
      </c>
      <c r="BQ187" s="62">
        <v>93.0</v>
      </c>
      <c r="BR187" s="62">
        <v>133.0</v>
      </c>
      <c r="BS187" s="62">
        <v>76.0</v>
      </c>
      <c r="BT187" s="62">
        <v>19266.0</v>
      </c>
      <c r="BU187" s="62">
        <v>2366.0</v>
      </c>
      <c r="BV187" s="62">
        <v>802.0</v>
      </c>
      <c r="BW187" s="62">
        <v>161.0</v>
      </c>
      <c r="BX187" s="62">
        <v>4913.0</v>
      </c>
      <c r="BY187" s="62">
        <v>7620.0</v>
      </c>
      <c r="BZ187" s="62">
        <v>185.0</v>
      </c>
      <c r="CA187" s="62">
        <v>387.0</v>
      </c>
      <c r="CB187" s="62">
        <v>423.0</v>
      </c>
      <c r="CC187" s="62">
        <v>4808.0</v>
      </c>
      <c r="CD187" s="62">
        <v>368.0</v>
      </c>
      <c r="CE187" s="62">
        <v>13.0</v>
      </c>
      <c r="CF187" s="62">
        <v>642.0</v>
      </c>
      <c r="CG187" s="62">
        <v>1511.0</v>
      </c>
      <c r="CH187" s="62">
        <v>566.0</v>
      </c>
      <c r="CI187" s="62">
        <v>68298.0</v>
      </c>
      <c r="CJ187" s="62">
        <v>82.0</v>
      </c>
      <c r="CK187" s="62">
        <v>175.0</v>
      </c>
      <c r="CL187" s="62">
        <v>100.0</v>
      </c>
      <c r="CM187" s="62">
        <v>35.0</v>
      </c>
      <c r="CN187" s="62">
        <v>463768.0</v>
      </c>
      <c r="CO187" s="62">
        <v>144929.0</v>
      </c>
      <c r="CP187" s="62">
        <v>221799.0</v>
      </c>
      <c r="CQ187" s="62">
        <v>4964.0</v>
      </c>
      <c r="CR187" s="62">
        <v>25649.0</v>
      </c>
      <c r="CS187" s="62">
        <v>27116.0</v>
      </c>
      <c r="CT187" s="62">
        <v>418248.0</v>
      </c>
      <c r="CU187" s="62">
        <v>112969.0</v>
      </c>
      <c r="CV187" s="62">
        <v>260172.0</v>
      </c>
      <c r="CW187" s="62">
        <v>28340.0</v>
      </c>
      <c r="CX187" s="62">
        <v>68328.0</v>
      </c>
      <c r="CY187" s="62">
        <v>4651.0</v>
      </c>
      <c r="CZ187" s="62">
        <v>120783.0</v>
      </c>
      <c r="DA187" s="62">
        <v>118003.0</v>
      </c>
      <c r="DB187" s="62">
        <v>17910.0</v>
      </c>
      <c r="DC187" s="62">
        <v>221527.0</v>
      </c>
      <c r="DD187" s="62">
        <v>89546.0</v>
      </c>
      <c r="DE187" s="62">
        <v>1319.0</v>
      </c>
      <c r="DF187" s="62">
        <v>1583.0</v>
      </c>
      <c r="DG187" s="62">
        <v>322.0</v>
      </c>
      <c r="DH187" s="62">
        <v>4376.0</v>
      </c>
      <c r="DI187" s="62">
        <v>12529.0</v>
      </c>
      <c r="DJ187" s="62">
        <v>13990.0</v>
      </c>
      <c r="DK187" s="62">
        <v>16486.0</v>
      </c>
      <c r="DL187" s="62">
        <v>6109.0</v>
      </c>
      <c r="DM187" s="62">
        <v>2235.0</v>
      </c>
      <c r="DN187" s="62">
        <v>364.0</v>
      </c>
      <c r="DO187" s="62">
        <v>7178.0</v>
      </c>
      <c r="DP187" s="62">
        <v>753.0</v>
      </c>
      <c r="DQ187" s="62">
        <v>3821.0</v>
      </c>
      <c r="DR187" s="62">
        <v>10122.0</v>
      </c>
      <c r="DS187" s="62">
        <v>76009.0</v>
      </c>
      <c r="DT187" s="62">
        <v>16771.0</v>
      </c>
      <c r="DU187" s="62">
        <v>2157.0</v>
      </c>
      <c r="DV187" s="62">
        <v>3946.0</v>
      </c>
      <c r="DW187" s="62">
        <v>6374.0</v>
      </c>
      <c r="DX187" s="62">
        <v>80.0</v>
      </c>
      <c r="DY187" s="62">
        <v>0.0</v>
      </c>
      <c r="DZ187" s="62">
        <v>8120.0</v>
      </c>
      <c r="EA187" s="62">
        <v>537.0</v>
      </c>
      <c r="EB187" s="62">
        <v>9.0</v>
      </c>
      <c r="EC187" s="62">
        <v>25793.0</v>
      </c>
      <c r="ED187" s="62">
        <v>3898.0</v>
      </c>
      <c r="EE187" s="62">
        <v>455.0</v>
      </c>
      <c r="EF187" s="62">
        <v>2068.0</v>
      </c>
      <c r="EG187" s="62">
        <v>2220.0</v>
      </c>
      <c r="EH187" s="62">
        <v>4494.0</v>
      </c>
      <c r="EI187" s="62">
        <v>66.0</v>
      </c>
      <c r="EJ187" s="62">
        <v>11115.0</v>
      </c>
      <c r="EK187" s="62">
        <v>538.0</v>
      </c>
      <c r="EL187" s="62">
        <v>1125.0</v>
      </c>
      <c r="EM187" s="62">
        <v>413.0</v>
      </c>
      <c r="EN187" s="62">
        <v>275.0</v>
      </c>
      <c r="EO187" s="62">
        <v>128.0</v>
      </c>
      <c r="EP187" s="62">
        <v>2805.0</v>
      </c>
      <c r="EQ187" s="62">
        <v>3951.0</v>
      </c>
      <c r="ER187" s="62">
        <v>112.0</v>
      </c>
      <c r="ES187" s="62">
        <v>7739.0</v>
      </c>
      <c r="ET187" s="62">
        <v>82.0</v>
      </c>
      <c r="EU187" s="62">
        <v>185558.0</v>
      </c>
      <c r="EV187" s="62">
        <v>42846.0</v>
      </c>
      <c r="EW187" s="62">
        <v>533.0</v>
      </c>
      <c r="EX187" s="62">
        <v>43842.0</v>
      </c>
      <c r="EY187" s="62">
        <v>133216.0</v>
      </c>
      <c r="EZ187" s="62">
        <v>801265.0</v>
      </c>
      <c r="FA187" s="62">
        <v>333471.0</v>
      </c>
      <c r="FB187" s="62">
        <v>2235752.0</v>
      </c>
      <c r="FC187" s="62">
        <v>4261.0</v>
      </c>
      <c r="FD187" s="62">
        <v>2593093.0</v>
      </c>
      <c r="FE187" s="62">
        <v>684056.0</v>
      </c>
      <c r="FF187" s="62">
        <v>144192.0</v>
      </c>
      <c r="FG187" s="62">
        <v>1223418.0</v>
      </c>
      <c r="FH187" s="62">
        <v>1321433.0</v>
      </c>
      <c r="FI187" s="62">
        <v>48130.0</v>
      </c>
      <c r="FJ187" s="62">
        <v>5013.0</v>
      </c>
      <c r="FK187" s="62">
        <v>35419.0</v>
      </c>
      <c r="FL187" s="62">
        <v>10836.0</v>
      </c>
      <c r="FM187" s="62">
        <v>1508.0</v>
      </c>
      <c r="FN187" s="62">
        <v>45825.0</v>
      </c>
      <c r="FO187" s="62">
        <v>3651.0</v>
      </c>
      <c r="FP187" s="62">
        <v>411253.0</v>
      </c>
      <c r="FQ187" s="62">
        <v>942018.0</v>
      </c>
      <c r="FR187" s="62">
        <v>85.0</v>
      </c>
      <c r="FS187" s="62">
        <v>237085.0</v>
      </c>
      <c r="FT187" s="62">
        <v>1066090.0</v>
      </c>
      <c r="FU187" s="62">
        <v>1649514.0</v>
      </c>
      <c r="FV187" s="62">
        <v>312042.0</v>
      </c>
      <c r="FW187" s="62">
        <v>5253292.0</v>
      </c>
      <c r="FX187" s="62">
        <v>240524.0</v>
      </c>
      <c r="FY187" s="62">
        <v>493980.0</v>
      </c>
      <c r="FZ187" s="62">
        <v>0.0</v>
      </c>
      <c r="GA187" s="62">
        <v>214439.0</v>
      </c>
      <c r="GB187" s="62">
        <v>1628466.0</v>
      </c>
      <c r="GC187" s="62">
        <v>181915.0</v>
      </c>
      <c r="GD187" s="62">
        <v>0.0</v>
      </c>
      <c r="GE187" s="62">
        <v>1102423.0</v>
      </c>
      <c r="GF187" s="63">
        <v>2.7964139E7</v>
      </c>
      <c r="GG187" s="64">
        <v>2.78339418E8</v>
      </c>
      <c r="GH187" s="65">
        <v>2.0777245E7</v>
      </c>
      <c r="GI187" s="64">
        <v>0.0</v>
      </c>
      <c r="GJ187" s="64">
        <v>0.0</v>
      </c>
      <c r="GK187" s="64">
        <v>0.0</v>
      </c>
      <c r="GL187" s="64">
        <v>0.0</v>
      </c>
      <c r="GM187" s="64">
        <v>1281491.0</v>
      </c>
      <c r="GN187" s="63">
        <v>3.00398154E8</v>
      </c>
      <c r="GO187" s="66">
        <v>3.28362293E8</v>
      </c>
      <c r="GP187" s="64">
        <v>0.0</v>
      </c>
      <c r="GQ187" s="64">
        <v>1907515.0</v>
      </c>
      <c r="GR187" s="65">
        <v>0.0</v>
      </c>
      <c r="GS187" s="63">
        <v>1907515.0</v>
      </c>
      <c r="GT187" s="67">
        <v>0.0</v>
      </c>
      <c r="GU187" s="67">
        <v>0.0</v>
      </c>
      <c r="GV187" s="67">
        <v>0.0</v>
      </c>
      <c r="GW187" s="63">
        <v>0.0</v>
      </c>
      <c r="GX187" s="63">
        <v>0.0</v>
      </c>
      <c r="GY187" s="63">
        <v>3.26454778E8</v>
      </c>
      <c r="GZ187" s="66">
        <v>3.28362293E8</v>
      </c>
      <c r="HH187" s="106"/>
    </row>
    <row r="188" ht="15.75" customHeight="1">
      <c r="A188" s="60">
        <v>183.0</v>
      </c>
      <c r="B188" s="111" t="s">
        <v>453</v>
      </c>
      <c r="C188" s="62">
        <v>0.0</v>
      </c>
      <c r="D188" s="62">
        <v>0.0</v>
      </c>
      <c r="E188" s="62">
        <v>0.0</v>
      </c>
      <c r="F188" s="62">
        <v>0.0</v>
      </c>
      <c r="G188" s="62">
        <v>0.0</v>
      </c>
      <c r="H188" s="62">
        <v>0.0</v>
      </c>
      <c r="I188" s="62">
        <v>0.0</v>
      </c>
      <c r="J188" s="62">
        <v>0.0</v>
      </c>
      <c r="K188" s="62">
        <v>0.0</v>
      </c>
      <c r="L188" s="62">
        <v>0.0</v>
      </c>
      <c r="M188" s="62">
        <v>0.0</v>
      </c>
      <c r="N188" s="62">
        <v>0.0</v>
      </c>
      <c r="O188" s="62">
        <v>0.0</v>
      </c>
      <c r="P188" s="62">
        <v>0.0</v>
      </c>
      <c r="Q188" s="62">
        <v>0.0</v>
      </c>
      <c r="R188" s="62">
        <v>0.0</v>
      </c>
      <c r="S188" s="62">
        <v>0.0</v>
      </c>
      <c r="T188" s="62">
        <v>0.0</v>
      </c>
      <c r="U188" s="62">
        <v>0.0</v>
      </c>
      <c r="V188" s="62">
        <v>0.0</v>
      </c>
      <c r="W188" s="62">
        <v>0.0</v>
      </c>
      <c r="X188" s="62">
        <v>0.0</v>
      </c>
      <c r="Y188" s="62">
        <v>0.0</v>
      </c>
      <c r="Z188" s="62">
        <v>0.0</v>
      </c>
      <c r="AA188" s="62">
        <v>0.0</v>
      </c>
      <c r="AB188" s="62">
        <v>0.0</v>
      </c>
      <c r="AC188" s="62">
        <v>0.0</v>
      </c>
      <c r="AD188" s="62">
        <v>0.0</v>
      </c>
      <c r="AE188" s="62">
        <v>0.0</v>
      </c>
      <c r="AF188" s="62">
        <v>0.0</v>
      </c>
      <c r="AG188" s="62">
        <v>0.0</v>
      </c>
      <c r="AH188" s="62">
        <v>0.0</v>
      </c>
      <c r="AI188" s="62">
        <v>0.0</v>
      </c>
      <c r="AJ188" s="62">
        <v>0.0</v>
      </c>
      <c r="AK188" s="62">
        <v>0.0</v>
      </c>
      <c r="AL188" s="62">
        <v>0.0</v>
      </c>
      <c r="AM188" s="62">
        <v>0.0</v>
      </c>
      <c r="AN188" s="62">
        <v>0.0</v>
      </c>
      <c r="AO188" s="62">
        <v>0.0</v>
      </c>
      <c r="AP188" s="62">
        <v>0.0</v>
      </c>
      <c r="AQ188" s="62">
        <v>0.0</v>
      </c>
      <c r="AR188" s="62">
        <v>0.0</v>
      </c>
      <c r="AS188" s="62">
        <v>0.0</v>
      </c>
      <c r="AT188" s="62">
        <v>0.0</v>
      </c>
      <c r="AU188" s="62">
        <v>0.0</v>
      </c>
      <c r="AV188" s="62">
        <v>0.0</v>
      </c>
      <c r="AW188" s="62">
        <v>0.0</v>
      </c>
      <c r="AX188" s="62">
        <v>0.0</v>
      </c>
      <c r="AY188" s="62">
        <v>0.0</v>
      </c>
      <c r="AZ188" s="62">
        <v>0.0</v>
      </c>
      <c r="BA188" s="62">
        <v>0.0</v>
      </c>
      <c r="BB188" s="62">
        <v>0.0</v>
      </c>
      <c r="BC188" s="62">
        <v>0.0</v>
      </c>
      <c r="BD188" s="62">
        <v>0.0</v>
      </c>
      <c r="BE188" s="62">
        <v>0.0</v>
      </c>
      <c r="BF188" s="62">
        <v>0.0</v>
      </c>
      <c r="BG188" s="62">
        <v>0.0</v>
      </c>
      <c r="BH188" s="62">
        <v>0.0</v>
      </c>
      <c r="BI188" s="62">
        <v>0.0</v>
      </c>
      <c r="BJ188" s="62">
        <v>0.0</v>
      </c>
      <c r="BK188" s="62">
        <v>0.0</v>
      </c>
      <c r="BL188" s="62">
        <v>0.0</v>
      </c>
      <c r="BM188" s="62">
        <v>0.0</v>
      </c>
      <c r="BN188" s="62">
        <v>0.0</v>
      </c>
      <c r="BO188" s="62">
        <v>0.0</v>
      </c>
      <c r="BP188" s="62">
        <v>0.0</v>
      </c>
      <c r="BQ188" s="62">
        <v>0.0</v>
      </c>
      <c r="BR188" s="62">
        <v>0.0</v>
      </c>
      <c r="BS188" s="62">
        <v>0.0</v>
      </c>
      <c r="BT188" s="62">
        <v>0.0</v>
      </c>
      <c r="BU188" s="62">
        <v>0.0</v>
      </c>
      <c r="BV188" s="62">
        <v>0.0</v>
      </c>
      <c r="BW188" s="62">
        <v>0.0</v>
      </c>
      <c r="BX188" s="62">
        <v>0.0</v>
      </c>
      <c r="BY188" s="62">
        <v>0.0</v>
      </c>
      <c r="BZ188" s="62">
        <v>0.0</v>
      </c>
      <c r="CA188" s="62">
        <v>0.0</v>
      </c>
      <c r="CB188" s="62">
        <v>0.0</v>
      </c>
      <c r="CC188" s="62">
        <v>0.0</v>
      </c>
      <c r="CD188" s="62">
        <v>0.0</v>
      </c>
      <c r="CE188" s="62">
        <v>0.0</v>
      </c>
      <c r="CF188" s="62">
        <v>0.0</v>
      </c>
      <c r="CG188" s="62">
        <v>0.0</v>
      </c>
      <c r="CH188" s="62">
        <v>0.0</v>
      </c>
      <c r="CI188" s="62">
        <v>0.0</v>
      </c>
      <c r="CJ188" s="62">
        <v>0.0</v>
      </c>
      <c r="CK188" s="62">
        <v>0.0</v>
      </c>
      <c r="CL188" s="62">
        <v>0.0</v>
      </c>
      <c r="CM188" s="62">
        <v>0.0</v>
      </c>
      <c r="CN188" s="62">
        <v>0.0</v>
      </c>
      <c r="CO188" s="62">
        <v>11471.0</v>
      </c>
      <c r="CP188" s="62">
        <v>23140.0</v>
      </c>
      <c r="CQ188" s="62">
        <v>0.0</v>
      </c>
      <c r="CR188" s="62">
        <v>0.0</v>
      </c>
      <c r="CS188" s="62">
        <v>8940.0</v>
      </c>
      <c r="CT188" s="62">
        <v>16.0</v>
      </c>
      <c r="CU188" s="62">
        <v>6.0</v>
      </c>
      <c r="CV188" s="62">
        <v>10.0</v>
      </c>
      <c r="CW188" s="62">
        <v>1193.0</v>
      </c>
      <c r="CX188" s="62">
        <v>0.0</v>
      </c>
      <c r="CY188" s="62">
        <v>0.0</v>
      </c>
      <c r="CZ188" s="62">
        <v>0.0</v>
      </c>
      <c r="DA188" s="62">
        <v>0.0</v>
      </c>
      <c r="DB188" s="62">
        <v>0.0</v>
      </c>
      <c r="DC188" s="62">
        <v>0.0</v>
      </c>
      <c r="DD188" s="62">
        <v>0.0</v>
      </c>
      <c r="DE188" s="62">
        <v>0.0</v>
      </c>
      <c r="DF188" s="62">
        <v>0.0</v>
      </c>
      <c r="DG188" s="62">
        <v>0.0</v>
      </c>
      <c r="DH188" s="62">
        <v>0.0</v>
      </c>
      <c r="DI188" s="62">
        <v>563.0</v>
      </c>
      <c r="DJ188" s="62">
        <v>626.0</v>
      </c>
      <c r="DK188" s="62">
        <v>773.0</v>
      </c>
      <c r="DL188" s="62">
        <v>0.0</v>
      </c>
      <c r="DM188" s="62">
        <v>0.0</v>
      </c>
      <c r="DN188" s="62">
        <v>0.0</v>
      </c>
      <c r="DO188" s="62">
        <v>0.0</v>
      </c>
      <c r="DP188" s="62">
        <v>0.0</v>
      </c>
      <c r="DQ188" s="62">
        <v>0.0</v>
      </c>
      <c r="DR188" s="62">
        <v>0.0</v>
      </c>
      <c r="DS188" s="62">
        <v>0.0</v>
      </c>
      <c r="DT188" s="62">
        <v>0.0</v>
      </c>
      <c r="DU188" s="62">
        <v>0.0</v>
      </c>
      <c r="DV188" s="62">
        <v>0.0</v>
      </c>
      <c r="DW188" s="62">
        <v>0.0</v>
      </c>
      <c r="DX188" s="62">
        <v>0.0</v>
      </c>
      <c r="DY188" s="62">
        <v>0.0</v>
      </c>
      <c r="DZ188" s="62">
        <v>0.0</v>
      </c>
      <c r="EA188" s="62">
        <v>0.0</v>
      </c>
      <c r="EB188" s="62">
        <v>0.0</v>
      </c>
      <c r="EC188" s="62">
        <v>0.0</v>
      </c>
      <c r="ED188" s="62">
        <v>0.0</v>
      </c>
      <c r="EE188" s="62">
        <v>0.0</v>
      </c>
      <c r="EF188" s="62">
        <v>0.0</v>
      </c>
      <c r="EG188" s="62">
        <v>0.0</v>
      </c>
      <c r="EH188" s="62">
        <v>0.0</v>
      </c>
      <c r="EI188" s="62">
        <v>0.0</v>
      </c>
      <c r="EJ188" s="62">
        <v>0.0</v>
      </c>
      <c r="EK188" s="62">
        <v>0.0</v>
      </c>
      <c r="EL188" s="62">
        <v>0.0</v>
      </c>
      <c r="EM188" s="62">
        <v>0.0</v>
      </c>
      <c r="EN188" s="62">
        <v>0.0</v>
      </c>
      <c r="EO188" s="62">
        <v>0.0</v>
      </c>
      <c r="EP188" s="62">
        <v>21614.0</v>
      </c>
      <c r="EQ188" s="62">
        <v>527.0</v>
      </c>
      <c r="ER188" s="62">
        <v>1115.0</v>
      </c>
      <c r="ES188" s="62">
        <v>827.0</v>
      </c>
      <c r="ET188" s="62">
        <v>58607.0</v>
      </c>
      <c r="EU188" s="62">
        <v>0.0</v>
      </c>
      <c r="EV188" s="62">
        <v>0.0</v>
      </c>
      <c r="EW188" s="62">
        <v>0.0</v>
      </c>
      <c r="EX188" s="62">
        <v>0.0</v>
      </c>
      <c r="EY188" s="62">
        <v>0.0</v>
      </c>
      <c r="EZ188" s="62">
        <v>155703.0</v>
      </c>
      <c r="FA188" s="62">
        <v>99180.0</v>
      </c>
      <c r="FB188" s="62">
        <v>1249415.0</v>
      </c>
      <c r="FC188" s="62">
        <v>0.0</v>
      </c>
      <c r="FD188" s="62">
        <v>0.0</v>
      </c>
      <c r="FE188" s="62">
        <v>0.0</v>
      </c>
      <c r="FF188" s="62">
        <v>0.0</v>
      </c>
      <c r="FG188" s="62">
        <v>0.0</v>
      </c>
      <c r="FH188" s="62">
        <v>133494.0</v>
      </c>
      <c r="FI188" s="62">
        <v>3536.0</v>
      </c>
      <c r="FJ188" s="62">
        <v>13144.0</v>
      </c>
      <c r="FK188" s="62">
        <v>221539.0</v>
      </c>
      <c r="FL188" s="62">
        <v>1.1558077E7</v>
      </c>
      <c r="FM188" s="62">
        <v>3444829.0</v>
      </c>
      <c r="FN188" s="62">
        <v>20237.0</v>
      </c>
      <c r="FO188" s="62">
        <v>33722.0</v>
      </c>
      <c r="FP188" s="62">
        <v>63482.0</v>
      </c>
      <c r="FQ188" s="62">
        <v>455.0</v>
      </c>
      <c r="FR188" s="62">
        <v>3.0</v>
      </c>
      <c r="FS188" s="62">
        <v>42396.0</v>
      </c>
      <c r="FT188" s="62">
        <v>2359437.0</v>
      </c>
      <c r="FU188" s="62">
        <v>1669457.0</v>
      </c>
      <c r="FV188" s="62">
        <v>46204.0</v>
      </c>
      <c r="FW188" s="62">
        <v>240460.0</v>
      </c>
      <c r="FX188" s="62">
        <v>14937.0</v>
      </c>
      <c r="FY188" s="62">
        <v>17791.0</v>
      </c>
      <c r="FZ188" s="62">
        <v>130709.0</v>
      </c>
      <c r="GA188" s="62">
        <v>9637.0</v>
      </c>
      <c r="GB188" s="62">
        <v>17719.0</v>
      </c>
      <c r="GC188" s="62">
        <v>290959.0</v>
      </c>
      <c r="GD188" s="62">
        <v>2658.0</v>
      </c>
      <c r="GE188" s="62">
        <v>8167.0</v>
      </c>
      <c r="GF188" s="63">
        <v>2.1976775E7</v>
      </c>
      <c r="GG188" s="64">
        <v>6.4365194E7</v>
      </c>
      <c r="GH188" s="65">
        <v>4405116.0</v>
      </c>
      <c r="GI188" s="64">
        <v>0.0</v>
      </c>
      <c r="GJ188" s="64">
        <v>0.0</v>
      </c>
      <c r="GK188" s="64">
        <v>0.0</v>
      </c>
      <c r="GL188" s="64">
        <v>0.0</v>
      </c>
      <c r="GM188" s="64">
        <v>2954285.0</v>
      </c>
      <c r="GN188" s="63">
        <v>7.1724595E7</v>
      </c>
      <c r="GO188" s="66">
        <v>9.370137E7</v>
      </c>
      <c r="GP188" s="64">
        <v>0.0</v>
      </c>
      <c r="GQ188" s="64">
        <v>2141875.0</v>
      </c>
      <c r="GR188" s="65">
        <v>0.0</v>
      </c>
      <c r="GS188" s="63">
        <v>2141875.0</v>
      </c>
      <c r="GT188" s="67">
        <v>0.0</v>
      </c>
      <c r="GU188" s="67">
        <v>71502.0</v>
      </c>
      <c r="GV188" s="67">
        <v>1090.0</v>
      </c>
      <c r="GW188" s="63">
        <v>72592.0</v>
      </c>
      <c r="GX188" s="63">
        <v>787708.0</v>
      </c>
      <c r="GY188" s="63">
        <v>9.0699195E7</v>
      </c>
      <c r="GZ188" s="66">
        <v>9.370137E7</v>
      </c>
      <c r="HH188" s="106"/>
    </row>
    <row r="189" ht="15.75" customHeight="1">
      <c r="A189" s="60">
        <v>184.0</v>
      </c>
      <c r="B189" s="111" t="s">
        <v>585</v>
      </c>
      <c r="C189" s="62">
        <v>0.0</v>
      </c>
      <c r="D189" s="62">
        <v>0.0</v>
      </c>
      <c r="E189" s="62">
        <v>0.0</v>
      </c>
      <c r="F189" s="62">
        <v>0.0</v>
      </c>
      <c r="G189" s="62">
        <v>0.0</v>
      </c>
      <c r="H189" s="62">
        <v>0.0</v>
      </c>
      <c r="I189" s="62">
        <v>0.0</v>
      </c>
      <c r="J189" s="62">
        <v>0.0</v>
      </c>
      <c r="K189" s="62">
        <v>0.0</v>
      </c>
      <c r="L189" s="62">
        <v>16347.0</v>
      </c>
      <c r="M189" s="62">
        <v>805.0</v>
      </c>
      <c r="N189" s="62">
        <v>324.0</v>
      </c>
      <c r="O189" s="62">
        <v>2694.0</v>
      </c>
      <c r="P189" s="62">
        <v>8.0</v>
      </c>
      <c r="Q189" s="62">
        <v>27.0</v>
      </c>
      <c r="R189" s="62">
        <v>615.0</v>
      </c>
      <c r="S189" s="62">
        <v>0.0</v>
      </c>
      <c r="T189" s="62">
        <v>18.0</v>
      </c>
      <c r="U189" s="62">
        <v>11.0</v>
      </c>
      <c r="V189" s="62">
        <v>4.0</v>
      </c>
      <c r="W189" s="62">
        <v>7.0</v>
      </c>
      <c r="X189" s="62">
        <v>405.0</v>
      </c>
      <c r="Y189" s="62">
        <v>67.0</v>
      </c>
      <c r="Z189" s="62">
        <v>21.0</v>
      </c>
      <c r="AA189" s="62">
        <v>0.0</v>
      </c>
      <c r="AB189" s="62">
        <v>1923.0</v>
      </c>
      <c r="AC189" s="62">
        <v>20.0</v>
      </c>
      <c r="AD189" s="62">
        <v>3706.0</v>
      </c>
      <c r="AE189" s="62">
        <v>424.0</v>
      </c>
      <c r="AF189" s="62">
        <v>288102.0</v>
      </c>
      <c r="AG189" s="62">
        <v>1351.0</v>
      </c>
      <c r="AH189" s="62">
        <v>192.0</v>
      </c>
      <c r="AI189" s="62">
        <v>17871.0</v>
      </c>
      <c r="AJ189" s="62">
        <v>1317.0</v>
      </c>
      <c r="AK189" s="62">
        <v>165.0</v>
      </c>
      <c r="AL189" s="62">
        <v>365.0</v>
      </c>
      <c r="AM189" s="62">
        <v>0.0</v>
      </c>
      <c r="AN189" s="62">
        <v>260.0</v>
      </c>
      <c r="AO189" s="62">
        <v>4104.0</v>
      </c>
      <c r="AP189" s="62">
        <v>14.0</v>
      </c>
      <c r="AQ189" s="62">
        <v>917.0</v>
      </c>
      <c r="AR189" s="62">
        <v>106.0</v>
      </c>
      <c r="AS189" s="62">
        <v>3989.0</v>
      </c>
      <c r="AT189" s="62">
        <v>345.0</v>
      </c>
      <c r="AU189" s="62">
        <v>2725.0</v>
      </c>
      <c r="AV189" s="62">
        <v>1253.0</v>
      </c>
      <c r="AW189" s="62">
        <v>97.0</v>
      </c>
      <c r="AX189" s="62">
        <v>163526.0</v>
      </c>
      <c r="AY189" s="62">
        <v>8210.0</v>
      </c>
      <c r="AZ189" s="62">
        <v>21.0</v>
      </c>
      <c r="BA189" s="62">
        <v>1430.0</v>
      </c>
      <c r="BB189" s="62">
        <v>2159.0</v>
      </c>
      <c r="BC189" s="62">
        <v>41.0</v>
      </c>
      <c r="BD189" s="62">
        <v>34.0</v>
      </c>
      <c r="BE189" s="62">
        <v>57.0</v>
      </c>
      <c r="BF189" s="62">
        <v>103.0</v>
      </c>
      <c r="BG189" s="62">
        <v>26.0</v>
      </c>
      <c r="BH189" s="62">
        <v>1293.0</v>
      </c>
      <c r="BI189" s="62">
        <v>0.0</v>
      </c>
      <c r="BJ189" s="62">
        <v>0.0</v>
      </c>
      <c r="BK189" s="62">
        <v>163.0</v>
      </c>
      <c r="BL189" s="62">
        <v>0.0</v>
      </c>
      <c r="BM189" s="62">
        <v>24.0</v>
      </c>
      <c r="BN189" s="62">
        <v>0.0</v>
      </c>
      <c r="BO189" s="62">
        <v>0.0</v>
      </c>
      <c r="BP189" s="62">
        <v>0.0</v>
      </c>
      <c r="BQ189" s="62">
        <v>0.0</v>
      </c>
      <c r="BR189" s="62">
        <v>0.0</v>
      </c>
      <c r="BS189" s="62">
        <v>0.0</v>
      </c>
      <c r="BT189" s="62">
        <v>0.0</v>
      </c>
      <c r="BU189" s="62">
        <v>0.0</v>
      </c>
      <c r="BV189" s="62">
        <v>0.0</v>
      </c>
      <c r="BW189" s="62">
        <v>0.0</v>
      </c>
      <c r="BX189" s="62">
        <v>84.0</v>
      </c>
      <c r="BY189" s="62">
        <v>2997.0</v>
      </c>
      <c r="BZ189" s="62">
        <v>71.0</v>
      </c>
      <c r="CA189" s="62">
        <v>21925.0</v>
      </c>
      <c r="CB189" s="62">
        <v>5726.0</v>
      </c>
      <c r="CC189" s="62">
        <v>1269.0</v>
      </c>
      <c r="CD189" s="62">
        <v>837.0</v>
      </c>
      <c r="CE189" s="62">
        <v>511.0</v>
      </c>
      <c r="CF189" s="62">
        <v>542.0</v>
      </c>
      <c r="CG189" s="62">
        <v>299.0</v>
      </c>
      <c r="CH189" s="62">
        <v>231.0</v>
      </c>
      <c r="CI189" s="62">
        <v>845.0</v>
      </c>
      <c r="CJ189" s="62">
        <v>0.0</v>
      </c>
      <c r="CK189" s="62">
        <v>0.0</v>
      </c>
      <c r="CL189" s="62">
        <v>0.0</v>
      </c>
      <c r="CM189" s="62">
        <v>11.0</v>
      </c>
      <c r="CN189" s="62">
        <v>0.0</v>
      </c>
      <c r="CO189" s="62">
        <v>1241.0</v>
      </c>
      <c r="CP189" s="62">
        <v>2524.0</v>
      </c>
      <c r="CQ189" s="62">
        <v>942.0</v>
      </c>
      <c r="CR189" s="62">
        <v>5630.0</v>
      </c>
      <c r="CS189" s="62">
        <v>166837.0</v>
      </c>
      <c r="CT189" s="62">
        <v>66711.0</v>
      </c>
      <c r="CU189" s="62">
        <v>22573.0</v>
      </c>
      <c r="CV189" s="62">
        <v>42191.0</v>
      </c>
      <c r="CW189" s="62">
        <v>4593.0</v>
      </c>
      <c r="CX189" s="62">
        <v>11077.0</v>
      </c>
      <c r="CY189" s="62">
        <v>757.0</v>
      </c>
      <c r="CZ189" s="62">
        <v>12985.0</v>
      </c>
      <c r="DA189" s="62">
        <v>18543.0</v>
      </c>
      <c r="DB189" s="62">
        <v>14815.0</v>
      </c>
      <c r="DC189" s="62">
        <v>26823.0</v>
      </c>
      <c r="DD189" s="62">
        <v>5977.0</v>
      </c>
      <c r="DE189" s="62">
        <v>0.0</v>
      </c>
      <c r="DF189" s="62">
        <v>0.0</v>
      </c>
      <c r="DG189" s="62">
        <v>0.0</v>
      </c>
      <c r="DH189" s="62">
        <v>9.0</v>
      </c>
      <c r="DI189" s="62">
        <v>2679.0</v>
      </c>
      <c r="DJ189" s="62">
        <v>3000.0</v>
      </c>
      <c r="DK189" s="62">
        <v>3671.0</v>
      </c>
      <c r="DL189" s="62">
        <v>6457.0</v>
      </c>
      <c r="DM189" s="62">
        <v>2359.0</v>
      </c>
      <c r="DN189" s="62">
        <v>275.0</v>
      </c>
      <c r="DO189" s="62">
        <v>815.0</v>
      </c>
      <c r="DP189" s="62">
        <v>0.0</v>
      </c>
      <c r="DQ189" s="62">
        <v>0.0</v>
      </c>
      <c r="DR189" s="62">
        <v>694.0</v>
      </c>
      <c r="DS189" s="62">
        <v>7810.0</v>
      </c>
      <c r="DT189" s="62">
        <v>5719.0</v>
      </c>
      <c r="DU189" s="62">
        <v>0.0</v>
      </c>
      <c r="DV189" s="62">
        <v>0.0</v>
      </c>
      <c r="DW189" s="62">
        <v>0.0</v>
      </c>
      <c r="DX189" s="62">
        <v>0.0</v>
      </c>
      <c r="DY189" s="62">
        <v>0.0</v>
      </c>
      <c r="DZ189" s="62">
        <v>42.0</v>
      </c>
      <c r="EA189" s="62">
        <v>99.0</v>
      </c>
      <c r="EB189" s="62">
        <v>3064.0</v>
      </c>
      <c r="EC189" s="62">
        <v>0.0</v>
      </c>
      <c r="ED189" s="62">
        <v>0.0</v>
      </c>
      <c r="EE189" s="62">
        <v>0.0</v>
      </c>
      <c r="EF189" s="62">
        <v>0.0</v>
      </c>
      <c r="EG189" s="62">
        <v>0.0</v>
      </c>
      <c r="EH189" s="62">
        <v>0.0</v>
      </c>
      <c r="EI189" s="62">
        <v>2072.0</v>
      </c>
      <c r="EJ189" s="62">
        <v>0.0</v>
      </c>
      <c r="EK189" s="62">
        <v>0.0</v>
      </c>
      <c r="EL189" s="62">
        <v>0.0</v>
      </c>
      <c r="EM189" s="62">
        <v>0.0</v>
      </c>
      <c r="EN189" s="62">
        <v>0.0</v>
      </c>
      <c r="EO189" s="62">
        <v>0.0</v>
      </c>
      <c r="EP189" s="62">
        <v>3075.0</v>
      </c>
      <c r="EQ189" s="62">
        <v>1815.0</v>
      </c>
      <c r="ER189" s="62">
        <v>13.0</v>
      </c>
      <c r="ES189" s="62">
        <v>3969.0</v>
      </c>
      <c r="ET189" s="62">
        <v>5162.0</v>
      </c>
      <c r="EU189" s="62">
        <v>326439.0</v>
      </c>
      <c r="EV189" s="62">
        <v>1155.0</v>
      </c>
      <c r="EW189" s="62">
        <v>960.0</v>
      </c>
      <c r="EX189" s="62">
        <v>3543.0</v>
      </c>
      <c r="EY189" s="62">
        <v>378168.0</v>
      </c>
      <c r="EZ189" s="62">
        <v>21280.0</v>
      </c>
      <c r="FA189" s="62">
        <v>18933.0</v>
      </c>
      <c r="FB189" s="62">
        <v>159700.0</v>
      </c>
      <c r="FC189" s="62">
        <v>1715.0</v>
      </c>
      <c r="FD189" s="62">
        <v>62081.0</v>
      </c>
      <c r="FE189" s="62">
        <v>99968.0</v>
      </c>
      <c r="FF189" s="62">
        <v>5259.0</v>
      </c>
      <c r="FG189" s="62">
        <v>313492.0</v>
      </c>
      <c r="FH189" s="62">
        <v>372517.0</v>
      </c>
      <c r="FI189" s="62">
        <v>157505.0</v>
      </c>
      <c r="FJ189" s="62">
        <v>1499.0</v>
      </c>
      <c r="FK189" s="62">
        <v>4963.0</v>
      </c>
      <c r="FL189" s="62">
        <v>299525.0</v>
      </c>
      <c r="FM189" s="62">
        <v>85463.0</v>
      </c>
      <c r="FN189" s="62">
        <v>510586.0</v>
      </c>
      <c r="FO189" s="62">
        <v>642753.0</v>
      </c>
      <c r="FP189" s="62">
        <v>47094.0</v>
      </c>
      <c r="FQ189" s="62">
        <v>3137.0</v>
      </c>
      <c r="FR189" s="62">
        <v>5.0</v>
      </c>
      <c r="FS189" s="62">
        <v>158787.0</v>
      </c>
      <c r="FT189" s="62">
        <v>15644.0</v>
      </c>
      <c r="FU189" s="62">
        <v>44457.0</v>
      </c>
      <c r="FV189" s="62">
        <v>134979.0</v>
      </c>
      <c r="FW189" s="62">
        <v>1574154.0</v>
      </c>
      <c r="FX189" s="62">
        <v>1434043.0</v>
      </c>
      <c r="FY189" s="62">
        <v>2221896.0</v>
      </c>
      <c r="FZ189" s="62">
        <v>59110.0</v>
      </c>
      <c r="GA189" s="62">
        <v>699738.0</v>
      </c>
      <c r="GB189" s="62">
        <v>585168.0</v>
      </c>
      <c r="GC189" s="62">
        <v>236876.0</v>
      </c>
      <c r="GD189" s="62">
        <v>26018.0</v>
      </c>
      <c r="GE189" s="62">
        <v>3400537.0</v>
      </c>
      <c r="GF189" s="63">
        <v>1.5129199E7</v>
      </c>
      <c r="GG189" s="64">
        <v>2.6070512E7</v>
      </c>
      <c r="GH189" s="65">
        <v>0.0</v>
      </c>
      <c r="GI189" s="64">
        <v>0.0</v>
      </c>
      <c r="GJ189" s="64">
        <v>0.0</v>
      </c>
      <c r="GK189" s="64">
        <v>0.0</v>
      </c>
      <c r="GL189" s="64">
        <v>0.0</v>
      </c>
      <c r="GM189" s="64">
        <v>0.0</v>
      </c>
      <c r="GN189" s="63">
        <v>2.6070512E7</v>
      </c>
      <c r="GO189" s="66">
        <v>4.1199711E7</v>
      </c>
      <c r="GP189" s="64">
        <v>0.0</v>
      </c>
      <c r="GQ189" s="64">
        <v>0.0</v>
      </c>
      <c r="GR189" s="65">
        <v>0.0</v>
      </c>
      <c r="GS189" s="63">
        <v>0.0</v>
      </c>
      <c r="GT189" s="67">
        <v>0.0</v>
      </c>
      <c r="GU189" s="67">
        <v>0.0</v>
      </c>
      <c r="GV189" s="67">
        <v>0.0</v>
      </c>
      <c r="GW189" s="63">
        <v>0.0</v>
      </c>
      <c r="GX189" s="63">
        <v>1060211.0</v>
      </c>
      <c r="GY189" s="63">
        <v>4.01395E7</v>
      </c>
      <c r="GZ189" s="66">
        <v>4.1199711E7</v>
      </c>
    </row>
    <row r="190" ht="15.75" customHeight="1">
      <c r="A190" s="68">
        <v>185.0</v>
      </c>
      <c r="B190" s="111" t="s">
        <v>455</v>
      </c>
      <c r="C190" s="70">
        <v>85842.0</v>
      </c>
      <c r="D190" s="70">
        <v>50909.0</v>
      </c>
      <c r="E190" s="70">
        <v>35.0</v>
      </c>
      <c r="F190" s="70">
        <v>34162.0</v>
      </c>
      <c r="G190" s="70">
        <v>2003.0</v>
      </c>
      <c r="H190" s="70">
        <v>21328.0</v>
      </c>
      <c r="I190" s="70">
        <v>1541.0</v>
      </c>
      <c r="J190" s="70">
        <v>7360.0</v>
      </c>
      <c r="K190" s="70">
        <v>9.0</v>
      </c>
      <c r="L190" s="70">
        <v>93932.0</v>
      </c>
      <c r="M190" s="70">
        <v>1621.0</v>
      </c>
      <c r="N190" s="70">
        <v>0.0</v>
      </c>
      <c r="O190" s="70">
        <v>15779.0</v>
      </c>
      <c r="P190" s="70">
        <v>0.0</v>
      </c>
      <c r="Q190" s="70">
        <v>2565.0</v>
      </c>
      <c r="R190" s="70">
        <v>163620.0</v>
      </c>
      <c r="S190" s="70">
        <v>0.0</v>
      </c>
      <c r="T190" s="70">
        <v>1454.0</v>
      </c>
      <c r="U190" s="70">
        <v>405.0</v>
      </c>
      <c r="V190" s="70">
        <v>9494.0</v>
      </c>
      <c r="W190" s="70">
        <v>30.0</v>
      </c>
      <c r="X190" s="70">
        <v>483.0</v>
      </c>
      <c r="Y190" s="70">
        <v>638.0</v>
      </c>
      <c r="Z190" s="70">
        <v>1588.0</v>
      </c>
      <c r="AA190" s="70">
        <v>1818.0</v>
      </c>
      <c r="AB190" s="70">
        <v>0.0</v>
      </c>
      <c r="AC190" s="70">
        <v>0.0</v>
      </c>
      <c r="AD190" s="70">
        <v>0.0</v>
      </c>
      <c r="AE190" s="70">
        <v>0.0</v>
      </c>
      <c r="AF190" s="70">
        <v>2769.0</v>
      </c>
      <c r="AG190" s="70">
        <v>150307.0</v>
      </c>
      <c r="AH190" s="70">
        <v>14308.0</v>
      </c>
      <c r="AI190" s="70">
        <v>0.0</v>
      </c>
      <c r="AJ190" s="70">
        <v>0.0</v>
      </c>
      <c r="AK190" s="70">
        <v>0.0</v>
      </c>
      <c r="AL190" s="70">
        <v>0.0</v>
      </c>
      <c r="AM190" s="70">
        <v>152081.0</v>
      </c>
      <c r="AN190" s="70">
        <v>13551.0</v>
      </c>
      <c r="AO190" s="70">
        <v>8750.0</v>
      </c>
      <c r="AP190" s="70">
        <v>77.0</v>
      </c>
      <c r="AQ190" s="70">
        <v>656.0</v>
      </c>
      <c r="AR190" s="70">
        <v>5100.0</v>
      </c>
      <c r="AS190" s="70">
        <v>25097.0</v>
      </c>
      <c r="AT190" s="70">
        <v>14020.0</v>
      </c>
      <c r="AU190" s="70">
        <v>108.0</v>
      </c>
      <c r="AV190" s="70">
        <v>141083.0</v>
      </c>
      <c r="AW190" s="70">
        <v>78.0</v>
      </c>
      <c r="AX190" s="70">
        <v>0.0</v>
      </c>
      <c r="AY190" s="70">
        <v>34.0</v>
      </c>
      <c r="AZ190" s="70">
        <v>16857.0</v>
      </c>
      <c r="BA190" s="70">
        <v>594.0</v>
      </c>
      <c r="BB190" s="70">
        <v>538.0</v>
      </c>
      <c r="BC190" s="70">
        <v>1189.0</v>
      </c>
      <c r="BD190" s="70">
        <v>87.0</v>
      </c>
      <c r="BE190" s="70">
        <v>8837.0</v>
      </c>
      <c r="BF190" s="70">
        <v>30301.0</v>
      </c>
      <c r="BG190" s="70">
        <v>2285.0</v>
      </c>
      <c r="BH190" s="70">
        <v>10613.0</v>
      </c>
      <c r="BI190" s="70">
        <v>1681.0</v>
      </c>
      <c r="BJ190" s="70">
        <v>19432.0</v>
      </c>
      <c r="BK190" s="70">
        <v>1625.0</v>
      </c>
      <c r="BL190" s="70">
        <v>680.0</v>
      </c>
      <c r="BM190" s="70">
        <v>0.0</v>
      </c>
      <c r="BN190" s="70">
        <v>0.0</v>
      </c>
      <c r="BO190" s="70">
        <v>255.0</v>
      </c>
      <c r="BP190" s="70">
        <v>0.0</v>
      </c>
      <c r="BQ190" s="70">
        <v>0.0</v>
      </c>
      <c r="BR190" s="70">
        <v>0.0</v>
      </c>
      <c r="BS190" s="70">
        <v>0.0</v>
      </c>
      <c r="BT190" s="70">
        <v>18093.0</v>
      </c>
      <c r="BU190" s="70">
        <v>8020.0</v>
      </c>
      <c r="BV190" s="70">
        <v>0.0</v>
      </c>
      <c r="BW190" s="70">
        <v>823.0</v>
      </c>
      <c r="BX190" s="70">
        <v>43135.0</v>
      </c>
      <c r="BY190" s="70">
        <v>93878.0</v>
      </c>
      <c r="BZ190" s="70">
        <v>7468.0</v>
      </c>
      <c r="CA190" s="70">
        <v>354268.0</v>
      </c>
      <c r="CB190" s="70">
        <v>213949.0</v>
      </c>
      <c r="CC190" s="70">
        <v>25520.0</v>
      </c>
      <c r="CD190" s="70">
        <v>22517.0</v>
      </c>
      <c r="CE190" s="70">
        <v>31981.0</v>
      </c>
      <c r="CF190" s="70">
        <v>237805.0</v>
      </c>
      <c r="CG190" s="70">
        <v>23834.0</v>
      </c>
      <c r="CH190" s="70">
        <v>32473.0</v>
      </c>
      <c r="CI190" s="70">
        <v>123397.0</v>
      </c>
      <c r="CJ190" s="70">
        <v>4519.0</v>
      </c>
      <c r="CK190" s="70">
        <v>0.0</v>
      </c>
      <c r="CL190" s="70">
        <v>0.0</v>
      </c>
      <c r="CM190" s="70">
        <v>1996.0</v>
      </c>
      <c r="CN190" s="70">
        <v>0.0</v>
      </c>
      <c r="CO190" s="70">
        <v>408.0</v>
      </c>
      <c r="CP190" s="70">
        <v>1342.0</v>
      </c>
      <c r="CQ190" s="70">
        <v>0.0</v>
      </c>
      <c r="CR190" s="70">
        <v>25566.0</v>
      </c>
      <c r="CS190" s="70">
        <v>92834.0</v>
      </c>
      <c r="CT190" s="70">
        <v>63483.0</v>
      </c>
      <c r="CU190" s="70">
        <v>20257.0</v>
      </c>
      <c r="CV190" s="70">
        <v>38341.0</v>
      </c>
      <c r="CW190" s="70">
        <v>4124.0</v>
      </c>
      <c r="CX190" s="70">
        <v>9944.0</v>
      </c>
      <c r="CY190" s="70">
        <v>677.0</v>
      </c>
      <c r="CZ190" s="70">
        <v>11887.0</v>
      </c>
      <c r="DA190" s="70">
        <v>15311.0</v>
      </c>
      <c r="DB190" s="70">
        <v>56390.0</v>
      </c>
      <c r="DC190" s="70">
        <v>564137.0</v>
      </c>
      <c r="DD190" s="70">
        <v>8229.0</v>
      </c>
      <c r="DE190" s="70">
        <v>64121.0</v>
      </c>
      <c r="DF190" s="70">
        <v>77832.0</v>
      </c>
      <c r="DG190" s="70">
        <v>8810.0</v>
      </c>
      <c r="DH190" s="70">
        <v>214192.0</v>
      </c>
      <c r="DI190" s="70">
        <v>40235.0</v>
      </c>
      <c r="DJ190" s="70">
        <v>13264.0</v>
      </c>
      <c r="DK190" s="70">
        <v>41215.0</v>
      </c>
      <c r="DL190" s="70">
        <v>29066.0</v>
      </c>
      <c r="DM190" s="70">
        <v>10630.0</v>
      </c>
      <c r="DN190" s="70">
        <v>1303.0</v>
      </c>
      <c r="DO190" s="70">
        <v>17610.0</v>
      </c>
      <c r="DP190" s="70">
        <v>0.0</v>
      </c>
      <c r="DQ190" s="70">
        <v>12004.0</v>
      </c>
      <c r="DR190" s="70">
        <v>23331.0</v>
      </c>
      <c r="DS190" s="70">
        <v>621.0</v>
      </c>
      <c r="DT190" s="70">
        <v>0.0</v>
      </c>
      <c r="DU190" s="70">
        <v>0.0</v>
      </c>
      <c r="DV190" s="70">
        <v>0.0</v>
      </c>
      <c r="DW190" s="70">
        <v>0.0</v>
      </c>
      <c r="DX190" s="70">
        <v>126.0</v>
      </c>
      <c r="DY190" s="70">
        <v>0.0</v>
      </c>
      <c r="DZ190" s="70">
        <v>0.0</v>
      </c>
      <c r="EA190" s="70">
        <v>0.0</v>
      </c>
      <c r="EB190" s="70">
        <v>0.0</v>
      </c>
      <c r="EC190" s="70">
        <v>0.0</v>
      </c>
      <c r="ED190" s="70">
        <v>0.0</v>
      </c>
      <c r="EE190" s="70">
        <v>0.0</v>
      </c>
      <c r="EF190" s="70">
        <v>0.0</v>
      </c>
      <c r="EG190" s="70">
        <v>20748.0</v>
      </c>
      <c r="EH190" s="70">
        <v>16318.0</v>
      </c>
      <c r="EI190" s="70">
        <v>2683.0</v>
      </c>
      <c r="EJ190" s="70">
        <v>0.0</v>
      </c>
      <c r="EK190" s="70">
        <v>17.0</v>
      </c>
      <c r="EL190" s="70">
        <v>349.0</v>
      </c>
      <c r="EM190" s="70">
        <v>223.0</v>
      </c>
      <c r="EN190" s="70">
        <v>252.0</v>
      </c>
      <c r="EO190" s="70">
        <v>372.0</v>
      </c>
      <c r="EP190" s="70">
        <v>7987.0</v>
      </c>
      <c r="EQ190" s="70">
        <v>7363.0</v>
      </c>
      <c r="ER190" s="70">
        <v>650367.0</v>
      </c>
      <c r="ES190" s="70">
        <v>116513.0</v>
      </c>
      <c r="ET190" s="70">
        <v>11475.0</v>
      </c>
      <c r="EU190" s="70">
        <v>1.3547976E7</v>
      </c>
      <c r="EV190" s="70">
        <v>39328.0</v>
      </c>
      <c r="EW190" s="70">
        <v>32570.0</v>
      </c>
      <c r="EX190" s="70">
        <v>188817.0</v>
      </c>
      <c r="EY190" s="70">
        <v>1400175.0</v>
      </c>
      <c r="EZ190" s="70">
        <v>338199.0</v>
      </c>
      <c r="FA190" s="70">
        <v>256389.0</v>
      </c>
      <c r="FB190" s="70">
        <v>2032490.0</v>
      </c>
      <c r="FC190" s="70">
        <v>2909.0</v>
      </c>
      <c r="FD190" s="70">
        <v>3909627.0</v>
      </c>
      <c r="FE190" s="70">
        <v>497123.0</v>
      </c>
      <c r="FF190" s="70">
        <v>286150.0</v>
      </c>
      <c r="FG190" s="70">
        <v>877635.0</v>
      </c>
      <c r="FH190" s="70">
        <v>1900701.0</v>
      </c>
      <c r="FI190" s="70">
        <v>305758.0</v>
      </c>
      <c r="FJ190" s="70">
        <v>6277.0</v>
      </c>
      <c r="FK190" s="70">
        <v>36854.0</v>
      </c>
      <c r="FL190" s="70">
        <v>129066.0</v>
      </c>
      <c r="FM190" s="70">
        <v>795315.0</v>
      </c>
      <c r="FN190" s="70">
        <v>2742906.0</v>
      </c>
      <c r="FO190" s="70">
        <v>1463559.0</v>
      </c>
      <c r="FP190" s="70">
        <v>62702.0</v>
      </c>
      <c r="FQ190" s="70">
        <v>361932.0</v>
      </c>
      <c r="FR190" s="70">
        <v>54.0</v>
      </c>
      <c r="FS190" s="70">
        <v>1927.0</v>
      </c>
      <c r="FT190" s="70">
        <v>120464.0</v>
      </c>
      <c r="FU190" s="70">
        <v>549079.0</v>
      </c>
      <c r="FV190" s="70">
        <v>313522.0</v>
      </c>
      <c r="FW190" s="70">
        <v>1376220.0</v>
      </c>
      <c r="FX190" s="70">
        <v>166317.0</v>
      </c>
      <c r="FY190" s="70">
        <v>1039980.0</v>
      </c>
      <c r="FZ190" s="70">
        <v>45542.0</v>
      </c>
      <c r="GA190" s="70">
        <v>1651260.0</v>
      </c>
      <c r="GB190" s="70">
        <v>597583.0</v>
      </c>
      <c r="GC190" s="70">
        <v>227324.0</v>
      </c>
      <c r="GD190" s="70">
        <v>35057.0</v>
      </c>
      <c r="GE190" s="70">
        <v>4609959.0</v>
      </c>
      <c r="GF190" s="71">
        <v>4.6613988E7</v>
      </c>
      <c r="GG190" s="72">
        <v>1.29653082E8</v>
      </c>
      <c r="GH190" s="73">
        <v>1.58040002E8</v>
      </c>
      <c r="GI190" s="72">
        <v>0.0</v>
      </c>
      <c r="GJ190" s="72">
        <v>0.0</v>
      </c>
      <c r="GK190" s="72">
        <v>0.0</v>
      </c>
      <c r="GL190" s="72">
        <v>0.0</v>
      </c>
      <c r="GM190" s="72">
        <v>1120547.0</v>
      </c>
      <c r="GN190" s="71">
        <v>2.88813631E8</v>
      </c>
      <c r="GO190" s="74">
        <v>3.35427619E8</v>
      </c>
      <c r="GP190" s="72">
        <v>0.0</v>
      </c>
      <c r="GQ190" s="72">
        <v>652481.0</v>
      </c>
      <c r="GR190" s="73">
        <v>0.0</v>
      </c>
      <c r="GS190" s="71">
        <v>652481.0</v>
      </c>
      <c r="GT190" s="75">
        <v>0.0</v>
      </c>
      <c r="GU190" s="75">
        <v>0.0</v>
      </c>
      <c r="GV190" s="75">
        <v>0.0</v>
      </c>
      <c r="GW190" s="71">
        <v>0.0</v>
      </c>
      <c r="GX190" s="71">
        <v>2848763.0</v>
      </c>
      <c r="GY190" s="71">
        <v>3.31926375E8</v>
      </c>
      <c r="GZ190" s="74">
        <v>3.35427619E8</v>
      </c>
    </row>
    <row r="191" ht="15.75" customHeight="1">
      <c r="A191" s="76" t="s">
        <v>252</v>
      </c>
      <c r="B191" s="3" t="s">
        <v>617</v>
      </c>
      <c r="C191" s="78">
        <v>0.0</v>
      </c>
      <c r="D191" s="78">
        <v>0.0</v>
      </c>
      <c r="E191" s="78">
        <v>0.0</v>
      </c>
      <c r="F191" s="78">
        <v>0.0</v>
      </c>
      <c r="G191" s="78">
        <v>0.0</v>
      </c>
      <c r="H191" s="78">
        <v>0.0</v>
      </c>
      <c r="I191" s="78">
        <v>0.0</v>
      </c>
      <c r="J191" s="78">
        <v>0.0</v>
      </c>
      <c r="K191" s="78">
        <v>0.0</v>
      </c>
      <c r="L191" s="78">
        <v>0.0</v>
      </c>
      <c r="M191" s="78">
        <v>0.0</v>
      </c>
      <c r="N191" s="78">
        <v>0.0</v>
      </c>
      <c r="O191" s="78">
        <v>0.0</v>
      </c>
      <c r="P191" s="78">
        <v>0.0</v>
      </c>
      <c r="Q191" s="78">
        <v>0.0</v>
      </c>
      <c r="R191" s="78">
        <v>0.0</v>
      </c>
      <c r="S191" s="78">
        <v>0.0</v>
      </c>
      <c r="T191" s="78">
        <v>0.0</v>
      </c>
      <c r="U191" s="78">
        <v>0.0</v>
      </c>
      <c r="V191" s="78">
        <v>0.0</v>
      </c>
      <c r="W191" s="78">
        <v>0.0</v>
      </c>
      <c r="X191" s="78">
        <v>0.0</v>
      </c>
      <c r="Y191" s="78">
        <v>0.0</v>
      </c>
      <c r="Z191" s="78">
        <v>0.0</v>
      </c>
      <c r="AA191" s="78">
        <v>0.0</v>
      </c>
      <c r="AB191" s="78">
        <v>0.0</v>
      </c>
      <c r="AC191" s="78">
        <v>0.0</v>
      </c>
      <c r="AD191" s="78">
        <v>0.0</v>
      </c>
      <c r="AE191" s="78">
        <v>0.0</v>
      </c>
      <c r="AF191" s="78">
        <v>0.0</v>
      </c>
      <c r="AG191" s="78">
        <v>0.0</v>
      </c>
      <c r="AH191" s="78">
        <v>0.0</v>
      </c>
      <c r="AI191" s="78">
        <v>0.0</v>
      </c>
      <c r="AJ191" s="78">
        <v>0.0</v>
      </c>
      <c r="AK191" s="78">
        <v>0.0</v>
      </c>
      <c r="AL191" s="78">
        <v>0.0</v>
      </c>
      <c r="AM191" s="78">
        <v>0.0</v>
      </c>
      <c r="AN191" s="78">
        <v>0.0</v>
      </c>
      <c r="AO191" s="78">
        <v>0.0</v>
      </c>
      <c r="AP191" s="78">
        <v>0.0</v>
      </c>
      <c r="AQ191" s="78">
        <v>0.0</v>
      </c>
      <c r="AR191" s="78">
        <v>0.0</v>
      </c>
      <c r="AS191" s="78">
        <v>0.0</v>
      </c>
      <c r="AT191" s="78">
        <v>0.0</v>
      </c>
      <c r="AU191" s="78">
        <v>0.0</v>
      </c>
      <c r="AV191" s="78">
        <v>0.0</v>
      </c>
      <c r="AW191" s="78">
        <v>0.0</v>
      </c>
      <c r="AX191" s="78">
        <v>0.0</v>
      </c>
      <c r="AY191" s="78">
        <v>0.0</v>
      </c>
      <c r="AZ191" s="78">
        <v>0.0</v>
      </c>
      <c r="BA191" s="78">
        <v>0.0</v>
      </c>
      <c r="BB191" s="78">
        <v>0.0</v>
      </c>
      <c r="BC191" s="78">
        <v>0.0</v>
      </c>
      <c r="BD191" s="78">
        <v>0.0</v>
      </c>
      <c r="BE191" s="78">
        <v>0.0</v>
      </c>
      <c r="BF191" s="78">
        <v>0.0</v>
      </c>
      <c r="BG191" s="78">
        <v>0.0</v>
      </c>
      <c r="BH191" s="78">
        <v>0.0</v>
      </c>
      <c r="BI191" s="78">
        <v>0.0</v>
      </c>
      <c r="BJ191" s="78">
        <v>0.0</v>
      </c>
      <c r="BK191" s="78">
        <v>0.0</v>
      </c>
      <c r="BL191" s="78">
        <v>0.0</v>
      </c>
      <c r="BM191" s="78">
        <v>0.0</v>
      </c>
      <c r="BN191" s="78">
        <v>0.0</v>
      </c>
      <c r="BO191" s="78">
        <v>0.0</v>
      </c>
      <c r="BP191" s="78">
        <v>0.0</v>
      </c>
      <c r="BQ191" s="78">
        <v>0.0</v>
      </c>
      <c r="BR191" s="78">
        <v>0.0</v>
      </c>
      <c r="BS191" s="78">
        <v>0.0</v>
      </c>
      <c r="BT191" s="78">
        <v>0.0</v>
      </c>
      <c r="BU191" s="78">
        <v>0.0</v>
      </c>
      <c r="BV191" s="78">
        <v>0.0</v>
      </c>
      <c r="BW191" s="78">
        <v>0.0</v>
      </c>
      <c r="BX191" s="78">
        <v>0.0</v>
      </c>
      <c r="BY191" s="78">
        <v>0.0</v>
      </c>
      <c r="BZ191" s="78">
        <v>0.0</v>
      </c>
      <c r="CA191" s="78">
        <v>0.0</v>
      </c>
      <c r="CB191" s="78">
        <v>0.0</v>
      </c>
      <c r="CC191" s="78">
        <v>0.0</v>
      </c>
      <c r="CD191" s="78">
        <v>0.0</v>
      </c>
      <c r="CE191" s="78">
        <v>0.0</v>
      </c>
      <c r="CF191" s="78">
        <v>0.0</v>
      </c>
      <c r="CG191" s="78">
        <v>0.0</v>
      </c>
      <c r="CH191" s="78">
        <v>0.0</v>
      </c>
      <c r="CI191" s="78">
        <v>0.0</v>
      </c>
      <c r="CJ191" s="78">
        <v>0.0</v>
      </c>
      <c r="CK191" s="78">
        <v>0.0</v>
      </c>
      <c r="CL191" s="78">
        <v>0.0</v>
      </c>
      <c r="CM191" s="78">
        <v>0.0</v>
      </c>
      <c r="CN191" s="78">
        <v>0.0</v>
      </c>
      <c r="CO191" s="78">
        <v>0.0</v>
      </c>
      <c r="CP191" s="78">
        <v>0.0</v>
      </c>
      <c r="CQ191" s="78">
        <v>0.0</v>
      </c>
      <c r="CR191" s="78">
        <v>0.0</v>
      </c>
      <c r="CS191" s="78">
        <v>0.0</v>
      </c>
      <c r="CT191" s="78">
        <v>0.0</v>
      </c>
      <c r="CU191" s="78">
        <v>0.0</v>
      </c>
      <c r="CV191" s="78">
        <v>0.0</v>
      </c>
      <c r="CW191" s="78">
        <v>0.0</v>
      </c>
      <c r="CX191" s="78">
        <v>0.0</v>
      </c>
      <c r="CY191" s="78">
        <v>0.0</v>
      </c>
      <c r="CZ191" s="78">
        <v>0.0</v>
      </c>
      <c r="DA191" s="78">
        <v>0.0</v>
      </c>
      <c r="DB191" s="78">
        <v>0.0</v>
      </c>
      <c r="DC191" s="78">
        <v>0.0</v>
      </c>
      <c r="DD191" s="78">
        <v>0.0</v>
      </c>
      <c r="DE191" s="78">
        <v>0.0</v>
      </c>
      <c r="DF191" s="78">
        <v>0.0</v>
      </c>
      <c r="DG191" s="78">
        <v>0.0</v>
      </c>
      <c r="DH191" s="78">
        <v>0.0</v>
      </c>
      <c r="DI191" s="78">
        <v>0.0</v>
      </c>
      <c r="DJ191" s="78">
        <v>0.0</v>
      </c>
      <c r="DK191" s="78">
        <v>0.0</v>
      </c>
      <c r="DL191" s="78">
        <v>0.0</v>
      </c>
      <c r="DM191" s="78">
        <v>0.0</v>
      </c>
      <c r="DN191" s="78">
        <v>0.0</v>
      </c>
      <c r="DO191" s="78">
        <v>0.0</v>
      </c>
      <c r="DP191" s="78">
        <v>0.0</v>
      </c>
      <c r="DQ191" s="78">
        <v>0.0</v>
      </c>
      <c r="DR191" s="78">
        <v>0.0</v>
      </c>
      <c r="DS191" s="78">
        <v>0.0</v>
      </c>
      <c r="DT191" s="78">
        <v>0.0</v>
      </c>
      <c r="DU191" s="78">
        <v>0.0</v>
      </c>
      <c r="DV191" s="78">
        <v>0.0</v>
      </c>
      <c r="DW191" s="78">
        <v>0.0</v>
      </c>
      <c r="DX191" s="78">
        <v>0.0</v>
      </c>
      <c r="DY191" s="78">
        <v>0.0</v>
      </c>
      <c r="DZ191" s="78">
        <v>0.0</v>
      </c>
      <c r="EA191" s="78">
        <v>0.0</v>
      </c>
      <c r="EB191" s="78">
        <v>0.0</v>
      </c>
      <c r="EC191" s="78">
        <v>0.0</v>
      </c>
      <c r="ED191" s="78">
        <v>0.0</v>
      </c>
      <c r="EE191" s="78">
        <v>0.0</v>
      </c>
      <c r="EF191" s="78">
        <v>0.0</v>
      </c>
      <c r="EG191" s="78">
        <v>0.0</v>
      </c>
      <c r="EH191" s="78">
        <v>0.0</v>
      </c>
      <c r="EI191" s="78">
        <v>0.0</v>
      </c>
      <c r="EJ191" s="78">
        <v>0.0</v>
      </c>
      <c r="EK191" s="78">
        <v>0.0</v>
      </c>
      <c r="EL191" s="78">
        <v>0.0</v>
      </c>
      <c r="EM191" s="78">
        <v>0.0</v>
      </c>
      <c r="EN191" s="78">
        <v>0.0</v>
      </c>
      <c r="EO191" s="78">
        <v>0.0</v>
      </c>
      <c r="EP191" s="78">
        <v>0.0</v>
      </c>
      <c r="EQ191" s="78">
        <v>0.0</v>
      </c>
      <c r="ER191" s="78">
        <v>0.0</v>
      </c>
      <c r="ES191" s="78">
        <v>0.0</v>
      </c>
      <c r="ET191" s="78">
        <v>0.0</v>
      </c>
      <c r="EU191" s="78">
        <v>0.0</v>
      </c>
      <c r="EV191" s="78">
        <v>0.0</v>
      </c>
      <c r="EW191" s="78">
        <v>0.0</v>
      </c>
      <c r="EX191" s="78">
        <v>0.0</v>
      </c>
      <c r="EY191" s="78">
        <v>0.0</v>
      </c>
      <c r="EZ191" s="78">
        <v>0.0</v>
      </c>
      <c r="FA191" s="78">
        <v>0.0</v>
      </c>
      <c r="FB191" s="78">
        <v>0.0</v>
      </c>
      <c r="FC191" s="78">
        <v>0.0</v>
      </c>
      <c r="FD191" s="78">
        <v>0.0</v>
      </c>
      <c r="FE191" s="78">
        <v>0.0</v>
      </c>
      <c r="FF191" s="78">
        <v>0.0</v>
      </c>
      <c r="FG191" s="78">
        <v>0.0</v>
      </c>
      <c r="FH191" s="78">
        <v>0.0</v>
      </c>
      <c r="FI191" s="78">
        <v>0.0</v>
      </c>
      <c r="FJ191" s="78">
        <v>0.0</v>
      </c>
      <c r="FK191" s="78">
        <v>0.0</v>
      </c>
      <c r="FL191" s="78">
        <v>0.0</v>
      </c>
      <c r="FM191" s="78">
        <v>0.0</v>
      </c>
      <c r="FN191" s="78">
        <v>0.0</v>
      </c>
      <c r="FO191" s="78">
        <v>0.0</v>
      </c>
      <c r="FP191" s="78">
        <v>0.0</v>
      </c>
      <c r="FQ191" s="78">
        <v>0.0</v>
      </c>
      <c r="FR191" s="78">
        <v>0.0</v>
      </c>
      <c r="FS191" s="78">
        <v>0.0</v>
      </c>
      <c r="FT191" s="78">
        <v>0.0</v>
      </c>
      <c r="FU191" s="78">
        <v>0.0</v>
      </c>
      <c r="FV191" s="78">
        <v>0.0</v>
      </c>
      <c r="FW191" s="78">
        <v>0.0</v>
      </c>
      <c r="FX191" s="78">
        <v>0.0</v>
      </c>
      <c r="FY191" s="78">
        <v>0.0</v>
      </c>
      <c r="FZ191" s="78">
        <v>0.0</v>
      </c>
      <c r="GA191" s="78">
        <v>0.0</v>
      </c>
      <c r="GB191" s="78">
        <v>0.0</v>
      </c>
      <c r="GC191" s="78">
        <v>0.0</v>
      </c>
      <c r="GD191" s="78">
        <v>0.0</v>
      </c>
      <c r="GE191" s="78">
        <v>0.0</v>
      </c>
      <c r="GF191" s="79">
        <v>0.0</v>
      </c>
      <c r="GG191" s="80">
        <v>0.0</v>
      </c>
      <c r="GH191" s="81">
        <v>0.0</v>
      </c>
      <c r="GI191" s="80">
        <v>0.0</v>
      </c>
      <c r="GJ191" s="80">
        <v>0.0</v>
      </c>
      <c r="GK191" s="80">
        <v>0.0</v>
      </c>
      <c r="GL191" s="80">
        <v>0.0</v>
      </c>
      <c r="GM191" s="80">
        <v>0.0</v>
      </c>
      <c r="GN191" s="79">
        <v>0.0</v>
      </c>
      <c r="GO191" s="79">
        <v>0.0</v>
      </c>
      <c r="GP191" s="80">
        <v>-9.8402143E7</v>
      </c>
      <c r="GQ191" s="80">
        <v>0.0</v>
      </c>
      <c r="GR191" s="81">
        <v>9.8402143E7</v>
      </c>
      <c r="GS191" s="79">
        <v>0.0</v>
      </c>
      <c r="GT191" s="78">
        <v>0.0</v>
      </c>
      <c r="GU191" s="78">
        <v>0.0</v>
      </c>
      <c r="GV191" s="78">
        <v>0.0</v>
      </c>
      <c r="GW191" s="82">
        <v>0.0</v>
      </c>
      <c r="GX191" s="79">
        <v>0.0</v>
      </c>
      <c r="GY191" s="79">
        <v>0.0</v>
      </c>
      <c r="GZ191" s="79">
        <v>0.0</v>
      </c>
    </row>
    <row r="192" ht="15.75" customHeight="1">
      <c r="A192" s="83" t="s">
        <v>254</v>
      </c>
      <c r="B192" s="3" t="s">
        <v>618</v>
      </c>
      <c r="C192" s="85">
        <v>5.2052919E7</v>
      </c>
      <c r="D192" s="85">
        <v>1.1883204E7</v>
      </c>
      <c r="E192" s="85">
        <v>1016683.0</v>
      </c>
      <c r="F192" s="85">
        <v>8086093.0</v>
      </c>
      <c r="G192" s="85">
        <v>391886.0</v>
      </c>
      <c r="H192" s="85">
        <v>1193419.0</v>
      </c>
      <c r="I192" s="85">
        <v>885817.0</v>
      </c>
      <c r="J192" s="85">
        <v>2024131.0</v>
      </c>
      <c r="K192" s="85">
        <v>44657.0</v>
      </c>
      <c r="L192" s="85">
        <v>3.6489908E7</v>
      </c>
      <c r="M192" s="85">
        <v>1491873.0</v>
      </c>
      <c r="N192" s="85">
        <v>5502929.0</v>
      </c>
      <c r="O192" s="85">
        <v>6388389.0</v>
      </c>
      <c r="P192" s="85">
        <v>91703.0</v>
      </c>
      <c r="Q192" s="85">
        <v>7637741.0</v>
      </c>
      <c r="R192" s="85">
        <v>3.9579098E7</v>
      </c>
      <c r="S192" s="85">
        <v>1174759.0</v>
      </c>
      <c r="T192" s="85">
        <v>1.5458682E7</v>
      </c>
      <c r="U192" s="85">
        <v>6444151.0</v>
      </c>
      <c r="V192" s="85">
        <v>9.4226233E7</v>
      </c>
      <c r="W192" s="85">
        <v>7623380.0</v>
      </c>
      <c r="X192" s="85">
        <v>1531434.0</v>
      </c>
      <c r="Y192" s="85">
        <v>8679087.0</v>
      </c>
      <c r="Z192" s="85">
        <v>5496662.0</v>
      </c>
      <c r="AA192" s="85">
        <v>446723.0</v>
      </c>
      <c r="AB192" s="85">
        <v>2.9153601E7</v>
      </c>
      <c r="AC192" s="85">
        <v>5653726.0</v>
      </c>
      <c r="AD192" s="85">
        <v>7.4012487E7</v>
      </c>
      <c r="AE192" s="85">
        <v>7936975.0</v>
      </c>
      <c r="AF192" s="85">
        <v>8646423.0</v>
      </c>
      <c r="AG192" s="85">
        <v>1.5692236E7</v>
      </c>
      <c r="AH192" s="85">
        <v>7786724.0</v>
      </c>
      <c r="AI192" s="85">
        <v>4.8727718E7</v>
      </c>
      <c r="AJ192" s="85">
        <v>1.0065185E7</v>
      </c>
      <c r="AK192" s="85">
        <v>2064401.0</v>
      </c>
      <c r="AL192" s="85">
        <v>7326189.0</v>
      </c>
      <c r="AM192" s="85">
        <v>1.81635735E8</v>
      </c>
      <c r="AN192" s="85">
        <v>5.3480163E7</v>
      </c>
      <c r="AO192" s="85">
        <v>1.00606141E8</v>
      </c>
      <c r="AP192" s="85">
        <v>1148283.0</v>
      </c>
      <c r="AQ192" s="85">
        <v>5467477.0</v>
      </c>
      <c r="AR192" s="85">
        <v>2709260.0</v>
      </c>
      <c r="AS192" s="85">
        <v>1.5303766E7</v>
      </c>
      <c r="AT192" s="85">
        <v>2585062.0</v>
      </c>
      <c r="AU192" s="85">
        <v>2135080.0</v>
      </c>
      <c r="AV192" s="85">
        <v>2.9113926E7</v>
      </c>
      <c r="AW192" s="85">
        <v>646285.0</v>
      </c>
      <c r="AX192" s="85">
        <v>1.25620162E8</v>
      </c>
      <c r="AY192" s="85">
        <v>9203430.0</v>
      </c>
      <c r="AZ192" s="85">
        <v>856036.0</v>
      </c>
      <c r="BA192" s="85">
        <v>1.265754E7</v>
      </c>
      <c r="BB192" s="85">
        <v>1.7224815E7</v>
      </c>
      <c r="BC192" s="85">
        <v>1.70528202E8</v>
      </c>
      <c r="BD192" s="85">
        <v>4.0716346E7</v>
      </c>
      <c r="BE192" s="85">
        <v>3.159996E7</v>
      </c>
      <c r="BF192" s="85">
        <v>6.0288875E7</v>
      </c>
      <c r="BG192" s="85">
        <v>1.9443015E7</v>
      </c>
      <c r="BH192" s="85">
        <v>4.29537484E8</v>
      </c>
      <c r="BI192" s="85">
        <v>1.4922827E7</v>
      </c>
      <c r="BJ192" s="85">
        <v>6.9849464E7</v>
      </c>
      <c r="BK192" s="85">
        <v>2.8221955E7</v>
      </c>
      <c r="BL192" s="85">
        <v>2.879238E7</v>
      </c>
      <c r="BM192" s="85">
        <v>2.57690093E8</v>
      </c>
      <c r="BN192" s="85">
        <v>4.243069E7</v>
      </c>
      <c r="BO192" s="85">
        <v>4.3363416E7</v>
      </c>
      <c r="BP192" s="85">
        <v>2.3970296E7</v>
      </c>
      <c r="BQ192" s="85">
        <v>3.4734474E7</v>
      </c>
      <c r="BR192" s="85">
        <v>3.3947738E7</v>
      </c>
      <c r="BS192" s="85">
        <v>1.9318599E7</v>
      </c>
      <c r="BT192" s="85">
        <v>5.8814094E7</v>
      </c>
      <c r="BU192" s="85">
        <v>1.47113256E8</v>
      </c>
      <c r="BV192" s="85">
        <v>6.134656E7</v>
      </c>
      <c r="BW192" s="85">
        <v>4415298.0</v>
      </c>
      <c r="BX192" s="85">
        <v>5.5964645E7</v>
      </c>
      <c r="BY192" s="85">
        <v>1.01689933E8</v>
      </c>
      <c r="BZ192" s="85">
        <v>6574380.0</v>
      </c>
      <c r="CA192" s="85">
        <v>6.8045525E7</v>
      </c>
      <c r="CB192" s="85">
        <v>8.6519259E7</v>
      </c>
      <c r="CC192" s="85">
        <v>1.5224504E7</v>
      </c>
      <c r="CD192" s="85">
        <v>1.8847859E7</v>
      </c>
      <c r="CE192" s="85">
        <v>2.3189121E7</v>
      </c>
      <c r="CF192" s="85">
        <v>1.70676959E8</v>
      </c>
      <c r="CG192" s="85">
        <v>1.1875073E7</v>
      </c>
      <c r="CH192" s="85">
        <v>8549725.0</v>
      </c>
      <c r="CI192" s="85">
        <v>4.985569E7</v>
      </c>
      <c r="CJ192" s="85">
        <v>2.5219715E7</v>
      </c>
      <c r="CK192" s="85">
        <v>4.7331334E7</v>
      </c>
      <c r="CL192" s="85">
        <v>2.8604254E7</v>
      </c>
      <c r="CM192" s="85">
        <v>1.150613E7</v>
      </c>
      <c r="CN192" s="85">
        <v>4.1422577E7</v>
      </c>
      <c r="CO192" s="85">
        <v>5.110857E7</v>
      </c>
      <c r="CP192" s="85">
        <v>7.0897314E7</v>
      </c>
      <c r="CQ192" s="85">
        <v>3.4766724E7</v>
      </c>
      <c r="CR192" s="85">
        <v>4.829978E7</v>
      </c>
      <c r="CS192" s="85">
        <v>3.04161069E8</v>
      </c>
      <c r="CT192" s="85">
        <v>1.57334809E8</v>
      </c>
      <c r="CU192" s="85">
        <v>4.3643507E7</v>
      </c>
      <c r="CV192" s="85">
        <v>6.789672E7</v>
      </c>
      <c r="CW192" s="85">
        <v>9596696.0</v>
      </c>
      <c r="CX192" s="85">
        <v>2.8503163E7</v>
      </c>
      <c r="CY192" s="85">
        <v>2016685.0</v>
      </c>
      <c r="CZ192" s="85">
        <v>5.032102E7</v>
      </c>
      <c r="DA192" s="85">
        <v>4.3332369E7</v>
      </c>
      <c r="DB192" s="85">
        <v>3.1786956E7</v>
      </c>
      <c r="DC192" s="85">
        <v>5.4655705E7</v>
      </c>
      <c r="DD192" s="85">
        <v>1.2063875E7</v>
      </c>
      <c r="DE192" s="85">
        <v>3.2543019E7</v>
      </c>
      <c r="DF192" s="85">
        <v>5.674532E7</v>
      </c>
      <c r="DG192" s="85">
        <v>1.0662528E7</v>
      </c>
      <c r="DH192" s="85">
        <v>1.03661028E8</v>
      </c>
      <c r="DI192" s="85">
        <v>2.67926E7</v>
      </c>
      <c r="DJ192" s="85">
        <v>2.7428893E7</v>
      </c>
      <c r="DK192" s="85">
        <v>3.6991795E7</v>
      </c>
      <c r="DL192" s="85">
        <v>1.08710554E8</v>
      </c>
      <c r="DM192" s="85">
        <v>1.15495485E8</v>
      </c>
      <c r="DN192" s="85">
        <v>6651785.0</v>
      </c>
      <c r="DO192" s="85">
        <v>4.4832116E7</v>
      </c>
      <c r="DP192" s="85">
        <v>3549993.0</v>
      </c>
      <c r="DQ192" s="85">
        <v>2.1560172E7</v>
      </c>
      <c r="DR192" s="85">
        <v>5.1637062E7</v>
      </c>
      <c r="DS192" s="85">
        <v>1.03245929E8</v>
      </c>
      <c r="DT192" s="85">
        <v>1.7536846E7</v>
      </c>
      <c r="DU192" s="85">
        <v>1.4262637E7</v>
      </c>
      <c r="DV192" s="85">
        <v>4.2420371E7</v>
      </c>
      <c r="DW192" s="85">
        <v>2.8233495E7</v>
      </c>
      <c r="DX192" s="85">
        <v>1.8878089E7</v>
      </c>
      <c r="DY192" s="85">
        <v>4.8408486E7</v>
      </c>
      <c r="DZ192" s="85">
        <v>6.9533425E7</v>
      </c>
      <c r="EA192" s="85">
        <v>8095887.0</v>
      </c>
      <c r="EB192" s="85">
        <v>7.5253072E7</v>
      </c>
      <c r="EC192" s="85">
        <v>2.28713613E8</v>
      </c>
      <c r="ED192" s="85">
        <v>2.128301E7</v>
      </c>
      <c r="EE192" s="85">
        <v>2475457.0</v>
      </c>
      <c r="EF192" s="85">
        <v>4362019.0</v>
      </c>
      <c r="EG192" s="85">
        <v>1.4953126E7</v>
      </c>
      <c r="EH192" s="85">
        <v>7.624966E7</v>
      </c>
      <c r="EI192" s="85">
        <v>5.3445956E7</v>
      </c>
      <c r="EJ192" s="85">
        <v>3.1896267E7</v>
      </c>
      <c r="EK192" s="85">
        <v>7971102.0</v>
      </c>
      <c r="EL192" s="85">
        <v>9498522.0</v>
      </c>
      <c r="EM192" s="85">
        <v>9369836.0</v>
      </c>
      <c r="EN192" s="85">
        <v>1.8179677E7</v>
      </c>
      <c r="EO192" s="85">
        <v>2.1253318E7</v>
      </c>
      <c r="EP192" s="85">
        <v>1.8306325E7</v>
      </c>
      <c r="EQ192" s="85">
        <v>5.81481493E8</v>
      </c>
      <c r="ER192" s="85">
        <v>1.6516771E7</v>
      </c>
      <c r="ES192" s="85">
        <v>1.4492052E7</v>
      </c>
      <c r="ET192" s="85">
        <v>1.1900234E7</v>
      </c>
      <c r="EU192" s="85">
        <v>1.286567661E9</v>
      </c>
      <c r="EV192" s="85">
        <v>1.27189667E8</v>
      </c>
      <c r="EW192" s="85">
        <v>2.4114938E7</v>
      </c>
      <c r="EX192" s="85">
        <v>9.5901289E7</v>
      </c>
      <c r="EY192" s="85">
        <v>5.70245089E8</v>
      </c>
      <c r="EZ192" s="85">
        <v>7.8032212E7</v>
      </c>
      <c r="FA192" s="85">
        <v>6.506343E7</v>
      </c>
      <c r="FB192" s="85">
        <v>7.3202242E8</v>
      </c>
      <c r="FC192" s="85">
        <v>6651437.0</v>
      </c>
      <c r="FD192" s="85">
        <v>4.04233046E8</v>
      </c>
      <c r="FE192" s="85">
        <v>9.0637132E7</v>
      </c>
      <c r="FF192" s="85">
        <v>2.2219451E7</v>
      </c>
      <c r="FG192" s="85">
        <v>1.76194045E8</v>
      </c>
      <c r="FH192" s="85">
        <v>8.367901E7</v>
      </c>
      <c r="FI192" s="85">
        <v>3.1147565E7</v>
      </c>
      <c r="FJ192" s="85">
        <v>5.0725382E7</v>
      </c>
      <c r="FK192" s="85">
        <v>6.15582349E8</v>
      </c>
      <c r="FL192" s="85">
        <v>7.339473E7</v>
      </c>
      <c r="FM192" s="85">
        <v>5.7769744E7</v>
      </c>
      <c r="FN192" s="85">
        <v>2.0327207E8</v>
      </c>
      <c r="FO192" s="85">
        <v>9.230816E7</v>
      </c>
      <c r="FP192" s="85">
        <v>1.61802306E8</v>
      </c>
      <c r="FQ192" s="85">
        <v>3.2702876E7</v>
      </c>
      <c r="FR192" s="85">
        <v>500879.0</v>
      </c>
      <c r="FS192" s="85">
        <v>2.1763438E7</v>
      </c>
      <c r="FT192" s="85">
        <v>2.31128159E8</v>
      </c>
      <c r="FU192" s="85">
        <v>2.28178438E8</v>
      </c>
      <c r="FV192" s="85">
        <v>1.46395644E8</v>
      </c>
      <c r="FW192" s="85">
        <v>3.65149272E8</v>
      </c>
      <c r="FX192" s="85">
        <v>8.2777349E7</v>
      </c>
      <c r="FY192" s="85">
        <v>2.70356262E8</v>
      </c>
      <c r="FZ192" s="85">
        <v>4577394.0</v>
      </c>
      <c r="GA192" s="85">
        <v>1.44830012E8</v>
      </c>
      <c r="GB192" s="85">
        <v>1.53197507E8</v>
      </c>
      <c r="GC192" s="85">
        <v>4.4705782E7</v>
      </c>
      <c r="GD192" s="85">
        <v>1.9371512E7</v>
      </c>
      <c r="GE192" s="85">
        <v>1.45334834E8</v>
      </c>
      <c r="GF192" s="71">
        <v>1.365102857E10</v>
      </c>
      <c r="GG192" s="63">
        <v>8.912539142E9</v>
      </c>
      <c r="GH192" s="86">
        <v>2.01653378E8</v>
      </c>
      <c r="GI192" s="63">
        <v>1.394875537E9</v>
      </c>
      <c r="GJ192" s="63">
        <v>4.897050475E9</v>
      </c>
      <c r="GK192" s="71">
        <v>-5.237925E7</v>
      </c>
      <c r="GL192" s="71">
        <v>2.470856505E9</v>
      </c>
      <c r="GM192" s="87">
        <v>2.18065238E8</v>
      </c>
      <c r="GN192" s="87">
        <v>1.8042661025E10</v>
      </c>
      <c r="GO192" s="63">
        <v>3.1693689595E10</v>
      </c>
      <c r="GP192" s="71">
        <v>2.060113093E9</v>
      </c>
      <c r="GQ192" s="71">
        <v>3.62031203E8</v>
      </c>
      <c r="GR192" s="71">
        <v>0.0</v>
      </c>
      <c r="GS192" s="71">
        <v>2.422144296E9</v>
      </c>
      <c r="GT192" s="85">
        <v>0.0</v>
      </c>
      <c r="GU192" s="85">
        <v>0.0</v>
      </c>
      <c r="GV192" s="85">
        <v>0.0</v>
      </c>
      <c r="GW192" s="71">
        <v>0.0</v>
      </c>
      <c r="GX192" s="71">
        <v>5.71294773E8</v>
      </c>
      <c r="GY192" s="71">
        <v>2.8700250526E10</v>
      </c>
      <c r="GZ192" s="118">
        <v>3.1693689595E10</v>
      </c>
    </row>
    <row r="193" ht="15.75" customHeight="1">
      <c r="A193" s="52">
        <v>1950.0</v>
      </c>
      <c r="B193" s="3" t="s">
        <v>619</v>
      </c>
      <c r="C193" s="88">
        <v>0.0</v>
      </c>
      <c r="D193" s="88">
        <v>0.0</v>
      </c>
      <c r="E193" s="88">
        <v>0.0</v>
      </c>
      <c r="F193" s="88">
        <v>0.0</v>
      </c>
      <c r="G193" s="88">
        <v>0.0</v>
      </c>
      <c r="H193" s="88">
        <v>0.0</v>
      </c>
      <c r="I193" s="88">
        <v>0.0</v>
      </c>
      <c r="J193" s="88">
        <v>0.0</v>
      </c>
      <c r="K193" s="88">
        <v>0.0</v>
      </c>
      <c r="L193" s="88">
        <v>0.0</v>
      </c>
      <c r="M193" s="88">
        <v>0.0</v>
      </c>
      <c r="N193" s="88">
        <v>0.0</v>
      </c>
      <c r="O193" s="88">
        <v>0.0</v>
      </c>
      <c r="P193" s="88">
        <v>0.0</v>
      </c>
      <c r="Q193" s="88">
        <v>0.0</v>
      </c>
      <c r="R193" s="88">
        <v>0.0</v>
      </c>
      <c r="S193" s="88">
        <v>0.0</v>
      </c>
      <c r="T193" s="88">
        <v>0.0</v>
      </c>
      <c r="U193" s="88">
        <v>0.0</v>
      </c>
      <c r="V193" s="88">
        <v>0.0</v>
      </c>
      <c r="W193" s="88">
        <v>0.0</v>
      </c>
      <c r="X193" s="88">
        <v>0.0</v>
      </c>
      <c r="Y193" s="88">
        <v>0.0</v>
      </c>
      <c r="Z193" s="88">
        <v>0.0</v>
      </c>
      <c r="AA193" s="88">
        <v>0.0</v>
      </c>
      <c r="AB193" s="88">
        <v>0.0</v>
      </c>
      <c r="AC193" s="88">
        <v>0.0</v>
      </c>
      <c r="AD193" s="88">
        <v>0.0</v>
      </c>
      <c r="AE193" s="88">
        <v>0.0</v>
      </c>
      <c r="AF193" s="88">
        <v>0.0</v>
      </c>
      <c r="AG193" s="88">
        <v>0.0</v>
      </c>
      <c r="AH193" s="88">
        <v>0.0</v>
      </c>
      <c r="AI193" s="88">
        <v>0.0</v>
      </c>
      <c r="AJ193" s="88">
        <v>0.0</v>
      </c>
      <c r="AK193" s="88">
        <v>0.0</v>
      </c>
      <c r="AL193" s="88">
        <v>0.0</v>
      </c>
      <c r="AM193" s="88">
        <v>0.0</v>
      </c>
      <c r="AN193" s="88">
        <v>0.0</v>
      </c>
      <c r="AO193" s="88">
        <v>0.0</v>
      </c>
      <c r="AP193" s="88">
        <v>0.0</v>
      </c>
      <c r="AQ193" s="88">
        <v>0.0</v>
      </c>
      <c r="AR193" s="88">
        <v>0.0</v>
      </c>
      <c r="AS193" s="88">
        <v>0.0</v>
      </c>
      <c r="AT193" s="88">
        <v>0.0</v>
      </c>
      <c r="AU193" s="88">
        <v>0.0</v>
      </c>
      <c r="AV193" s="88">
        <v>0.0</v>
      </c>
      <c r="AW193" s="88">
        <v>0.0</v>
      </c>
      <c r="AX193" s="88">
        <v>0.0</v>
      </c>
      <c r="AY193" s="88">
        <v>0.0</v>
      </c>
      <c r="AZ193" s="88">
        <v>0.0</v>
      </c>
      <c r="BA193" s="88">
        <v>0.0</v>
      </c>
      <c r="BB193" s="88">
        <v>0.0</v>
      </c>
      <c r="BC193" s="88">
        <v>0.0</v>
      </c>
      <c r="BD193" s="88">
        <v>0.0</v>
      </c>
      <c r="BE193" s="88">
        <v>0.0</v>
      </c>
      <c r="BF193" s="88">
        <v>0.0</v>
      </c>
      <c r="BG193" s="88">
        <v>0.0</v>
      </c>
      <c r="BH193" s="88">
        <v>0.0</v>
      </c>
      <c r="BI193" s="88">
        <v>0.0</v>
      </c>
      <c r="BJ193" s="88">
        <v>0.0</v>
      </c>
      <c r="BK193" s="88">
        <v>0.0</v>
      </c>
      <c r="BL193" s="88">
        <v>0.0</v>
      </c>
      <c r="BM193" s="88">
        <v>0.0</v>
      </c>
      <c r="BN193" s="88">
        <v>0.0</v>
      </c>
      <c r="BO193" s="88">
        <v>0.0</v>
      </c>
      <c r="BP193" s="88">
        <v>0.0</v>
      </c>
      <c r="BQ193" s="88">
        <v>0.0</v>
      </c>
      <c r="BR193" s="88">
        <v>0.0</v>
      </c>
      <c r="BS193" s="88">
        <v>0.0</v>
      </c>
      <c r="BT193" s="88">
        <v>0.0</v>
      </c>
      <c r="BU193" s="88">
        <v>0.0</v>
      </c>
      <c r="BV193" s="88">
        <v>0.0</v>
      </c>
      <c r="BW193" s="88">
        <v>0.0</v>
      </c>
      <c r="BX193" s="88">
        <v>0.0</v>
      </c>
      <c r="BY193" s="88">
        <v>0.0</v>
      </c>
      <c r="BZ193" s="88">
        <v>0.0</v>
      </c>
      <c r="CA193" s="88">
        <v>0.0</v>
      </c>
      <c r="CB193" s="88">
        <v>0.0</v>
      </c>
      <c r="CC193" s="88">
        <v>0.0</v>
      </c>
      <c r="CD193" s="88">
        <v>0.0</v>
      </c>
      <c r="CE193" s="88">
        <v>0.0</v>
      </c>
      <c r="CF193" s="88">
        <v>0.0</v>
      </c>
      <c r="CG193" s="88">
        <v>0.0</v>
      </c>
      <c r="CH193" s="88">
        <v>0.0</v>
      </c>
      <c r="CI193" s="88">
        <v>0.0</v>
      </c>
      <c r="CJ193" s="88">
        <v>0.0</v>
      </c>
      <c r="CK193" s="88">
        <v>0.0</v>
      </c>
      <c r="CL193" s="88">
        <v>0.0</v>
      </c>
      <c r="CM193" s="88">
        <v>0.0</v>
      </c>
      <c r="CN193" s="88">
        <v>0.0</v>
      </c>
      <c r="CO193" s="88">
        <v>0.0</v>
      </c>
      <c r="CP193" s="88">
        <v>0.0</v>
      </c>
      <c r="CQ193" s="88">
        <v>0.0</v>
      </c>
      <c r="CR193" s="88">
        <v>0.0</v>
      </c>
      <c r="CS193" s="88">
        <v>0.0</v>
      </c>
      <c r="CT193" s="88">
        <v>0.0</v>
      </c>
      <c r="CU193" s="88">
        <v>0.0</v>
      </c>
      <c r="CV193" s="88">
        <v>0.0</v>
      </c>
      <c r="CW193" s="88">
        <v>0.0</v>
      </c>
      <c r="CX193" s="88">
        <v>0.0</v>
      </c>
      <c r="CY193" s="88">
        <v>0.0</v>
      </c>
      <c r="CZ193" s="88">
        <v>0.0</v>
      </c>
      <c r="DA193" s="88">
        <v>0.0</v>
      </c>
      <c r="DB193" s="88">
        <v>0.0</v>
      </c>
      <c r="DC193" s="88">
        <v>0.0</v>
      </c>
      <c r="DD193" s="88">
        <v>0.0</v>
      </c>
      <c r="DE193" s="88">
        <v>0.0</v>
      </c>
      <c r="DF193" s="88">
        <v>0.0</v>
      </c>
      <c r="DG193" s="88">
        <v>0.0</v>
      </c>
      <c r="DH193" s="88">
        <v>0.0</v>
      </c>
      <c r="DI193" s="88">
        <v>0.0</v>
      </c>
      <c r="DJ193" s="88">
        <v>0.0</v>
      </c>
      <c r="DK193" s="88">
        <v>0.0</v>
      </c>
      <c r="DL193" s="88">
        <v>0.0</v>
      </c>
      <c r="DM193" s="88">
        <v>0.0</v>
      </c>
      <c r="DN193" s="88">
        <v>0.0</v>
      </c>
      <c r="DO193" s="88">
        <v>0.0</v>
      </c>
      <c r="DP193" s="88">
        <v>0.0</v>
      </c>
      <c r="DQ193" s="88">
        <v>0.0</v>
      </c>
      <c r="DR193" s="88">
        <v>0.0</v>
      </c>
      <c r="DS193" s="88">
        <v>0.0</v>
      </c>
      <c r="DT193" s="88">
        <v>0.0</v>
      </c>
      <c r="DU193" s="88">
        <v>0.0</v>
      </c>
      <c r="DV193" s="88">
        <v>0.0</v>
      </c>
      <c r="DW193" s="88">
        <v>0.0</v>
      </c>
      <c r="DX193" s="88">
        <v>0.0</v>
      </c>
      <c r="DY193" s="88">
        <v>0.0</v>
      </c>
      <c r="DZ193" s="88">
        <v>0.0</v>
      </c>
      <c r="EA193" s="88">
        <v>0.0</v>
      </c>
      <c r="EB193" s="88">
        <v>0.0</v>
      </c>
      <c r="EC193" s="88">
        <v>0.0</v>
      </c>
      <c r="ED193" s="88">
        <v>0.0</v>
      </c>
      <c r="EE193" s="88">
        <v>0.0</v>
      </c>
      <c r="EF193" s="88">
        <v>0.0</v>
      </c>
      <c r="EG193" s="88">
        <v>0.0</v>
      </c>
      <c r="EH193" s="88">
        <v>0.0</v>
      </c>
      <c r="EI193" s="88">
        <v>0.0</v>
      </c>
      <c r="EJ193" s="88">
        <v>0.0</v>
      </c>
      <c r="EK193" s="88">
        <v>0.0</v>
      </c>
      <c r="EL193" s="88">
        <v>0.0</v>
      </c>
      <c r="EM193" s="88">
        <v>0.0</v>
      </c>
      <c r="EN193" s="88">
        <v>0.0</v>
      </c>
      <c r="EO193" s="88">
        <v>0.0</v>
      </c>
      <c r="EP193" s="88">
        <v>0.0</v>
      </c>
      <c r="EQ193" s="88">
        <v>0.0</v>
      </c>
      <c r="ER193" s="88">
        <v>0.0</v>
      </c>
      <c r="ES193" s="88">
        <v>0.0</v>
      </c>
      <c r="ET193" s="88">
        <v>0.0</v>
      </c>
      <c r="EU193" s="88">
        <v>0.0</v>
      </c>
      <c r="EV193" s="88">
        <v>0.0</v>
      </c>
      <c r="EW193" s="88">
        <v>0.0</v>
      </c>
      <c r="EX193" s="88">
        <v>0.0</v>
      </c>
      <c r="EY193" s="88">
        <v>0.0</v>
      </c>
      <c r="EZ193" s="88">
        <v>0.0</v>
      </c>
      <c r="FA193" s="88">
        <v>0.0</v>
      </c>
      <c r="FB193" s="88">
        <v>0.0</v>
      </c>
      <c r="FC193" s="88">
        <v>0.0</v>
      </c>
      <c r="FD193" s="88">
        <v>0.0</v>
      </c>
      <c r="FE193" s="88">
        <v>0.0</v>
      </c>
      <c r="FF193" s="88">
        <v>0.0</v>
      </c>
      <c r="FG193" s="88">
        <v>0.0</v>
      </c>
      <c r="FH193" s="88">
        <v>0.0</v>
      </c>
      <c r="FI193" s="88">
        <v>0.0</v>
      </c>
      <c r="FJ193" s="88">
        <v>0.0</v>
      </c>
      <c r="FK193" s="88">
        <v>0.0</v>
      </c>
      <c r="FL193" s="88">
        <v>0.0</v>
      </c>
      <c r="FM193" s="88">
        <v>0.0</v>
      </c>
      <c r="FN193" s="88">
        <v>0.0</v>
      </c>
      <c r="FO193" s="88">
        <v>0.0</v>
      </c>
      <c r="FP193" s="88">
        <v>0.0</v>
      </c>
      <c r="FQ193" s="88">
        <v>0.0</v>
      </c>
      <c r="FR193" s="88">
        <v>0.0</v>
      </c>
      <c r="FS193" s="88">
        <v>0.0</v>
      </c>
      <c r="FT193" s="88">
        <v>0.0</v>
      </c>
      <c r="FU193" s="88">
        <v>0.0</v>
      </c>
      <c r="FV193" s="88">
        <v>0.0</v>
      </c>
      <c r="FW193" s="88">
        <v>0.0</v>
      </c>
      <c r="FX193" s="88">
        <v>0.0</v>
      </c>
      <c r="FY193" s="88">
        <v>0.0</v>
      </c>
      <c r="FZ193" s="88">
        <v>0.0</v>
      </c>
      <c r="GA193" s="88">
        <v>0.0</v>
      </c>
      <c r="GB193" s="88">
        <v>0.0</v>
      </c>
      <c r="GC193" s="88">
        <v>0.0</v>
      </c>
      <c r="GD193" s="88">
        <v>0.0</v>
      </c>
      <c r="GE193" s="88">
        <v>0.0</v>
      </c>
      <c r="GF193" s="55">
        <v>0.0</v>
      </c>
      <c r="GG193" s="55">
        <v>0.0</v>
      </c>
      <c r="GH193" s="55">
        <v>0.0</v>
      </c>
      <c r="GI193" s="55">
        <v>0.0</v>
      </c>
      <c r="GJ193" s="55">
        <v>0.0</v>
      </c>
      <c r="GK193" s="55">
        <v>0.0</v>
      </c>
      <c r="GL193" s="55">
        <v>0.0</v>
      </c>
      <c r="GM193" s="55">
        <v>0.0</v>
      </c>
      <c r="GN193" s="55">
        <v>0.0</v>
      </c>
      <c r="GO193" s="55">
        <v>0.0</v>
      </c>
      <c r="GP193" s="55">
        <v>0.0</v>
      </c>
      <c r="GQ193" s="55">
        <v>0.0</v>
      </c>
      <c r="GR193" s="55">
        <v>0.0</v>
      </c>
      <c r="GS193" s="55">
        <v>0.0</v>
      </c>
      <c r="GT193" s="89">
        <v>0.0</v>
      </c>
      <c r="GU193" s="90">
        <v>0.0</v>
      </c>
      <c r="GV193" s="91">
        <v>0.0</v>
      </c>
      <c r="GW193" s="55">
        <v>0.0</v>
      </c>
      <c r="GX193" s="55">
        <v>0.0</v>
      </c>
      <c r="GY193" s="55">
        <v>0.0</v>
      </c>
      <c r="GZ193" s="55">
        <v>0.0</v>
      </c>
    </row>
    <row r="194" ht="15.75" customHeight="1">
      <c r="A194" s="68">
        <v>2000.0</v>
      </c>
      <c r="B194" s="3" t="s">
        <v>620</v>
      </c>
      <c r="C194" s="92">
        <v>0.0</v>
      </c>
      <c r="D194" s="92">
        <v>0.0</v>
      </c>
      <c r="E194" s="92">
        <v>0.0</v>
      </c>
      <c r="F194" s="92">
        <v>0.0</v>
      </c>
      <c r="G194" s="92">
        <v>0.0</v>
      </c>
      <c r="H194" s="92">
        <v>0.0</v>
      </c>
      <c r="I194" s="92">
        <v>0.0</v>
      </c>
      <c r="J194" s="92">
        <v>0.0</v>
      </c>
      <c r="K194" s="92">
        <v>0.0</v>
      </c>
      <c r="L194" s="92">
        <v>0.0</v>
      </c>
      <c r="M194" s="92">
        <v>0.0</v>
      </c>
      <c r="N194" s="92">
        <v>0.0</v>
      </c>
      <c r="O194" s="92">
        <v>0.0</v>
      </c>
      <c r="P194" s="92">
        <v>0.0</v>
      </c>
      <c r="Q194" s="92">
        <v>0.0</v>
      </c>
      <c r="R194" s="92">
        <v>0.0</v>
      </c>
      <c r="S194" s="92">
        <v>0.0</v>
      </c>
      <c r="T194" s="92">
        <v>0.0</v>
      </c>
      <c r="U194" s="92">
        <v>0.0</v>
      </c>
      <c r="V194" s="92">
        <v>0.0</v>
      </c>
      <c r="W194" s="92">
        <v>0.0</v>
      </c>
      <c r="X194" s="92">
        <v>0.0</v>
      </c>
      <c r="Y194" s="92">
        <v>0.0</v>
      </c>
      <c r="Z194" s="92">
        <v>0.0</v>
      </c>
      <c r="AA194" s="92">
        <v>0.0</v>
      </c>
      <c r="AB194" s="92">
        <v>0.0</v>
      </c>
      <c r="AC194" s="92">
        <v>0.0</v>
      </c>
      <c r="AD194" s="92">
        <v>0.0</v>
      </c>
      <c r="AE194" s="92">
        <v>0.0</v>
      </c>
      <c r="AF194" s="92">
        <v>0.0</v>
      </c>
      <c r="AG194" s="92">
        <v>0.0</v>
      </c>
      <c r="AH194" s="92">
        <v>0.0</v>
      </c>
      <c r="AI194" s="92">
        <v>0.0</v>
      </c>
      <c r="AJ194" s="92">
        <v>0.0</v>
      </c>
      <c r="AK194" s="92">
        <v>0.0</v>
      </c>
      <c r="AL194" s="92">
        <v>0.0</v>
      </c>
      <c r="AM194" s="92">
        <v>0.0</v>
      </c>
      <c r="AN194" s="92">
        <v>0.0</v>
      </c>
      <c r="AO194" s="92">
        <v>0.0</v>
      </c>
      <c r="AP194" s="92">
        <v>0.0</v>
      </c>
      <c r="AQ194" s="92">
        <v>0.0</v>
      </c>
      <c r="AR194" s="92">
        <v>0.0</v>
      </c>
      <c r="AS194" s="92">
        <v>0.0</v>
      </c>
      <c r="AT194" s="92">
        <v>0.0</v>
      </c>
      <c r="AU194" s="92">
        <v>0.0</v>
      </c>
      <c r="AV194" s="92">
        <v>0.0</v>
      </c>
      <c r="AW194" s="92">
        <v>0.0</v>
      </c>
      <c r="AX194" s="92">
        <v>0.0</v>
      </c>
      <c r="AY194" s="92">
        <v>0.0</v>
      </c>
      <c r="AZ194" s="92">
        <v>0.0</v>
      </c>
      <c r="BA194" s="92">
        <v>0.0</v>
      </c>
      <c r="BB194" s="92">
        <v>0.0</v>
      </c>
      <c r="BC194" s="92">
        <v>0.0</v>
      </c>
      <c r="BD194" s="92">
        <v>0.0</v>
      </c>
      <c r="BE194" s="92">
        <v>0.0</v>
      </c>
      <c r="BF194" s="92">
        <v>0.0</v>
      </c>
      <c r="BG194" s="92">
        <v>0.0</v>
      </c>
      <c r="BH194" s="92">
        <v>0.0</v>
      </c>
      <c r="BI194" s="92">
        <v>0.0</v>
      </c>
      <c r="BJ194" s="92">
        <v>0.0</v>
      </c>
      <c r="BK194" s="92">
        <v>0.0</v>
      </c>
      <c r="BL194" s="92">
        <v>0.0</v>
      </c>
      <c r="BM194" s="92">
        <v>0.0</v>
      </c>
      <c r="BN194" s="92">
        <v>0.0</v>
      </c>
      <c r="BO194" s="92">
        <v>0.0</v>
      </c>
      <c r="BP194" s="92">
        <v>0.0</v>
      </c>
      <c r="BQ194" s="92">
        <v>0.0</v>
      </c>
      <c r="BR194" s="92">
        <v>0.0</v>
      </c>
      <c r="BS194" s="92">
        <v>0.0</v>
      </c>
      <c r="BT194" s="92">
        <v>0.0</v>
      </c>
      <c r="BU194" s="92">
        <v>0.0</v>
      </c>
      <c r="BV194" s="92">
        <v>0.0</v>
      </c>
      <c r="BW194" s="92">
        <v>0.0</v>
      </c>
      <c r="BX194" s="92">
        <v>0.0</v>
      </c>
      <c r="BY194" s="92">
        <v>0.0</v>
      </c>
      <c r="BZ194" s="92">
        <v>0.0</v>
      </c>
      <c r="CA194" s="92">
        <v>0.0</v>
      </c>
      <c r="CB194" s="92">
        <v>0.0</v>
      </c>
      <c r="CC194" s="92">
        <v>0.0</v>
      </c>
      <c r="CD194" s="92">
        <v>0.0</v>
      </c>
      <c r="CE194" s="92">
        <v>0.0</v>
      </c>
      <c r="CF194" s="92">
        <v>0.0</v>
      </c>
      <c r="CG194" s="92">
        <v>0.0</v>
      </c>
      <c r="CH194" s="92">
        <v>0.0</v>
      </c>
      <c r="CI194" s="92">
        <v>0.0</v>
      </c>
      <c r="CJ194" s="92">
        <v>0.0</v>
      </c>
      <c r="CK194" s="92">
        <v>0.0</v>
      </c>
      <c r="CL194" s="92">
        <v>0.0</v>
      </c>
      <c r="CM194" s="92">
        <v>0.0</v>
      </c>
      <c r="CN194" s="92">
        <v>0.0</v>
      </c>
      <c r="CO194" s="92">
        <v>0.0</v>
      </c>
      <c r="CP194" s="92">
        <v>0.0</v>
      </c>
      <c r="CQ194" s="92">
        <v>0.0</v>
      </c>
      <c r="CR194" s="92">
        <v>0.0</v>
      </c>
      <c r="CS194" s="92">
        <v>0.0</v>
      </c>
      <c r="CT194" s="92">
        <v>0.0</v>
      </c>
      <c r="CU194" s="92">
        <v>0.0</v>
      </c>
      <c r="CV194" s="92">
        <v>0.0</v>
      </c>
      <c r="CW194" s="92">
        <v>0.0</v>
      </c>
      <c r="CX194" s="92">
        <v>0.0</v>
      </c>
      <c r="CY194" s="92">
        <v>0.0</v>
      </c>
      <c r="CZ194" s="92">
        <v>0.0</v>
      </c>
      <c r="DA194" s="92">
        <v>0.0</v>
      </c>
      <c r="DB194" s="92">
        <v>0.0</v>
      </c>
      <c r="DC194" s="92">
        <v>0.0</v>
      </c>
      <c r="DD194" s="92">
        <v>0.0</v>
      </c>
      <c r="DE194" s="92">
        <v>0.0</v>
      </c>
      <c r="DF194" s="92">
        <v>0.0</v>
      </c>
      <c r="DG194" s="92">
        <v>0.0</v>
      </c>
      <c r="DH194" s="92">
        <v>0.0</v>
      </c>
      <c r="DI194" s="92">
        <v>0.0</v>
      </c>
      <c r="DJ194" s="92">
        <v>0.0</v>
      </c>
      <c r="DK194" s="92">
        <v>0.0</v>
      </c>
      <c r="DL194" s="92">
        <v>0.0</v>
      </c>
      <c r="DM194" s="92">
        <v>0.0</v>
      </c>
      <c r="DN194" s="92">
        <v>0.0</v>
      </c>
      <c r="DO194" s="92">
        <v>0.0</v>
      </c>
      <c r="DP194" s="92">
        <v>0.0</v>
      </c>
      <c r="DQ194" s="92">
        <v>0.0</v>
      </c>
      <c r="DR194" s="92">
        <v>0.0</v>
      </c>
      <c r="DS194" s="92">
        <v>0.0</v>
      </c>
      <c r="DT194" s="92">
        <v>0.0</v>
      </c>
      <c r="DU194" s="92">
        <v>0.0</v>
      </c>
      <c r="DV194" s="92">
        <v>0.0</v>
      </c>
      <c r="DW194" s="92">
        <v>0.0</v>
      </c>
      <c r="DX194" s="92">
        <v>0.0</v>
      </c>
      <c r="DY194" s="92">
        <v>0.0</v>
      </c>
      <c r="DZ194" s="92">
        <v>0.0</v>
      </c>
      <c r="EA194" s="92">
        <v>0.0</v>
      </c>
      <c r="EB194" s="92">
        <v>0.0</v>
      </c>
      <c r="EC194" s="92">
        <v>0.0</v>
      </c>
      <c r="ED194" s="92">
        <v>0.0</v>
      </c>
      <c r="EE194" s="92">
        <v>0.0</v>
      </c>
      <c r="EF194" s="92">
        <v>0.0</v>
      </c>
      <c r="EG194" s="92">
        <v>0.0</v>
      </c>
      <c r="EH194" s="92">
        <v>0.0</v>
      </c>
      <c r="EI194" s="92">
        <v>0.0</v>
      </c>
      <c r="EJ194" s="92">
        <v>0.0</v>
      </c>
      <c r="EK194" s="92">
        <v>0.0</v>
      </c>
      <c r="EL194" s="92">
        <v>0.0</v>
      </c>
      <c r="EM194" s="92">
        <v>0.0</v>
      </c>
      <c r="EN194" s="92">
        <v>0.0</v>
      </c>
      <c r="EO194" s="92">
        <v>0.0</v>
      </c>
      <c r="EP194" s="92">
        <v>0.0</v>
      </c>
      <c r="EQ194" s="92">
        <v>0.0</v>
      </c>
      <c r="ER194" s="92">
        <v>0.0</v>
      </c>
      <c r="ES194" s="92">
        <v>0.0</v>
      </c>
      <c r="ET194" s="92">
        <v>0.0</v>
      </c>
      <c r="EU194" s="92">
        <v>0.0</v>
      </c>
      <c r="EV194" s="92">
        <v>0.0</v>
      </c>
      <c r="EW194" s="92">
        <v>0.0</v>
      </c>
      <c r="EX194" s="92">
        <v>0.0</v>
      </c>
      <c r="EY194" s="92">
        <v>0.0</v>
      </c>
      <c r="EZ194" s="92">
        <v>0.0</v>
      </c>
      <c r="FA194" s="92">
        <v>0.0</v>
      </c>
      <c r="FB194" s="92">
        <v>0.0</v>
      </c>
      <c r="FC194" s="92">
        <v>0.0</v>
      </c>
      <c r="FD194" s="92">
        <v>0.0</v>
      </c>
      <c r="FE194" s="92">
        <v>0.0</v>
      </c>
      <c r="FF194" s="92">
        <v>0.0</v>
      </c>
      <c r="FG194" s="92">
        <v>0.0</v>
      </c>
      <c r="FH194" s="92">
        <v>0.0</v>
      </c>
      <c r="FI194" s="92">
        <v>0.0</v>
      </c>
      <c r="FJ194" s="92">
        <v>0.0</v>
      </c>
      <c r="FK194" s="92">
        <v>0.0</v>
      </c>
      <c r="FL194" s="92">
        <v>0.0</v>
      </c>
      <c r="FM194" s="92">
        <v>0.0</v>
      </c>
      <c r="FN194" s="92">
        <v>0.0</v>
      </c>
      <c r="FO194" s="92">
        <v>0.0</v>
      </c>
      <c r="FP194" s="92">
        <v>0.0</v>
      </c>
      <c r="FQ194" s="92">
        <v>0.0</v>
      </c>
      <c r="FR194" s="92">
        <v>0.0</v>
      </c>
      <c r="FS194" s="92">
        <v>0.0</v>
      </c>
      <c r="FT194" s="92">
        <v>0.0</v>
      </c>
      <c r="FU194" s="92">
        <v>0.0</v>
      </c>
      <c r="FV194" s="92">
        <v>0.0</v>
      </c>
      <c r="FW194" s="92">
        <v>0.0</v>
      </c>
      <c r="FX194" s="92">
        <v>0.0</v>
      </c>
      <c r="FY194" s="92">
        <v>0.0</v>
      </c>
      <c r="FZ194" s="92">
        <v>0.0</v>
      </c>
      <c r="GA194" s="92">
        <v>0.0</v>
      </c>
      <c r="GB194" s="92">
        <v>0.0</v>
      </c>
      <c r="GC194" s="92">
        <v>0.0</v>
      </c>
      <c r="GD194" s="92">
        <v>0.0</v>
      </c>
      <c r="GE194" s="92">
        <v>0.0</v>
      </c>
      <c r="GF194" s="71">
        <v>0.0</v>
      </c>
      <c r="GG194" s="71">
        <v>0.0</v>
      </c>
      <c r="GH194" s="71">
        <v>0.0</v>
      </c>
      <c r="GI194" s="71">
        <v>0.0</v>
      </c>
      <c r="GJ194" s="71">
        <v>0.0</v>
      </c>
      <c r="GK194" s="71">
        <v>0.0</v>
      </c>
      <c r="GL194" s="71">
        <v>0.0</v>
      </c>
      <c r="GM194" s="71">
        <v>0.0</v>
      </c>
      <c r="GN194" s="71">
        <v>0.0</v>
      </c>
      <c r="GO194" s="71">
        <v>0.0</v>
      </c>
      <c r="GP194" s="71">
        <v>0.0</v>
      </c>
      <c r="GQ194" s="71">
        <v>0.0</v>
      </c>
      <c r="GR194" s="71">
        <v>0.0</v>
      </c>
      <c r="GS194" s="71">
        <v>0.0</v>
      </c>
      <c r="GT194" s="93">
        <v>0.0</v>
      </c>
      <c r="GU194" s="85">
        <v>0.0</v>
      </c>
      <c r="GV194" s="94">
        <v>0.0</v>
      </c>
      <c r="GW194" s="71">
        <v>0.0</v>
      </c>
      <c r="GX194" s="71">
        <v>0.0</v>
      </c>
      <c r="GY194" s="71">
        <v>0.0</v>
      </c>
      <c r="GZ194" s="71">
        <v>0.0</v>
      </c>
    </row>
    <row r="195" ht="15.75" customHeight="1">
      <c r="A195" s="52">
        <v>2010.0</v>
      </c>
      <c r="B195" s="3" t="s">
        <v>621</v>
      </c>
      <c r="C195" s="54">
        <v>9.7638664E7</v>
      </c>
      <c r="D195" s="54">
        <v>2.2528109E7</v>
      </c>
      <c r="E195" s="54">
        <v>2028894.0</v>
      </c>
      <c r="F195" s="54">
        <v>2.1507545E7</v>
      </c>
      <c r="G195" s="54">
        <v>627723.0</v>
      </c>
      <c r="H195" s="54">
        <v>1704462.0</v>
      </c>
      <c r="I195" s="54">
        <v>1182994.0</v>
      </c>
      <c r="J195" s="54">
        <v>2553317.0</v>
      </c>
      <c r="K195" s="54">
        <v>83996.0</v>
      </c>
      <c r="L195" s="54">
        <v>5.2568032E7</v>
      </c>
      <c r="M195" s="54">
        <v>1825419.0</v>
      </c>
      <c r="N195" s="54">
        <v>4378250.0</v>
      </c>
      <c r="O195" s="54">
        <v>5658858.0</v>
      </c>
      <c r="P195" s="54">
        <v>130274.0</v>
      </c>
      <c r="Q195" s="54">
        <v>1.6343978E7</v>
      </c>
      <c r="R195" s="54">
        <v>4.292652E7</v>
      </c>
      <c r="S195" s="54">
        <v>2706879.0</v>
      </c>
      <c r="T195" s="54">
        <v>2.869692E7</v>
      </c>
      <c r="U195" s="54">
        <v>1.1517615E7</v>
      </c>
      <c r="V195" s="54">
        <v>8.9753183E7</v>
      </c>
      <c r="W195" s="54">
        <v>1.5931151E7</v>
      </c>
      <c r="X195" s="54">
        <v>2539787.0</v>
      </c>
      <c r="Y195" s="54">
        <v>2.0588436E7</v>
      </c>
      <c r="Z195" s="54">
        <v>9985531.0</v>
      </c>
      <c r="AA195" s="54">
        <v>931185.0</v>
      </c>
      <c r="AB195" s="54">
        <v>3.2740142E7</v>
      </c>
      <c r="AC195" s="54">
        <v>5506064.0</v>
      </c>
      <c r="AD195" s="54">
        <v>6.0752161E7</v>
      </c>
      <c r="AE195" s="54">
        <v>4445618.0</v>
      </c>
      <c r="AF195" s="54">
        <v>9502497.0</v>
      </c>
      <c r="AG195" s="54">
        <v>3.6782E7</v>
      </c>
      <c r="AH195" s="54">
        <v>1.7759907E7</v>
      </c>
      <c r="AI195" s="54">
        <v>8.5616411E7</v>
      </c>
      <c r="AJ195" s="54">
        <v>1.8606176E7</v>
      </c>
      <c r="AK195" s="54">
        <v>2568396.0</v>
      </c>
      <c r="AL195" s="54">
        <v>2.8237943E7</v>
      </c>
      <c r="AM195" s="54">
        <v>4.6899455E7</v>
      </c>
      <c r="AN195" s="54">
        <v>3.1272162E7</v>
      </c>
      <c r="AO195" s="54">
        <v>2.4915689E7</v>
      </c>
      <c r="AP195" s="54">
        <v>603392.0</v>
      </c>
      <c r="AQ195" s="54">
        <v>1940651.0</v>
      </c>
      <c r="AR195" s="54">
        <v>1151942.0</v>
      </c>
      <c r="AS195" s="54">
        <v>5607999.0</v>
      </c>
      <c r="AT195" s="54">
        <v>606633.0</v>
      </c>
      <c r="AU195" s="54">
        <v>787394.0</v>
      </c>
      <c r="AV195" s="54">
        <v>1.6339433E7</v>
      </c>
      <c r="AW195" s="54">
        <v>331546.0</v>
      </c>
      <c r="AX195" s="54">
        <v>6.7626338E7</v>
      </c>
      <c r="AY195" s="54">
        <v>8027677.0</v>
      </c>
      <c r="AZ195" s="54">
        <v>697446.0</v>
      </c>
      <c r="BA195" s="54">
        <v>9697926.0</v>
      </c>
      <c r="BB195" s="54">
        <v>8094910.0</v>
      </c>
      <c r="BC195" s="54">
        <v>2.5811848E7</v>
      </c>
      <c r="BD195" s="54">
        <v>6647761.0</v>
      </c>
      <c r="BE195" s="54">
        <v>3906450.0</v>
      </c>
      <c r="BF195" s="54">
        <v>7070402.0</v>
      </c>
      <c r="BG195" s="54">
        <v>2536297.0</v>
      </c>
      <c r="BH195" s="54">
        <v>3.6362969E7</v>
      </c>
      <c r="BI195" s="54">
        <v>1688220.0</v>
      </c>
      <c r="BJ195" s="54">
        <v>1.6106872E7</v>
      </c>
      <c r="BK195" s="54">
        <v>3650684.0</v>
      </c>
      <c r="BL195" s="54">
        <v>3459371.0</v>
      </c>
      <c r="BM195" s="54">
        <v>1.9529911E7</v>
      </c>
      <c r="BN195" s="54">
        <v>6679875.0</v>
      </c>
      <c r="BO195" s="54">
        <v>7354505.0</v>
      </c>
      <c r="BP195" s="54">
        <v>3029388.0</v>
      </c>
      <c r="BQ195" s="54">
        <v>4076041.0</v>
      </c>
      <c r="BR195" s="54">
        <v>3804857.0</v>
      </c>
      <c r="BS195" s="54">
        <v>5717488.0</v>
      </c>
      <c r="BT195" s="54">
        <v>8574212.0</v>
      </c>
      <c r="BU195" s="54">
        <v>1.9571505E7</v>
      </c>
      <c r="BV195" s="54">
        <v>4230731.0</v>
      </c>
      <c r="BW195" s="54">
        <v>1141998.0</v>
      </c>
      <c r="BX195" s="54">
        <v>9349932.0</v>
      </c>
      <c r="BY195" s="54">
        <v>3.5482301E7</v>
      </c>
      <c r="BZ195" s="54">
        <v>1229853.0</v>
      </c>
      <c r="CA195" s="54">
        <v>1.4531869E7</v>
      </c>
      <c r="CB195" s="54">
        <v>1.5662924E7</v>
      </c>
      <c r="CC195" s="54">
        <v>2933864.0</v>
      </c>
      <c r="CD195" s="54">
        <v>3429676.0</v>
      </c>
      <c r="CE195" s="54">
        <v>3800260.0</v>
      </c>
      <c r="CF195" s="54">
        <v>3.0281807E7</v>
      </c>
      <c r="CG195" s="54">
        <v>4639352.0</v>
      </c>
      <c r="CH195" s="54">
        <v>4728868.0</v>
      </c>
      <c r="CI195" s="54">
        <v>2.7223776E7</v>
      </c>
      <c r="CJ195" s="54">
        <v>6068713.0</v>
      </c>
      <c r="CK195" s="54">
        <v>1.3196418E7</v>
      </c>
      <c r="CL195" s="54">
        <v>6916358.0</v>
      </c>
      <c r="CM195" s="54">
        <v>2868176.0</v>
      </c>
      <c r="CN195" s="54">
        <v>7917060.0</v>
      </c>
      <c r="CO195" s="54">
        <v>1.233138E7</v>
      </c>
      <c r="CP195" s="54">
        <v>1.3640066E7</v>
      </c>
      <c r="CQ195" s="54">
        <v>6248374.0</v>
      </c>
      <c r="CR195" s="54">
        <v>1.7663077E7</v>
      </c>
      <c r="CS195" s="54">
        <v>3.4136492E7</v>
      </c>
      <c r="CT195" s="54">
        <v>2.5982587E7</v>
      </c>
      <c r="CU195" s="54">
        <v>6549569.0</v>
      </c>
      <c r="CV195" s="54">
        <v>8375705.0</v>
      </c>
      <c r="CW195" s="54">
        <v>1394547.0</v>
      </c>
      <c r="CX195" s="54">
        <v>6069064.0</v>
      </c>
      <c r="CY195" s="54">
        <v>402524.0</v>
      </c>
      <c r="CZ195" s="54">
        <v>6585318.0</v>
      </c>
      <c r="DA195" s="54">
        <v>6778651.0</v>
      </c>
      <c r="DB195" s="54">
        <v>5640938.0</v>
      </c>
      <c r="DC195" s="54">
        <v>1.4790535E7</v>
      </c>
      <c r="DD195" s="54">
        <v>2366700.0</v>
      </c>
      <c r="DE195" s="54">
        <v>4716449.0</v>
      </c>
      <c r="DF195" s="54">
        <v>6817854.0</v>
      </c>
      <c r="DG195" s="54">
        <v>1700558.0</v>
      </c>
      <c r="DH195" s="54">
        <v>1.8248684E7</v>
      </c>
      <c r="DI195" s="54">
        <v>8750265.0</v>
      </c>
      <c r="DJ195" s="54">
        <v>9848724.0</v>
      </c>
      <c r="DK195" s="54">
        <v>1.4815735E7</v>
      </c>
      <c r="DL195" s="54">
        <v>1.9476676E7</v>
      </c>
      <c r="DM195" s="54">
        <v>1.13812E7</v>
      </c>
      <c r="DN195" s="54">
        <v>1243051.0</v>
      </c>
      <c r="DO195" s="54">
        <v>1.2275152E7</v>
      </c>
      <c r="DP195" s="54">
        <v>1071296.0</v>
      </c>
      <c r="DQ195" s="54">
        <v>6461925.0</v>
      </c>
      <c r="DR195" s="54">
        <v>1.5351641E7</v>
      </c>
      <c r="DS195" s="54">
        <v>3.0931562E7</v>
      </c>
      <c r="DT195" s="54">
        <v>4283361.0</v>
      </c>
      <c r="DU195" s="54">
        <v>3614215.0</v>
      </c>
      <c r="DV195" s="54">
        <v>1.3679656E7</v>
      </c>
      <c r="DW195" s="54">
        <v>9939089.0</v>
      </c>
      <c r="DX195" s="54">
        <v>4760032.0</v>
      </c>
      <c r="DY195" s="54">
        <v>1.1222594E7</v>
      </c>
      <c r="DZ195" s="54">
        <v>1.5652062E7</v>
      </c>
      <c r="EA195" s="54">
        <v>1093549.0</v>
      </c>
      <c r="EB195" s="54">
        <v>1.3590066E7</v>
      </c>
      <c r="EC195" s="54">
        <v>8.7240369E7</v>
      </c>
      <c r="ED195" s="54">
        <v>9532233.0</v>
      </c>
      <c r="EE195" s="54">
        <v>772728.0</v>
      </c>
      <c r="EF195" s="54">
        <v>1761170.0</v>
      </c>
      <c r="EG195" s="54">
        <v>6952285.0</v>
      </c>
      <c r="EH195" s="54">
        <v>3.3961576E7</v>
      </c>
      <c r="EI195" s="54">
        <v>1.9018341E7</v>
      </c>
      <c r="EJ195" s="54">
        <v>6140408.0</v>
      </c>
      <c r="EK195" s="54">
        <v>1895496.0</v>
      </c>
      <c r="EL195" s="54">
        <v>2697564.0</v>
      </c>
      <c r="EM195" s="54">
        <v>2251478.0</v>
      </c>
      <c r="EN195" s="54">
        <v>4055560.0</v>
      </c>
      <c r="EO195" s="54">
        <v>4038130.0</v>
      </c>
      <c r="EP195" s="54">
        <v>3715944.0</v>
      </c>
      <c r="EQ195" s="54">
        <v>3.0058878E7</v>
      </c>
      <c r="ER195" s="54">
        <v>3516985.0</v>
      </c>
      <c r="ES195" s="54">
        <v>7236460.0</v>
      </c>
      <c r="ET195" s="54">
        <v>2736857.0</v>
      </c>
      <c r="EU195" s="54">
        <v>4.27367547E8</v>
      </c>
      <c r="EV195" s="54">
        <v>1.3701045E7</v>
      </c>
      <c r="EW195" s="54">
        <v>6560731.0</v>
      </c>
      <c r="EX195" s="54">
        <v>3.1169928E7</v>
      </c>
      <c r="EY195" s="54">
        <v>1.57275705E8</v>
      </c>
      <c r="EZ195" s="54">
        <v>8.6534514E7</v>
      </c>
      <c r="FA195" s="54">
        <v>7.8857009E7</v>
      </c>
      <c r="FB195" s="54">
        <v>7.27346858E8</v>
      </c>
      <c r="FC195" s="54">
        <v>5350854.0</v>
      </c>
      <c r="FD195" s="54">
        <v>1.31007599E8</v>
      </c>
      <c r="FE195" s="54">
        <v>1.5042379E7</v>
      </c>
      <c r="FF195" s="54">
        <v>7013244.0</v>
      </c>
      <c r="FG195" s="54">
        <v>4.1691538E7</v>
      </c>
      <c r="FH195" s="54">
        <v>4.2303854E7</v>
      </c>
      <c r="FI195" s="54">
        <v>1.2052781E7</v>
      </c>
      <c r="FJ195" s="54">
        <v>3.3221549E7</v>
      </c>
      <c r="FK195" s="54">
        <v>2.2440208E8</v>
      </c>
      <c r="FL195" s="54">
        <v>1.8680032E7</v>
      </c>
      <c r="FM195" s="54">
        <v>4.2007602E7</v>
      </c>
      <c r="FN195" s="54">
        <v>1.04298275E8</v>
      </c>
      <c r="FO195" s="54">
        <v>3.368893E7</v>
      </c>
      <c r="FP195" s="54">
        <v>1.95528197E8</v>
      </c>
      <c r="FQ195" s="54">
        <v>3.6631253E7</v>
      </c>
      <c r="FR195" s="54">
        <v>923306.0</v>
      </c>
      <c r="FS195" s="54">
        <v>2.3911792E7</v>
      </c>
      <c r="FT195" s="54">
        <v>6.7220608E7</v>
      </c>
      <c r="FU195" s="54">
        <v>6.8982097E7</v>
      </c>
      <c r="FV195" s="54">
        <v>1.16722507E8</v>
      </c>
      <c r="FW195" s="54">
        <v>3.34181165E8</v>
      </c>
      <c r="FX195" s="54">
        <v>2.62518545E8</v>
      </c>
      <c r="FY195" s="54">
        <v>8.0894553E7</v>
      </c>
      <c r="FZ195" s="54">
        <v>1357430.0</v>
      </c>
      <c r="GA195" s="54">
        <v>1.6299987E8</v>
      </c>
      <c r="GB195" s="54">
        <v>7.2408919E7</v>
      </c>
      <c r="GC195" s="54">
        <v>1.4831757E7</v>
      </c>
      <c r="GD195" s="54">
        <v>9252893.0</v>
      </c>
      <c r="GE195" s="54">
        <v>1.20731971E8</v>
      </c>
      <c r="GF195" s="55">
        <v>5.810802524E9</v>
      </c>
      <c r="GG195" s="95"/>
      <c r="GH195" s="96"/>
      <c r="GI195" s="96"/>
      <c r="GJ195" s="96"/>
      <c r="GK195" s="96"/>
      <c r="GL195" s="96"/>
      <c r="GM195" s="96"/>
      <c r="GN195" s="95"/>
      <c r="GO195" s="95"/>
      <c r="GP195" s="96"/>
      <c r="GQ195" s="96"/>
      <c r="GR195" s="96"/>
      <c r="GS195" s="96"/>
      <c r="GT195" s="96"/>
      <c r="GU195" s="96"/>
      <c r="GV195" s="96"/>
      <c r="GW195" s="96"/>
      <c r="GX195" s="96"/>
      <c r="GY195" s="96"/>
      <c r="GZ195" s="96"/>
    </row>
    <row r="196" ht="15.75" customHeight="1">
      <c r="A196" s="60">
        <v>2020.0</v>
      </c>
      <c r="B196" s="3" t="s">
        <v>622</v>
      </c>
      <c r="C196" s="62">
        <v>1.34140442E8</v>
      </c>
      <c r="D196" s="62">
        <v>4.4340117E7</v>
      </c>
      <c r="E196" s="62">
        <v>6081429.0</v>
      </c>
      <c r="F196" s="62">
        <v>2.4131151E7</v>
      </c>
      <c r="G196" s="62">
        <v>2321432.0</v>
      </c>
      <c r="H196" s="62">
        <v>4258682.0</v>
      </c>
      <c r="I196" s="62">
        <v>2197483.0</v>
      </c>
      <c r="J196" s="62">
        <v>7883129.0</v>
      </c>
      <c r="K196" s="62">
        <v>272736.0</v>
      </c>
      <c r="L196" s="62">
        <v>9.601667E7</v>
      </c>
      <c r="M196" s="62">
        <v>2621272.0</v>
      </c>
      <c r="N196" s="62">
        <v>1.0551362E7</v>
      </c>
      <c r="O196" s="62">
        <v>1.0131809E7</v>
      </c>
      <c r="P196" s="62">
        <v>344178.0</v>
      </c>
      <c r="Q196" s="62">
        <v>2.6795398E7</v>
      </c>
      <c r="R196" s="62">
        <v>1.07912049E8</v>
      </c>
      <c r="S196" s="62">
        <v>4972405.0</v>
      </c>
      <c r="T196" s="62">
        <v>3.4432804E7</v>
      </c>
      <c r="U196" s="62">
        <v>2.9669912E7</v>
      </c>
      <c r="V196" s="62">
        <v>1.92663192E8</v>
      </c>
      <c r="W196" s="62">
        <v>2.6477273E7</v>
      </c>
      <c r="X196" s="62">
        <v>2808426.0</v>
      </c>
      <c r="Y196" s="62">
        <v>2.4136841E7</v>
      </c>
      <c r="Z196" s="62">
        <v>1.4269971E7</v>
      </c>
      <c r="AA196" s="62">
        <v>2285703.0</v>
      </c>
      <c r="AB196" s="62">
        <v>3.9512644E7</v>
      </c>
      <c r="AC196" s="62">
        <v>6515719.0</v>
      </c>
      <c r="AD196" s="62">
        <v>7.1350508E7</v>
      </c>
      <c r="AE196" s="62">
        <v>5788548.0</v>
      </c>
      <c r="AF196" s="62">
        <v>2.0689855E7</v>
      </c>
      <c r="AG196" s="62">
        <v>5.6440212E7</v>
      </c>
      <c r="AH196" s="62">
        <v>2.8868631E7</v>
      </c>
      <c r="AI196" s="62">
        <v>1.70292151E8</v>
      </c>
      <c r="AJ196" s="62">
        <v>4.2704552E7</v>
      </c>
      <c r="AK196" s="62">
        <v>8530238.0</v>
      </c>
      <c r="AL196" s="62">
        <v>2.0581574E7</v>
      </c>
      <c r="AM196" s="62">
        <v>2.08431056E8</v>
      </c>
      <c r="AN196" s="62">
        <v>1.35791711E8</v>
      </c>
      <c r="AO196" s="62">
        <v>1.24031054E8</v>
      </c>
      <c r="AP196" s="62">
        <v>1388989.0</v>
      </c>
      <c r="AQ196" s="62">
        <v>8883242.0</v>
      </c>
      <c r="AR196" s="62">
        <v>5567919.0</v>
      </c>
      <c r="AS196" s="62">
        <v>3.8448423E7</v>
      </c>
      <c r="AT196" s="62">
        <v>3237674.0</v>
      </c>
      <c r="AU196" s="62">
        <v>3618769.0</v>
      </c>
      <c r="AV196" s="62">
        <v>4.011339E7</v>
      </c>
      <c r="AW196" s="62">
        <v>843803.0</v>
      </c>
      <c r="AX196" s="62">
        <v>1.15963581E8</v>
      </c>
      <c r="AY196" s="62">
        <v>1.3801041E7</v>
      </c>
      <c r="AZ196" s="62">
        <v>1085430.0</v>
      </c>
      <c r="BA196" s="62">
        <v>1.9982515E7</v>
      </c>
      <c r="BB196" s="62">
        <v>2.8699759E7</v>
      </c>
      <c r="BC196" s="62">
        <v>6.1020244E7</v>
      </c>
      <c r="BD196" s="62">
        <v>1.5477063E7</v>
      </c>
      <c r="BE196" s="62">
        <v>1.512036E7</v>
      </c>
      <c r="BF196" s="62">
        <v>2.7202004E7</v>
      </c>
      <c r="BG196" s="62">
        <v>1.0115315E7</v>
      </c>
      <c r="BH196" s="62">
        <v>1.73815919E8</v>
      </c>
      <c r="BI196" s="62">
        <v>8236484.0</v>
      </c>
      <c r="BJ196" s="62">
        <v>3.3824701E7</v>
      </c>
      <c r="BK196" s="62">
        <v>8086222.0</v>
      </c>
      <c r="BL196" s="62">
        <v>7737026.0</v>
      </c>
      <c r="BM196" s="62">
        <v>1.03809973E8</v>
      </c>
      <c r="BN196" s="62">
        <v>2.8564793E7</v>
      </c>
      <c r="BO196" s="62">
        <v>2.6287814E7</v>
      </c>
      <c r="BP196" s="62">
        <v>9594137.0</v>
      </c>
      <c r="BQ196" s="62">
        <v>1.4996364E7</v>
      </c>
      <c r="BR196" s="62">
        <v>1.3685766E7</v>
      </c>
      <c r="BS196" s="62">
        <v>5047178.0</v>
      </c>
      <c r="BT196" s="62">
        <v>2.9011503E7</v>
      </c>
      <c r="BU196" s="62">
        <v>6.6388787E7</v>
      </c>
      <c r="BV196" s="62">
        <v>2.4044493E7</v>
      </c>
      <c r="BW196" s="62">
        <v>4256161.0</v>
      </c>
      <c r="BX196" s="62">
        <v>3.4358221E7</v>
      </c>
      <c r="BY196" s="62">
        <v>9.2783947E7</v>
      </c>
      <c r="BZ196" s="62">
        <v>3717632.0</v>
      </c>
      <c r="CA196" s="62">
        <v>1.9484958E7</v>
      </c>
      <c r="CB196" s="62">
        <v>2.0395289E7</v>
      </c>
      <c r="CC196" s="62">
        <v>3740003.0</v>
      </c>
      <c r="CD196" s="62">
        <v>6450047.0</v>
      </c>
      <c r="CE196" s="62">
        <v>7526562.0</v>
      </c>
      <c r="CF196" s="62">
        <v>4.7338012E7</v>
      </c>
      <c r="CG196" s="62">
        <v>3219106.0</v>
      </c>
      <c r="CH196" s="62">
        <v>3648148.0</v>
      </c>
      <c r="CI196" s="62">
        <v>1.902168E7</v>
      </c>
      <c r="CJ196" s="62">
        <v>1.0510956E7</v>
      </c>
      <c r="CK196" s="62">
        <v>2.2377489E7</v>
      </c>
      <c r="CL196" s="62">
        <v>1.1597807E7</v>
      </c>
      <c r="CM196" s="62">
        <v>4456006.0</v>
      </c>
      <c r="CN196" s="62">
        <v>9596647.0</v>
      </c>
      <c r="CO196" s="62">
        <v>1.6918704E7</v>
      </c>
      <c r="CP196" s="62">
        <v>1.8740509E7</v>
      </c>
      <c r="CQ196" s="62">
        <v>8100723.0</v>
      </c>
      <c r="CR196" s="62">
        <v>1.7866366E7</v>
      </c>
      <c r="CS196" s="62">
        <v>2.45298889E8</v>
      </c>
      <c r="CT196" s="62">
        <v>8.0694213E7</v>
      </c>
      <c r="CU196" s="62">
        <v>2.1052401E7</v>
      </c>
      <c r="CV196" s="62">
        <v>2.6633303E7</v>
      </c>
      <c r="CW196" s="62">
        <v>4374688.0</v>
      </c>
      <c r="CX196" s="62">
        <v>1.1563911E7</v>
      </c>
      <c r="CY196" s="62">
        <v>766964.0</v>
      </c>
      <c r="CZ196" s="62">
        <v>2.4743181E7</v>
      </c>
      <c r="DA196" s="62">
        <v>1.8490319E7</v>
      </c>
      <c r="DB196" s="62">
        <v>1.4891727E7</v>
      </c>
      <c r="DC196" s="62">
        <v>2.4100087E7</v>
      </c>
      <c r="DD196" s="62">
        <v>4514370.0</v>
      </c>
      <c r="DE196" s="62">
        <v>1.0024136E7</v>
      </c>
      <c r="DF196" s="62">
        <v>1.6373122E7</v>
      </c>
      <c r="DG196" s="62">
        <v>3044118.0</v>
      </c>
      <c r="DH196" s="62">
        <v>3.3896423E7</v>
      </c>
      <c r="DI196" s="62">
        <v>1.108417E7</v>
      </c>
      <c r="DJ196" s="62">
        <v>9779568.0</v>
      </c>
      <c r="DK196" s="62">
        <v>1.4728464E7</v>
      </c>
      <c r="DL196" s="62">
        <v>5.0111672E7</v>
      </c>
      <c r="DM196" s="62">
        <v>4.7408294E7</v>
      </c>
      <c r="DN196" s="62">
        <v>2916059.0</v>
      </c>
      <c r="DO196" s="62">
        <v>1.8342669E7</v>
      </c>
      <c r="DP196" s="62">
        <v>1233413.0</v>
      </c>
      <c r="DQ196" s="62">
        <v>7867887.0</v>
      </c>
      <c r="DR196" s="62">
        <v>1.8461508E7</v>
      </c>
      <c r="DS196" s="62">
        <v>3.3881947E7</v>
      </c>
      <c r="DT196" s="62">
        <v>5391261.0</v>
      </c>
      <c r="DU196" s="62">
        <v>3954659.0</v>
      </c>
      <c r="DV196" s="62">
        <v>1.5128834E7</v>
      </c>
      <c r="DW196" s="62">
        <v>1.3522518E7</v>
      </c>
      <c r="DX196" s="62">
        <v>7959422.0</v>
      </c>
      <c r="DY196" s="62">
        <v>1.6141055E7</v>
      </c>
      <c r="DZ196" s="62">
        <v>2.1723859E7</v>
      </c>
      <c r="EA196" s="62">
        <v>1753066.0</v>
      </c>
      <c r="EB196" s="62">
        <v>2.0658138E7</v>
      </c>
      <c r="EC196" s="62">
        <v>8.9576803E7</v>
      </c>
      <c r="ED196" s="62">
        <v>8515985.0</v>
      </c>
      <c r="EE196" s="62">
        <v>867422.0</v>
      </c>
      <c r="EF196" s="62">
        <v>1835840.0</v>
      </c>
      <c r="EG196" s="62">
        <v>5776046.0</v>
      </c>
      <c r="EH196" s="62">
        <v>3.460689E7</v>
      </c>
      <c r="EI196" s="62">
        <v>2.9436158E7</v>
      </c>
      <c r="EJ196" s="62">
        <v>8003299.0</v>
      </c>
      <c r="EK196" s="62">
        <v>1805672.0</v>
      </c>
      <c r="EL196" s="62">
        <v>3602509.0</v>
      </c>
      <c r="EM196" s="62">
        <v>2659792.0</v>
      </c>
      <c r="EN196" s="62">
        <v>4541116.0</v>
      </c>
      <c r="EO196" s="62">
        <v>5800093.0</v>
      </c>
      <c r="EP196" s="62">
        <v>8906666.0</v>
      </c>
      <c r="EQ196" s="62">
        <v>1.01348881E8</v>
      </c>
      <c r="ER196" s="62">
        <v>2.5095841E7</v>
      </c>
      <c r="ES196" s="62">
        <v>2.8755871E7</v>
      </c>
      <c r="ET196" s="62">
        <v>4854901.0</v>
      </c>
      <c r="EU196" s="62">
        <v>3.84026122E8</v>
      </c>
      <c r="EV196" s="62">
        <v>6.7824278E7</v>
      </c>
      <c r="EW196" s="62">
        <v>8503599.0</v>
      </c>
      <c r="EX196" s="62">
        <v>2.8725701E7</v>
      </c>
      <c r="EY196" s="62">
        <v>2.08615766E8</v>
      </c>
      <c r="EZ196" s="62">
        <v>9.5435441E7</v>
      </c>
      <c r="FA196" s="62">
        <v>9.4534418E7</v>
      </c>
      <c r="FB196" s="62">
        <v>9.6537587E8</v>
      </c>
      <c r="FC196" s="62">
        <v>1446004.0</v>
      </c>
      <c r="FD196" s="62">
        <v>2.61289171E8</v>
      </c>
      <c r="FE196" s="62">
        <v>3.2304079E7</v>
      </c>
      <c r="FF196" s="62">
        <v>7481300.0</v>
      </c>
      <c r="FG196" s="62">
        <v>6.3577898E7</v>
      </c>
      <c r="FH196" s="62">
        <v>6.9261545E7</v>
      </c>
      <c r="FI196" s="62">
        <v>2.2677563E7</v>
      </c>
      <c r="FJ196" s="62">
        <v>5.3344674E7</v>
      </c>
      <c r="FK196" s="62">
        <v>2.06925875E8</v>
      </c>
      <c r="FL196" s="62">
        <v>3.7788533E7</v>
      </c>
      <c r="FM196" s="62">
        <v>7.9276758E7</v>
      </c>
      <c r="FN196" s="62">
        <v>2.95431874E8</v>
      </c>
      <c r="FO196" s="62">
        <v>8.0412447E7</v>
      </c>
      <c r="FP196" s="62">
        <v>3.30755658E8</v>
      </c>
      <c r="FQ196" s="62">
        <v>1.02874036E8</v>
      </c>
      <c r="FR196" s="62">
        <v>1010935.0</v>
      </c>
      <c r="FS196" s="62">
        <v>1.9709193E7</v>
      </c>
      <c r="FT196" s="62">
        <v>6.44498922E8</v>
      </c>
      <c r="FU196" s="62">
        <v>1.7482215E8</v>
      </c>
      <c r="FV196" s="62">
        <v>9.1731302E7</v>
      </c>
      <c r="FW196" s="62">
        <v>5.5343019E7</v>
      </c>
      <c r="FX196" s="62">
        <v>9640786.0</v>
      </c>
      <c r="FY196" s="62">
        <v>7581550.0</v>
      </c>
      <c r="FZ196" s="62">
        <v>239856.0</v>
      </c>
      <c r="GA196" s="62">
        <v>1.0003757E8</v>
      </c>
      <c r="GB196" s="62">
        <v>1.00626119E8</v>
      </c>
      <c r="GC196" s="62">
        <v>3.1042989E7</v>
      </c>
      <c r="GD196" s="62">
        <v>1.1429898E7</v>
      </c>
      <c r="GE196" s="62">
        <v>6.5141752E7</v>
      </c>
      <c r="GF196" s="63">
        <v>9.140294724E9</v>
      </c>
      <c r="GG196" s="95"/>
      <c r="GH196" s="96"/>
      <c r="GI196" s="96"/>
      <c r="GJ196" s="96"/>
      <c r="GK196" s="96"/>
      <c r="GL196" s="96"/>
      <c r="GM196" s="96"/>
      <c r="GN196" s="95"/>
      <c r="GO196" s="95"/>
      <c r="GP196" s="97"/>
      <c r="GQ196" s="97"/>
      <c r="GR196" s="97"/>
      <c r="GS196" s="97"/>
      <c r="GT196" s="96"/>
      <c r="GU196" s="96"/>
      <c r="GV196" s="96"/>
      <c r="GW196" s="96"/>
      <c r="GX196" s="96"/>
      <c r="GY196" s="96"/>
      <c r="GZ196" s="96"/>
    </row>
    <row r="197" ht="15.75" customHeight="1">
      <c r="A197" s="60">
        <v>2030.0</v>
      </c>
      <c r="B197" s="3" t="s">
        <v>623</v>
      </c>
      <c r="C197" s="62">
        <v>1017471.0</v>
      </c>
      <c r="D197" s="62">
        <v>425143.0</v>
      </c>
      <c r="E197" s="62">
        <v>7902.0</v>
      </c>
      <c r="F197" s="62">
        <v>406144.0</v>
      </c>
      <c r="G197" s="62">
        <v>3665.0</v>
      </c>
      <c r="H197" s="62">
        <v>44068.0</v>
      </c>
      <c r="I197" s="62">
        <v>17482.0</v>
      </c>
      <c r="J197" s="62">
        <v>12731.0</v>
      </c>
      <c r="K197" s="62">
        <v>1824.0</v>
      </c>
      <c r="L197" s="62">
        <v>541237.0</v>
      </c>
      <c r="M197" s="62">
        <v>57018.0</v>
      </c>
      <c r="N197" s="62">
        <v>59263.0</v>
      </c>
      <c r="O197" s="62">
        <v>149779.0</v>
      </c>
      <c r="P197" s="62">
        <v>1522.0</v>
      </c>
      <c r="Q197" s="62">
        <v>279664.0</v>
      </c>
      <c r="R197" s="62">
        <v>1158753.0</v>
      </c>
      <c r="S197" s="62">
        <v>30425.0</v>
      </c>
      <c r="T197" s="62">
        <v>260865.0</v>
      </c>
      <c r="U197" s="62">
        <v>49907.0</v>
      </c>
      <c r="V197" s="62">
        <v>627405.0</v>
      </c>
      <c r="W197" s="62">
        <v>532683.0</v>
      </c>
      <c r="X197" s="62">
        <v>23586.0</v>
      </c>
      <c r="Y197" s="62">
        <v>208018.0</v>
      </c>
      <c r="Z197" s="62">
        <v>46106.0</v>
      </c>
      <c r="AA197" s="62">
        <v>11910.0</v>
      </c>
      <c r="AB197" s="62">
        <v>187533.0</v>
      </c>
      <c r="AC197" s="62">
        <v>9502.0</v>
      </c>
      <c r="AD197" s="62">
        <v>145541.0</v>
      </c>
      <c r="AE197" s="62">
        <v>9551.0</v>
      </c>
      <c r="AF197" s="62">
        <v>129659.0</v>
      </c>
      <c r="AG197" s="62">
        <v>450613.0</v>
      </c>
      <c r="AH197" s="62">
        <v>219215.0</v>
      </c>
      <c r="AI197" s="62">
        <v>1172718.0</v>
      </c>
      <c r="AJ197" s="62">
        <v>228627.0</v>
      </c>
      <c r="AK197" s="62">
        <v>18805.0</v>
      </c>
      <c r="AL197" s="62">
        <v>463182.0</v>
      </c>
      <c r="AM197" s="62">
        <v>991913.0</v>
      </c>
      <c r="AN197" s="62">
        <v>956568.0</v>
      </c>
      <c r="AO197" s="62">
        <v>950759.0</v>
      </c>
      <c r="AP197" s="62">
        <v>13521.0</v>
      </c>
      <c r="AQ197" s="62">
        <v>93501.0</v>
      </c>
      <c r="AR197" s="62">
        <v>39226.0</v>
      </c>
      <c r="AS197" s="62">
        <v>289254.0</v>
      </c>
      <c r="AT197" s="62">
        <v>25237.0</v>
      </c>
      <c r="AU197" s="62">
        <v>20489.0</v>
      </c>
      <c r="AV197" s="62">
        <v>453066.0</v>
      </c>
      <c r="AW197" s="62">
        <v>8236.0</v>
      </c>
      <c r="AX197" s="62">
        <v>710373.0</v>
      </c>
      <c r="AY197" s="62">
        <v>87629.0</v>
      </c>
      <c r="AZ197" s="62">
        <v>5058.0</v>
      </c>
      <c r="BA197" s="62">
        <v>220328.0</v>
      </c>
      <c r="BB197" s="62">
        <v>489540.0</v>
      </c>
      <c r="BC197" s="62">
        <v>185739.0</v>
      </c>
      <c r="BD197" s="62">
        <v>42118.0</v>
      </c>
      <c r="BE197" s="62">
        <v>82890.0</v>
      </c>
      <c r="BF197" s="62">
        <v>149919.0</v>
      </c>
      <c r="BG197" s="62">
        <v>69949.0</v>
      </c>
      <c r="BH197" s="62">
        <v>2965848.0</v>
      </c>
      <c r="BI197" s="62">
        <v>52731.0</v>
      </c>
      <c r="BJ197" s="62">
        <v>284200.0</v>
      </c>
      <c r="BK197" s="62">
        <v>74727.0</v>
      </c>
      <c r="BL197" s="62">
        <v>63032.0</v>
      </c>
      <c r="BM197" s="62">
        <v>51896.0</v>
      </c>
      <c r="BN197" s="62">
        <v>158658.0</v>
      </c>
      <c r="BO197" s="62">
        <v>208324.0</v>
      </c>
      <c r="BP197" s="62">
        <v>135462.0</v>
      </c>
      <c r="BQ197" s="62">
        <v>105037.0</v>
      </c>
      <c r="BR197" s="62">
        <v>98048.0</v>
      </c>
      <c r="BS197" s="62">
        <v>77489.0</v>
      </c>
      <c r="BT197" s="62">
        <v>248588.0</v>
      </c>
      <c r="BU197" s="62">
        <v>441325.0</v>
      </c>
      <c r="BV197" s="62">
        <v>108016.0</v>
      </c>
      <c r="BW197" s="62">
        <v>29408.0</v>
      </c>
      <c r="BX197" s="62">
        <v>238580.0</v>
      </c>
      <c r="BY197" s="62">
        <v>2563653.0</v>
      </c>
      <c r="BZ197" s="62">
        <v>105973.0</v>
      </c>
      <c r="CA197" s="62">
        <v>272226.0</v>
      </c>
      <c r="CB197" s="62">
        <v>281096.0</v>
      </c>
      <c r="CC197" s="62">
        <v>35794.0</v>
      </c>
      <c r="CD197" s="62">
        <v>65840.0</v>
      </c>
      <c r="CE197" s="62">
        <v>68031.0</v>
      </c>
      <c r="CF197" s="62">
        <v>520753.0</v>
      </c>
      <c r="CG197" s="62">
        <v>25326.0</v>
      </c>
      <c r="CH197" s="62">
        <v>22360.0</v>
      </c>
      <c r="CI197" s="62">
        <v>134821.0</v>
      </c>
      <c r="CJ197" s="62">
        <v>226470.0</v>
      </c>
      <c r="CK197" s="62">
        <v>439174.0</v>
      </c>
      <c r="CL197" s="62">
        <v>229963.0</v>
      </c>
      <c r="CM197" s="62">
        <v>88020.0</v>
      </c>
      <c r="CN197" s="62">
        <v>502052.0</v>
      </c>
      <c r="CO197" s="62">
        <v>714585.0</v>
      </c>
      <c r="CP197" s="62">
        <v>989573.0</v>
      </c>
      <c r="CQ197" s="62">
        <v>404828.0</v>
      </c>
      <c r="CR197" s="62">
        <v>211477.0</v>
      </c>
      <c r="CS197" s="62">
        <v>2346306.0</v>
      </c>
      <c r="CT197" s="62">
        <v>1826880.0</v>
      </c>
      <c r="CU197" s="62">
        <v>450560.0</v>
      </c>
      <c r="CV197" s="62">
        <v>535515.0</v>
      </c>
      <c r="CW197" s="62">
        <v>82673.0</v>
      </c>
      <c r="CX197" s="62">
        <v>286402.0</v>
      </c>
      <c r="CY197" s="62">
        <v>18995.0</v>
      </c>
      <c r="CZ197" s="62">
        <v>421389.0</v>
      </c>
      <c r="DA197" s="62">
        <v>377281.0</v>
      </c>
      <c r="DB197" s="62">
        <v>348426.0</v>
      </c>
      <c r="DC197" s="62">
        <v>499337.0</v>
      </c>
      <c r="DD197" s="62">
        <v>111653.0</v>
      </c>
      <c r="DE197" s="62">
        <v>204226.0</v>
      </c>
      <c r="DF197" s="62">
        <v>317814.0</v>
      </c>
      <c r="DG197" s="62">
        <v>55515.0</v>
      </c>
      <c r="DH197" s="62">
        <v>757870.0</v>
      </c>
      <c r="DI197" s="62">
        <v>118934.0</v>
      </c>
      <c r="DJ197" s="62">
        <v>117505.0</v>
      </c>
      <c r="DK197" s="62">
        <v>177136.0</v>
      </c>
      <c r="DL197" s="62">
        <v>259724.0</v>
      </c>
      <c r="DM197" s="62">
        <v>230515.0</v>
      </c>
      <c r="DN197" s="62">
        <v>16883.0</v>
      </c>
      <c r="DO197" s="62">
        <v>93749.0</v>
      </c>
      <c r="DP197" s="62">
        <v>7804.0</v>
      </c>
      <c r="DQ197" s="62">
        <v>55618.0</v>
      </c>
      <c r="DR197" s="62">
        <v>123594.0</v>
      </c>
      <c r="DS197" s="62">
        <v>1020677.0</v>
      </c>
      <c r="DT197" s="62">
        <v>163779.0</v>
      </c>
      <c r="DU197" s="62">
        <v>119892.0</v>
      </c>
      <c r="DV197" s="62">
        <v>453784.0</v>
      </c>
      <c r="DW197" s="62">
        <v>362873.0</v>
      </c>
      <c r="DX197" s="62">
        <v>198800.0</v>
      </c>
      <c r="DY197" s="62">
        <v>372289.0</v>
      </c>
      <c r="DZ197" s="62">
        <v>440443.0</v>
      </c>
      <c r="EA197" s="62">
        <v>60966.0</v>
      </c>
      <c r="EB197" s="62">
        <v>665318.0</v>
      </c>
      <c r="EC197" s="62">
        <v>905076.0</v>
      </c>
      <c r="ED197" s="62">
        <v>228271.0</v>
      </c>
      <c r="EE197" s="62">
        <v>22570.0</v>
      </c>
      <c r="EF197" s="62">
        <v>35133.0</v>
      </c>
      <c r="EG197" s="62">
        <v>156312.0</v>
      </c>
      <c r="EH197" s="62">
        <v>368138.0</v>
      </c>
      <c r="EI197" s="62">
        <v>344527.0</v>
      </c>
      <c r="EJ197" s="62">
        <v>98009.0</v>
      </c>
      <c r="EK197" s="62">
        <v>24760.0</v>
      </c>
      <c r="EL197" s="62">
        <v>40457.0</v>
      </c>
      <c r="EM197" s="62">
        <v>49586.0</v>
      </c>
      <c r="EN197" s="62">
        <v>86151.0</v>
      </c>
      <c r="EO197" s="62">
        <v>112861.0</v>
      </c>
      <c r="EP197" s="62">
        <v>103819.0</v>
      </c>
      <c r="EQ197" s="62">
        <v>315486.0</v>
      </c>
      <c r="ER197" s="62">
        <v>38677.0</v>
      </c>
      <c r="ES197" s="62">
        <v>72113.0</v>
      </c>
      <c r="ET197" s="62">
        <v>20573.0</v>
      </c>
      <c r="EU197" s="62">
        <v>3072345.0</v>
      </c>
      <c r="EV197" s="62">
        <v>110848.0</v>
      </c>
      <c r="EW197" s="62">
        <v>254488.0</v>
      </c>
      <c r="EX197" s="62">
        <v>235123.0</v>
      </c>
      <c r="EY197" s="62">
        <v>1390014.0</v>
      </c>
      <c r="EZ197" s="62">
        <v>791112.0</v>
      </c>
      <c r="FA197" s="62">
        <v>596543.0</v>
      </c>
      <c r="FB197" s="62">
        <v>6911254.0</v>
      </c>
      <c r="FC197" s="62">
        <v>66500.0</v>
      </c>
      <c r="FD197" s="62">
        <v>2308963.0</v>
      </c>
      <c r="FE197" s="62">
        <v>267491.0</v>
      </c>
      <c r="FF197" s="62">
        <v>91393.0</v>
      </c>
      <c r="FG197" s="62">
        <v>1288860.0</v>
      </c>
      <c r="FH197" s="62">
        <v>691351.0</v>
      </c>
      <c r="FI197" s="62">
        <v>204873.0</v>
      </c>
      <c r="FJ197" s="62">
        <v>1793256.0</v>
      </c>
      <c r="FK197" s="62">
        <v>1569792.0</v>
      </c>
      <c r="FL197" s="62">
        <v>313615.0</v>
      </c>
      <c r="FM197" s="62">
        <v>766216.0</v>
      </c>
      <c r="FN197" s="62">
        <v>2448112.0</v>
      </c>
      <c r="FO197" s="62">
        <v>715437.0</v>
      </c>
      <c r="FP197" s="62">
        <v>1215277.0</v>
      </c>
      <c r="FQ197" s="62">
        <v>489727.0</v>
      </c>
      <c r="FR197" s="62">
        <v>11820.0</v>
      </c>
      <c r="FS197" s="62">
        <v>169477.0</v>
      </c>
      <c r="FT197" s="62">
        <v>2.1395635E7</v>
      </c>
      <c r="FU197" s="62">
        <v>1484703.0</v>
      </c>
      <c r="FV197" s="62">
        <v>829796.0</v>
      </c>
      <c r="FW197" s="62">
        <v>0.0</v>
      </c>
      <c r="FX197" s="62">
        <v>0.0</v>
      </c>
      <c r="FY197" s="62">
        <v>0.0</v>
      </c>
      <c r="FZ197" s="62">
        <v>0.0</v>
      </c>
      <c r="GA197" s="62">
        <v>634914.0</v>
      </c>
      <c r="GB197" s="62">
        <v>222233.0</v>
      </c>
      <c r="GC197" s="62">
        <v>118667.0</v>
      </c>
      <c r="GD197" s="62">
        <v>85197.0</v>
      </c>
      <c r="GE197" s="62">
        <v>717818.0</v>
      </c>
      <c r="GF197" s="63">
        <v>9.8124708E7</v>
      </c>
      <c r="GG197" s="95"/>
      <c r="GH197" s="96"/>
      <c r="GI197" s="96"/>
      <c r="GJ197" s="96"/>
      <c r="GK197" s="96"/>
      <c r="GL197" s="96"/>
      <c r="GM197" s="96"/>
      <c r="GN197" s="95"/>
      <c r="GO197" s="95"/>
      <c r="GP197" s="97"/>
      <c r="GQ197" s="96"/>
      <c r="GR197" s="96"/>
      <c r="GS197" s="96"/>
      <c r="GT197" s="96"/>
      <c r="GU197" s="96"/>
      <c r="GV197" s="96"/>
      <c r="GW197" s="96"/>
      <c r="GX197" s="96"/>
      <c r="GY197" s="96"/>
      <c r="GZ197" s="96"/>
    </row>
    <row r="198" ht="15.75" customHeight="1">
      <c r="A198" s="98" t="s">
        <v>261</v>
      </c>
      <c r="B198" s="3" t="s">
        <v>624</v>
      </c>
      <c r="C198" s="100">
        <v>2.32796577E8</v>
      </c>
      <c r="D198" s="100">
        <v>6.7293369E7</v>
      </c>
      <c r="E198" s="100">
        <v>8118225.0</v>
      </c>
      <c r="F198" s="100">
        <v>4.604484E7</v>
      </c>
      <c r="G198" s="100">
        <v>2952820.0</v>
      </c>
      <c r="H198" s="100">
        <v>6007212.0</v>
      </c>
      <c r="I198" s="100">
        <v>3397959.0</v>
      </c>
      <c r="J198" s="100">
        <v>1.0449177E7</v>
      </c>
      <c r="K198" s="100">
        <v>358556.0</v>
      </c>
      <c r="L198" s="100">
        <v>1.49125939E8</v>
      </c>
      <c r="M198" s="100">
        <v>4503709.0</v>
      </c>
      <c r="N198" s="100">
        <v>1.4988875E7</v>
      </c>
      <c r="O198" s="100">
        <v>1.5940446E7</v>
      </c>
      <c r="P198" s="100">
        <v>475974.0</v>
      </c>
      <c r="Q198" s="100">
        <v>4.341904E7</v>
      </c>
      <c r="R198" s="100">
        <v>1.51997322E8</v>
      </c>
      <c r="S198" s="100">
        <v>7709709.0</v>
      </c>
      <c r="T198" s="100">
        <v>6.3390589E7</v>
      </c>
      <c r="U198" s="100">
        <v>4.1237434E7</v>
      </c>
      <c r="V198" s="100">
        <v>2.8304378E8</v>
      </c>
      <c r="W198" s="100">
        <v>4.2941107E7</v>
      </c>
      <c r="X198" s="100">
        <v>5371799.0</v>
      </c>
      <c r="Y198" s="100">
        <v>4.4933295E7</v>
      </c>
      <c r="Z198" s="100">
        <v>2.4301608E7</v>
      </c>
      <c r="AA198" s="100">
        <v>3228798.0</v>
      </c>
      <c r="AB198" s="100">
        <v>7.2440319E7</v>
      </c>
      <c r="AC198" s="100">
        <v>1.2031285E7</v>
      </c>
      <c r="AD198" s="100">
        <v>1.3224821E8</v>
      </c>
      <c r="AE198" s="100">
        <v>1.0243717E7</v>
      </c>
      <c r="AF198" s="100">
        <v>3.0322011E7</v>
      </c>
      <c r="AG198" s="100">
        <v>9.3672825E7</v>
      </c>
      <c r="AH198" s="100">
        <v>4.6847753E7</v>
      </c>
      <c r="AI198" s="100">
        <v>2.5708128E8</v>
      </c>
      <c r="AJ198" s="100">
        <v>6.1539355E7</v>
      </c>
      <c r="AK198" s="100">
        <v>1.1117439E7</v>
      </c>
      <c r="AL198" s="100">
        <v>4.9282699E7</v>
      </c>
      <c r="AM198" s="100">
        <v>2.56322424E8</v>
      </c>
      <c r="AN198" s="100">
        <v>1.68020441E8</v>
      </c>
      <c r="AO198" s="100">
        <v>1.49897502E8</v>
      </c>
      <c r="AP198" s="100">
        <v>2005902.0</v>
      </c>
      <c r="AQ198" s="100">
        <v>1.0917394E7</v>
      </c>
      <c r="AR198" s="100">
        <v>6759087.0</v>
      </c>
      <c r="AS198" s="100">
        <v>4.4345676E7</v>
      </c>
      <c r="AT198" s="100">
        <v>3869544.0</v>
      </c>
      <c r="AU198" s="100">
        <v>4426652.0</v>
      </c>
      <c r="AV198" s="100">
        <v>5.6905889E7</v>
      </c>
      <c r="AW198" s="100">
        <v>1183585.0</v>
      </c>
      <c r="AX198" s="100">
        <v>1.84300292E8</v>
      </c>
      <c r="AY198" s="100">
        <v>2.1916347E7</v>
      </c>
      <c r="AZ198" s="100">
        <v>1787934.0</v>
      </c>
      <c r="BA198" s="100">
        <v>2.9900769E7</v>
      </c>
      <c r="BB198" s="100">
        <v>3.7284209E7</v>
      </c>
      <c r="BC198" s="100">
        <v>8.7017831E7</v>
      </c>
      <c r="BD198" s="100">
        <v>2.2166942E7</v>
      </c>
      <c r="BE198" s="100">
        <v>1.91097E7</v>
      </c>
      <c r="BF198" s="100">
        <v>3.4422325E7</v>
      </c>
      <c r="BG198" s="100">
        <v>1.2721561E7</v>
      </c>
      <c r="BH198" s="100">
        <v>2.13144736E8</v>
      </c>
      <c r="BI198" s="100">
        <v>9977435.0</v>
      </c>
      <c r="BJ198" s="100">
        <v>5.0215773E7</v>
      </c>
      <c r="BK198" s="100">
        <v>1.1811633E7</v>
      </c>
      <c r="BL198" s="100">
        <v>1.1259429E7</v>
      </c>
      <c r="BM198" s="100">
        <v>1.2339178E8</v>
      </c>
      <c r="BN198" s="100">
        <v>3.5403326E7</v>
      </c>
      <c r="BO198" s="100">
        <v>3.3850643E7</v>
      </c>
      <c r="BP198" s="100">
        <v>1.2758987E7</v>
      </c>
      <c r="BQ198" s="100">
        <v>1.9177442E7</v>
      </c>
      <c r="BR198" s="100">
        <v>1.7588671E7</v>
      </c>
      <c r="BS198" s="100">
        <v>1.0842155E7</v>
      </c>
      <c r="BT198" s="100">
        <v>3.7834303E7</v>
      </c>
      <c r="BU198" s="100">
        <v>8.6401617E7</v>
      </c>
      <c r="BV198" s="100">
        <v>2.838324E7</v>
      </c>
      <c r="BW198" s="100">
        <v>5427567.0</v>
      </c>
      <c r="BX198" s="100">
        <v>4.3946733E7</v>
      </c>
      <c r="BY198" s="100">
        <v>1.30829901E8</v>
      </c>
      <c r="BZ198" s="100">
        <v>5053458.0</v>
      </c>
      <c r="CA198" s="100">
        <v>3.4289053E7</v>
      </c>
      <c r="CB198" s="100">
        <v>3.6339309E7</v>
      </c>
      <c r="CC198" s="100">
        <v>6709661.0</v>
      </c>
      <c r="CD198" s="100">
        <v>9945563.0</v>
      </c>
      <c r="CE198" s="100">
        <v>1.1394853E7</v>
      </c>
      <c r="CF198" s="100">
        <v>7.8140572E7</v>
      </c>
      <c r="CG198" s="100">
        <v>7883784.0</v>
      </c>
      <c r="CH198" s="100">
        <v>8399376.0</v>
      </c>
      <c r="CI198" s="100">
        <v>4.6380277E7</v>
      </c>
      <c r="CJ198" s="100">
        <v>1.6806139E7</v>
      </c>
      <c r="CK198" s="100">
        <v>3.6013081E7</v>
      </c>
      <c r="CL198" s="100">
        <v>1.8744128E7</v>
      </c>
      <c r="CM198" s="100">
        <v>7412202.0</v>
      </c>
      <c r="CN198" s="100">
        <v>1.8015759E7</v>
      </c>
      <c r="CO198" s="100">
        <v>2.9964669E7</v>
      </c>
      <c r="CP198" s="100">
        <v>3.3370148E7</v>
      </c>
      <c r="CQ198" s="100">
        <v>1.4753925E7</v>
      </c>
      <c r="CR198" s="100">
        <v>3.574092E7</v>
      </c>
      <c r="CS198" s="100">
        <v>2.81781687E8</v>
      </c>
      <c r="CT198" s="100">
        <v>1.0850368E8</v>
      </c>
      <c r="CU198" s="100">
        <v>2.805253E7</v>
      </c>
      <c r="CV198" s="100">
        <v>3.5544523E7</v>
      </c>
      <c r="CW198" s="100">
        <v>5851908.0</v>
      </c>
      <c r="CX198" s="100">
        <v>1.7919377E7</v>
      </c>
      <c r="CY198" s="100">
        <v>1188483.0</v>
      </c>
      <c r="CZ198" s="100">
        <v>3.1749888E7</v>
      </c>
      <c r="DA198" s="100">
        <v>2.5646251E7</v>
      </c>
      <c r="DB198" s="100">
        <v>2.0881091E7</v>
      </c>
      <c r="DC198" s="100">
        <v>3.9389959E7</v>
      </c>
      <c r="DD198" s="100">
        <v>6992723.0</v>
      </c>
      <c r="DE198" s="100">
        <v>1.4944811E7</v>
      </c>
      <c r="DF198" s="100">
        <v>2.350879E7</v>
      </c>
      <c r="DG198" s="100">
        <v>4800191.0</v>
      </c>
      <c r="DH198" s="100">
        <v>5.2902977E7</v>
      </c>
      <c r="DI198" s="100">
        <v>1.9953369E7</v>
      </c>
      <c r="DJ198" s="100">
        <v>1.9745797E7</v>
      </c>
      <c r="DK198" s="100">
        <v>2.9721335E7</v>
      </c>
      <c r="DL198" s="100">
        <v>6.9848072E7</v>
      </c>
      <c r="DM198" s="100">
        <v>5.9020009E7</v>
      </c>
      <c r="DN198" s="100">
        <v>4175993.0</v>
      </c>
      <c r="DO198" s="100">
        <v>3.071157E7</v>
      </c>
      <c r="DP198" s="100">
        <v>2312513.0</v>
      </c>
      <c r="DQ198" s="100">
        <v>1.438543E7</v>
      </c>
      <c r="DR198" s="100">
        <v>3.3936743E7</v>
      </c>
      <c r="DS198" s="100">
        <v>6.5834186E7</v>
      </c>
      <c r="DT198" s="100">
        <v>9838401.0</v>
      </c>
      <c r="DU198" s="100">
        <v>7688766.0</v>
      </c>
      <c r="DV198" s="100">
        <v>2.9262274E7</v>
      </c>
      <c r="DW198" s="100">
        <v>2.382448E7</v>
      </c>
      <c r="DX198" s="100">
        <v>1.2918254E7</v>
      </c>
      <c r="DY198" s="100">
        <v>2.7735938E7</v>
      </c>
      <c r="DZ198" s="100">
        <v>3.7816364E7</v>
      </c>
      <c r="EA198" s="100">
        <v>2907581.0</v>
      </c>
      <c r="EB198" s="100">
        <v>3.4913522E7</v>
      </c>
      <c r="EC198" s="100">
        <v>1.77722248E8</v>
      </c>
      <c r="ED198" s="100">
        <v>1.8276489E7</v>
      </c>
      <c r="EE198" s="100">
        <v>1662720.0</v>
      </c>
      <c r="EF198" s="100">
        <v>3632143.0</v>
      </c>
      <c r="EG198" s="100">
        <v>1.2884643E7</v>
      </c>
      <c r="EH198" s="100">
        <v>6.8936604E7</v>
      </c>
      <c r="EI198" s="100">
        <v>4.8799026E7</v>
      </c>
      <c r="EJ198" s="100">
        <v>1.4241716E7</v>
      </c>
      <c r="EK198" s="100">
        <v>3725928.0</v>
      </c>
      <c r="EL198" s="100">
        <v>6340530.0</v>
      </c>
      <c r="EM198" s="100">
        <v>4960856.0</v>
      </c>
      <c r="EN198" s="100">
        <v>8682827.0</v>
      </c>
      <c r="EO198" s="100">
        <v>9951084.0</v>
      </c>
      <c r="EP198" s="100">
        <v>1.2726429E7</v>
      </c>
      <c r="EQ198" s="100">
        <v>1.31723245E8</v>
      </c>
      <c r="ER198" s="100">
        <v>2.8651503E7</v>
      </c>
      <c r="ES198" s="100">
        <v>3.6064444E7</v>
      </c>
      <c r="ET198" s="100">
        <v>7612331.0</v>
      </c>
      <c r="EU198" s="100">
        <v>8.14466014E8</v>
      </c>
      <c r="EV198" s="100">
        <v>8.1636171E7</v>
      </c>
      <c r="EW198" s="100">
        <v>1.5318818E7</v>
      </c>
      <c r="EX198" s="100">
        <v>6.0130752E7</v>
      </c>
      <c r="EY198" s="100">
        <v>3.67281485E8</v>
      </c>
      <c r="EZ198" s="100">
        <v>1.82761067E8</v>
      </c>
      <c r="FA198" s="100">
        <v>1.7398797E8</v>
      </c>
      <c r="FB198" s="100">
        <v>1.699633982E9</v>
      </c>
      <c r="FC198" s="100">
        <v>6863358.0</v>
      </c>
      <c r="FD198" s="100">
        <v>3.94605733E8</v>
      </c>
      <c r="FE198" s="100">
        <v>4.7613949E7</v>
      </c>
      <c r="FF198" s="100">
        <v>1.4585937E7</v>
      </c>
      <c r="FG198" s="100">
        <v>1.06558296E8</v>
      </c>
      <c r="FH198" s="100">
        <v>1.1225675E8</v>
      </c>
      <c r="FI198" s="100">
        <v>3.4935217E7</v>
      </c>
      <c r="FJ198" s="100">
        <v>8.8359479E7</v>
      </c>
      <c r="FK198" s="100">
        <v>4.32897747E8</v>
      </c>
      <c r="FL198" s="100">
        <v>5.678218E7</v>
      </c>
      <c r="FM198" s="100">
        <v>1.22050576E8</v>
      </c>
      <c r="FN198" s="100">
        <v>4.02178261E8</v>
      </c>
      <c r="FO198" s="100">
        <v>1.14816814E8</v>
      </c>
      <c r="FP198" s="100">
        <v>5.27499132E8</v>
      </c>
      <c r="FQ198" s="100">
        <v>1.39995016E8</v>
      </c>
      <c r="FR198" s="100">
        <v>1946061.0</v>
      </c>
      <c r="FS198" s="100">
        <v>4.3790462E7</v>
      </c>
      <c r="FT198" s="100">
        <v>7.33115165E8</v>
      </c>
      <c r="FU198" s="100">
        <v>2.4528895E8</v>
      </c>
      <c r="FV198" s="100">
        <v>2.09283605E8</v>
      </c>
      <c r="FW198" s="100">
        <v>3.89524184E8</v>
      </c>
      <c r="FX198" s="100">
        <v>2.72159331E8</v>
      </c>
      <c r="FY198" s="100">
        <v>8.8476103E7</v>
      </c>
      <c r="FZ198" s="100">
        <v>1597286.0</v>
      </c>
      <c r="GA198" s="100">
        <v>2.63672354E8</v>
      </c>
      <c r="GB198" s="100">
        <v>1.73257271E8</v>
      </c>
      <c r="GC198" s="100">
        <v>4.5993413E7</v>
      </c>
      <c r="GD198" s="100">
        <v>2.0767988E7</v>
      </c>
      <c r="GE198" s="100">
        <v>1.86591541E8</v>
      </c>
      <c r="GF198" s="101">
        <v>1.5049221956E10</v>
      </c>
      <c r="GG198" s="95"/>
      <c r="GH198" s="96"/>
      <c r="GI198" s="96"/>
      <c r="GJ198" s="96"/>
      <c r="GK198" s="96"/>
      <c r="GL198" s="96"/>
      <c r="GM198" s="96"/>
      <c r="GN198" s="95"/>
      <c r="GO198" s="95"/>
      <c r="GP198" s="97"/>
      <c r="GQ198" s="96"/>
      <c r="GR198" s="96"/>
      <c r="GS198" s="96"/>
      <c r="GT198" s="96"/>
      <c r="GU198" s="96"/>
      <c r="GV198" s="96"/>
      <c r="GW198" s="96"/>
      <c r="GX198" s="96"/>
      <c r="GY198" s="96"/>
      <c r="GZ198" s="96"/>
    </row>
    <row r="199" ht="15.75" customHeight="1">
      <c r="A199" s="98" t="s">
        <v>263</v>
      </c>
      <c r="B199" s="3" t="s">
        <v>264</v>
      </c>
      <c r="C199" s="100">
        <v>2.84849496E8</v>
      </c>
      <c r="D199" s="100">
        <v>7.9176573E7</v>
      </c>
      <c r="E199" s="100">
        <v>9134908.0</v>
      </c>
      <c r="F199" s="100">
        <v>5.4130933E7</v>
      </c>
      <c r="G199" s="100">
        <v>3344706.0</v>
      </c>
      <c r="H199" s="100">
        <v>7200631.0</v>
      </c>
      <c r="I199" s="100">
        <v>4283776.0</v>
      </c>
      <c r="J199" s="100">
        <v>1.2473308E7</v>
      </c>
      <c r="K199" s="100">
        <v>403213.0</v>
      </c>
      <c r="L199" s="100">
        <v>1.85615847E8</v>
      </c>
      <c r="M199" s="100">
        <v>5995582.0</v>
      </c>
      <c r="N199" s="100">
        <v>2.0491804E7</v>
      </c>
      <c r="O199" s="100">
        <v>2.2328835E7</v>
      </c>
      <c r="P199" s="100">
        <v>567677.0</v>
      </c>
      <c r="Q199" s="100">
        <v>5.1056781E7</v>
      </c>
      <c r="R199" s="100">
        <v>1.9157642E8</v>
      </c>
      <c r="S199" s="100">
        <v>8884468.0</v>
      </c>
      <c r="T199" s="100">
        <v>7.8849271E7</v>
      </c>
      <c r="U199" s="100">
        <v>4.7681585E7</v>
      </c>
      <c r="V199" s="100">
        <v>3.77270013E8</v>
      </c>
      <c r="W199" s="100">
        <v>5.0564487E7</v>
      </c>
      <c r="X199" s="100">
        <v>6903233.0</v>
      </c>
      <c r="Y199" s="100">
        <v>5.3612382E7</v>
      </c>
      <c r="Z199" s="100">
        <v>2.979827E7</v>
      </c>
      <c r="AA199" s="100">
        <v>3675521.0</v>
      </c>
      <c r="AB199" s="100">
        <v>1.0159392E8</v>
      </c>
      <c r="AC199" s="100">
        <v>1.7685011E7</v>
      </c>
      <c r="AD199" s="100">
        <v>2.06260697E8</v>
      </c>
      <c r="AE199" s="100">
        <v>1.8180692E7</v>
      </c>
      <c r="AF199" s="100">
        <v>3.8968434E7</v>
      </c>
      <c r="AG199" s="100">
        <v>1.09365061E8</v>
      </c>
      <c r="AH199" s="100">
        <v>5.4634477E7</v>
      </c>
      <c r="AI199" s="100">
        <v>3.05808998E8</v>
      </c>
      <c r="AJ199" s="100">
        <v>7.160454E7</v>
      </c>
      <c r="AK199" s="100">
        <v>1.318184E7</v>
      </c>
      <c r="AL199" s="100">
        <v>5.6608888E7</v>
      </c>
      <c r="AM199" s="100">
        <v>4.37958159E8</v>
      </c>
      <c r="AN199" s="100">
        <v>2.21500604E8</v>
      </c>
      <c r="AO199" s="100">
        <v>2.50503643E8</v>
      </c>
      <c r="AP199" s="100">
        <v>3154185.0</v>
      </c>
      <c r="AQ199" s="100">
        <v>1.6384871E7</v>
      </c>
      <c r="AR199" s="100">
        <v>9468347.0</v>
      </c>
      <c r="AS199" s="100">
        <v>5.9649442E7</v>
      </c>
      <c r="AT199" s="100">
        <v>6454606.0</v>
      </c>
      <c r="AU199" s="100">
        <v>6561732.0</v>
      </c>
      <c r="AV199" s="100">
        <v>8.6019815E7</v>
      </c>
      <c r="AW199" s="100">
        <v>1829870.0</v>
      </c>
      <c r="AX199" s="100">
        <v>3.09920454E8</v>
      </c>
      <c r="AY199" s="100">
        <v>3.1119777E7</v>
      </c>
      <c r="AZ199" s="100">
        <v>2643970.0</v>
      </c>
      <c r="BA199" s="100">
        <v>4.2558309E7</v>
      </c>
      <c r="BB199" s="100">
        <v>5.4509024E7</v>
      </c>
      <c r="BC199" s="100">
        <v>2.57546033E8</v>
      </c>
      <c r="BD199" s="100">
        <v>6.2883288E7</v>
      </c>
      <c r="BE199" s="100">
        <v>5.070966E7</v>
      </c>
      <c r="BF199" s="100">
        <v>9.47112E7</v>
      </c>
      <c r="BG199" s="100">
        <v>3.2164576E7</v>
      </c>
      <c r="BH199" s="100">
        <v>6.4268222E8</v>
      </c>
      <c r="BI199" s="100">
        <v>2.4900262E7</v>
      </c>
      <c r="BJ199" s="100">
        <v>1.20065237E8</v>
      </c>
      <c r="BK199" s="100">
        <v>4.0033588E7</v>
      </c>
      <c r="BL199" s="100">
        <v>4.0051809E7</v>
      </c>
      <c r="BM199" s="100">
        <v>3.81081873E8</v>
      </c>
      <c r="BN199" s="100">
        <v>7.7834016E7</v>
      </c>
      <c r="BO199" s="100">
        <v>7.7214059E7</v>
      </c>
      <c r="BP199" s="100">
        <v>3.6729283E7</v>
      </c>
      <c r="BQ199" s="100">
        <v>5.3911916E7</v>
      </c>
      <c r="BR199" s="100">
        <v>5.1536409E7</v>
      </c>
      <c r="BS199" s="100">
        <v>3.0160754E7</v>
      </c>
      <c r="BT199" s="100">
        <v>9.6648397E7</v>
      </c>
      <c r="BU199" s="100">
        <v>2.33514873E8</v>
      </c>
      <c r="BV199" s="100">
        <v>8.97298E7</v>
      </c>
      <c r="BW199" s="100">
        <v>9842865.0</v>
      </c>
      <c r="BX199" s="100">
        <v>9.9911378E7</v>
      </c>
      <c r="BY199" s="100">
        <v>2.32519834E8</v>
      </c>
      <c r="BZ199" s="100">
        <v>1.1627838E7</v>
      </c>
      <c r="CA199" s="100">
        <v>1.02334578E8</v>
      </c>
      <c r="CB199" s="100">
        <v>1.22858568E8</v>
      </c>
      <c r="CC199" s="100">
        <v>2.1934165E7</v>
      </c>
      <c r="CD199" s="100">
        <v>2.8793422E7</v>
      </c>
      <c r="CE199" s="100">
        <v>3.4583974E7</v>
      </c>
      <c r="CF199" s="100">
        <v>2.48817531E8</v>
      </c>
      <c r="CG199" s="100">
        <v>1.9758857E7</v>
      </c>
      <c r="CH199" s="100">
        <v>1.6949101E7</v>
      </c>
      <c r="CI199" s="100">
        <v>9.6235967E7</v>
      </c>
      <c r="CJ199" s="100">
        <v>4.2025854E7</v>
      </c>
      <c r="CK199" s="100">
        <v>8.3344415E7</v>
      </c>
      <c r="CL199" s="100">
        <v>4.7348382E7</v>
      </c>
      <c r="CM199" s="100">
        <v>1.8918332E7</v>
      </c>
      <c r="CN199" s="100">
        <v>5.9438336E7</v>
      </c>
      <c r="CO199" s="100">
        <v>8.1073239E7</v>
      </c>
      <c r="CP199" s="100">
        <v>1.04267462E8</v>
      </c>
      <c r="CQ199" s="100">
        <v>4.9520649E7</v>
      </c>
      <c r="CR199" s="100">
        <v>8.40407E7</v>
      </c>
      <c r="CS199" s="100">
        <v>5.85942756E8</v>
      </c>
      <c r="CT199" s="100">
        <v>2.65838489E8</v>
      </c>
      <c r="CU199" s="100">
        <v>7.1696037E7</v>
      </c>
      <c r="CV199" s="100">
        <v>1.03441243E8</v>
      </c>
      <c r="CW199" s="100">
        <v>1.5448604E7</v>
      </c>
      <c r="CX199" s="100">
        <v>4.642254E7</v>
      </c>
      <c r="CY199" s="100">
        <v>3205168.0</v>
      </c>
      <c r="CZ199" s="100">
        <v>8.2070908E7</v>
      </c>
      <c r="DA199" s="100">
        <v>6.897862E7</v>
      </c>
      <c r="DB199" s="100">
        <v>5.2668047E7</v>
      </c>
      <c r="DC199" s="100">
        <v>9.4045664E7</v>
      </c>
      <c r="DD199" s="100">
        <v>1.9056598E7</v>
      </c>
      <c r="DE199" s="100">
        <v>4.748783E7</v>
      </c>
      <c r="DF199" s="100">
        <v>8.025411E7</v>
      </c>
      <c r="DG199" s="100">
        <v>1.5462719E7</v>
      </c>
      <c r="DH199" s="100">
        <v>1.56564005E8</v>
      </c>
      <c r="DI199" s="100">
        <v>4.6745969E7</v>
      </c>
      <c r="DJ199" s="100">
        <v>4.717469E7</v>
      </c>
      <c r="DK199" s="100">
        <v>6.671313E7</v>
      </c>
      <c r="DL199" s="100">
        <v>1.78558626E8</v>
      </c>
      <c r="DM199" s="100">
        <v>1.74515494E8</v>
      </c>
      <c r="DN199" s="100">
        <v>1.0827778E7</v>
      </c>
      <c r="DO199" s="100">
        <v>7.5543686E7</v>
      </c>
      <c r="DP199" s="100">
        <v>5862506.0</v>
      </c>
      <c r="DQ199" s="100">
        <v>3.5945602E7</v>
      </c>
      <c r="DR199" s="100">
        <v>8.5573805E7</v>
      </c>
      <c r="DS199" s="100">
        <v>1.69080115E8</v>
      </c>
      <c r="DT199" s="100">
        <v>2.7375247E7</v>
      </c>
      <c r="DU199" s="100">
        <v>2.1951403E7</v>
      </c>
      <c r="DV199" s="100">
        <v>7.1682645E7</v>
      </c>
      <c r="DW199" s="100">
        <v>5.2057975E7</v>
      </c>
      <c r="DX199" s="100">
        <v>3.1796343E7</v>
      </c>
      <c r="DY199" s="100">
        <v>7.6144424E7</v>
      </c>
      <c r="DZ199" s="100">
        <v>1.07349789E8</v>
      </c>
      <c r="EA199" s="100">
        <v>1.1003468E7</v>
      </c>
      <c r="EB199" s="100">
        <v>1.10166594E8</v>
      </c>
      <c r="EC199" s="100">
        <v>4.06435861E8</v>
      </c>
      <c r="ED199" s="100">
        <v>3.9559499E7</v>
      </c>
      <c r="EE199" s="100">
        <v>4138177.0</v>
      </c>
      <c r="EF199" s="100">
        <v>7994162.0</v>
      </c>
      <c r="EG199" s="100">
        <v>2.7837769E7</v>
      </c>
      <c r="EH199" s="100">
        <v>1.45186264E8</v>
      </c>
      <c r="EI199" s="100">
        <v>1.02244982E8</v>
      </c>
      <c r="EJ199" s="100">
        <v>4.6137983E7</v>
      </c>
      <c r="EK199" s="100">
        <v>1.169703E7</v>
      </c>
      <c r="EL199" s="100">
        <v>1.5839052E7</v>
      </c>
      <c r="EM199" s="100">
        <v>1.4330692E7</v>
      </c>
      <c r="EN199" s="100">
        <v>2.6862504E7</v>
      </c>
      <c r="EO199" s="100">
        <v>3.1204402E7</v>
      </c>
      <c r="EP199" s="100">
        <v>3.1032754E7</v>
      </c>
      <c r="EQ199" s="100">
        <v>7.13204738E8</v>
      </c>
      <c r="ER199" s="100">
        <v>4.5168274E7</v>
      </c>
      <c r="ES199" s="100">
        <v>5.0556496E7</v>
      </c>
      <c r="ET199" s="100">
        <v>1.9512565E7</v>
      </c>
      <c r="EU199" s="100">
        <v>2.101033675E9</v>
      </c>
      <c r="EV199" s="100">
        <v>2.08825838E8</v>
      </c>
      <c r="EW199" s="100">
        <v>3.9433756E7</v>
      </c>
      <c r="EX199" s="100">
        <v>1.56032041E8</v>
      </c>
      <c r="EY199" s="100">
        <v>9.37526574E8</v>
      </c>
      <c r="EZ199" s="100">
        <v>2.60793279E8</v>
      </c>
      <c r="FA199" s="100">
        <v>2.390514E8</v>
      </c>
      <c r="FB199" s="100">
        <v>2.431656402E9</v>
      </c>
      <c r="FC199" s="100">
        <v>1.3514795E7</v>
      </c>
      <c r="FD199" s="100">
        <v>7.98838779E8</v>
      </c>
      <c r="FE199" s="100">
        <v>1.38251081E8</v>
      </c>
      <c r="FF199" s="100">
        <v>3.6805388E7</v>
      </c>
      <c r="FG199" s="100">
        <v>2.82752341E8</v>
      </c>
      <c r="FH199" s="100">
        <v>1.9593576E8</v>
      </c>
      <c r="FI199" s="100">
        <v>6.6082782E7</v>
      </c>
      <c r="FJ199" s="100">
        <v>1.39084861E8</v>
      </c>
      <c r="FK199" s="100">
        <v>1.048480096E9</v>
      </c>
      <c r="FL199" s="100">
        <v>1.3017691E8</v>
      </c>
      <c r="FM199" s="100">
        <v>1.7982032E8</v>
      </c>
      <c r="FN199" s="100">
        <v>6.05450331E8</v>
      </c>
      <c r="FO199" s="100">
        <v>2.07124974E8</v>
      </c>
      <c r="FP199" s="100">
        <v>6.89301438E8</v>
      </c>
      <c r="FQ199" s="100">
        <v>1.72697892E8</v>
      </c>
      <c r="FR199" s="100">
        <v>2446940.0</v>
      </c>
      <c r="FS199" s="100">
        <v>6.55539E7</v>
      </c>
      <c r="FT199" s="100">
        <v>9.64243324E8</v>
      </c>
      <c r="FU199" s="100">
        <v>4.73467388E8</v>
      </c>
      <c r="FV199" s="100">
        <v>3.55679249E8</v>
      </c>
      <c r="FW199" s="100">
        <v>7.54673456E8</v>
      </c>
      <c r="FX199" s="100">
        <v>3.5493668E8</v>
      </c>
      <c r="FY199" s="100">
        <v>3.58832365E8</v>
      </c>
      <c r="FZ199" s="100">
        <v>6174680.0</v>
      </c>
      <c r="GA199" s="100">
        <v>4.08502366E8</v>
      </c>
      <c r="GB199" s="100">
        <v>3.26454778E8</v>
      </c>
      <c r="GC199" s="100">
        <v>9.0699195E7</v>
      </c>
      <c r="GD199" s="100">
        <v>4.01395E7</v>
      </c>
      <c r="GE199" s="100">
        <v>3.31926375E8</v>
      </c>
      <c r="GF199" s="101">
        <v>2.8700250526E10</v>
      </c>
      <c r="GG199" s="95"/>
      <c r="GH199" s="96"/>
      <c r="GI199" s="96"/>
      <c r="GJ199" s="96"/>
      <c r="GK199" s="96"/>
      <c r="GL199" s="96"/>
      <c r="GM199" s="96"/>
      <c r="GN199" s="95"/>
      <c r="GO199" s="95"/>
      <c r="GP199" s="96"/>
      <c r="GQ199" s="96"/>
      <c r="GR199" s="96"/>
      <c r="GS199" s="96"/>
      <c r="GT199" s="96"/>
      <c r="GU199" s="96"/>
      <c r="GV199" s="96"/>
      <c r="GW199" s="96"/>
      <c r="GX199" s="96"/>
      <c r="GY199" s="96"/>
      <c r="GZ199" s="96"/>
    </row>
    <row r="200" ht="15.75" customHeight="1">
      <c r="A200" s="33"/>
      <c r="B200" s="23"/>
      <c r="C200" s="28"/>
      <c r="D200" s="28"/>
      <c r="E200" s="28"/>
      <c r="F200" s="28"/>
      <c r="G200" s="28"/>
      <c r="H200" s="23"/>
      <c r="I200" s="23"/>
      <c r="J200" s="23"/>
      <c r="K200" s="23"/>
      <c r="L200" s="23"/>
      <c r="M200" s="23"/>
      <c r="N200" s="23"/>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c r="CT200" s="23"/>
      <c r="CU200" s="23"/>
      <c r="CV200" s="23"/>
      <c r="CW200" s="23"/>
      <c r="CX200" s="23"/>
      <c r="CY200" s="23"/>
      <c r="CZ200" s="23"/>
      <c r="DA200" s="23"/>
      <c r="DB200" s="23"/>
      <c r="DC200" s="23"/>
      <c r="DD200" s="23"/>
      <c r="DE200" s="23"/>
      <c r="DF200" s="23"/>
      <c r="DG200" s="23"/>
      <c r="DH200" s="23"/>
      <c r="DI200" s="23"/>
      <c r="DJ200" s="23"/>
      <c r="DK200" s="23"/>
      <c r="DL200" s="23"/>
      <c r="DM200" s="23"/>
      <c r="DN200" s="23"/>
      <c r="DO200" s="23"/>
      <c r="DP200" s="23"/>
      <c r="DQ200" s="23"/>
      <c r="DR200" s="23"/>
      <c r="DS200" s="23"/>
      <c r="DT200" s="23"/>
      <c r="DU200" s="23"/>
      <c r="DV200" s="23"/>
      <c r="DW200" s="23"/>
      <c r="DX200" s="23"/>
      <c r="DY200" s="23"/>
      <c r="DZ200" s="23"/>
      <c r="EA200" s="23"/>
      <c r="EB200" s="23"/>
      <c r="EC200" s="23"/>
      <c r="ED200" s="23"/>
      <c r="EE200" s="23"/>
      <c r="EF200" s="23"/>
      <c r="EG200" s="23"/>
      <c r="EH200" s="23"/>
      <c r="EI200" s="23"/>
      <c r="EJ200" s="23"/>
      <c r="EK200" s="23"/>
      <c r="EL200" s="23"/>
      <c r="EM200" s="23"/>
      <c r="EN200" s="23"/>
      <c r="EO200" s="23"/>
      <c r="EP200" s="23"/>
      <c r="EQ200" s="23"/>
      <c r="ER200" s="23"/>
      <c r="ES200" s="23"/>
      <c r="ET200" s="23"/>
      <c r="EU200" s="23"/>
      <c r="EV200" s="23"/>
      <c r="EW200" s="23"/>
      <c r="EX200" s="23"/>
      <c r="EY200" s="23"/>
      <c r="EZ200" s="23"/>
      <c r="FA200" s="23"/>
      <c r="FB200" s="23"/>
      <c r="FC200" s="23"/>
      <c r="FD200" s="23"/>
      <c r="FE200" s="23"/>
      <c r="FF200" s="23"/>
      <c r="FG200" s="23"/>
      <c r="FH200" s="23"/>
      <c r="FI200" s="23"/>
      <c r="FJ200" s="23"/>
      <c r="FK200" s="23"/>
      <c r="FL200" s="23"/>
      <c r="FM200" s="23"/>
      <c r="FN200" s="23"/>
      <c r="FO200" s="23"/>
      <c r="FP200" s="23"/>
      <c r="FQ200" s="23"/>
      <c r="FR200" s="23"/>
      <c r="FS200" s="23"/>
      <c r="FT200" s="23"/>
      <c r="FU200" s="23"/>
      <c r="FV200" s="23"/>
      <c r="FW200" s="23"/>
      <c r="FX200" s="23"/>
      <c r="FY200" s="23"/>
      <c r="FZ200" s="23"/>
      <c r="GA200" s="23"/>
      <c r="GB200" s="23"/>
      <c r="GC200" s="23"/>
      <c r="GD200" s="23"/>
      <c r="GE200" s="23"/>
      <c r="GF200" s="24"/>
      <c r="GG200" s="23"/>
      <c r="GH200" s="23"/>
      <c r="GI200" s="23"/>
      <c r="GJ200" s="23"/>
      <c r="GK200" s="23"/>
      <c r="GL200" s="23"/>
      <c r="GM200" s="23"/>
      <c r="GN200" s="24"/>
      <c r="GO200" s="24"/>
      <c r="GP200" s="23"/>
      <c r="GQ200" s="23"/>
      <c r="GR200" s="23"/>
      <c r="GS200" s="23"/>
      <c r="GT200" s="23"/>
      <c r="GU200" s="23"/>
      <c r="GV200" s="23"/>
      <c r="GW200" s="23"/>
      <c r="GX200" s="23"/>
      <c r="GY200" s="23"/>
      <c r="GZ200" s="23"/>
    </row>
    <row r="201" ht="15.75" customHeight="1">
      <c r="A201" s="33"/>
      <c r="B201" s="23"/>
      <c r="C201" s="119"/>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23"/>
      <c r="AP201" s="23"/>
      <c r="AQ201" s="23"/>
      <c r="AR201" s="23"/>
      <c r="AS201" s="23"/>
      <c r="AT201" s="23"/>
      <c r="AU201" s="23"/>
      <c r="AV201" s="23"/>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c r="CM201" s="23"/>
      <c r="CN201" s="23"/>
      <c r="CO201" s="23"/>
      <c r="CP201" s="23"/>
      <c r="CQ201" s="23"/>
      <c r="CR201" s="23"/>
      <c r="CS201" s="23"/>
      <c r="CT201" s="23"/>
      <c r="CU201" s="23"/>
      <c r="CV201" s="23"/>
      <c r="CW201" s="23"/>
      <c r="CX201" s="23"/>
      <c r="CY201" s="23"/>
      <c r="CZ201" s="23"/>
      <c r="DA201" s="23"/>
      <c r="DB201" s="23"/>
      <c r="DC201" s="23"/>
      <c r="DD201" s="23"/>
      <c r="DE201" s="23"/>
      <c r="DF201" s="23"/>
      <c r="DG201" s="23"/>
      <c r="DH201" s="23"/>
      <c r="DI201" s="23"/>
      <c r="DJ201" s="23"/>
      <c r="DK201" s="23"/>
      <c r="DL201" s="23"/>
      <c r="DM201" s="23"/>
      <c r="DN201" s="23"/>
      <c r="DO201" s="23"/>
      <c r="DP201" s="23"/>
      <c r="DQ201" s="23"/>
      <c r="DR201" s="23"/>
      <c r="DS201" s="23"/>
      <c r="DT201" s="23"/>
      <c r="DU201" s="23"/>
      <c r="DV201" s="23"/>
      <c r="DW201" s="23"/>
      <c r="DX201" s="23"/>
      <c r="DY201" s="23"/>
      <c r="DZ201" s="23"/>
      <c r="EA201" s="23"/>
      <c r="EB201" s="23"/>
      <c r="EC201" s="23"/>
      <c r="ED201" s="23"/>
      <c r="EE201" s="23"/>
      <c r="EF201" s="23"/>
      <c r="EG201" s="23"/>
      <c r="EH201" s="23"/>
      <c r="EI201" s="23"/>
      <c r="EJ201" s="23"/>
      <c r="EK201" s="23"/>
      <c r="EL201" s="23"/>
      <c r="EM201" s="23"/>
      <c r="EN201" s="23"/>
      <c r="EO201" s="23"/>
      <c r="EP201" s="23"/>
      <c r="EQ201" s="23"/>
      <c r="ER201" s="23"/>
      <c r="ES201" s="23"/>
      <c r="ET201" s="23"/>
      <c r="EU201" s="23"/>
      <c r="EV201" s="23"/>
      <c r="EW201" s="23"/>
      <c r="EX201" s="23"/>
      <c r="EY201" s="23"/>
      <c r="EZ201" s="23"/>
      <c r="FA201" s="23"/>
      <c r="FB201" s="23"/>
      <c r="FC201" s="23"/>
      <c r="FD201" s="23"/>
      <c r="FE201" s="23"/>
      <c r="FF201" s="23"/>
      <c r="FG201" s="23"/>
      <c r="FH201" s="23"/>
      <c r="FI201" s="23"/>
      <c r="FJ201" s="23"/>
      <c r="FK201" s="23"/>
      <c r="FL201" s="23"/>
      <c r="FM201" s="23"/>
      <c r="FN201" s="23"/>
      <c r="FO201" s="23"/>
      <c r="FP201" s="23"/>
      <c r="FQ201" s="23"/>
      <c r="FR201" s="23"/>
      <c r="FS201" s="23"/>
      <c r="FT201" s="23"/>
      <c r="FU201" s="23"/>
      <c r="FV201" s="23"/>
      <c r="FW201" s="23"/>
      <c r="FX201" s="23"/>
      <c r="FY201" s="23"/>
      <c r="FZ201" s="23"/>
      <c r="GA201" s="23"/>
      <c r="GB201" s="23"/>
      <c r="GC201" s="23"/>
      <c r="GD201" s="23"/>
      <c r="GE201" s="23"/>
      <c r="GF201" s="24"/>
      <c r="GG201" s="23"/>
      <c r="GH201" s="23"/>
      <c r="GI201" s="23"/>
      <c r="GJ201" s="23"/>
      <c r="GK201" s="23"/>
      <c r="GL201" s="23"/>
      <c r="GM201" s="23"/>
      <c r="GN201" s="24"/>
      <c r="GO201" s="24"/>
      <c r="GP201" s="23"/>
      <c r="GQ201" s="23"/>
      <c r="GR201" s="23"/>
      <c r="GS201" s="23"/>
      <c r="GT201" s="23"/>
      <c r="GU201" s="23"/>
      <c r="GV201" s="23"/>
      <c r="GW201" s="23"/>
      <c r="GX201" s="23"/>
      <c r="GY201" s="23"/>
      <c r="GZ201" s="23"/>
    </row>
    <row r="202" ht="15.75" customHeight="1">
      <c r="A202" s="33"/>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3"/>
      <c r="BH202" s="23"/>
      <c r="BI202" s="23"/>
      <c r="BJ202" s="23"/>
      <c r="BK202" s="23"/>
      <c r="BL202" s="23"/>
      <c r="BM202" s="23"/>
      <c r="BN202" s="23"/>
      <c r="BO202" s="23"/>
      <c r="BP202" s="23"/>
      <c r="BQ202" s="23"/>
      <c r="BR202" s="23"/>
      <c r="BS202" s="23"/>
      <c r="BT202" s="23"/>
      <c r="BU202" s="23"/>
      <c r="BV202" s="23"/>
      <c r="BW202" s="23"/>
      <c r="BX202" s="23"/>
      <c r="BY202" s="23"/>
      <c r="BZ202" s="23"/>
      <c r="CA202" s="23"/>
      <c r="CB202" s="23"/>
      <c r="CC202" s="23"/>
      <c r="CD202" s="23"/>
      <c r="CE202" s="23"/>
      <c r="CF202" s="23"/>
      <c r="CG202" s="23"/>
      <c r="CH202" s="23"/>
      <c r="CI202" s="23"/>
      <c r="CJ202" s="23"/>
      <c r="CK202" s="23"/>
      <c r="CL202" s="23"/>
      <c r="CM202" s="23"/>
      <c r="CN202" s="23"/>
      <c r="CO202" s="23"/>
      <c r="CP202" s="23"/>
      <c r="CQ202" s="23"/>
      <c r="CR202" s="23"/>
      <c r="CS202" s="23"/>
      <c r="CT202" s="23"/>
      <c r="CU202" s="23"/>
      <c r="CV202" s="23"/>
      <c r="CW202" s="23"/>
      <c r="CX202" s="23"/>
      <c r="CY202" s="23"/>
      <c r="CZ202" s="23"/>
      <c r="DA202" s="23"/>
      <c r="DB202" s="23"/>
      <c r="DC202" s="23"/>
      <c r="DD202" s="23"/>
      <c r="DE202" s="23"/>
      <c r="DF202" s="23"/>
      <c r="DG202" s="23"/>
      <c r="DH202" s="23"/>
      <c r="DI202" s="23"/>
      <c r="DJ202" s="23"/>
      <c r="DK202" s="23"/>
      <c r="DL202" s="23"/>
      <c r="DM202" s="23"/>
      <c r="DN202" s="23"/>
      <c r="DO202" s="23"/>
      <c r="DP202" s="23"/>
      <c r="DQ202" s="23"/>
      <c r="DR202" s="23"/>
      <c r="DS202" s="23"/>
      <c r="DT202" s="23"/>
      <c r="DU202" s="23"/>
      <c r="DV202" s="23"/>
      <c r="DW202" s="23"/>
      <c r="DX202" s="23"/>
      <c r="DY202" s="23"/>
      <c r="DZ202" s="23"/>
      <c r="EA202" s="23"/>
      <c r="EB202" s="23"/>
      <c r="EC202" s="23"/>
      <c r="ED202" s="23"/>
      <c r="EE202" s="23"/>
      <c r="EF202" s="23"/>
      <c r="EG202" s="23"/>
      <c r="EH202" s="23"/>
      <c r="EI202" s="23"/>
      <c r="EJ202" s="23"/>
      <c r="EK202" s="23"/>
      <c r="EL202" s="23"/>
      <c r="EM202" s="23"/>
      <c r="EN202" s="23"/>
      <c r="EO202" s="23"/>
      <c r="EP202" s="23"/>
      <c r="EQ202" s="23"/>
      <c r="ER202" s="23"/>
      <c r="ES202" s="23"/>
      <c r="ET202" s="23"/>
      <c r="EU202" s="23"/>
      <c r="EV202" s="23"/>
      <c r="EW202" s="23"/>
      <c r="EX202" s="23"/>
      <c r="EY202" s="23"/>
      <c r="EZ202" s="23"/>
      <c r="FA202" s="23"/>
      <c r="FB202" s="23"/>
      <c r="FC202" s="23"/>
      <c r="FD202" s="23"/>
      <c r="FE202" s="23"/>
      <c r="FF202" s="23"/>
      <c r="FG202" s="23"/>
      <c r="FH202" s="23"/>
      <c r="FI202" s="23"/>
      <c r="FJ202" s="23"/>
      <c r="FK202" s="23"/>
      <c r="FL202" s="23"/>
      <c r="FM202" s="23"/>
      <c r="FN202" s="23"/>
      <c r="FO202" s="23"/>
      <c r="FP202" s="23"/>
      <c r="FQ202" s="23"/>
      <c r="FR202" s="23"/>
      <c r="FS202" s="23"/>
      <c r="FT202" s="23"/>
      <c r="FU202" s="23"/>
      <c r="FV202" s="23"/>
      <c r="FW202" s="23"/>
      <c r="FX202" s="23"/>
      <c r="FY202" s="23"/>
      <c r="FZ202" s="23"/>
      <c r="GA202" s="23"/>
      <c r="GB202" s="23"/>
      <c r="GC202" s="23"/>
      <c r="GD202" s="23"/>
      <c r="GE202" s="23"/>
      <c r="GF202" s="24"/>
      <c r="GG202" s="23"/>
      <c r="GH202" s="23"/>
      <c r="GI202" s="23"/>
      <c r="GJ202" s="23"/>
      <c r="GK202" s="23"/>
      <c r="GL202" s="23"/>
      <c r="GM202" s="23"/>
      <c r="GN202" s="24"/>
      <c r="GO202" s="24"/>
      <c r="GP202" s="23"/>
      <c r="GQ202" s="23"/>
      <c r="GR202" s="23"/>
      <c r="GS202" s="23"/>
      <c r="GT202" s="23"/>
      <c r="GU202" s="23"/>
      <c r="GV202" s="23"/>
      <c r="GW202" s="23"/>
      <c r="GX202" s="23"/>
      <c r="GY202" s="23"/>
      <c r="GZ202" s="23"/>
    </row>
    <row r="203" ht="15.75" customHeight="1">
      <c r="A203" s="33"/>
      <c r="B203" s="23"/>
      <c r="C203" s="119"/>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23"/>
      <c r="AP203" s="23"/>
      <c r="AQ203" s="23"/>
      <c r="AR203" s="23"/>
      <c r="AS203" s="23"/>
      <c r="AT203" s="23"/>
      <c r="AU203" s="23"/>
      <c r="AV203" s="23"/>
      <c r="AW203" s="23"/>
      <c r="AX203" s="23"/>
      <c r="AY203" s="23"/>
      <c r="AZ203" s="23"/>
      <c r="BA203" s="23"/>
      <c r="BB203" s="23"/>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c r="CT203" s="23"/>
      <c r="CU203" s="23"/>
      <c r="CV203" s="23"/>
      <c r="CW203" s="23"/>
      <c r="CX203" s="23"/>
      <c r="CY203" s="23"/>
      <c r="CZ203" s="23"/>
      <c r="DA203" s="23"/>
      <c r="DB203" s="23"/>
      <c r="DC203" s="23"/>
      <c r="DD203" s="23"/>
      <c r="DE203" s="23"/>
      <c r="DF203" s="23"/>
      <c r="DG203" s="23"/>
      <c r="DH203" s="23"/>
      <c r="DI203" s="23"/>
      <c r="DJ203" s="23"/>
      <c r="DK203" s="23"/>
      <c r="DL203" s="23"/>
      <c r="DM203" s="23"/>
      <c r="DN203" s="23"/>
      <c r="DO203" s="23"/>
      <c r="DP203" s="23"/>
      <c r="DQ203" s="23"/>
      <c r="DR203" s="23"/>
      <c r="DS203" s="23"/>
      <c r="DT203" s="23"/>
      <c r="DU203" s="23"/>
      <c r="DV203" s="23"/>
      <c r="DW203" s="23"/>
      <c r="DX203" s="23"/>
      <c r="DY203" s="23"/>
      <c r="DZ203" s="23"/>
      <c r="EA203" s="23"/>
      <c r="EB203" s="23"/>
      <c r="EC203" s="23"/>
      <c r="ED203" s="23"/>
      <c r="EE203" s="23"/>
      <c r="EF203" s="23"/>
      <c r="EG203" s="23"/>
      <c r="EH203" s="23"/>
      <c r="EI203" s="23"/>
      <c r="EJ203" s="23"/>
      <c r="EK203" s="23"/>
      <c r="EL203" s="23"/>
      <c r="EM203" s="23"/>
      <c r="EN203" s="23"/>
      <c r="EO203" s="23"/>
      <c r="EP203" s="23"/>
      <c r="EQ203" s="23"/>
      <c r="ER203" s="23"/>
      <c r="ES203" s="23"/>
      <c r="ET203" s="23"/>
      <c r="EU203" s="23"/>
      <c r="EV203" s="23"/>
      <c r="EW203" s="23"/>
      <c r="EX203" s="23"/>
      <c r="EY203" s="23"/>
      <c r="EZ203" s="23"/>
      <c r="FA203" s="23"/>
      <c r="FB203" s="23"/>
      <c r="FC203" s="23"/>
      <c r="FD203" s="23"/>
      <c r="FE203" s="23"/>
      <c r="FF203" s="23"/>
      <c r="FG203" s="23"/>
      <c r="FH203" s="23"/>
      <c r="FI203" s="23"/>
      <c r="FJ203" s="23"/>
      <c r="FK203" s="23"/>
      <c r="FL203" s="23"/>
      <c r="FM203" s="23"/>
      <c r="FN203" s="23"/>
      <c r="FO203" s="23"/>
      <c r="FP203" s="23"/>
      <c r="FQ203" s="23"/>
      <c r="FR203" s="23"/>
      <c r="FS203" s="23"/>
      <c r="FT203" s="23"/>
      <c r="FU203" s="23"/>
      <c r="FV203" s="23"/>
      <c r="FW203" s="23"/>
      <c r="FX203" s="23"/>
      <c r="FY203" s="23"/>
      <c r="FZ203" s="23"/>
      <c r="GA203" s="23"/>
      <c r="GB203" s="23"/>
      <c r="GC203" s="23"/>
      <c r="GD203" s="23"/>
      <c r="GE203" s="23"/>
      <c r="GF203" s="24"/>
      <c r="GG203" s="23"/>
      <c r="GH203" s="23"/>
      <c r="GI203" s="23"/>
      <c r="GJ203" s="23"/>
      <c r="GK203" s="23"/>
      <c r="GL203" s="23"/>
      <c r="GM203" s="23"/>
      <c r="GN203" s="24"/>
      <c r="GO203" s="24"/>
      <c r="GP203" s="23"/>
      <c r="GQ203" s="23"/>
      <c r="GR203" s="23"/>
      <c r="GS203" s="23"/>
      <c r="GT203" s="23"/>
      <c r="GU203" s="23"/>
      <c r="GV203" s="23"/>
      <c r="GW203" s="23"/>
      <c r="GX203" s="23"/>
      <c r="GY203" s="23"/>
      <c r="GZ203" s="23"/>
    </row>
    <row r="204" ht="15.75" customHeight="1">
      <c r="A204" s="33"/>
      <c r="B204" s="23"/>
      <c r="C204" s="119"/>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23"/>
      <c r="AP204" s="23"/>
      <c r="AQ204" s="23"/>
      <c r="AR204" s="23"/>
      <c r="AS204" s="23"/>
      <c r="AT204" s="23"/>
      <c r="AU204" s="23"/>
      <c r="AV204" s="23"/>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c r="CT204" s="23"/>
      <c r="CU204" s="23"/>
      <c r="CV204" s="23"/>
      <c r="CW204" s="23"/>
      <c r="CX204" s="23"/>
      <c r="CY204" s="23"/>
      <c r="CZ204" s="23"/>
      <c r="DA204" s="23"/>
      <c r="DB204" s="23"/>
      <c r="DC204" s="23"/>
      <c r="DD204" s="23"/>
      <c r="DE204" s="23"/>
      <c r="DF204" s="23"/>
      <c r="DG204" s="23"/>
      <c r="DH204" s="23"/>
      <c r="DI204" s="23"/>
      <c r="DJ204" s="23"/>
      <c r="DK204" s="23"/>
      <c r="DL204" s="23"/>
      <c r="DM204" s="23"/>
      <c r="DN204" s="23"/>
      <c r="DO204" s="23"/>
      <c r="DP204" s="23"/>
      <c r="DQ204" s="23"/>
      <c r="DR204" s="23"/>
      <c r="DS204" s="23"/>
      <c r="DT204" s="23"/>
      <c r="DU204" s="23"/>
      <c r="DV204" s="23"/>
      <c r="DW204" s="23"/>
      <c r="DX204" s="23"/>
      <c r="DY204" s="23"/>
      <c r="DZ204" s="23"/>
      <c r="EA204" s="23"/>
      <c r="EB204" s="23"/>
      <c r="EC204" s="23"/>
      <c r="ED204" s="23"/>
      <c r="EE204" s="23"/>
      <c r="EF204" s="23"/>
      <c r="EG204" s="23"/>
      <c r="EH204" s="23"/>
      <c r="EI204" s="23"/>
      <c r="EJ204" s="23"/>
      <c r="EK204" s="23"/>
      <c r="EL204" s="23"/>
      <c r="EM204" s="23"/>
      <c r="EN204" s="23"/>
      <c r="EO204" s="23"/>
      <c r="EP204" s="23"/>
      <c r="EQ204" s="23"/>
      <c r="ER204" s="23"/>
      <c r="ES204" s="23"/>
      <c r="ET204" s="23"/>
      <c r="EU204" s="23"/>
      <c r="EV204" s="23"/>
      <c r="EW204" s="23"/>
      <c r="EX204" s="23"/>
      <c r="EY204" s="23"/>
      <c r="EZ204" s="23"/>
      <c r="FA204" s="23"/>
      <c r="FB204" s="23"/>
      <c r="FC204" s="23"/>
      <c r="FD204" s="23"/>
      <c r="FE204" s="23"/>
      <c r="FF204" s="23"/>
      <c r="FG204" s="23"/>
      <c r="FH204" s="23"/>
      <c r="FI204" s="23"/>
      <c r="FJ204" s="23"/>
      <c r="FK204" s="23"/>
      <c r="FL204" s="23"/>
      <c r="FM204" s="23"/>
      <c r="FN204" s="23"/>
      <c r="FO204" s="23"/>
      <c r="FP204" s="23"/>
      <c r="FQ204" s="23"/>
      <c r="FR204" s="23"/>
      <c r="FS204" s="23"/>
      <c r="FT204" s="23"/>
      <c r="FU204" s="23"/>
      <c r="FV204" s="23"/>
      <c r="FW204" s="23"/>
      <c r="FX204" s="23"/>
      <c r="FY204" s="23"/>
      <c r="FZ204" s="23"/>
      <c r="GA204" s="23"/>
      <c r="GB204" s="23"/>
      <c r="GC204" s="23"/>
      <c r="GD204" s="23"/>
      <c r="GE204" s="23"/>
      <c r="GF204" s="24"/>
      <c r="GG204" s="23"/>
      <c r="GH204" s="23"/>
      <c r="GI204" s="23"/>
      <c r="GJ204" s="23"/>
      <c r="GK204" s="23"/>
      <c r="GL204" s="23"/>
      <c r="GM204" s="23"/>
      <c r="GN204" s="24"/>
      <c r="GO204" s="24"/>
      <c r="GP204" s="23"/>
      <c r="GQ204" s="23"/>
      <c r="GR204" s="23"/>
      <c r="GS204" s="23"/>
      <c r="GT204" s="23"/>
      <c r="GU204" s="23"/>
      <c r="GV204" s="23"/>
      <c r="GW204" s="23"/>
      <c r="GX204" s="23"/>
      <c r="GY204" s="23"/>
      <c r="GZ204" s="23"/>
    </row>
    <row r="205" ht="15.75" customHeight="1">
      <c r="A205" s="33"/>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3"/>
      <c r="BH205" s="23"/>
      <c r="BI205" s="23"/>
      <c r="BJ205" s="23"/>
      <c r="BK205" s="23"/>
      <c r="BL205" s="23"/>
      <c r="BM205" s="23"/>
      <c r="BN205" s="23"/>
      <c r="BO205" s="23"/>
      <c r="BP205" s="23"/>
      <c r="BQ205" s="23"/>
      <c r="BR205" s="23"/>
      <c r="BS205" s="23"/>
      <c r="BT205" s="23"/>
      <c r="BU205" s="23"/>
      <c r="BV205" s="23"/>
      <c r="BW205" s="23"/>
      <c r="BX205" s="23"/>
      <c r="BY205" s="23"/>
      <c r="BZ205" s="23"/>
      <c r="CA205" s="23"/>
      <c r="CB205" s="23"/>
      <c r="CC205" s="23"/>
      <c r="CD205" s="23"/>
      <c r="CE205" s="23"/>
      <c r="CF205" s="23"/>
      <c r="CG205" s="23"/>
      <c r="CH205" s="23"/>
      <c r="CI205" s="23"/>
      <c r="CJ205" s="23"/>
      <c r="CK205" s="23"/>
      <c r="CL205" s="23"/>
      <c r="CM205" s="23"/>
      <c r="CN205" s="23"/>
      <c r="CO205" s="23"/>
      <c r="CP205" s="23"/>
      <c r="CQ205" s="23"/>
      <c r="CR205" s="23"/>
      <c r="CS205" s="23"/>
      <c r="CT205" s="23"/>
      <c r="CU205" s="23"/>
      <c r="CV205" s="23"/>
      <c r="CW205" s="23"/>
      <c r="CX205" s="23"/>
      <c r="CY205" s="23"/>
      <c r="CZ205" s="23"/>
      <c r="DA205" s="23"/>
      <c r="DB205" s="23"/>
      <c r="DC205" s="23"/>
      <c r="DD205" s="23"/>
      <c r="DE205" s="23"/>
      <c r="DF205" s="23"/>
      <c r="DG205" s="23"/>
      <c r="DH205" s="23"/>
      <c r="DI205" s="23"/>
      <c r="DJ205" s="23"/>
      <c r="DK205" s="23"/>
      <c r="DL205" s="23"/>
      <c r="DM205" s="23"/>
      <c r="DN205" s="23"/>
      <c r="DO205" s="23"/>
      <c r="DP205" s="23"/>
      <c r="DQ205" s="23"/>
      <c r="DR205" s="23"/>
      <c r="DS205" s="23"/>
      <c r="DT205" s="23"/>
      <c r="DU205" s="23"/>
      <c r="DV205" s="23"/>
      <c r="DW205" s="23"/>
      <c r="DX205" s="23"/>
      <c r="DY205" s="23"/>
      <c r="DZ205" s="23"/>
      <c r="EA205" s="23"/>
      <c r="EB205" s="23"/>
      <c r="EC205" s="23"/>
      <c r="ED205" s="23"/>
      <c r="EE205" s="23"/>
      <c r="EF205" s="23"/>
      <c r="EG205" s="23"/>
      <c r="EH205" s="23"/>
      <c r="EI205" s="23"/>
      <c r="EJ205" s="23"/>
      <c r="EK205" s="23"/>
      <c r="EL205" s="23"/>
      <c r="EM205" s="23"/>
      <c r="EN205" s="23"/>
      <c r="EO205" s="23"/>
      <c r="EP205" s="23"/>
      <c r="EQ205" s="23"/>
      <c r="ER205" s="23"/>
      <c r="ES205" s="23"/>
      <c r="ET205" s="23"/>
      <c r="EU205" s="23"/>
      <c r="EV205" s="23"/>
      <c r="EW205" s="23"/>
      <c r="EX205" s="23"/>
      <c r="EY205" s="23"/>
      <c r="EZ205" s="23"/>
      <c r="FA205" s="23"/>
      <c r="FB205" s="23"/>
      <c r="FC205" s="23"/>
      <c r="FD205" s="23"/>
      <c r="FE205" s="23"/>
      <c r="FF205" s="23"/>
      <c r="FG205" s="23"/>
      <c r="FH205" s="23"/>
      <c r="FI205" s="23"/>
      <c r="FJ205" s="23"/>
      <c r="FK205" s="23"/>
      <c r="FL205" s="23"/>
      <c r="FM205" s="23"/>
      <c r="FN205" s="23"/>
      <c r="FO205" s="23"/>
      <c r="FP205" s="23"/>
      <c r="FQ205" s="23"/>
      <c r="FR205" s="23"/>
      <c r="FS205" s="23"/>
      <c r="FT205" s="23"/>
      <c r="FU205" s="23"/>
      <c r="FV205" s="23"/>
      <c r="FW205" s="23"/>
      <c r="FX205" s="23"/>
      <c r="FY205" s="23"/>
      <c r="FZ205" s="23"/>
      <c r="GA205" s="23"/>
      <c r="GB205" s="23"/>
      <c r="GC205" s="23"/>
      <c r="GD205" s="23"/>
      <c r="GE205" s="23"/>
      <c r="GF205" s="24"/>
      <c r="GG205" s="23"/>
      <c r="GH205" s="23"/>
      <c r="GI205" s="23"/>
      <c r="GJ205" s="23"/>
      <c r="GK205" s="23"/>
      <c r="GL205" s="23"/>
      <c r="GM205" s="23"/>
      <c r="GN205" s="24"/>
      <c r="GO205" s="24"/>
      <c r="GP205" s="23"/>
      <c r="GQ205" s="23"/>
      <c r="GR205" s="23"/>
      <c r="GS205" s="23"/>
      <c r="GT205" s="23"/>
      <c r="GU205" s="23"/>
      <c r="GV205" s="23"/>
      <c r="GW205" s="23"/>
      <c r="GX205" s="23"/>
      <c r="GY205" s="23"/>
      <c r="GZ205" s="23"/>
    </row>
  </sheetData>
  <mergeCells count="2">
    <mergeCell ref="A4:A5"/>
    <mergeCell ref="B4:B5"/>
  </mergeCells>
  <conditionalFormatting sqref="C6:GZ199">
    <cfRule type="cellIs" dxfId="0" priority="1" operator="lessThan">
      <formula>0</formula>
    </cfRule>
  </conditionalFormatting>
  <conditionalFormatting sqref="HH4:HH188">
    <cfRule type="cellIs" dxfId="0" priority="2" operator="lessThan">
      <formula>0</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29"/>
    <col customWidth="1" min="2" max="2" width="93.86"/>
    <col customWidth="1" min="3" max="3" width="186.86"/>
    <col customWidth="1" min="4" max="4" width="13.71"/>
    <col customWidth="1" min="5" max="26" width="10.71"/>
  </cols>
  <sheetData>
    <row r="1">
      <c r="A1" s="1" t="s">
        <v>625</v>
      </c>
      <c r="B1" s="1" t="s">
        <v>625</v>
      </c>
      <c r="C1" s="1" t="s">
        <v>625</v>
      </c>
      <c r="D1" s="1" t="s">
        <v>626</v>
      </c>
      <c r="E1" s="1" t="s">
        <v>627</v>
      </c>
      <c r="F1" s="1" t="s">
        <v>628</v>
      </c>
    </row>
    <row r="2">
      <c r="A2" s="109" t="str">
        <f>'IO-english'!HC5</f>
        <v>ISIC 01T03</v>
      </c>
      <c r="B2" s="109" t="str">
        <f>'IO-english'!HD5</f>
        <v>agriculture and forestry</v>
      </c>
      <c r="C2" s="109" t="str">
        <f>'IO-english'!HE5</f>
        <v>Rice, Corn, Sweet Potato, Cassava, Other Tubers, Peanuts, Soybeans, Other Legumes, Grains and Other Food Ingredients, Vegetables, Ornamental Plants and Other Horticulture, Sugarcane, Tobacco, Fiber Plants, Other Plantation Products, Fruits, Biopharmaceutical Plants, Coffee, Tea, Palm Oil, Cocoa, Cloves, Cashew, Livestock and its Products, Fresh milk, Poultry and its Products, other Animal Husbandry Products, Agriculture and Forestry Services, Wood, Other Forests Products, Fish, Shrimp and Other Crustaceans, Other Aquatic Biota, and Seaweed and Similar Products, Raw Salt</v>
      </c>
      <c r="D2" s="8">
        <f>'IO-english'!HF5</f>
        <v>3173943217</v>
      </c>
      <c r="E2" s="8">
        <f>D2*About!$A$20*About!$A$21</f>
        <v>224524743171</v>
      </c>
      <c r="F2" s="8">
        <f>E2*About!$A$19</f>
        <v>215543753444</v>
      </c>
      <c r="G2" s="8"/>
    </row>
    <row r="3">
      <c r="A3" s="109" t="str">
        <f>'IO-english'!HC6</f>
        <v>ISIC 05</v>
      </c>
      <c r="B3" s="109" t="str">
        <f>'IO-english'!HD6</f>
        <v>coal mining</v>
      </c>
      <c r="C3" s="109" t="str">
        <f>'IO-english'!HE6</f>
        <v>Coal and Lignite</v>
      </c>
      <c r="D3" s="8">
        <f>'IO-english'!HF6</f>
        <v>487069819</v>
      </c>
      <c r="E3" s="8">
        <f>D3*About!$A$20*About!$A$21</f>
        <v>34455318996</v>
      </c>
      <c r="F3" s="8">
        <f>E3*About!$A$19</f>
        <v>33077106236</v>
      </c>
    </row>
    <row r="4">
      <c r="A4" s="109" t="str">
        <f>'IO-english'!HC7</f>
        <v>ISIC 06</v>
      </c>
      <c r="B4" s="109" t="str">
        <f>'IO-english'!HD7</f>
        <v>oil and gas extraction</v>
      </c>
      <c r="C4" s="109" t="str">
        <f>'IO-english'!HE7</f>
        <v>Natural Gas and Geothermal Energ,y, Crude Oil</v>
      </c>
      <c r="D4" s="8">
        <f>'IO-english'!HF7</f>
        <v>566460917</v>
      </c>
      <c r="E4" s="8">
        <f>D4*About!$A$20*About!$A$21</f>
        <v>40071445269</v>
      </c>
      <c r="F4" s="8">
        <f>E4*About!$A$19</f>
        <v>38468587458</v>
      </c>
    </row>
    <row r="5">
      <c r="A5" s="109" t="str">
        <f>'IO-english'!HC8</f>
        <v>ISIC 07T08</v>
      </c>
      <c r="B5" s="109" t="str">
        <f>'IO-english'!HD8</f>
        <v>other mining and quarrying</v>
      </c>
      <c r="C5" s="109" t="str">
        <f>'IO-english'!HE8</f>
        <v>Other Mining and Quarrying Services</v>
      </c>
      <c r="D5" s="8">
        <f>'IO-english'!HF8</f>
        <v>431909507</v>
      </c>
      <c r="E5" s="8">
        <f>D5*About!$A$20*About!$A$21</f>
        <v>30553278525</v>
      </c>
      <c r="F5" s="8">
        <f>E5*About!$A$19</f>
        <v>29331147384</v>
      </c>
    </row>
    <row r="6">
      <c r="A6" s="109" t="str">
        <f>'IO-english'!HC9</f>
        <v>ISIC 09</v>
      </c>
      <c r="B6" s="107" t="str">
        <f>'IO-english'!HD9</f>
        <v>Mining support service activities</v>
      </c>
      <c r="C6" s="107" t="str">
        <f>'IO-english'!HE9</f>
        <v>Transport Support Services</v>
      </c>
      <c r="D6" s="8">
        <f>'IO-english'!HF9</f>
        <v>173556761</v>
      </c>
      <c r="E6" s="8">
        <f>D6*About!$A$20*About!$A$21</f>
        <v>12277405273</v>
      </c>
      <c r="F6" s="8">
        <f>E6*About!$A$19</f>
        <v>11786309062</v>
      </c>
    </row>
    <row r="7">
      <c r="A7" s="109" t="str">
        <f>'IO-english'!HC10</f>
        <v>ISIC 10T12</v>
      </c>
      <c r="B7" s="109" t="str">
        <f>'IO-english'!HD10</f>
        <v>food beverage and tobacco</v>
      </c>
      <c r="C7" s="109" t="str">
        <f>'IO-english'!HE10</f>
        <v>Tobacco, Dairy-Based Food and Beverages, Alcoholic Beverages, Non-Alcoholic Beverages, Cigarettes, and Processed Tobacco</v>
      </c>
      <c r="D7" s="8">
        <f>'IO-english'!HF10</f>
        <v>874933831</v>
      </c>
      <c r="E7" s="8">
        <f>D7*About!$A$20*About!$A$21</f>
        <v>61892819205</v>
      </c>
      <c r="F7" s="8">
        <f>E7*About!$A$19</f>
        <v>59417106437</v>
      </c>
    </row>
    <row r="8">
      <c r="A8" s="109" t="str">
        <f>'IO-english'!HC11</f>
        <v>ISIC 13T15</v>
      </c>
      <c r="B8" s="109" t="str">
        <f>'IO-english'!HD11</f>
        <v>textiles apparel and leather</v>
      </c>
      <c r="C8" s="109" t="str">
        <f>'IO-english'!HE11</f>
        <v>Textiles, Carpets, Ropes, and Other Floor Coverings, Other Textile Products, Knitted and Embroidered Goods, Ready-to-Wear Clothing, Leather Goods, and Footwear</v>
      </c>
      <c r="D8" s="8">
        <f>'IO-english'!HF11</f>
        <v>900614635</v>
      </c>
      <c r="E8" s="8">
        <f>D8*About!$A$20*About!$A$21</f>
        <v>63709479280</v>
      </c>
      <c r="F8" s="8">
        <f>E8*About!$A$19</f>
        <v>61161100109</v>
      </c>
    </row>
    <row r="9">
      <c r="A9" s="109" t="str">
        <f>'IO-english'!HC12</f>
        <v>ISIC 16</v>
      </c>
      <c r="B9" s="109" t="str">
        <f>'IO-english'!HD12</f>
        <v>wood products</v>
      </c>
      <c r="C9" s="109" t="str">
        <f>'IO-english'!HE12</f>
        <v>Sawn and Processed Wood, Plywood and Similar Products, Wooden Building Materials, Other Wood, Cork, Bamboo, and Rattan Products</v>
      </c>
      <c r="D9" s="8">
        <f>'IO-english'!HF12</f>
        <v>278516978</v>
      </c>
      <c r="E9" s="8">
        <f>D9*About!$A$20*About!$A$21</f>
        <v>19702291024</v>
      </c>
      <c r="F9" s="8">
        <f>E9*About!$A$19</f>
        <v>18914199383</v>
      </c>
    </row>
    <row r="10">
      <c r="A10" s="109" t="str">
        <f>'IO-english'!HC13</f>
        <v>ISIC 17T18</v>
      </c>
      <c r="B10" s="109" t="str">
        <f>'IO-english'!HD13</f>
        <v>pulp paper and printing</v>
      </c>
      <c r="C10" s="109" t="str">
        <f>'IO-english'!HE13</f>
        <v>Pulp, Paper, Paper and Cardboard Products, Printed Goods</v>
      </c>
      <c r="D10" s="8">
        <f>'IO-english'!HF13</f>
        <v>411318053</v>
      </c>
      <c r="E10" s="8">
        <f>D10*About!$A$20*About!$A$21</f>
        <v>29096639069</v>
      </c>
      <c r="F10" s="8">
        <f>E10*About!$A$19</f>
        <v>27932773506</v>
      </c>
    </row>
    <row r="11">
      <c r="A11" s="109" t="str">
        <f>'IO-english'!HC14</f>
        <v>ISIC 19</v>
      </c>
      <c r="B11" s="109" t="str">
        <f>'IO-english'!HD14</f>
        <v>refined petroleum and coke</v>
      </c>
      <c r="C11" s="109" t="str">
        <f>'IO-english'!HE14</f>
        <v>Refinery and Gas Products and Coal-Based Products</v>
      </c>
      <c r="D11" s="8">
        <f>'IO-english'!HF14</f>
        <v>907885220</v>
      </c>
      <c r="E11" s="8">
        <f>D11*About!$A$20*About!$A$21</f>
        <v>64223800463</v>
      </c>
      <c r="F11" s="8">
        <f>E11*About!$A$19</f>
        <v>61654848444</v>
      </c>
    </row>
    <row r="12">
      <c r="A12" s="109" t="str">
        <f>'IO-english'!HC15</f>
        <v>ISIC 20</v>
      </c>
      <c r="B12" s="109" t="str">
        <f>'IO-english'!HD15</f>
        <v>chemicals</v>
      </c>
      <c r="C12" s="109" t="str">
        <f>'IO-english'!HE15</f>
        <v>Refinery and Gas Products and Coal-Based Products, Basic Chemicals Except Fertilizers, Pesticides, Paints and Printing Ink, Varnish and Lacquer, Soap and Cleaning Agents, Cosmetics, Other Chemical Products</v>
      </c>
      <c r="D12" s="8">
        <f>'IO-english'!HF15</f>
        <v>1064949094</v>
      </c>
      <c r="E12" s="8">
        <f>D12*About!$A$20*About!$A$21</f>
        <v>75334498910</v>
      </c>
      <c r="F12" s="8">
        <f>E12*About!$A$19</f>
        <v>72321118953</v>
      </c>
    </row>
    <row r="13">
      <c r="A13" s="109" t="str">
        <f>'IO-english'!HC16</f>
        <v>ISIC 21</v>
      </c>
      <c r="B13" s="107" t="str">
        <f>'IO-english'!HD16</f>
        <v>Manufacture of basic pharmaceutical products and pharmaceutical preparations</v>
      </c>
      <c r="C13" s="107" t="str">
        <f>'IO-english'!HE16</f>
        <v>Pharmaceutical Products, Traditional Medicine</v>
      </c>
      <c r="D13" s="8">
        <f>'IO-english'!HF16</f>
        <v>197999705</v>
      </c>
      <c r="E13" s="8">
        <f>D13*About!$A$20*About!$A$21</f>
        <v>14006499132</v>
      </c>
      <c r="F13" s="8">
        <f>E13*About!$A$19</f>
        <v>13446239166</v>
      </c>
    </row>
    <row r="14">
      <c r="A14" s="109" t="str">
        <f>'IO-english'!HC17</f>
        <v>ISIC 22</v>
      </c>
      <c r="B14" s="109" t="str">
        <f>'IO-english'!HD17</f>
        <v>rubber and plastic products</v>
      </c>
      <c r="C14" s="109" t="str">
        <f>'IO-english'!HE17</f>
        <v>Rubber, Plastics, Rubber, and Synthetic Fibers, Crumb Rubber and Smoked Rubber, Other Rubber Products, Plastic Products, Tires</v>
      </c>
      <c r="D14" s="8">
        <f>'IO-english'!HF17</f>
        <v>514079171</v>
      </c>
      <c r="E14" s="8">
        <f>D14*About!$A$20*About!$A$21</f>
        <v>36365960557</v>
      </c>
      <c r="F14" s="8">
        <f>E14*About!$A$19</f>
        <v>34911322134</v>
      </c>
    </row>
    <row r="15">
      <c r="A15" s="109" t="str">
        <f>'IO-english'!HC18</f>
        <v>ISIC 23</v>
      </c>
      <c r="B15" s="107" t="str">
        <f>'IO-english'!HD18</f>
        <v>Manufacture of other non-metallic mineral products</v>
      </c>
      <c r="C15" s="107" t="str">
        <f>'IO-english'!HE18</f>
        <v>Other Non-Metallic Materials and Coal Products, Non-Metallic Mineral Mining Products, Glass and Glass Products, Clay, Ceramic, and Porcelain Products, Cement</v>
      </c>
      <c r="D15" s="8">
        <f>'IO-english'!HF18</f>
        <v>409705277</v>
      </c>
      <c r="E15" s="8">
        <f>D15*About!$A$20*About!$A$21</f>
        <v>28982551295</v>
      </c>
      <c r="F15" s="8">
        <f>E15*About!$A$19</f>
        <v>27823249243</v>
      </c>
    </row>
    <row r="16">
      <c r="A16" s="109" t="str">
        <f>'IO-english'!HC19</f>
        <v>ISIC 24</v>
      </c>
      <c r="B16" s="107" t="str">
        <f>'IO-english'!HD19</f>
        <v>Manufacture of basic metals</v>
      </c>
      <c r="C16" s="107" t="str">
        <f>'IO-english'!HE19</f>
        <v>Iron Sand and Iron Ore, Tin Ore, Bauxite Ore, Copper Ore, Nickel Ore, Gold Ore, Silver Ore, Basic Iron and Steel</v>
      </c>
      <c r="D16" s="8">
        <f>'IO-english'!HF19</f>
        <v>560816478</v>
      </c>
      <c r="E16" s="8">
        <f>D16*About!$A$20*About!$A$21</f>
        <v>39672157654</v>
      </c>
      <c r="F16" s="8">
        <f>E16*About!$A$19</f>
        <v>38085271348</v>
      </c>
    </row>
    <row r="17">
      <c r="A17" s="109" t="str">
        <f>'IO-english'!HC20</f>
        <v>ISIC 25</v>
      </c>
      <c r="B17" s="107" t="str">
        <f>'IO-english'!HD20</f>
        <v>metal products except machinery and vehicles</v>
      </c>
      <c r="C17" s="109" t="str">
        <f>'IO-english'!HE20</f>
        <v>Other Metal Mining Products, Non-Ferrous Basic Metals, Metal Casting Products, Metal Building Materials,  Weapons, Ammunition, Metallurgy, and Metal Fabrication Services, Metal Kitchenware, Tools, Household and Office Equipment, Other Metal Products</v>
      </c>
      <c r="D17" s="8">
        <f>'IO-english'!HF20</f>
        <v>1164373013</v>
      </c>
      <c r="E17" s="8">
        <f>D17*About!$A$20*About!$A$21</f>
        <v>82367746940</v>
      </c>
      <c r="F17" s="8">
        <f>E17*About!$A$19</f>
        <v>79073037062</v>
      </c>
    </row>
    <row r="18">
      <c r="A18" s="109" t="str">
        <f>'IO-english'!HC21</f>
        <v>ISIC 26</v>
      </c>
      <c r="B18" s="107" t="str">
        <f>'IO-english'!HD21</f>
        <v>computers and electronics</v>
      </c>
      <c r="C18" s="107" t="str">
        <f>'IO-english'!HE21</f>
        <v>Electronic, Communication, and Accessories Products, Measuring Instruments, Photography, Optics, and Clocks</v>
      </c>
      <c r="D18" s="8">
        <f>'IO-english'!HF21</f>
        <v>573440351</v>
      </c>
      <c r="E18" s="8">
        <f>D18*About!$A$20*About!$A$21</f>
        <v>40565170430</v>
      </c>
      <c r="F18" s="8">
        <f>E18*About!$A$19</f>
        <v>38942563613</v>
      </c>
    </row>
    <row r="19">
      <c r="A19" s="109" t="str">
        <f>'IO-english'!HC22</f>
        <v>ISIC 27</v>
      </c>
      <c r="B19" s="107" t="str">
        <f>'IO-english'!HD22</f>
        <v>appliances and electrical equipment</v>
      </c>
      <c r="C19" s="107" t="str">
        <f>'IO-english'!HE22</f>
        <v>Household Electrical Appliances, Household and Office Furniture Other Than Metal</v>
      </c>
      <c r="D19" s="8">
        <f>'IO-english'!HF22</f>
        <v>263282677</v>
      </c>
      <c r="E19" s="8">
        <f>D19*About!$A$20*About!$A$21</f>
        <v>18624616571</v>
      </c>
      <c r="F19" s="8">
        <f>E19*About!$A$19</f>
        <v>17879631908</v>
      </c>
    </row>
    <row r="20">
      <c r="A20" s="109" t="str">
        <f>'IO-english'!HC23</f>
        <v>ISIC 28</v>
      </c>
      <c r="B20" s="109" t="str">
        <f>'IO-english'!HD23</f>
        <v>other machinery</v>
      </c>
      <c r="C20" s="109" t="str">
        <f>'IO-english'!HE23</f>
        <v>Electrical Machinery and Equipment, Batteries and Accumulators, Other Electrical Equipment, Other Electrical Equipment, Office and Accounting Machines, and Their Parts and Accessories, Other Machines and Their Equipment, Prime Movers</v>
      </c>
      <c r="D20" s="8">
        <f>'IO-english'!HF23</f>
        <v>1017568474</v>
      </c>
      <c r="E20" s="8">
        <f>D20*About!$A$20*About!$A$21</f>
        <v>71982793851</v>
      </c>
      <c r="F20" s="8">
        <f>E20*About!$A$19</f>
        <v>69103482097</v>
      </c>
    </row>
    <row r="21" ht="15.75" customHeight="1">
      <c r="A21" s="109" t="str">
        <f>'IO-english'!HC24</f>
        <v>ISIC 29</v>
      </c>
      <c r="B21" s="109" t="str">
        <f>'IO-english'!HD24</f>
        <v>road vehicles</v>
      </c>
      <c r="C21" s="109" t="str">
        <f>'IO-english'!HE24</f>
        <v>Motor Vehicles Except Motorcycles, Roads, Bridges, and Ports, Motorcycles</v>
      </c>
      <c r="D21" s="8">
        <f>'IO-english'!HF24</f>
        <v>1112668115</v>
      </c>
      <c r="E21" s="8">
        <f>D21*About!$A$20*About!$A$21</f>
        <v>78710142455</v>
      </c>
      <c r="F21" s="8">
        <f>E21*About!$A$19</f>
        <v>75561736757</v>
      </c>
    </row>
    <row r="22" ht="15.75" customHeight="1">
      <c r="A22" s="109" t="str">
        <f>'IO-english'!HC25</f>
        <v>ISIC 30</v>
      </c>
      <c r="B22" s="109" t="str">
        <f>'IO-english'!HD25</f>
        <v>nonroad vehicles</v>
      </c>
      <c r="C22" s="109" t="str">
        <f>'IO-english'!HE25</f>
        <v>Agricultural Infrastructure</v>
      </c>
      <c r="D22" s="8">
        <f>'IO-english'!HF25</f>
        <v>39433756</v>
      </c>
      <c r="E22" s="8">
        <f>D22*About!$A$20*About!$A$21</f>
        <v>2789543899</v>
      </c>
      <c r="F22" s="8">
        <f>E22*About!$A$19</f>
        <v>2677962143</v>
      </c>
    </row>
    <row r="23" ht="15.75" customHeight="1">
      <c r="A23" s="109" t="str">
        <f>'IO-english'!HC26</f>
        <v>ISIC 31T33</v>
      </c>
      <c r="B23" s="109" t="str">
        <f>'IO-english'!HD26</f>
        <v>other manufacturing</v>
      </c>
      <c r="C23" s="109" t="str">
        <f>'IO-english'!HE26</f>
        <v>Slaughtered Animal Products, Processed and Preserved Meat Products, Dried and Salted Fish, Processed and Preserved Fish Products, Processed and Preserved Fruits and Vegetables, Animal and Vegetable Oils, Coconut Oil and Copra, Other Flours, Wheat Flour, Starch, and Starch Products, Rice Milling and Polishing Products, Bread, Biscuits, and Similar Products, Sugar, Chocolate and Confectionery, Noodles, Macaroni, and Similar Products, Bread, Biscuits, and Similar Products, Processed Coffee, Processed Tea, Processed Soybeans, Other Foods, Processed Animal Feed, Other Manufactured Products, Jewelry, Musical Instruments, Sports Equipment, Toys and Children's Games, Medical Equipment</v>
      </c>
      <c r="D23" s="8">
        <f>'IO-english'!HF26</f>
        <v>3058409825</v>
      </c>
      <c r="E23" s="8">
        <f>D23*About!$A$20*About!$A$21</f>
        <v>216351911021</v>
      </c>
      <c r="F23" s="8">
        <f>E23*About!$A$19</f>
        <v>207697834580</v>
      </c>
    </row>
    <row r="24" ht="15.75" customHeight="1">
      <c r="A24" s="109" t="str">
        <f>'IO-english'!HC27</f>
        <v>ISIC 351</v>
      </c>
      <c r="B24" s="107" t="str">
        <f>'IO-english'!HD27</f>
        <v>Electric power generation, transmission, and distribution</v>
      </c>
      <c r="C24" s="107" t="str">
        <f>'IO-english'!HE27</f>
        <v>Electricity, Power Generation and Electric Motors</v>
      </c>
      <c r="D24" s="8">
        <f>'IO-english'!HF27</f>
        <v>726112809</v>
      </c>
      <c r="E24" s="8">
        <f>D24*About!$A$20*About!$A$21</f>
        <v>51365220109</v>
      </c>
      <c r="F24" s="8">
        <f>E24*About!$A$19</f>
        <v>49310611304</v>
      </c>
    </row>
    <row r="25" ht="15.75" customHeight="1">
      <c r="A25" s="109" t="str">
        <f>'IO-english'!HC28</f>
        <v>ISIC 352T353</v>
      </c>
      <c r="B25" s="107" t="str">
        <f>'IO-english'!HD28</f>
        <v>energy pipelines and gas processing</v>
      </c>
      <c r="C25" s="107" t="str">
        <f>'IO-english'!HE28</f>
        <v>Natural and Manufactured Gas, Steam/Hot Water, Cold Air, and Ice Products</v>
      </c>
      <c r="D25" s="8">
        <f>'IO-english'!HF28</f>
        <v>45176830</v>
      </c>
      <c r="E25" s="8">
        <f>D25*About!$A$20*About!$A$21</f>
        <v>3195808954</v>
      </c>
      <c r="F25" s="8">
        <f>E25*About!$A$19</f>
        <v>3067976596</v>
      </c>
    </row>
    <row r="26" ht="15.75" customHeight="1">
      <c r="A26" s="109" t="str">
        <f>'IO-english'!HC29</f>
        <v>ISIC 36T39</v>
      </c>
      <c r="B26" s="107" t="str">
        <f>'IO-english'!HD29</f>
        <v>water and waste</v>
      </c>
      <c r="C26" s="107" t="str">
        <f>'IO-english'!HE29</f>
        <v>Water Supply, Waste Management, Waste Treatment, and Recycling</v>
      </c>
      <c r="D26" s="8">
        <f>'IO-english'!HF29</f>
        <v>70301631</v>
      </c>
      <c r="E26" s="8">
        <f>D26*About!$A$20*About!$A$21</f>
        <v>4973137377</v>
      </c>
      <c r="F26" s="8">
        <f>E26*About!$A$19</f>
        <v>4774211882</v>
      </c>
    </row>
    <row r="27" ht="15.75" customHeight="1">
      <c r="A27" s="109" t="str">
        <f>'IO-english'!HC30</f>
        <v>ISIC 41T43</v>
      </c>
      <c r="B27" s="107" t="str">
        <f>'IO-english'!HD30</f>
        <v>construction</v>
      </c>
      <c r="C27" s="107" t="str">
        <f>'IO-english'!HE30</f>
        <v>Residential and Non-Residential Buildings, Buildings and Installations for Electricity, Gas, Water Supply, and Communication, Other Buildings</v>
      </c>
      <c r="D27" s="8">
        <f>'IO-english'!HF30</f>
        <v>3340544206</v>
      </c>
      <c r="E27" s="8">
        <f>D27*About!$A$20*About!$A$21</f>
        <v>236310097132</v>
      </c>
      <c r="F27" s="8">
        <f>E27*About!$A$19</f>
        <v>226857693247</v>
      </c>
    </row>
    <row r="28" ht="15.75" customHeight="1">
      <c r="A28" s="109" t="str">
        <f>'IO-english'!HC31</f>
        <v>ISIC 45T47</v>
      </c>
      <c r="B28" s="107" t="str">
        <f>'IO-english'!HD31</f>
        <v>Wholesale and retail trade; Repair of motor vehicles and motorcycles</v>
      </c>
      <c r="C28" s="107" t="str">
        <f>'IO-english'!HE31</f>
        <v>Maintenance and Repair Services of Manufactured Metal Products, Machinery, and Equipment, Ships and Repair Services, Railways and Repair Services, Aircraft and Repair Services, Car and Motorcycle Repair and Maintenance, Other Transportation Equipment</v>
      </c>
      <c r="D28" s="8">
        <f>'IO-english'!HF31</f>
        <v>423377269</v>
      </c>
      <c r="E28" s="8">
        <f>D28*About!$A$20*About!$A$21</f>
        <v>29949708009</v>
      </c>
      <c r="F28" s="8">
        <f>E28*About!$A$19</f>
        <v>28751719689</v>
      </c>
    </row>
    <row r="29" ht="15.75" customHeight="1">
      <c r="A29" s="109" t="str">
        <f>'IO-english'!HC32</f>
        <v>ISIC 49T53</v>
      </c>
      <c r="B29" s="107" t="str">
        <f>'IO-english'!HD32</f>
        <v>Transportation and storage</v>
      </c>
      <c r="C29" s="109" t="str">
        <f>'IO-english'!HE32</f>
        <v>Rail Transport Services, Land Transport Services Except Rail, Sea Transport Services,  River, Lake, and Ferry Transport Services, Air Transport Services</v>
      </c>
      <c r="D29" s="8">
        <f>'IO-english'!HF32</f>
        <v>850333235</v>
      </c>
      <c r="E29" s="8">
        <f>D29*About!$A$20*About!$A$21</f>
        <v>60152573044</v>
      </c>
      <c r="F29" s="8">
        <f>E29*About!$A$19</f>
        <v>57746470122</v>
      </c>
    </row>
    <row r="30" ht="15.75" customHeight="1">
      <c r="A30" s="109" t="str">
        <f>'IO-english'!HC33</f>
        <v>ISIC 55T56</v>
      </c>
      <c r="B30" s="107" t="str">
        <f>'IO-english'!HD33</f>
        <v>Accommodation and food service activities</v>
      </c>
      <c r="C30" s="107" t="str">
        <f>'IO-english'!HE33</f>
        <v>Accommodation Services, Food and Beverage Services</v>
      </c>
      <c r="D30" s="8">
        <f>'IO-english'!HF33</f>
        <v>1249866699</v>
      </c>
      <c r="E30" s="8">
        <f>D30*About!$A$20*About!$A$21</f>
        <v>88415570287</v>
      </c>
      <c r="F30" s="8">
        <f>E30*About!$A$19</f>
        <v>84878947476</v>
      </c>
    </row>
    <row r="31" ht="15.75" customHeight="1">
      <c r="A31" s="109" t="str">
        <f>'IO-english'!HC34</f>
        <v>ISIC 58T60</v>
      </c>
      <c r="B31" s="107" t="str">
        <f>'IO-english'!HD34</f>
        <v>Publishing, audiovisual, and broadcasting activities</v>
      </c>
      <c r="C31" s="107" t="str">
        <f>'IO-english'!HE34</f>
        <v>Publishing Products, Broadcasting, Programming, Film, and Sound Recording Services</v>
      </c>
      <c r="D31" s="8">
        <f>'IO-english'!HF34</f>
        <v>359437845</v>
      </c>
      <c r="E31" s="8">
        <f>D31*About!$A$20*About!$A$21</f>
        <v>25426633155</v>
      </c>
      <c r="F31" s="8">
        <f>E31*About!$A$19</f>
        <v>24409567829</v>
      </c>
    </row>
    <row r="32" ht="15.75" customHeight="1">
      <c r="A32" s="109" t="str">
        <f>'IO-english'!HC35</f>
        <v>ISIC 61</v>
      </c>
      <c r="B32" s="107" t="str">
        <f>'IO-english'!HD35</f>
        <v>Telecommunications</v>
      </c>
      <c r="C32" s="107" t="str">
        <f>'IO-english'!HE35</f>
        <v>Telecommunications Services</v>
      </c>
      <c r="D32" s="8">
        <f>'IO-english'!HF35</f>
        <v>659397161</v>
      </c>
      <c r="E32" s="8">
        <f>D32*About!$A$20*About!$A$21</f>
        <v>46645755169</v>
      </c>
      <c r="F32" s="8">
        <f>E32*About!$A$19</f>
        <v>44779924962</v>
      </c>
    </row>
    <row r="33" ht="15.75" customHeight="1">
      <c r="A33" s="109" t="str">
        <f>'IO-english'!HC36</f>
        <v>ISIC 62T63</v>
      </c>
      <c r="B33" s="107" t="str">
        <f>'IO-english'!HD36</f>
        <v>Computer programming, consultancy and related activities; Information service activities</v>
      </c>
      <c r="C33" s="107" t="str">
        <f>'IO-english'!HE36</f>
        <v>Computer and Information Technology Consulting Services</v>
      </c>
      <c r="D33" s="8">
        <f>'IO-english'!HF36</f>
        <v>220426901</v>
      </c>
      <c r="E33" s="8">
        <f>D33*About!$A$20*About!$A$21</f>
        <v>15592998977</v>
      </c>
      <c r="F33" s="8">
        <f>E33*About!$A$19</f>
        <v>14969279018</v>
      </c>
    </row>
    <row r="34" ht="15.75" customHeight="1">
      <c r="A34" s="109" t="str">
        <f>'IO-english'!HC37</f>
        <v>ISIC 64T66</v>
      </c>
      <c r="B34" s="107" t="str">
        <f>'IO-english'!HD37</f>
        <v>Financial and insurance activities</v>
      </c>
      <c r="C34" s="107" t="str">
        <f>'IO-english'!HE37</f>
        <v>Banking Financial Services, Insurance Services, Pension Fund Services, Other Financial Institution Services </v>
      </c>
      <c r="D34" s="8">
        <f>'IO-english'!HF37</f>
        <v>958248882</v>
      </c>
      <c r="E34" s="8">
        <f>D34*About!$A$20*About!$A$21</f>
        <v>67786525913</v>
      </c>
      <c r="F34" s="8">
        <f>E34*About!$A$19</f>
        <v>65075064876</v>
      </c>
    </row>
    <row r="35" ht="15.75" customHeight="1">
      <c r="A35" s="109" t="str">
        <f>'IO-english'!HC38</f>
        <v>ISIC 68</v>
      </c>
      <c r="B35" s="107" t="str">
        <f>'IO-english'!HD38</f>
        <v>Real estate activities</v>
      </c>
      <c r="C35" s="107" t="str">
        <f>'IO-english'!HE38</f>
        <v>Real Estate Services, Rental and Business Support Services</v>
      </c>
      <c r="D35" s="8">
        <f>'IO-english'!HF38</f>
        <v>1350509739</v>
      </c>
      <c r="E35" s="8">
        <f>D35*About!$A$20*About!$A$21</f>
        <v>95535058937</v>
      </c>
      <c r="F35" s="8">
        <f>E35*About!$A$19</f>
        <v>91713656579</v>
      </c>
    </row>
    <row r="36" ht="15.75" customHeight="1">
      <c r="A36" s="109" t="str">
        <f>'IO-english'!HC39</f>
        <v>ISIC 69T82</v>
      </c>
      <c r="B36" s="107" t="str">
        <f>'IO-english'!HD39</f>
        <v>Professional, scientific, and technical activities; Administrative and support service activities</v>
      </c>
      <c r="C36" s="107" t="str">
        <f>'IO-english'!HE39</f>
        <v>Professional, Scientific, and Technical Services</v>
      </c>
      <c r="D36" s="8">
        <f>'IO-english'!HF39</f>
        <v>571462890</v>
      </c>
      <c r="E36" s="8">
        <f>D36*About!$A$20*About!$A$21</f>
        <v>40425284839</v>
      </c>
      <c r="F36" s="8">
        <f>E36*About!$A$19</f>
        <v>38808273445</v>
      </c>
    </row>
    <row r="37" ht="15.75" customHeight="1">
      <c r="A37" s="109" t="str">
        <f>'IO-english'!HC40</f>
        <v>ISIC 84</v>
      </c>
      <c r="B37" s="107" t="str">
        <f>'IO-english'!HD40</f>
        <v>Public administration and defense; Compulsory social security</v>
      </c>
      <c r="C37" s="107" t="str">
        <f>'IO-english'!HE40</f>
        <v>General Government Services, Other Government Services</v>
      </c>
      <c r="D37" s="8">
        <f>'IO-english'!HF40</f>
        <v>761845407</v>
      </c>
      <c r="E37" s="8">
        <f>D37*About!$A$20*About!$A$21</f>
        <v>53892944091</v>
      </c>
      <c r="F37" s="8">
        <f>E37*About!$A$19</f>
        <v>51737226328</v>
      </c>
    </row>
    <row r="38" ht="15.75" customHeight="1">
      <c r="A38" s="109" t="str">
        <f>'IO-english'!HC41</f>
        <v>ISIC 85</v>
      </c>
      <c r="B38" s="107" t="str">
        <f>'IO-english'!HD41</f>
        <v>Education</v>
      </c>
      <c r="C38" s="107" t="str">
        <f>'IO-english'!HE41</f>
        <v>Public Education Services, Private Education Services</v>
      </c>
      <c r="D38" s="8">
        <f>'IO-english'!HF41</f>
        <v>764502316</v>
      </c>
      <c r="E38" s="8">
        <f>D38*About!$A$20*About!$A$21</f>
        <v>54080893834</v>
      </c>
      <c r="F38" s="8">
        <f>E38*About!$A$19</f>
        <v>51917658080</v>
      </c>
    </row>
    <row r="39" ht="15.75" customHeight="1">
      <c r="A39" s="109" t="str">
        <f>'IO-english'!HC42</f>
        <v>ISIC 86T88</v>
      </c>
      <c r="B39" s="107" t="str">
        <f>'IO-english'!HD42</f>
        <v>Human health and social work activities</v>
      </c>
      <c r="C39" s="107" t="str">
        <f>'IO-english'!HE42</f>
        <v>Public Health Services, Private Health and Social Activities Services</v>
      </c>
      <c r="D39" s="8">
        <f>'IO-english'!HF42</f>
        <v>687206254</v>
      </c>
      <c r="E39" s="8">
        <f>D39*About!$A$20*About!$A$21</f>
        <v>48612970408</v>
      </c>
      <c r="F39" s="8">
        <f>E39*About!$A$19</f>
        <v>46668451592</v>
      </c>
    </row>
    <row r="40" ht="15.75" customHeight="1">
      <c r="A40" s="109" t="str">
        <f>'IO-english'!HC43</f>
        <v>ISIC 90T96</v>
      </c>
      <c r="B40" s="107" t="str">
        <f>'IO-english'!HD43</f>
        <v>Arts, entertainment, and recreation; Other service activities</v>
      </c>
      <c r="C40" s="107" t="str">
        <f>'IO-english'!HE43</f>
        <v>Arts, Entertainment, and Recreation Services, Other Services</v>
      </c>
      <c r="D40" s="8">
        <f>'IO-english'!HF43</f>
        <v>429128989</v>
      </c>
      <c r="E40" s="8">
        <f>D40*About!$A$20*About!$A$21</f>
        <v>30356584682</v>
      </c>
      <c r="F40" s="8">
        <f>E40*About!$A$19</f>
        <v>29142321295</v>
      </c>
    </row>
    <row r="41" ht="15.75" customHeight="1">
      <c r="A41" s="109" t="str">
        <f>'IO-english'!HC44</f>
        <v>ISIC 97T98</v>
      </c>
      <c r="B41" s="107" t="str">
        <f>'IO-english'!HD44</f>
        <v>Activities of households as employers; Undifferentiated goods- and services-producing activities of households for own use</v>
      </c>
      <c r="C41" s="107" t="str">
        <f>'IO-english'!HE44</f>
        <v>Repair of Household and Personal Goods</v>
      </c>
      <c r="D41" s="8">
        <f>'IO-english'!HF44</f>
        <v>41199711</v>
      </c>
      <c r="E41" s="8">
        <f>D41*About!$A$20*About!$A$21</f>
        <v>2914467556</v>
      </c>
      <c r="F41" s="8">
        <f>E41*About!$A$19</f>
        <v>2797888854</v>
      </c>
    </row>
    <row r="42" ht="15.75" customHeight="1">
      <c r="A42" s="1" t="s">
        <v>586</v>
      </c>
      <c r="B42" s="1"/>
      <c r="D42" s="120"/>
    </row>
    <row r="43" ht="15.75" customHeight="1">
      <c r="D43" s="8"/>
      <c r="E43" s="8"/>
      <c r="F43" s="8"/>
      <c r="G43" s="8"/>
      <c r="H43" s="8"/>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F5496"/>
    <pageSetUpPr/>
  </sheetPr>
  <sheetViews>
    <sheetView workbookViewId="0"/>
  </sheetViews>
  <sheetFormatPr customHeight="1" defaultColWidth="14.43" defaultRowHeight="15.0"/>
  <cols>
    <col customWidth="1" min="1" max="1" width="20.14"/>
    <col customWidth="1" min="2" max="2" width="18.0"/>
    <col customWidth="1" min="3" max="26" width="10.14"/>
    <col customWidth="1" min="27" max="27" width="12.86"/>
    <col customWidth="1" min="28" max="43" width="10.14"/>
  </cols>
  <sheetData>
    <row r="1">
      <c r="A1" s="3" t="s">
        <v>629</v>
      </c>
      <c r="B1" s="7" t="s">
        <v>476</v>
      </c>
      <c r="C1" s="7" t="s">
        <v>12</v>
      </c>
      <c r="D1" s="7" t="s">
        <v>13</v>
      </c>
      <c r="E1" s="7" t="s">
        <v>482</v>
      </c>
      <c r="F1" s="7" t="s">
        <v>484</v>
      </c>
      <c r="G1" s="7" t="s">
        <v>486</v>
      </c>
      <c r="H1" s="7" t="s">
        <v>489</v>
      </c>
      <c r="I1" s="7" t="s">
        <v>492</v>
      </c>
      <c r="J1" s="7" t="s">
        <v>495</v>
      </c>
      <c r="K1" s="7" t="s">
        <v>499</v>
      </c>
      <c r="L1" s="7" t="s">
        <v>14</v>
      </c>
      <c r="M1" s="7" t="s">
        <v>15</v>
      </c>
      <c r="N1" s="7" t="s">
        <v>506</v>
      </c>
      <c r="O1" s="7" t="s">
        <v>16</v>
      </c>
      <c r="P1" s="7" t="s">
        <v>17</v>
      </c>
      <c r="Q1" s="7" t="s">
        <v>18</v>
      </c>
      <c r="R1" s="7" t="s">
        <v>19</v>
      </c>
      <c r="S1" s="7" t="s">
        <v>515</v>
      </c>
      <c r="T1" s="7" t="s">
        <v>518</v>
      </c>
      <c r="U1" s="7" t="s">
        <v>521</v>
      </c>
      <c r="V1" s="7" t="s">
        <v>524</v>
      </c>
      <c r="W1" s="7" t="s">
        <v>527</v>
      </c>
      <c r="X1" s="7" t="s">
        <v>530</v>
      </c>
      <c r="Y1" s="7" t="s">
        <v>532</v>
      </c>
      <c r="Z1" s="7" t="s">
        <v>20</v>
      </c>
      <c r="AA1" s="7" t="s">
        <v>21</v>
      </c>
      <c r="AB1" s="7" t="s">
        <v>538</v>
      </c>
      <c r="AC1" s="7" t="s">
        <v>541</v>
      </c>
      <c r="AD1" s="7" t="s">
        <v>544</v>
      </c>
      <c r="AE1" s="7" t="s">
        <v>547</v>
      </c>
      <c r="AF1" s="7" t="s">
        <v>550</v>
      </c>
      <c r="AG1" s="7" t="s">
        <v>553</v>
      </c>
      <c r="AH1" s="7" t="s">
        <v>557</v>
      </c>
      <c r="AI1" s="7" t="s">
        <v>559</v>
      </c>
      <c r="AJ1" s="7" t="s">
        <v>562</v>
      </c>
      <c r="AK1" s="7" t="s">
        <v>565</v>
      </c>
      <c r="AL1" s="7" t="s">
        <v>568</v>
      </c>
      <c r="AM1" s="7" t="s">
        <v>570</v>
      </c>
      <c r="AN1" s="7" t="s">
        <v>573</v>
      </c>
      <c r="AO1" s="7" t="s">
        <v>576</v>
      </c>
      <c r="AP1" s="7" t="s">
        <v>579</v>
      </c>
      <c r="AQ1" s="7" t="s">
        <v>583</v>
      </c>
    </row>
    <row r="2">
      <c r="A2" s="3" t="s">
        <v>630</v>
      </c>
      <c r="B2" s="121">
        <f>'ISIC Code-Products'!F2</f>
        <v>215543753444</v>
      </c>
      <c r="C2" s="121">
        <f>'ISIC Code-Products'!F3</f>
        <v>33077106236</v>
      </c>
      <c r="D2" s="121">
        <f>'ISIC Code-Products'!F4</f>
        <v>38468587458</v>
      </c>
      <c r="E2" s="121">
        <f>'ISIC Code-Products'!F5</f>
        <v>29331147384</v>
      </c>
      <c r="F2" s="121">
        <f>'ISIC Code-Products'!F6</f>
        <v>11786309062</v>
      </c>
      <c r="G2" s="121">
        <f>'ISIC Code-Products'!F7</f>
        <v>59417106437</v>
      </c>
      <c r="H2" s="121">
        <f>'ISIC Code-Products'!F8</f>
        <v>61161100109</v>
      </c>
      <c r="I2" s="121">
        <f>'ISIC Code-Products'!F9</f>
        <v>18914199383</v>
      </c>
      <c r="J2" s="121">
        <f>'ISIC Code-Products'!F10</f>
        <v>27932773506</v>
      </c>
      <c r="K2" s="121">
        <f>'ISIC Code-Products'!F11</f>
        <v>61654848444</v>
      </c>
      <c r="L2" s="121">
        <f>'ISIC Code-Products'!F12</f>
        <v>72321118953</v>
      </c>
      <c r="M2" s="121">
        <f>'ISIC Code-Products'!F13</f>
        <v>13446239166</v>
      </c>
      <c r="N2" s="121">
        <f>'ISIC Code-Products'!F14</f>
        <v>34911322134</v>
      </c>
      <c r="O2" s="121">
        <f>'ISIC Code-Products'!F15*'ISIC Splits'!F6</f>
        <v>10111513949</v>
      </c>
      <c r="P2" s="121">
        <f>'ISIC Code-Products'!F15*'ISIC Splits'!G6</f>
        <v>17711735294</v>
      </c>
      <c r="Q2" s="121">
        <f>'ISIC Code-Products'!F16*'ISIC Splits'!H6</f>
        <v>16106617605</v>
      </c>
      <c r="R2" s="121">
        <f>'ISIC Code-Products'!F16*'ISIC Splits'!I6</f>
        <v>21978653743</v>
      </c>
      <c r="S2" s="121">
        <f>'ISIC Code-Products'!F17</f>
        <v>79073037062</v>
      </c>
      <c r="T2" s="121">
        <f>'ISIC Code-Products'!F18</f>
        <v>38942563613</v>
      </c>
      <c r="U2" s="121">
        <f>'ISIC Code-Products'!F19</f>
        <v>17879631908</v>
      </c>
      <c r="V2" s="121">
        <f>'ISIC Code-Products'!F20</f>
        <v>69103482097</v>
      </c>
      <c r="W2" s="121">
        <f>'ISIC Code-Products'!F21</f>
        <v>75561736757</v>
      </c>
      <c r="X2" s="121">
        <f>'ISIC Code-Products'!F22</f>
        <v>2677962143</v>
      </c>
      <c r="Y2" s="121">
        <f>'ISIC Code-Products'!F23</f>
        <v>207697834580</v>
      </c>
      <c r="Z2" s="121">
        <f>'ISIC Code-Products'!F24</f>
        <v>49310611304</v>
      </c>
      <c r="AA2" s="121">
        <f>'ISIC Code-Products'!F25</f>
        <v>3067976596</v>
      </c>
      <c r="AB2" s="121">
        <f>'ISIC Code-Products'!F26</f>
        <v>4774211882</v>
      </c>
      <c r="AC2" s="121">
        <f>'ISIC Code-Products'!F27</f>
        <v>226857693247</v>
      </c>
      <c r="AD2" s="121">
        <f>'ISIC Code-Products'!F28</f>
        <v>28751719689</v>
      </c>
      <c r="AE2" s="121">
        <f>'ISIC Code-Products'!F29</f>
        <v>57746470122</v>
      </c>
      <c r="AF2" s="121">
        <f>'ISIC Code-Products'!F30</f>
        <v>84878947476</v>
      </c>
      <c r="AG2" s="121">
        <f>'ISIC Code-Products'!F31</f>
        <v>24409567829</v>
      </c>
      <c r="AH2" s="121">
        <f>'ISIC Code-Products'!F32</f>
        <v>44779924962</v>
      </c>
      <c r="AI2" s="121">
        <f>'ISIC Code-Products'!F33</f>
        <v>14969279018</v>
      </c>
      <c r="AJ2" s="121">
        <f>'ISIC Code-Products'!F34</f>
        <v>65075064876</v>
      </c>
      <c r="AK2" s="121">
        <f>'ISIC Code-Products'!F35</f>
        <v>91713656579</v>
      </c>
      <c r="AL2" s="121">
        <f>'ISIC Code-Products'!F36</f>
        <v>38808273445</v>
      </c>
      <c r="AM2" s="121">
        <f>'ISIC Code-Products'!F37</f>
        <v>51737226328</v>
      </c>
      <c r="AN2" s="121">
        <f>'ISIC Code-Products'!F38</f>
        <v>51917658080</v>
      </c>
      <c r="AO2" s="121">
        <f>'ISIC Code-Products'!F39</f>
        <v>46668451592</v>
      </c>
      <c r="AP2" s="121">
        <f>'ISIC Code-Products'!F40</f>
        <v>29142321295</v>
      </c>
      <c r="AQ2" s="121">
        <f>'ISIC Code-Products'!F41</f>
        <v>2797888854</v>
      </c>
    </row>
    <row r="3">
      <c r="B3" s="121"/>
      <c r="C3" s="121"/>
      <c r="D3" s="121"/>
      <c r="E3" s="121"/>
      <c r="F3" s="121"/>
      <c r="G3" s="121"/>
      <c r="H3" s="121"/>
      <c r="I3" s="121"/>
      <c r="J3" s="121"/>
      <c r="K3" s="121"/>
      <c r="L3" s="121"/>
      <c r="M3" s="121"/>
      <c r="N3" s="121"/>
      <c r="O3" s="121"/>
      <c r="P3" s="121"/>
      <c r="Q3" s="121"/>
      <c r="R3" s="121"/>
      <c r="S3" s="121"/>
      <c r="T3" s="121"/>
      <c r="U3" s="121"/>
      <c r="V3" s="121"/>
      <c r="W3" s="121"/>
      <c r="X3" s="121"/>
      <c r="Y3" s="121"/>
      <c r="Z3" s="121"/>
      <c r="AA3" s="121"/>
      <c r="AB3" s="121"/>
      <c r="AC3" s="121"/>
      <c r="AD3" s="121"/>
      <c r="AE3" s="121"/>
      <c r="AF3" s="121"/>
      <c r="AG3" s="121"/>
      <c r="AH3" s="121"/>
      <c r="AI3" s="121"/>
      <c r="AJ3" s="121"/>
      <c r="AK3" s="121"/>
      <c r="AL3" s="121"/>
      <c r="AM3" s="121"/>
      <c r="AN3" s="121"/>
      <c r="AO3" s="121"/>
      <c r="AP3" s="121"/>
      <c r="AQ3" s="121"/>
    </row>
    <row r="4">
      <c r="B4" s="122"/>
      <c r="AQ4" s="8"/>
    </row>
    <row r="11">
      <c r="B11" s="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2019-12-02T22:49:06Z</dcterms:created>
  <dc:creator>Jeffrey Rissman</dc:creator>
</cp:coreProperties>
</file>