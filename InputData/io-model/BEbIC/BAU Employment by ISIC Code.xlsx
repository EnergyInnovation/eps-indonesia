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io-model/BEbIC/"/>
    </mc:Choice>
  </mc:AlternateContent>
  <xr:revisionPtr revIDLastSave="0" documentId="13_ncr:1_{6D5BA1C4-BEE3-9D41-9B48-CDA853727265}" xr6:coauthVersionLast="47" xr6:coauthVersionMax="47" xr10:uidLastSave="{00000000-0000-0000-0000-000000000000}"/>
  <bookViews>
    <workbookView xWindow="0" yWindow="780" windowWidth="34200" windowHeight="21360" activeTab="4" xr2:uid="{00000000-000D-0000-FFFF-FFFF00000000}"/>
  </bookViews>
  <sheets>
    <sheet name="About" sheetId="1" r:id="rId1"/>
    <sheet name="OECD EMPN" sheetId="2" r:id="rId2"/>
    <sheet name="Output by industry" sheetId="3" r:id="rId3"/>
    <sheet name="Conversion" sheetId="4" r:id="rId4"/>
    <sheet name="BEbI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9ArasHNpOoMi6gX8yOvavD+fk+HzliVniacXFmpOtLo="/>
    </ext>
  </extLst>
</workbook>
</file>

<file path=xl/calcChain.xml><?xml version="1.0" encoding="utf-8"?>
<calcChain xmlns="http://schemas.openxmlformats.org/spreadsheetml/2006/main">
  <c r="AP2" i="4" l="1"/>
  <c r="AP2" i="5" s="1"/>
  <c r="AO2" i="4"/>
  <c r="AO2" i="5" s="1"/>
  <c r="AL2" i="4"/>
  <c r="AL2" i="5" s="1"/>
  <c r="AF2" i="4"/>
  <c r="AF2" i="5" s="1"/>
  <c r="V2" i="4"/>
  <c r="V2" i="5" s="1"/>
  <c r="Q2" i="4"/>
  <c r="Q2" i="5" s="1"/>
  <c r="N2" i="4"/>
  <c r="N2" i="5" s="1"/>
  <c r="AL78" i="2"/>
  <c r="AK78" i="2"/>
  <c r="AJ78" i="2"/>
  <c r="AI78" i="2"/>
  <c r="AH78" i="2"/>
  <c r="AG78" i="2"/>
  <c r="AF78" i="2"/>
  <c r="AL77" i="2"/>
  <c r="AK77" i="2"/>
  <c r="AJ77" i="2"/>
  <c r="AI77" i="2"/>
  <c r="AH77" i="2"/>
  <c r="AG77" i="2"/>
  <c r="AF77" i="2"/>
  <c r="AL76" i="2"/>
  <c r="AK76" i="2"/>
  <c r="AJ76" i="2"/>
  <c r="AI76" i="2"/>
  <c r="AH76" i="2"/>
  <c r="AG76" i="2"/>
  <c r="AF76" i="2"/>
  <c r="AL75" i="2"/>
  <c r="AK75" i="2"/>
  <c r="AJ75" i="2"/>
  <c r="AI75" i="2"/>
  <c r="AH75" i="2"/>
  <c r="AG75" i="2"/>
  <c r="AF75" i="2"/>
  <c r="AL74" i="2"/>
  <c r="AK74" i="2"/>
  <c r="AJ74" i="2"/>
  <c r="AI74" i="2"/>
  <c r="AH74" i="2"/>
  <c r="AG74" i="2"/>
  <c r="AF74" i="2"/>
  <c r="AL73" i="2"/>
  <c r="AK73" i="2"/>
  <c r="AJ73" i="2"/>
  <c r="AI73" i="2"/>
  <c r="AH73" i="2"/>
  <c r="AG73" i="2"/>
  <c r="AF73" i="2"/>
  <c r="AQ2" i="4" s="1"/>
  <c r="AQ2" i="5" s="1"/>
  <c r="AL72" i="2"/>
  <c r="AK72" i="2"/>
  <c r="AJ72" i="2"/>
  <c r="AI72" i="2"/>
  <c r="AH72" i="2"/>
  <c r="AG72" i="2"/>
  <c r="AF72" i="2"/>
  <c r="AL71" i="2"/>
  <c r="AK71" i="2"/>
  <c r="AJ71" i="2"/>
  <c r="AI71" i="2"/>
  <c r="AH71" i="2"/>
  <c r="AG71" i="2"/>
  <c r="AF71" i="2"/>
  <c r="AL70" i="2"/>
  <c r="AK70" i="2"/>
  <c r="AJ70" i="2"/>
  <c r="AI70" i="2"/>
  <c r="AH70" i="2"/>
  <c r="AG70" i="2"/>
  <c r="AF70" i="2"/>
  <c r="AL69" i="2"/>
  <c r="AK69" i="2"/>
  <c r="AJ69" i="2"/>
  <c r="AI69" i="2"/>
  <c r="AH69" i="2"/>
  <c r="AG69" i="2"/>
  <c r="AF69" i="2"/>
  <c r="AL68" i="2"/>
  <c r="AK68" i="2"/>
  <c r="AJ68" i="2"/>
  <c r="AI68" i="2"/>
  <c r="AH68" i="2"/>
  <c r="AG68" i="2"/>
  <c r="AF68" i="2"/>
  <c r="AL67" i="2"/>
  <c r="AK67" i="2"/>
  <c r="AJ67" i="2"/>
  <c r="AI67" i="2"/>
  <c r="AH67" i="2"/>
  <c r="AG67" i="2"/>
  <c r="AF67" i="2"/>
  <c r="AN2" i="4" s="1"/>
  <c r="AN2" i="5" s="1"/>
  <c r="AL66" i="2"/>
  <c r="AK66" i="2"/>
  <c r="AJ66" i="2"/>
  <c r="AI66" i="2"/>
  <c r="AH66" i="2"/>
  <c r="AG66" i="2"/>
  <c r="AF66" i="2"/>
  <c r="AM2" i="4" s="1"/>
  <c r="AM2" i="5" s="1"/>
  <c r="AL65" i="2"/>
  <c r="AK65" i="2"/>
  <c r="AJ65" i="2"/>
  <c r="AI65" i="2"/>
  <c r="AH65" i="2"/>
  <c r="AG65" i="2"/>
  <c r="AF65" i="2"/>
  <c r="AL64" i="2"/>
  <c r="AK64" i="2"/>
  <c r="AJ64" i="2"/>
  <c r="AI64" i="2"/>
  <c r="AH64" i="2"/>
  <c r="AG64" i="2"/>
  <c r="AF64" i="2"/>
  <c r="AL63" i="2"/>
  <c r="AK63" i="2"/>
  <c r="AJ63" i="2"/>
  <c r="AI63" i="2"/>
  <c r="AH63" i="2"/>
  <c r="AG63" i="2"/>
  <c r="AF63" i="2"/>
  <c r="AL62" i="2"/>
  <c r="AK62" i="2"/>
  <c r="AJ62" i="2"/>
  <c r="AI62" i="2"/>
  <c r="AH62" i="2"/>
  <c r="AG62" i="2"/>
  <c r="AF62" i="2"/>
  <c r="AL61" i="2"/>
  <c r="AK61" i="2"/>
  <c r="AJ61" i="2"/>
  <c r="AI61" i="2"/>
  <c r="AH61" i="2"/>
  <c r="AG61" i="2"/>
  <c r="AF61" i="2"/>
  <c r="AL60" i="2"/>
  <c r="AK60" i="2"/>
  <c r="AJ60" i="2"/>
  <c r="AI60" i="2"/>
  <c r="AH60" i="2"/>
  <c r="AG60" i="2"/>
  <c r="AF60" i="2"/>
  <c r="AK2" i="4" s="1"/>
  <c r="AK2" i="5" s="1"/>
  <c r="AL59" i="2"/>
  <c r="AK59" i="2"/>
  <c r="AJ59" i="2"/>
  <c r="AI59" i="2"/>
  <c r="AH59" i="2"/>
  <c r="AG59" i="2"/>
  <c r="AF59" i="2"/>
  <c r="AJ2" i="4" s="1"/>
  <c r="AJ2" i="5" s="1"/>
  <c r="AL58" i="2"/>
  <c r="AK58" i="2"/>
  <c r="AJ58" i="2"/>
  <c r="AI58" i="2"/>
  <c r="AH58" i="2"/>
  <c r="AG58" i="2"/>
  <c r="AF58" i="2"/>
  <c r="AI2" i="4" s="1"/>
  <c r="AI2" i="5" s="1"/>
  <c r="AL57" i="2"/>
  <c r="AK57" i="2"/>
  <c r="AJ57" i="2"/>
  <c r="AI57" i="2"/>
  <c r="AH57" i="2"/>
  <c r="AG57" i="2"/>
  <c r="AF57" i="2"/>
  <c r="AH2" i="4" s="1"/>
  <c r="AH2" i="5" s="1"/>
  <c r="AL56" i="2"/>
  <c r="AK56" i="2"/>
  <c r="AJ56" i="2"/>
  <c r="AI56" i="2"/>
  <c r="AH56" i="2"/>
  <c r="AG56" i="2"/>
  <c r="AF56" i="2"/>
  <c r="AG2" i="4" s="1"/>
  <c r="AG2" i="5" s="1"/>
  <c r="AL55" i="2"/>
  <c r="AK55" i="2"/>
  <c r="AJ55" i="2"/>
  <c r="AI55" i="2"/>
  <c r="AH55" i="2"/>
  <c r="AG55" i="2"/>
  <c r="AF55" i="2"/>
  <c r="AL54" i="2"/>
  <c r="AK54" i="2"/>
  <c r="AJ54" i="2"/>
  <c r="AI54" i="2"/>
  <c r="AH54" i="2"/>
  <c r="AG54" i="2"/>
  <c r="AF54" i="2"/>
  <c r="AL53" i="2"/>
  <c r="AK53" i="2"/>
  <c r="AJ53" i="2"/>
  <c r="AI53" i="2"/>
  <c r="AH53" i="2"/>
  <c r="AG53" i="2"/>
  <c r="AF53" i="2"/>
  <c r="AL52" i="2"/>
  <c r="AK52" i="2"/>
  <c r="AJ52" i="2"/>
  <c r="AI52" i="2"/>
  <c r="AH52" i="2"/>
  <c r="AG52" i="2"/>
  <c r="AF52" i="2"/>
  <c r="AL51" i="2"/>
  <c r="AK51" i="2"/>
  <c r="AJ51" i="2"/>
  <c r="AI51" i="2"/>
  <c r="AH51" i="2"/>
  <c r="AG51" i="2"/>
  <c r="AF51" i="2"/>
  <c r="AL50" i="2"/>
  <c r="AK50" i="2"/>
  <c r="AJ50" i="2"/>
  <c r="AI50" i="2"/>
  <c r="AH50" i="2"/>
  <c r="AG50" i="2"/>
  <c r="AF50" i="2"/>
  <c r="AL49" i="2"/>
  <c r="AK49" i="2"/>
  <c r="AJ49" i="2"/>
  <c r="AI49" i="2"/>
  <c r="AH49" i="2"/>
  <c r="AG49" i="2"/>
  <c r="AF49" i="2"/>
  <c r="AL48" i="2"/>
  <c r="AK48" i="2"/>
  <c r="AJ48" i="2"/>
  <c r="AI48" i="2"/>
  <c r="AH48" i="2"/>
  <c r="AG48" i="2"/>
  <c r="AF48" i="2"/>
  <c r="AE2" i="4" s="1"/>
  <c r="AE2" i="5" s="1"/>
  <c r="AL47" i="2"/>
  <c r="AK47" i="2"/>
  <c r="AJ47" i="2"/>
  <c r="AI47" i="2"/>
  <c r="AH47" i="2"/>
  <c r="AG47" i="2"/>
  <c r="AF47" i="2"/>
  <c r="AD2" i="4" s="1"/>
  <c r="AD2" i="5" s="1"/>
  <c r="AL46" i="2"/>
  <c r="AK46" i="2"/>
  <c r="AJ46" i="2"/>
  <c r="AI46" i="2"/>
  <c r="AH46" i="2"/>
  <c r="AG46" i="2"/>
  <c r="AF46" i="2"/>
  <c r="AL45" i="2"/>
  <c r="AK45" i="2"/>
  <c r="AJ45" i="2"/>
  <c r="AI45" i="2"/>
  <c r="AH45" i="2"/>
  <c r="AG45" i="2"/>
  <c r="AF45" i="2"/>
  <c r="AL44" i="2"/>
  <c r="AK44" i="2"/>
  <c r="AJ44" i="2"/>
  <c r="AI44" i="2"/>
  <c r="AH44" i="2"/>
  <c r="AG44" i="2"/>
  <c r="AF44" i="2"/>
  <c r="AC2" i="4" s="1"/>
  <c r="AC2" i="5" s="1"/>
  <c r="AL43" i="2"/>
  <c r="AK43" i="2"/>
  <c r="AJ43" i="2"/>
  <c r="AI43" i="2"/>
  <c r="AH43" i="2"/>
  <c r="AG43" i="2"/>
  <c r="AF43" i="2"/>
  <c r="AB2" i="4" s="1"/>
  <c r="AB2" i="5" s="1"/>
  <c r="AL42" i="2"/>
  <c r="AK42" i="2"/>
  <c r="AJ42" i="2"/>
  <c r="AI42" i="2"/>
  <c r="AH42" i="2"/>
  <c r="AG42" i="2"/>
  <c r="AF42" i="2"/>
  <c r="AL41" i="2"/>
  <c r="AK41" i="2"/>
  <c r="AJ41" i="2"/>
  <c r="AI41" i="2"/>
  <c r="AH41" i="2"/>
  <c r="AG41" i="2"/>
  <c r="AF41" i="2"/>
  <c r="AL40" i="2"/>
  <c r="AK40" i="2"/>
  <c r="AJ40" i="2"/>
  <c r="AI40" i="2"/>
  <c r="AH40" i="2"/>
  <c r="AG40" i="2"/>
  <c r="AF40" i="2"/>
  <c r="Y2" i="4" s="1"/>
  <c r="Y2" i="5" s="1"/>
  <c r="AL39" i="2"/>
  <c r="AK39" i="2"/>
  <c r="AJ39" i="2"/>
  <c r="AI39" i="2"/>
  <c r="AH39" i="2"/>
  <c r="AG39" i="2"/>
  <c r="AF39" i="2"/>
  <c r="X2" i="4" s="1"/>
  <c r="X2" i="5" s="1"/>
  <c r="AL38" i="2"/>
  <c r="AK38" i="2"/>
  <c r="AJ38" i="2"/>
  <c r="AI38" i="2"/>
  <c r="AH38" i="2"/>
  <c r="AG38" i="2"/>
  <c r="AF38" i="2"/>
  <c r="W2" i="4" s="1"/>
  <c r="W2" i="5" s="1"/>
  <c r="AL37" i="2"/>
  <c r="AK37" i="2"/>
  <c r="AJ37" i="2"/>
  <c r="AI37" i="2"/>
  <c r="AH37" i="2"/>
  <c r="AG37" i="2"/>
  <c r="AF37" i="2"/>
  <c r="AL36" i="2"/>
  <c r="AK36" i="2"/>
  <c r="AJ36" i="2"/>
  <c r="AI36" i="2"/>
  <c r="AH36" i="2"/>
  <c r="AG36" i="2"/>
  <c r="AF36" i="2"/>
  <c r="AL35" i="2"/>
  <c r="AK35" i="2"/>
  <c r="AJ35" i="2"/>
  <c r="AI35" i="2"/>
  <c r="AH35" i="2"/>
  <c r="AG35" i="2"/>
  <c r="AF35" i="2"/>
  <c r="U2" i="4" s="1"/>
  <c r="U2" i="5" s="1"/>
  <c r="AL34" i="2"/>
  <c r="AK34" i="2"/>
  <c r="AJ34" i="2"/>
  <c r="AI34" i="2"/>
  <c r="AH34" i="2"/>
  <c r="AG34" i="2"/>
  <c r="AF34" i="2"/>
  <c r="T2" i="4" s="1"/>
  <c r="T2" i="5" s="1"/>
  <c r="AL33" i="2"/>
  <c r="AK33" i="2"/>
  <c r="AJ33" i="2"/>
  <c r="AI33" i="2"/>
  <c r="AH33" i="2"/>
  <c r="AG33" i="2"/>
  <c r="AF33" i="2"/>
  <c r="AL32" i="2"/>
  <c r="AK32" i="2"/>
  <c r="AJ32" i="2"/>
  <c r="AI32" i="2"/>
  <c r="AH32" i="2"/>
  <c r="AG32" i="2"/>
  <c r="AF32" i="2"/>
  <c r="S2" i="4" s="1"/>
  <c r="S2" i="5" s="1"/>
  <c r="AL31" i="2"/>
  <c r="AK31" i="2"/>
  <c r="AJ31" i="2"/>
  <c r="AI31" i="2"/>
  <c r="AH31" i="2"/>
  <c r="AG31" i="2"/>
  <c r="AF31" i="2"/>
  <c r="R2" i="4" s="1"/>
  <c r="R2" i="5" s="1"/>
  <c r="AL30" i="2"/>
  <c r="AK30" i="2"/>
  <c r="AJ30" i="2"/>
  <c r="AI30" i="2"/>
  <c r="AH30" i="2"/>
  <c r="AG30" i="2"/>
  <c r="AF30" i="2"/>
  <c r="AL29" i="2"/>
  <c r="AK29" i="2"/>
  <c r="AJ29" i="2"/>
  <c r="AI29" i="2"/>
  <c r="AH29" i="2"/>
  <c r="AG29" i="2"/>
  <c r="AF29" i="2"/>
  <c r="O2" i="4" s="1"/>
  <c r="AL28" i="2"/>
  <c r="AK28" i="2"/>
  <c r="AJ28" i="2"/>
  <c r="AI28" i="2"/>
  <c r="AH28" i="2"/>
  <c r="AG28" i="2"/>
  <c r="AF28" i="2"/>
  <c r="AL27" i="2"/>
  <c r="AK27" i="2"/>
  <c r="AJ27" i="2"/>
  <c r="AI27" i="2"/>
  <c r="AH27" i="2"/>
  <c r="AG27" i="2"/>
  <c r="AF27" i="2"/>
  <c r="M2" i="4" s="1"/>
  <c r="M2" i="5" s="1"/>
  <c r="AL26" i="2"/>
  <c r="AK26" i="2"/>
  <c r="AJ26" i="2"/>
  <c r="AI26" i="2"/>
  <c r="AH26" i="2"/>
  <c r="AG26" i="2"/>
  <c r="AF26" i="2"/>
  <c r="L2" i="4" s="1"/>
  <c r="L2" i="5" s="1"/>
  <c r="AL25" i="2"/>
  <c r="AK25" i="2"/>
  <c r="AJ25" i="2"/>
  <c r="AI25" i="2"/>
  <c r="AH25" i="2"/>
  <c r="AG25" i="2"/>
  <c r="AF25" i="2"/>
  <c r="AL24" i="2"/>
  <c r="AK24" i="2"/>
  <c r="AJ24" i="2"/>
  <c r="AI24" i="2"/>
  <c r="AH24" i="2"/>
  <c r="AG24" i="2"/>
  <c r="AF24" i="2"/>
  <c r="K2" i="4" s="1"/>
  <c r="K2" i="5" s="1"/>
  <c r="AL23" i="2"/>
  <c r="AK23" i="2"/>
  <c r="AJ23" i="2"/>
  <c r="AI23" i="2"/>
  <c r="AH23" i="2"/>
  <c r="AG23" i="2"/>
  <c r="AF23" i="2"/>
  <c r="AL22" i="2"/>
  <c r="AK22" i="2"/>
  <c r="AJ22" i="2"/>
  <c r="AI22" i="2"/>
  <c r="AH22" i="2"/>
  <c r="AG22" i="2"/>
  <c r="AF22" i="2"/>
  <c r="J2" i="4" s="1"/>
  <c r="J2" i="5" s="1"/>
  <c r="AL21" i="2"/>
  <c r="AK21" i="2"/>
  <c r="AJ21" i="2"/>
  <c r="AI21" i="2"/>
  <c r="AH21" i="2"/>
  <c r="AG21" i="2"/>
  <c r="AF21" i="2"/>
  <c r="I2" i="4" s="1"/>
  <c r="I2" i="5" s="1"/>
  <c r="AL20" i="2"/>
  <c r="AK20" i="2"/>
  <c r="AJ20" i="2"/>
  <c r="AI20" i="2"/>
  <c r="AH20" i="2"/>
  <c r="AG20" i="2"/>
  <c r="AF20" i="2"/>
  <c r="AL19" i="2"/>
  <c r="AK19" i="2"/>
  <c r="AJ19" i="2"/>
  <c r="AI19" i="2"/>
  <c r="AH19" i="2"/>
  <c r="AG19" i="2"/>
  <c r="AF19" i="2"/>
  <c r="H2" i="4" s="1"/>
  <c r="H2" i="5" s="1"/>
  <c r="AL18" i="2"/>
  <c r="AK18" i="2"/>
  <c r="AJ18" i="2"/>
  <c r="AI18" i="2"/>
  <c r="AH18" i="2"/>
  <c r="AG18" i="2"/>
  <c r="AF18" i="2"/>
  <c r="G2" i="4" s="1"/>
  <c r="G2" i="5" s="1"/>
  <c r="AL17" i="2"/>
  <c r="AK17" i="2"/>
  <c r="AJ17" i="2"/>
  <c r="AI17" i="2"/>
  <c r="AH17" i="2"/>
  <c r="AG17" i="2"/>
  <c r="AF17" i="2"/>
  <c r="AL16" i="2"/>
  <c r="AK16" i="2"/>
  <c r="AJ16" i="2"/>
  <c r="AI16" i="2"/>
  <c r="AH16" i="2"/>
  <c r="AG16" i="2"/>
  <c r="AF16" i="2"/>
  <c r="F2" i="4" s="1"/>
  <c r="F2" i="5" s="1"/>
  <c r="AL15" i="2"/>
  <c r="AK15" i="2"/>
  <c r="AJ15" i="2"/>
  <c r="AI15" i="2"/>
  <c r="AH15" i="2"/>
  <c r="AG15" i="2"/>
  <c r="AF15" i="2"/>
  <c r="E2" i="4" s="1"/>
  <c r="E2" i="5" s="1"/>
  <c r="AL14" i="2"/>
  <c r="AK14" i="2"/>
  <c r="AJ14" i="2"/>
  <c r="AI14" i="2"/>
  <c r="AH14" i="2"/>
  <c r="AG14" i="2"/>
  <c r="AF14" i="2"/>
  <c r="D2" i="4" s="1"/>
  <c r="D2" i="5" s="1"/>
  <c r="AL13" i="2"/>
  <c r="AK13" i="2"/>
  <c r="AJ13" i="2"/>
  <c r="AI13" i="2"/>
  <c r="AH13" i="2"/>
  <c r="AG13" i="2"/>
  <c r="AF13" i="2"/>
  <c r="C2" i="4" s="1"/>
  <c r="C2" i="5" s="1"/>
  <c r="AL12" i="2"/>
  <c r="AK12" i="2"/>
  <c r="AJ12" i="2"/>
  <c r="AI12" i="2"/>
  <c r="AH12" i="2"/>
  <c r="AG12" i="2"/>
  <c r="AF12" i="2"/>
  <c r="AL11" i="2"/>
  <c r="AK11" i="2"/>
  <c r="AJ11" i="2"/>
  <c r="AI11" i="2"/>
  <c r="AH11" i="2"/>
  <c r="AG11" i="2"/>
  <c r="AF11" i="2"/>
  <c r="AL10" i="2"/>
  <c r="AK10" i="2"/>
  <c r="AJ10" i="2"/>
  <c r="AI10" i="2"/>
  <c r="AH10" i="2"/>
  <c r="AG10" i="2"/>
  <c r="AF10" i="2"/>
  <c r="B2" i="4" s="1"/>
  <c r="B2" i="5" s="1"/>
  <c r="AL9" i="2"/>
  <c r="AK9" i="2"/>
  <c r="AJ9" i="2"/>
  <c r="AI9" i="2"/>
  <c r="AH9" i="2"/>
  <c r="AG9" i="2"/>
  <c r="AF9" i="2"/>
  <c r="A1" i="2"/>
  <c r="O2" i="5" l="1"/>
  <c r="P2" i="4"/>
  <c r="P2" i="5" s="1"/>
  <c r="Z2" i="4"/>
  <c r="Z2" i="5" s="1"/>
  <c r="AA2" i="4" l="1"/>
  <c r="AA2" i="5" s="1"/>
</calcChain>
</file>

<file path=xl/sharedStrings.xml><?xml version="1.0" encoding="utf-8"?>
<sst xmlns="http://schemas.openxmlformats.org/spreadsheetml/2006/main" count="340" uniqueCount="180">
  <si>
    <t>BEbIC BAU Employment by BPS Code</t>
  </si>
  <si>
    <t>Source:</t>
  </si>
  <si>
    <t>OECD data</t>
  </si>
  <si>
    <t>https://stats.oecd.org/Index.aspx?DataSetCode=TIM_2021#</t>
  </si>
  <si>
    <t>Note:</t>
  </si>
  <si>
    <t>Data that used in this calculation as on 2019</t>
  </si>
  <si>
    <t>BPCiObIC BAU Percent Change in Output by ISIC Code</t>
  </si>
  <si>
    <t>Most Industries</t>
  </si>
  <si>
    <t>OECD</t>
  </si>
  <si>
    <t>Input-Output Tables 2021 Edition (ISIC Rev. 4)</t>
  </si>
  <si>
    <t>https://stats.oecd.org/Index.aspx?DataSetCode=IOTS_2021</t>
  </si>
  <si>
    <t>Variable: TTL</t>
  </si>
  <si>
    <t>Notes:</t>
  </si>
  <si>
    <t>We examine each industry to determin the appropriate trend, then carry that forward.</t>
  </si>
  <si>
    <t>From there, we estimate the annual percentage growth.</t>
  </si>
  <si>
    <t>Note that this is not linked to BIFUbC nor fuel production.</t>
  </si>
  <si>
    <t>Sorry, the query is too large to fit into the Excel cell. You will not be able to update your table with the .Stat Populator.</t>
  </si>
  <si>
    <t>Dataset: Trade in employment (TiM) 2021 ed.</t>
  </si>
  <si>
    <t>Partner</t>
  </si>
  <si>
    <t>WLD: World</t>
  </si>
  <si>
    <t>Indicator</t>
  </si>
  <si>
    <t>EMPN: Employment</t>
  </si>
  <si>
    <t>Country</t>
  </si>
  <si>
    <t>IDN: Indonesia</t>
  </si>
  <si>
    <t>Unit</t>
  </si>
  <si>
    <t>Persons, Thousands</t>
  </si>
  <si>
    <t>Time</t>
  </si>
  <si>
    <t>Industry</t>
  </si>
  <si>
    <t/>
  </si>
  <si>
    <t>DTOTAL: TOTAL</t>
  </si>
  <si>
    <t xml:space="preserve">  D01T03: Agriculture, hunting, forestry and fishing</t>
  </si>
  <si>
    <t xml:space="preserve">    D01T02: Agriculture, hunting, forestry</t>
  </si>
  <si>
    <t xml:space="preserve">    D03: Fishing and aquaculture</t>
  </si>
  <si>
    <t xml:space="preserve">  D05T09: Mining and quarrying</t>
  </si>
  <si>
    <t xml:space="preserve">    D05T06: Mining and quarrying, energy producing products</t>
  </si>
  <si>
    <t xml:space="preserve">    D07T08: Mining and quarrying, non-energy producing products</t>
  </si>
  <si>
    <t xml:space="preserve">    D09: Mining support service activities</t>
  </si>
  <si>
    <t xml:space="preserve">  D10T33: Total Manufacturing</t>
  </si>
  <si>
    <t xml:space="preserve">    D10T12: Food products, beverages and tobacco</t>
  </si>
  <si>
    <t xml:space="preserve">    D13T15: Textiles, textile products, leather and footwear</t>
  </si>
  <si>
    <t xml:space="preserve">    D16T18: Wood and paper products and printing</t>
  </si>
  <si>
    <t xml:space="preserve">      D16: Wood and products of wood and cork</t>
  </si>
  <si>
    <t xml:space="preserve">      D17T18: Paper products and printing</t>
  </si>
  <si>
    <t xml:space="preserve">    D19T23: Chemicals and non-metallic mineral products</t>
  </si>
  <si>
    <t xml:space="preserve">      D19: Coke and refined petroleum products</t>
  </si>
  <si>
    <t xml:space="preserve">      D20T21: Chemicals and pharmaceutical products</t>
  </si>
  <si>
    <t xml:space="preserve">        D20: Chemical and chemical products</t>
  </si>
  <si>
    <t xml:space="preserve">        D21: Pharmaceuticals, medicinal chemical and botanical products</t>
  </si>
  <si>
    <t xml:space="preserve">      D22: Rubber and plastics products</t>
  </si>
  <si>
    <t xml:space="preserve">      D23: Other non-metallic mineral products</t>
  </si>
  <si>
    <t xml:space="preserve">    D24T25: Basic metals and fabricated metal products</t>
  </si>
  <si>
    <t xml:space="preserve">      D24: Basic metals</t>
  </si>
  <si>
    <t xml:space="preserve">      D25: Fabricated metal products</t>
  </si>
  <si>
    <t xml:space="preserve">    D26T27: Computer, electronic and electrical equipment</t>
  </si>
  <si>
    <t xml:space="preserve">      D26: Computer, electronic and optical equipment</t>
  </si>
  <si>
    <t xml:space="preserve">      D27: Electrical equipment</t>
  </si>
  <si>
    <t xml:space="preserve">    D28: Machinery and equipment, nec</t>
  </si>
  <si>
    <t xml:space="preserve">    D29T30: Transport equipment</t>
  </si>
  <si>
    <t xml:space="preserve">      D29: Motor vehicles, trailers and semi-trailers</t>
  </si>
  <si>
    <t xml:space="preserve">      D30: Other transport equipment</t>
  </si>
  <si>
    <t xml:space="preserve">    D31T33: Manufacturing nec; repair and installation of machinery and equipment</t>
  </si>
  <si>
    <t xml:space="preserve">  D35T39: Electricity, gas, water supply, sewerage, waste and remediation services</t>
  </si>
  <si>
    <t xml:space="preserve">    D35: Electricity, gas, steam and air conditioning supply</t>
  </si>
  <si>
    <t xml:space="preserve">    D36T39: Water supply; sewerage, waste management and remediation activities</t>
  </si>
  <si>
    <t xml:space="preserve">  D41T43: Construction</t>
  </si>
  <si>
    <t xml:space="preserve">  D45T82: Total Business Sector Services</t>
  </si>
  <si>
    <t xml:space="preserve">    D45T56: Distributive trade, transport, accommodation and food services</t>
  </si>
  <si>
    <t xml:space="preserve">      D45T47: Wholesale and retail trade; repair of motor vehicles</t>
  </si>
  <si>
    <t xml:space="preserve">      D49T53: Transportation and storage</t>
  </si>
  <si>
    <t xml:space="preserve">        D49: Land transport and transport via pipelines</t>
  </si>
  <si>
    <t xml:space="preserve">        D50: Water transport</t>
  </si>
  <si>
    <t xml:space="preserve">        D51: Air transport</t>
  </si>
  <si>
    <t xml:space="preserve">        D52: Warehousing and support activities for transportation</t>
  </si>
  <si>
    <t xml:space="preserve">        D53: Postal and courier activities</t>
  </si>
  <si>
    <t xml:space="preserve">      D55T56: Accommodation and food service activities</t>
  </si>
  <si>
    <t xml:space="preserve">    D58T63: Information and communication</t>
  </si>
  <si>
    <t xml:space="preserve">      D58T60: Publishing, audiovisual and broadcasting activities</t>
  </si>
  <si>
    <t xml:space="preserve">      D61: Telecommunications</t>
  </si>
  <si>
    <t xml:space="preserve">      D62T63: IT and other information services</t>
  </si>
  <si>
    <t xml:space="preserve">    D64T66: Financial and insurance activities</t>
  </si>
  <si>
    <t xml:space="preserve">    D68: Real estate activities</t>
  </si>
  <si>
    <t xml:space="preserve">    D69T82: Other business sector services</t>
  </si>
  <si>
    <t xml:space="preserve">      D69T75: Professional, scientific and technical activities</t>
  </si>
  <si>
    <t xml:space="preserve">      D77T82: Administrative and support services</t>
  </si>
  <si>
    <t xml:space="preserve">  D84T98: Public administration, education, health and other personal services</t>
  </si>
  <si>
    <t xml:space="preserve">    D84T88: Public administration, defence; education and health</t>
  </si>
  <si>
    <t xml:space="preserve">      D84: Public administration and defence; compulsory social security</t>
  </si>
  <si>
    <t xml:space="preserve">      D85: Education</t>
  </si>
  <si>
    <t xml:space="preserve">      D86T88: Human health and social work activities</t>
  </si>
  <si>
    <t xml:space="preserve">    D90T98: Other social and personal services</t>
  </si>
  <si>
    <t xml:space="preserve">      D90T96: Other community, social and personal services</t>
  </si>
  <si>
    <t xml:space="preserve">        D90T93: Arts, entertainment and recreation</t>
  </si>
  <si>
    <t xml:space="preserve">        D94T96: Other service activities</t>
  </si>
  <si>
    <t xml:space="preserve">      D97T98: Activities of households as employers; undifferentiated goods- and services-producing activities of households for own use</t>
  </si>
  <si>
    <t xml:space="preserve">  D05T39: Industry (mining, manufactures and utilities)</t>
  </si>
  <si>
    <t xml:space="preserve">  D41T98: Total services (including construction)</t>
  </si>
  <si>
    <t xml:space="preserve">  D45T98: Total services</t>
  </si>
  <si>
    <t xml:space="preserve">  D58T82: Information, finance, real estate and other business services</t>
  </si>
  <si>
    <t xml:space="preserve">  DINFO: Information industries</t>
  </si>
  <si>
    <t>Data extracted on 29 Apr 2024 01:45 UTC (GMT) from OECD.Stat</t>
  </si>
  <si>
    <t>Industrial Sector (EPS)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</si>
  <si>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</si>
  <si>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</si>
  <si>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</si>
  <si>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</si>
  <si>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</si>
  <si>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</si>
  <si>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</si>
  <si>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</si>
  <si>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</si>
  <si>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</si>
  <si>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</si>
  <si>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</si>
  <si>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</si>
  <si>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</si>
  <si>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</si>
  <si>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</si>
  <si>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</si>
  <si>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</si>
  <si>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</si>
  <si>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</si>
  <si>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</si>
  <si>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</si>
  <si>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</si>
  <si>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</si>
  <si>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</si>
  <si>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We'll use linear interpolation to backcast the values for 2019 and 2020 based on the available data for 2021 and 2022 for each industry sector.</t>
  </si>
  <si>
    <t>Here's how you can calculate it in Excel:</t>
  </si>
  <si>
    <r>
      <rPr>
        <sz val="11"/>
        <color rgb="FF0D0D0D"/>
        <rFont val="Calibri"/>
        <family val="2"/>
      </rPr>
      <t>Calculate the slope (m) and y-intercept (b)</t>
    </r>
    <r>
      <rPr>
        <sz val="11"/>
        <color rgb="FF0D0D0D"/>
        <rFont val="Calibri"/>
        <family val="2"/>
      </rPr>
      <t>:</t>
    </r>
  </si>
  <si>
    <t>For each industry sector, use the values for 2021 and 2022 to find the slope and y-intercept.</t>
  </si>
  <si>
    <r>
      <rPr>
        <sz val="11"/>
        <color rgb="FF0D0D0D"/>
        <rFont val="Calibri"/>
        <family val="2"/>
      </rPr>
      <t>Calculate the backcast values for 2019 and 2020</t>
    </r>
    <r>
      <rPr>
        <sz val="11"/>
        <color rgb="FF0D0D0D"/>
        <rFont val="Calibri"/>
        <family val="2"/>
      </rPr>
      <t>:</t>
    </r>
  </si>
  <si>
    <t>Use the slope and y-intercept to interpolate the values for 2019 and 2020 for each sector.</t>
  </si>
  <si>
    <t>Backcast 2019</t>
  </si>
  <si>
    <t>Backcast 2020</t>
  </si>
  <si>
    <t>Unit: Thousands of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</si>
  <si>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</si>
  <si>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</si>
  <si>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</si>
  <si>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</si>
  <si>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</si>
  <si>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</si>
  <si>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</si>
  <si>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</si>
  <si>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</si>
  <si>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</si>
  <si>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</si>
  <si>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</si>
  <si>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</si>
  <si>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</si>
  <si>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</si>
  <si>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</si>
  <si>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</si>
  <si>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</si>
  <si>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</si>
  <si>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</si>
  <si>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</si>
  <si>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</si>
  <si>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</si>
  <si>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</si>
  <si>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</si>
  <si>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</si>
  <si>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</si>
  <si>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</si>
  <si>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</si>
  <si>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</si>
  <si>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</si>
  <si>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</si>
  <si>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</si>
  <si>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</si>
  <si>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</si>
  <si>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</si>
  <si>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</si>
  <si>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</si>
  <si>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</si>
  <si>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</si>
  <si>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</si>
  <si>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</si>
  <si>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IND: Indonesia</t>
  </si>
  <si>
    <t>Thousands of Jobs</t>
  </si>
  <si>
    <t>Unit: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</si>
</sst>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_ ;\-#,##0.0\ "/>
  </numFmts>
  <fonts count="21" x14ac:knownFonts="1"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rgb="FF0066CC"/>
      <name val="Calibri"/>
      <family val="2"/>
    </font>
    <font>
      <sz val="8"/>
      <color theme="1"/>
      <name val="Arial"/>
      <family val="2"/>
    </font>
    <font>
      <b/>
      <u/>
      <sz val="9"/>
      <color rgb="FF000080"/>
      <name val="Verdana"/>
      <family val="2"/>
    </font>
    <font>
      <b/>
      <sz val="8"/>
      <color rgb="FFFFFFFF"/>
      <name val="Verdana"/>
      <family val="2"/>
    </font>
    <font>
      <sz val="11"/>
      <name val="Calibri"/>
      <family val="2"/>
    </font>
    <font>
      <sz val="8"/>
      <color rgb="FFFFFFFF"/>
      <name val="Verdana"/>
      <family val="2"/>
    </font>
    <font>
      <u/>
      <sz val="8"/>
      <color rgb="FFFFFFFF"/>
      <name val="Verdana"/>
      <family val="2"/>
    </font>
    <font>
      <u/>
      <sz val="8"/>
      <color rgb="FFFFFFFF"/>
      <name val="Verdana"/>
      <family val="2"/>
    </font>
    <font>
      <b/>
      <sz val="8"/>
      <color theme="1"/>
      <name val="Verdana"/>
      <family val="2"/>
    </font>
    <font>
      <b/>
      <sz val="9"/>
      <color rgb="FFFF0000"/>
      <name val="Courier New"/>
      <family val="1"/>
    </font>
    <font>
      <sz val="8"/>
      <color theme="1"/>
      <name val="Verdana"/>
      <family val="2"/>
    </font>
    <font>
      <u/>
      <sz val="8"/>
      <color rgb="FF0000FF"/>
      <name val="Verdana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rgb="FF0D0D0D"/>
      <name val="Calibri"/>
      <family val="2"/>
    </font>
    <font>
      <i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2973BD"/>
        <bgColor rgb="FF2973BD"/>
      </patternFill>
    </fill>
    <fill>
      <patternFill patternType="solid">
        <fgColor rgb="FF00A1E3"/>
        <bgColor rgb="FF00A1E3"/>
      </patternFill>
    </fill>
    <fill>
      <patternFill patternType="solid">
        <fgColor theme="5"/>
        <bgColor theme="5"/>
      </patternFill>
    </fill>
    <fill>
      <patternFill patternType="solid">
        <fgColor rgb="FFC4D8ED"/>
        <bgColor rgb="FFC4D8E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hair">
        <color rgb="FFFFFFCC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0" fontId="4" fillId="0" borderId="0" xfId="0" applyFont="1" applyAlignment="1">
      <alignment wrapText="1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5" fillId="0" borderId="0" xfId="0" applyFont="1"/>
    <xf numFmtId="0" fontId="6" fillId="0" borderId="2" xfId="0" applyFont="1" applyBorder="1"/>
    <xf numFmtId="0" fontId="7" fillId="0" borderId="2" xfId="0" applyFont="1" applyBorder="1" applyAlignment="1">
      <alignment horizontal="left" wrapText="1"/>
    </xf>
    <xf numFmtId="0" fontId="10" fillId="3" borderId="6" xfId="0" applyFont="1" applyFill="1" applyBorder="1" applyAlignment="1">
      <alignment vertical="top" wrapText="1"/>
    </xf>
    <xf numFmtId="0" fontId="10" fillId="3" borderId="7" xfId="0" applyFont="1" applyFill="1" applyBorder="1" applyAlignment="1">
      <alignment vertical="top" wrapText="1"/>
    </xf>
    <xf numFmtId="0" fontId="11" fillId="3" borderId="6" xfId="0" applyFont="1" applyFill="1" applyBorder="1" applyAlignment="1">
      <alignment vertical="top" wrapText="1"/>
    </xf>
    <xf numFmtId="0" fontId="12" fillId="3" borderId="7" xfId="0" applyFont="1" applyFill="1" applyBorder="1" applyAlignment="1">
      <alignment vertical="top" wrapText="1"/>
    </xf>
    <xf numFmtId="0" fontId="8" fillId="4" borderId="7" xfId="0" applyFont="1" applyFill="1" applyBorder="1" applyAlignment="1">
      <alignment horizontal="right" vertical="center" wrapText="1"/>
    </xf>
    <xf numFmtId="0" fontId="10" fillId="4" borderId="8" xfId="0" applyFont="1" applyFill="1" applyBorder="1" applyAlignment="1">
      <alignment horizontal="center" vertical="top" wrapText="1"/>
    </xf>
    <xf numFmtId="0" fontId="2" fillId="5" borderId="1" xfId="0" applyFont="1" applyFill="1" applyBorder="1"/>
    <xf numFmtId="0" fontId="14" fillId="7" borderId="2" xfId="0" applyFont="1" applyFill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0" fontId="14" fillId="7" borderId="8" xfId="0" applyFont="1" applyFill="1" applyBorder="1" applyAlignment="1">
      <alignment horizontal="center"/>
    </xf>
    <xf numFmtId="0" fontId="2" fillId="8" borderId="1" xfId="0" applyFont="1" applyFill="1" applyBorder="1"/>
    <xf numFmtId="164" fontId="6" fillId="0" borderId="9" xfId="0" applyNumberFormat="1" applyFont="1" applyBorder="1" applyAlignment="1">
      <alignment horizontal="right"/>
    </xf>
    <xf numFmtId="0" fontId="15" fillId="6" borderId="2" xfId="0" applyFont="1" applyFill="1" applyBorder="1" applyAlignment="1">
      <alignment vertical="top" wrapText="1"/>
    </xf>
    <xf numFmtId="0" fontId="16" fillId="0" borderId="0" xfId="0" applyFont="1" applyAlignment="1">
      <alignment horizontal="left"/>
    </xf>
    <xf numFmtId="0" fontId="17" fillId="0" borderId="13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8" fillId="9" borderId="13" xfId="0" applyFont="1" applyFill="1" applyBorder="1" applyAlignment="1">
      <alignment horizontal="left" vertical="center"/>
    </xf>
    <xf numFmtId="11" fontId="18" fillId="0" borderId="0" xfId="0" applyNumberFormat="1" applyFont="1" applyAlignment="1">
      <alignment horizontal="left"/>
    </xf>
    <xf numFmtId="0" fontId="18" fillId="9" borderId="13" xfId="0" applyFont="1" applyFill="1" applyBorder="1"/>
    <xf numFmtId="0" fontId="18" fillId="9" borderId="13" xfId="0" applyFont="1" applyFill="1" applyBorder="1" applyAlignment="1">
      <alignment horizontal="left"/>
    </xf>
    <xf numFmtId="0" fontId="19" fillId="0" borderId="0" xfId="0" applyFont="1"/>
    <xf numFmtId="0" fontId="20" fillId="0" borderId="13" xfId="0" applyFont="1" applyBorder="1" applyAlignment="1">
      <alignment horizontal="left"/>
    </xf>
    <xf numFmtId="0" fontId="2" fillId="0" borderId="13" xfId="0" applyFont="1" applyBorder="1" applyAlignment="1">
      <alignment horizontal="right"/>
    </xf>
    <xf numFmtId="0" fontId="2" fillId="9" borderId="13" xfId="0" applyFont="1" applyFill="1" applyBorder="1" applyAlignment="1">
      <alignment horizontal="right"/>
    </xf>
    <xf numFmtId="0" fontId="2" fillId="10" borderId="13" xfId="0" applyFont="1" applyFill="1" applyBorder="1" applyAlignment="1">
      <alignment horizontal="right"/>
    </xf>
    <xf numFmtId="11" fontId="2" fillId="0" borderId="0" xfId="0" applyNumberFormat="1" applyFont="1"/>
    <xf numFmtId="11" fontId="2" fillId="10" borderId="1" xfId="0" applyNumberFormat="1" applyFont="1" applyFill="1" applyBorder="1"/>
    <xf numFmtId="0" fontId="15" fillId="6" borderId="3" xfId="0" applyFont="1" applyFill="1" applyBorder="1" applyAlignment="1">
      <alignment vertical="top" wrapText="1"/>
    </xf>
    <xf numFmtId="0" fontId="9" fillId="0" borderId="5" xfId="0" applyFont="1" applyBorder="1"/>
    <xf numFmtId="0" fontId="15" fillId="6" borderId="10" xfId="0" applyFont="1" applyFill="1" applyBorder="1" applyAlignment="1">
      <alignment vertical="top" wrapText="1"/>
    </xf>
    <xf numFmtId="0" fontId="9" fillId="0" borderId="12" xfId="0" applyFont="1" applyBorder="1"/>
    <xf numFmtId="0" fontId="9" fillId="0" borderId="4" xfId="0" applyFont="1" applyBorder="1"/>
    <xf numFmtId="0" fontId="9" fillId="0" borderId="11" xfId="0" applyFont="1" applyBorder="1"/>
    <xf numFmtId="0" fontId="8" fillId="3" borderId="3" xfId="0" applyFont="1" applyFill="1" applyBorder="1" applyAlignment="1">
      <alignment horizontal="right" vertical="top" wrapText="1"/>
    </xf>
    <xf numFmtId="0" fontId="8" fillId="4" borderId="3" xfId="0" applyFont="1" applyFill="1" applyBorder="1" applyAlignment="1">
      <alignment horizontal="right" vertical="center" wrapText="1"/>
    </xf>
    <xf numFmtId="0" fontId="13" fillId="6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1.oecd.org/index.aspx?DatasetCode=TIM_2021" TargetMode="External"/><Relationship Id="rId2" Type="http://schemas.openxmlformats.org/officeDocument/2006/relationships/hyperlink" Target="http://stats.oecd.org/OECDStat_Metadata/ShowMetadata.ashx?Dataset=TIM_2021&amp;Coords=%5bVAR%5d.%5bEMPN%5d&amp;ShowOnWeb=true&amp;Lang=en" TargetMode="External"/><Relationship Id="rId1" Type="http://schemas.openxmlformats.org/officeDocument/2006/relationships/hyperlink" Target="http://stats.oecd.org/OECDStat_Metadata/ShowMetadata.ashx?Dataset=TIM_2021&amp;ShowOnWeb=true&amp;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baseColWidth="10" defaultColWidth="14.5" defaultRowHeight="15" customHeight="1" x14ac:dyDescent="0.2"/>
  <cols>
    <col min="1" max="1" width="44.6640625" customWidth="1"/>
    <col min="2" max="2" width="26.6640625" customWidth="1"/>
    <col min="3" max="26" width="8.83203125" customWidth="1"/>
  </cols>
  <sheetData>
    <row r="1" spans="1:2" x14ac:dyDescent="0.2">
      <c r="A1" s="1" t="s">
        <v>0</v>
      </c>
    </row>
    <row r="3" spans="1:2" x14ac:dyDescent="0.2">
      <c r="A3" s="2" t="s">
        <v>1</v>
      </c>
      <c r="B3" s="2" t="s">
        <v>2</v>
      </c>
    </row>
    <row r="4" spans="1:2" x14ac:dyDescent="0.2">
      <c r="B4" s="3" t="s">
        <v>3</v>
      </c>
    </row>
    <row r="7" spans="1:2" x14ac:dyDescent="0.2">
      <c r="A7" s="3" t="s">
        <v>4</v>
      </c>
    </row>
    <row r="8" spans="1:2" x14ac:dyDescent="0.2">
      <c r="A8" s="3" t="s">
        <v>5</v>
      </c>
    </row>
    <row r="11" spans="1:2" ht="16" x14ac:dyDescent="0.2">
      <c r="A11" s="4" t="s">
        <v>6</v>
      </c>
    </row>
    <row r="12" spans="1:2" x14ac:dyDescent="0.2">
      <c r="A12" s="5"/>
      <c r="B12" s="5"/>
    </row>
    <row r="13" spans="1:2" x14ac:dyDescent="0.2">
      <c r="A13" s="6" t="s">
        <v>1</v>
      </c>
      <c r="B13" s="6" t="s">
        <v>7</v>
      </c>
    </row>
    <row r="14" spans="1:2" x14ac:dyDescent="0.2">
      <c r="A14" s="5"/>
      <c r="B14" s="5" t="s">
        <v>8</v>
      </c>
    </row>
    <row r="15" spans="1:2" x14ac:dyDescent="0.2">
      <c r="A15" s="5"/>
      <c r="B15" s="7">
        <v>2021</v>
      </c>
    </row>
    <row r="16" spans="1:2" x14ac:dyDescent="0.2">
      <c r="A16" s="5"/>
      <c r="B16" s="5" t="s">
        <v>9</v>
      </c>
    </row>
    <row r="17" spans="1:2" x14ac:dyDescent="0.2">
      <c r="A17" s="5"/>
      <c r="B17" s="8" t="s">
        <v>10</v>
      </c>
    </row>
    <row r="18" spans="1:2" x14ac:dyDescent="0.2">
      <c r="A18" s="5"/>
      <c r="B18" s="5" t="s">
        <v>11</v>
      </c>
    </row>
    <row r="19" spans="1:2" x14ac:dyDescent="0.2">
      <c r="A19" s="5"/>
      <c r="B19" s="5"/>
    </row>
    <row r="20" spans="1:2" x14ac:dyDescent="0.2">
      <c r="A20" s="5"/>
      <c r="B20" s="5"/>
    </row>
    <row r="21" spans="1:2" ht="15.75" customHeight="1" x14ac:dyDescent="0.2">
      <c r="A21" s="6" t="s">
        <v>12</v>
      </c>
      <c r="B21" s="5" t="s">
        <v>13</v>
      </c>
    </row>
    <row r="22" spans="1:2" ht="15.75" customHeight="1" x14ac:dyDescent="0.2">
      <c r="A22" s="5"/>
      <c r="B22" s="5" t="s">
        <v>14</v>
      </c>
    </row>
    <row r="23" spans="1:2" ht="15.75" customHeight="1" x14ac:dyDescent="0.2">
      <c r="A23" s="5"/>
      <c r="B23" s="5"/>
    </row>
    <row r="24" spans="1:2" ht="15.75" customHeight="1" x14ac:dyDescent="0.2">
      <c r="A24" s="5"/>
      <c r="B24" s="5" t="s">
        <v>15</v>
      </c>
    </row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000"/>
  <sheetViews>
    <sheetView workbookViewId="0">
      <pane xSplit="6" topLeftCell="G1" activePane="topRight" state="frozen"/>
      <selection pane="topRight" activeCell="H2" sqref="H2"/>
    </sheetView>
  </sheetViews>
  <sheetFormatPr baseColWidth="10" defaultColWidth="14.5" defaultRowHeight="15" customHeight="1" x14ac:dyDescent="0.2"/>
  <cols>
    <col min="1" max="38" width="10.6640625" customWidth="1"/>
  </cols>
  <sheetData>
    <row r="1" spans="1:38" x14ac:dyDescent="0.2">
      <c r="A1" s="9" t="e">
        <f ca="1">DotStatQuery(B1)</f>
        <v>#NAME?</v>
      </c>
      <c r="B1" s="9" t="s">
        <v>16</v>
      </c>
    </row>
    <row r="2" spans="1:38" ht="66" x14ac:dyDescent="0.2">
      <c r="A2" s="10" t="s">
        <v>17</v>
      </c>
    </row>
    <row r="3" spans="1:38" x14ac:dyDescent="0.2">
      <c r="A3" s="44" t="s">
        <v>18</v>
      </c>
      <c r="B3" s="42"/>
      <c r="C3" s="42"/>
      <c r="D3" s="42"/>
      <c r="E3" s="42"/>
      <c r="F3" s="39"/>
      <c r="G3" s="11" t="s">
        <v>19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8" ht="15" customHeight="1" x14ac:dyDescent="0.2">
      <c r="A4" s="44" t="s">
        <v>20</v>
      </c>
      <c r="B4" s="42"/>
      <c r="C4" s="42"/>
      <c r="D4" s="42"/>
      <c r="E4" s="42"/>
      <c r="F4" s="39"/>
      <c r="G4" s="13" t="s">
        <v>21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8" ht="15" customHeight="1" x14ac:dyDescent="0.2">
      <c r="A5" s="44" t="s">
        <v>22</v>
      </c>
      <c r="B5" s="42"/>
      <c r="C5" s="42"/>
      <c r="D5" s="42"/>
      <c r="E5" s="42"/>
      <c r="F5" s="39"/>
      <c r="G5" s="11" t="s">
        <v>23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8" ht="15" customHeight="1" x14ac:dyDescent="0.2">
      <c r="A6" s="44" t="s">
        <v>24</v>
      </c>
      <c r="B6" s="42"/>
      <c r="C6" s="42"/>
      <c r="D6" s="42"/>
      <c r="E6" s="42"/>
      <c r="F6" s="39"/>
      <c r="G6" s="11" t="s">
        <v>25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8" x14ac:dyDescent="0.2">
      <c r="A7" s="45" t="s">
        <v>26</v>
      </c>
      <c r="B7" s="42"/>
      <c r="C7" s="42"/>
      <c r="D7" s="42"/>
      <c r="E7" s="42"/>
      <c r="F7" s="39"/>
      <c r="G7" s="15"/>
      <c r="H7" s="16">
        <v>1995</v>
      </c>
      <c r="I7" s="16">
        <v>1996</v>
      </c>
      <c r="J7" s="16">
        <v>1997</v>
      </c>
      <c r="K7" s="16">
        <v>1998</v>
      </c>
      <c r="L7" s="16">
        <v>1999</v>
      </c>
      <c r="M7" s="16">
        <v>2000</v>
      </c>
      <c r="N7" s="16">
        <v>2001</v>
      </c>
      <c r="O7" s="16">
        <v>2002</v>
      </c>
      <c r="P7" s="16">
        <v>2003</v>
      </c>
      <c r="Q7" s="16">
        <v>2004</v>
      </c>
      <c r="R7" s="16">
        <v>2005</v>
      </c>
      <c r="S7" s="16">
        <v>2006</v>
      </c>
      <c r="T7" s="16">
        <v>2007</v>
      </c>
      <c r="U7" s="16">
        <v>2008</v>
      </c>
      <c r="V7" s="16">
        <v>2009</v>
      </c>
      <c r="W7" s="16">
        <v>2010</v>
      </c>
      <c r="X7" s="16">
        <v>2011</v>
      </c>
      <c r="Y7" s="16">
        <v>2012</v>
      </c>
      <c r="Z7" s="16">
        <v>2013</v>
      </c>
      <c r="AA7" s="16">
        <v>2014</v>
      </c>
      <c r="AB7" s="16">
        <v>2015</v>
      </c>
      <c r="AC7" s="16">
        <v>2016</v>
      </c>
      <c r="AD7" s="16">
        <v>2017</v>
      </c>
      <c r="AE7" s="16">
        <v>2018</v>
      </c>
      <c r="AF7" s="17">
        <v>2019</v>
      </c>
      <c r="AG7" s="17">
        <v>2020</v>
      </c>
      <c r="AH7" s="17">
        <v>2021</v>
      </c>
      <c r="AI7" s="17">
        <v>2022</v>
      </c>
      <c r="AJ7" s="17">
        <v>2023</v>
      </c>
      <c r="AK7" s="17">
        <v>2024</v>
      </c>
      <c r="AL7" s="17">
        <v>2025</v>
      </c>
    </row>
    <row r="8" spans="1:38" x14ac:dyDescent="0.2">
      <c r="A8" s="46" t="s">
        <v>27</v>
      </c>
      <c r="B8" s="42"/>
      <c r="C8" s="42"/>
      <c r="D8" s="42"/>
      <c r="E8" s="39"/>
      <c r="F8" s="18" t="s">
        <v>28</v>
      </c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1"/>
      <c r="AG8" s="21"/>
      <c r="AH8" s="21"/>
      <c r="AI8" s="21"/>
      <c r="AJ8" s="21"/>
      <c r="AK8" s="21"/>
      <c r="AL8" s="21"/>
    </row>
    <row r="9" spans="1:38" x14ac:dyDescent="0.2">
      <c r="A9" s="38" t="s">
        <v>29</v>
      </c>
      <c r="B9" s="42"/>
      <c r="C9" s="42"/>
      <c r="D9" s="42"/>
      <c r="E9" s="39"/>
      <c r="F9" s="18" t="s">
        <v>28</v>
      </c>
      <c r="G9" s="19"/>
      <c r="H9" s="22">
        <v>79687.199999999997</v>
      </c>
      <c r="I9" s="22">
        <v>81839.8</v>
      </c>
      <c r="J9" s="22">
        <v>83992.4</v>
      </c>
      <c r="K9" s="22">
        <v>85494.9</v>
      </c>
      <c r="L9" s="22">
        <v>87752.3</v>
      </c>
      <c r="M9" s="22">
        <v>89284.6</v>
      </c>
      <c r="N9" s="22">
        <v>90310.9</v>
      </c>
      <c r="O9" s="22">
        <v>91285.7</v>
      </c>
      <c r="P9" s="22">
        <v>92129.9</v>
      </c>
      <c r="Q9" s="22">
        <v>93299.6</v>
      </c>
      <c r="R9" s="22">
        <v>94215.7</v>
      </c>
      <c r="S9" s="22">
        <v>94453.3</v>
      </c>
      <c r="T9" s="22">
        <v>95317</v>
      </c>
      <c r="U9" s="22">
        <v>98756.7</v>
      </c>
      <c r="V9" s="22">
        <v>102301.3</v>
      </c>
      <c r="W9" s="22">
        <v>104678.1</v>
      </c>
      <c r="X9" s="22">
        <v>107806.7</v>
      </c>
      <c r="Y9" s="22">
        <v>109731.1</v>
      </c>
      <c r="Z9" s="22">
        <v>113283.4</v>
      </c>
      <c r="AA9" s="22">
        <v>114345.3</v>
      </c>
      <c r="AB9" s="22">
        <v>116399</v>
      </c>
      <c r="AC9" s="22">
        <v>117833</v>
      </c>
      <c r="AD9" s="22">
        <v>119529.8</v>
      </c>
      <c r="AE9" s="22">
        <v>122780.6</v>
      </c>
      <c r="AF9" s="3">
        <f t="shared" ref="AF9:AF78" si="0">ROUNDUP(_xlfn.FORECAST.LINEAR($AF$7,H9:AE9,$H$7:$AE$7), 0)</f>
        <v>122110</v>
      </c>
      <c r="AG9" s="3">
        <f t="shared" ref="AG9:AG78" si="1">ROUNDUP(_xlfn.FORECAST.LINEAR($AG$7,H9:AE9,$H$7:$AE$7), 0)</f>
        <v>123923</v>
      </c>
      <c r="AH9" s="3">
        <f t="shared" ref="AH9:AH78" si="2">ROUNDUP(_xlfn.FORECAST.LINEAR($AH$7,H9:AE9,$H$7:$AE$7), 0)</f>
        <v>125737</v>
      </c>
      <c r="AI9" s="3">
        <f t="shared" ref="AI9:AI78" si="3">ROUNDUP(_xlfn.FORECAST.LINEAR($AI$7,H9:AE9,$H$7:$AE$7), 0)</f>
        <v>127551</v>
      </c>
      <c r="AJ9" s="3">
        <f t="shared" ref="AJ9:AJ78" si="4">ROUNDUP(_xlfn.FORECAST.LINEAR($AJ$7,H9:AE9,$H$7:$AE$7), 0)</f>
        <v>129364</v>
      </c>
      <c r="AK9" s="3">
        <f t="shared" ref="AK9:AK78" si="5">ROUNDUP(_xlfn.FORECAST.LINEAR($AK$7,H9:AE9,$H$7:$AE$7), 0)</f>
        <v>131178</v>
      </c>
      <c r="AL9" s="3">
        <f t="shared" ref="AL9:AL78" si="6">ROUNDUP(_xlfn.FORECAST.LINEAR($AL$7,H9:AE9,$H$7:$AE$7), 0)</f>
        <v>132992</v>
      </c>
    </row>
    <row r="10" spans="1:38" x14ac:dyDescent="0.2">
      <c r="A10" s="40" t="s">
        <v>29</v>
      </c>
      <c r="B10" s="38" t="s">
        <v>30</v>
      </c>
      <c r="C10" s="42"/>
      <c r="D10" s="42"/>
      <c r="E10" s="39"/>
      <c r="F10" s="18" t="s">
        <v>28</v>
      </c>
      <c r="G10" s="19"/>
      <c r="H10" s="22">
        <v>35935.800000000003</v>
      </c>
      <c r="I10" s="22">
        <v>36800.800000000003</v>
      </c>
      <c r="J10" s="22">
        <v>37630.199999999997</v>
      </c>
      <c r="K10" s="22">
        <v>37975.4</v>
      </c>
      <c r="L10" s="22">
        <v>39093.199999999997</v>
      </c>
      <c r="M10" s="22">
        <v>39671.4</v>
      </c>
      <c r="N10" s="22">
        <v>39940.6</v>
      </c>
      <c r="O10" s="22">
        <v>40260.400000000001</v>
      </c>
      <c r="P10" s="22">
        <v>40647.699999999997</v>
      </c>
      <c r="Q10" s="22">
        <v>41067.599999999999</v>
      </c>
      <c r="R10" s="22">
        <v>41357</v>
      </c>
      <c r="S10" s="22">
        <v>40767</v>
      </c>
      <c r="T10" s="22">
        <v>40357.800000000003</v>
      </c>
      <c r="U10" s="22">
        <v>40492</v>
      </c>
      <c r="V10" s="22">
        <v>41309.4</v>
      </c>
      <c r="W10" s="22">
        <v>40932.699999999997</v>
      </c>
      <c r="X10" s="22">
        <v>40058.1</v>
      </c>
      <c r="Y10" s="22">
        <v>39354.800000000003</v>
      </c>
      <c r="Z10" s="22">
        <v>39621.1</v>
      </c>
      <c r="AA10" s="22">
        <v>39200.300000000003</v>
      </c>
      <c r="AB10" s="22">
        <v>38462.699999999997</v>
      </c>
      <c r="AC10" s="22">
        <v>37495</v>
      </c>
      <c r="AD10" s="22">
        <v>36803.300000000003</v>
      </c>
      <c r="AE10" s="22">
        <v>36651.599999999999</v>
      </c>
      <c r="AF10" s="3">
        <f t="shared" si="0"/>
        <v>39328</v>
      </c>
      <c r="AG10" s="3">
        <f t="shared" si="1"/>
        <v>39334</v>
      </c>
      <c r="AH10" s="3">
        <f t="shared" si="2"/>
        <v>39341</v>
      </c>
      <c r="AI10" s="3">
        <f t="shared" si="3"/>
        <v>39348</v>
      </c>
      <c r="AJ10" s="3">
        <f t="shared" si="4"/>
        <v>39354</v>
      </c>
      <c r="AK10" s="3">
        <f t="shared" si="5"/>
        <v>39361</v>
      </c>
      <c r="AL10" s="3">
        <f t="shared" si="6"/>
        <v>39367</v>
      </c>
    </row>
    <row r="11" spans="1:38" x14ac:dyDescent="0.2">
      <c r="A11" s="43"/>
      <c r="B11" s="40" t="s">
        <v>30</v>
      </c>
      <c r="C11" s="38" t="s">
        <v>31</v>
      </c>
      <c r="D11" s="42"/>
      <c r="E11" s="39"/>
      <c r="F11" s="18" t="s">
        <v>28</v>
      </c>
      <c r="G11" s="19"/>
      <c r="H11" s="22">
        <v>31803</v>
      </c>
      <c r="I11" s="22">
        <v>32547.3</v>
      </c>
      <c r="J11" s="22">
        <v>33247.9</v>
      </c>
      <c r="K11" s="22">
        <v>33511.599999999999</v>
      </c>
      <c r="L11" s="22">
        <v>34492.1</v>
      </c>
      <c r="M11" s="22">
        <v>34988.1</v>
      </c>
      <c r="N11" s="22">
        <v>35187.4</v>
      </c>
      <c r="O11" s="22">
        <v>35450</v>
      </c>
      <c r="P11" s="22">
        <v>35772.5</v>
      </c>
      <c r="Q11" s="22">
        <v>36140.5</v>
      </c>
      <c r="R11" s="22">
        <v>36359.599999999999</v>
      </c>
      <c r="S11" s="22">
        <v>35872.699999999997</v>
      </c>
      <c r="T11" s="22">
        <v>35545.9</v>
      </c>
      <c r="U11" s="22">
        <v>35618.5</v>
      </c>
      <c r="V11" s="22">
        <v>36438.400000000001</v>
      </c>
      <c r="W11" s="22">
        <v>36141.1</v>
      </c>
      <c r="X11" s="22">
        <v>35178.699999999997</v>
      </c>
      <c r="Y11" s="22">
        <v>34431.699999999997</v>
      </c>
      <c r="Z11" s="22">
        <v>34478.1</v>
      </c>
      <c r="AA11" s="22">
        <v>33715.300000000003</v>
      </c>
      <c r="AB11" s="22">
        <v>32364.400000000001</v>
      </c>
      <c r="AC11" s="22">
        <v>31368.799999999999</v>
      </c>
      <c r="AD11" s="22">
        <v>30835.5</v>
      </c>
      <c r="AE11" s="22">
        <v>30569</v>
      </c>
      <c r="AF11" s="3">
        <f t="shared" si="0"/>
        <v>33454</v>
      </c>
      <c r="AG11" s="3">
        <f t="shared" si="1"/>
        <v>33390</v>
      </c>
      <c r="AH11" s="3">
        <f t="shared" si="2"/>
        <v>33326</v>
      </c>
      <c r="AI11" s="3">
        <f t="shared" si="3"/>
        <v>33262</v>
      </c>
      <c r="AJ11" s="3">
        <f t="shared" si="4"/>
        <v>33198</v>
      </c>
      <c r="AK11" s="3">
        <f t="shared" si="5"/>
        <v>33134</v>
      </c>
      <c r="AL11" s="3">
        <f t="shared" si="6"/>
        <v>33070</v>
      </c>
    </row>
    <row r="12" spans="1:38" x14ac:dyDescent="0.2">
      <c r="A12" s="43"/>
      <c r="B12" s="41"/>
      <c r="C12" s="38" t="s">
        <v>32</v>
      </c>
      <c r="D12" s="42"/>
      <c r="E12" s="39"/>
      <c r="F12" s="18" t="s">
        <v>28</v>
      </c>
      <c r="G12" s="19"/>
      <c r="H12" s="22">
        <v>4132.8</v>
      </c>
      <c r="I12" s="22">
        <v>4253.5</v>
      </c>
      <c r="J12" s="22">
        <v>4382.3</v>
      </c>
      <c r="K12" s="22">
        <v>4463.8</v>
      </c>
      <c r="L12" s="22">
        <v>4601.1000000000004</v>
      </c>
      <c r="M12" s="22">
        <v>4683.3</v>
      </c>
      <c r="N12" s="22">
        <v>4753.2</v>
      </c>
      <c r="O12" s="22">
        <v>4810.3999999999996</v>
      </c>
      <c r="P12" s="22">
        <v>4875.2</v>
      </c>
      <c r="Q12" s="22">
        <v>4927.1000000000004</v>
      </c>
      <c r="R12" s="22">
        <v>4997.3999999999996</v>
      </c>
      <c r="S12" s="22">
        <v>4894.3</v>
      </c>
      <c r="T12" s="22">
        <v>4811.8999999999996</v>
      </c>
      <c r="U12" s="22">
        <v>4873.5</v>
      </c>
      <c r="V12" s="22">
        <v>4870.8999999999996</v>
      </c>
      <c r="W12" s="22">
        <v>4791.5</v>
      </c>
      <c r="X12" s="22">
        <v>4879.3</v>
      </c>
      <c r="Y12" s="22">
        <v>4923.1000000000004</v>
      </c>
      <c r="Z12" s="22">
        <v>5143</v>
      </c>
      <c r="AA12" s="22">
        <v>5485</v>
      </c>
      <c r="AB12" s="22">
        <v>6098.3</v>
      </c>
      <c r="AC12" s="22">
        <v>6126.2</v>
      </c>
      <c r="AD12" s="22">
        <v>5967.8</v>
      </c>
      <c r="AE12" s="22">
        <v>6082.7</v>
      </c>
      <c r="AF12" s="3">
        <f t="shared" si="0"/>
        <v>5875</v>
      </c>
      <c r="AG12" s="3">
        <f t="shared" si="1"/>
        <v>5945</v>
      </c>
      <c r="AH12" s="3">
        <f t="shared" si="2"/>
        <v>6016</v>
      </c>
      <c r="AI12" s="3">
        <f t="shared" si="3"/>
        <v>6086</v>
      </c>
      <c r="AJ12" s="3">
        <f t="shared" si="4"/>
        <v>6157</v>
      </c>
      <c r="AK12" s="3">
        <f t="shared" si="5"/>
        <v>6227</v>
      </c>
      <c r="AL12" s="3">
        <f t="shared" si="6"/>
        <v>6298</v>
      </c>
    </row>
    <row r="13" spans="1:38" x14ac:dyDescent="0.2">
      <c r="A13" s="43"/>
      <c r="B13" s="38" t="s">
        <v>33</v>
      </c>
      <c r="C13" s="42"/>
      <c r="D13" s="42"/>
      <c r="E13" s="39"/>
      <c r="F13" s="18" t="s">
        <v>28</v>
      </c>
      <c r="G13" s="19"/>
      <c r="H13" s="22">
        <v>713.8</v>
      </c>
      <c r="I13" s="22">
        <v>733.1</v>
      </c>
      <c r="J13" s="22">
        <v>754.5</v>
      </c>
      <c r="K13" s="22">
        <v>761.2</v>
      </c>
      <c r="L13" s="22">
        <v>786.1</v>
      </c>
      <c r="M13" s="22">
        <v>805.3</v>
      </c>
      <c r="N13" s="22">
        <v>803.2</v>
      </c>
      <c r="O13" s="22">
        <v>795.9</v>
      </c>
      <c r="P13" s="22">
        <v>806.6</v>
      </c>
      <c r="Q13" s="22">
        <v>816.2</v>
      </c>
      <c r="R13" s="22">
        <v>851.3</v>
      </c>
      <c r="S13" s="22">
        <v>923.1</v>
      </c>
      <c r="T13" s="22">
        <v>969.2</v>
      </c>
      <c r="U13" s="22">
        <v>1026.9000000000001</v>
      </c>
      <c r="V13" s="22">
        <v>1118.8</v>
      </c>
      <c r="W13" s="22">
        <v>1185</v>
      </c>
      <c r="X13" s="22">
        <v>1372</v>
      </c>
      <c r="Y13" s="22">
        <v>1557.7</v>
      </c>
      <c r="Z13" s="22">
        <v>1476.1</v>
      </c>
      <c r="AA13" s="22">
        <v>1502.1</v>
      </c>
      <c r="AB13" s="22">
        <v>1348.5</v>
      </c>
      <c r="AC13" s="22">
        <v>1368</v>
      </c>
      <c r="AD13" s="22">
        <v>1336</v>
      </c>
      <c r="AE13" s="22">
        <v>1373.2</v>
      </c>
      <c r="AF13" s="3">
        <f t="shared" si="0"/>
        <v>1523</v>
      </c>
      <c r="AG13" s="3">
        <f t="shared" si="1"/>
        <v>1561</v>
      </c>
      <c r="AH13" s="3">
        <f t="shared" si="2"/>
        <v>1599</v>
      </c>
      <c r="AI13" s="3">
        <f t="shared" si="3"/>
        <v>1637</v>
      </c>
      <c r="AJ13" s="3">
        <f t="shared" si="4"/>
        <v>1675</v>
      </c>
      <c r="AK13" s="3">
        <f t="shared" si="5"/>
        <v>1713</v>
      </c>
      <c r="AL13" s="3">
        <f t="shared" si="6"/>
        <v>1751</v>
      </c>
    </row>
    <row r="14" spans="1:38" x14ac:dyDescent="0.2">
      <c r="A14" s="43"/>
      <c r="B14" s="40" t="s">
        <v>33</v>
      </c>
      <c r="C14" s="38" t="s">
        <v>34</v>
      </c>
      <c r="D14" s="42"/>
      <c r="E14" s="39"/>
      <c r="F14" s="18" t="s">
        <v>28</v>
      </c>
      <c r="G14" s="19"/>
      <c r="H14" s="22">
        <v>338.7</v>
      </c>
      <c r="I14" s="22">
        <v>349</v>
      </c>
      <c r="J14" s="22">
        <v>359.7</v>
      </c>
      <c r="K14" s="22">
        <v>365.3</v>
      </c>
      <c r="L14" s="22">
        <v>378.5</v>
      </c>
      <c r="M14" s="22">
        <v>383</v>
      </c>
      <c r="N14" s="22">
        <v>391.7</v>
      </c>
      <c r="O14" s="22">
        <v>402.4</v>
      </c>
      <c r="P14" s="22">
        <v>407.8</v>
      </c>
      <c r="Q14" s="22">
        <v>412.5</v>
      </c>
      <c r="R14" s="22">
        <v>411.9</v>
      </c>
      <c r="S14" s="22">
        <v>448.4</v>
      </c>
      <c r="T14" s="22">
        <v>472.3</v>
      </c>
      <c r="U14" s="22">
        <v>502.5</v>
      </c>
      <c r="V14" s="22">
        <v>552.9</v>
      </c>
      <c r="W14" s="22">
        <v>570.1</v>
      </c>
      <c r="X14" s="22">
        <v>686.8</v>
      </c>
      <c r="Y14" s="22">
        <v>773.3</v>
      </c>
      <c r="Z14" s="22">
        <v>743.9</v>
      </c>
      <c r="AA14" s="22">
        <v>760.2</v>
      </c>
      <c r="AB14" s="22">
        <v>716.3</v>
      </c>
      <c r="AC14" s="22">
        <v>725.5</v>
      </c>
      <c r="AD14" s="22">
        <v>702.2</v>
      </c>
      <c r="AE14" s="22">
        <v>724.9</v>
      </c>
      <c r="AF14" s="3">
        <f t="shared" si="0"/>
        <v>788</v>
      </c>
      <c r="AG14" s="3">
        <f t="shared" si="1"/>
        <v>809</v>
      </c>
      <c r="AH14" s="3">
        <f t="shared" si="2"/>
        <v>831</v>
      </c>
      <c r="AI14" s="3">
        <f t="shared" si="3"/>
        <v>852</v>
      </c>
      <c r="AJ14" s="3">
        <f t="shared" si="4"/>
        <v>873</v>
      </c>
      <c r="AK14" s="3">
        <f t="shared" si="5"/>
        <v>894</v>
      </c>
      <c r="AL14" s="3">
        <f t="shared" si="6"/>
        <v>915</v>
      </c>
    </row>
    <row r="15" spans="1:38" x14ac:dyDescent="0.2">
      <c r="A15" s="43"/>
      <c r="B15" s="43"/>
      <c r="C15" s="38" t="s">
        <v>35</v>
      </c>
      <c r="D15" s="42"/>
      <c r="E15" s="39"/>
      <c r="F15" s="18" t="s">
        <v>28</v>
      </c>
      <c r="G15" s="19"/>
      <c r="H15" s="22">
        <v>345.6</v>
      </c>
      <c r="I15" s="22">
        <v>353.9</v>
      </c>
      <c r="J15" s="22">
        <v>363.6</v>
      </c>
      <c r="K15" s="22">
        <v>364.2</v>
      </c>
      <c r="L15" s="22">
        <v>374.8</v>
      </c>
      <c r="M15" s="22">
        <v>389.3</v>
      </c>
      <c r="N15" s="22">
        <v>377.2</v>
      </c>
      <c r="O15" s="22">
        <v>358.2</v>
      </c>
      <c r="P15" s="22">
        <v>362.8</v>
      </c>
      <c r="Q15" s="22">
        <v>367.4</v>
      </c>
      <c r="R15" s="22">
        <v>403.3</v>
      </c>
      <c r="S15" s="22">
        <v>435.9</v>
      </c>
      <c r="T15" s="22">
        <v>456.1</v>
      </c>
      <c r="U15" s="22">
        <v>481.2</v>
      </c>
      <c r="V15" s="22">
        <v>517.6</v>
      </c>
      <c r="W15" s="22">
        <v>566.4</v>
      </c>
      <c r="X15" s="22">
        <v>623.20000000000005</v>
      </c>
      <c r="Y15" s="22">
        <v>708.9</v>
      </c>
      <c r="Z15" s="22">
        <v>658.8</v>
      </c>
      <c r="AA15" s="22">
        <v>663.6</v>
      </c>
      <c r="AB15" s="22">
        <v>554.4</v>
      </c>
      <c r="AC15" s="22">
        <v>563.79999999999995</v>
      </c>
      <c r="AD15" s="22">
        <v>559</v>
      </c>
      <c r="AE15" s="22">
        <v>570.1</v>
      </c>
      <c r="AF15" s="3">
        <f t="shared" si="0"/>
        <v>655</v>
      </c>
      <c r="AG15" s="3">
        <f t="shared" si="1"/>
        <v>669</v>
      </c>
      <c r="AH15" s="3">
        <f t="shared" si="2"/>
        <v>683</v>
      </c>
      <c r="AI15" s="3">
        <f t="shared" si="3"/>
        <v>697</v>
      </c>
      <c r="AJ15" s="3">
        <f t="shared" si="4"/>
        <v>712</v>
      </c>
      <c r="AK15" s="3">
        <f t="shared" si="5"/>
        <v>726</v>
      </c>
      <c r="AL15" s="3">
        <f t="shared" si="6"/>
        <v>740</v>
      </c>
    </row>
    <row r="16" spans="1:38" x14ac:dyDescent="0.2">
      <c r="A16" s="43"/>
      <c r="B16" s="41"/>
      <c r="C16" s="38" t="s">
        <v>36</v>
      </c>
      <c r="D16" s="42"/>
      <c r="E16" s="39"/>
      <c r="F16" s="18" t="s">
        <v>28</v>
      </c>
      <c r="G16" s="19"/>
      <c r="H16" s="22">
        <v>29.5</v>
      </c>
      <c r="I16" s="22">
        <v>30.2</v>
      </c>
      <c r="J16" s="22">
        <v>31.1</v>
      </c>
      <c r="K16" s="22">
        <v>31.7</v>
      </c>
      <c r="L16" s="22">
        <v>32.799999999999997</v>
      </c>
      <c r="M16" s="22">
        <v>33</v>
      </c>
      <c r="N16" s="22">
        <v>34.4</v>
      </c>
      <c r="O16" s="22">
        <v>35.4</v>
      </c>
      <c r="P16" s="22">
        <v>36</v>
      </c>
      <c r="Q16" s="22">
        <v>36.299999999999997</v>
      </c>
      <c r="R16" s="22">
        <v>36.200000000000003</v>
      </c>
      <c r="S16" s="22">
        <v>38.799999999999997</v>
      </c>
      <c r="T16" s="22">
        <v>40.700000000000003</v>
      </c>
      <c r="U16" s="22">
        <v>43.3</v>
      </c>
      <c r="V16" s="22">
        <v>48.3</v>
      </c>
      <c r="W16" s="22">
        <v>48.6</v>
      </c>
      <c r="X16" s="22">
        <v>61.9</v>
      </c>
      <c r="Y16" s="22">
        <v>75.400000000000006</v>
      </c>
      <c r="Z16" s="22">
        <v>73.400000000000006</v>
      </c>
      <c r="AA16" s="22">
        <v>78.3</v>
      </c>
      <c r="AB16" s="22">
        <v>77.7</v>
      </c>
      <c r="AC16" s="22">
        <v>78.7</v>
      </c>
      <c r="AD16" s="22">
        <v>74.900000000000006</v>
      </c>
      <c r="AE16" s="22">
        <v>78.099999999999994</v>
      </c>
      <c r="AF16" s="3">
        <f t="shared" si="0"/>
        <v>81</v>
      </c>
      <c r="AG16" s="3">
        <f t="shared" si="1"/>
        <v>84</v>
      </c>
      <c r="AH16" s="3">
        <f t="shared" si="2"/>
        <v>87</v>
      </c>
      <c r="AI16" s="3">
        <f t="shared" si="3"/>
        <v>89</v>
      </c>
      <c r="AJ16" s="3">
        <f t="shared" si="4"/>
        <v>92</v>
      </c>
      <c r="AK16" s="3">
        <f t="shared" si="5"/>
        <v>94</v>
      </c>
      <c r="AL16" s="3">
        <f t="shared" si="6"/>
        <v>97</v>
      </c>
    </row>
    <row r="17" spans="1:38" x14ac:dyDescent="0.2">
      <c r="A17" s="43"/>
      <c r="B17" s="38" t="s">
        <v>37</v>
      </c>
      <c r="C17" s="42"/>
      <c r="D17" s="42"/>
      <c r="E17" s="39"/>
      <c r="F17" s="18" t="s">
        <v>28</v>
      </c>
      <c r="G17" s="19"/>
      <c r="H17" s="22">
        <v>9939.7000000000007</v>
      </c>
      <c r="I17" s="22">
        <v>10226.200000000001</v>
      </c>
      <c r="J17" s="22">
        <v>10530.8</v>
      </c>
      <c r="K17" s="22">
        <v>11023.8</v>
      </c>
      <c r="L17" s="22">
        <v>11102.5</v>
      </c>
      <c r="M17" s="22">
        <v>11405.5</v>
      </c>
      <c r="N17" s="22">
        <v>11595.5</v>
      </c>
      <c r="O17" s="22">
        <v>11573.6</v>
      </c>
      <c r="P17" s="22">
        <v>11653.7</v>
      </c>
      <c r="Q17" s="22">
        <v>11805.2</v>
      </c>
      <c r="R17" s="22">
        <v>11998.3</v>
      </c>
      <c r="S17" s="22">
        <v>11844.7</v>
      </c>
      <c r="T17" s="22">
        <v>12031.6</v>
      </c>
      <c r="U17" s="22">
        <v>12306.2</v>
      </c>
      <c r="V17" s="22">
        <v>12693.5</v>
      </c>
      <c r="W17" s="22">
        <v>13333.5</v>
      </c>
      <c r="X17" s="22">
        <v>14264</v>
      </c>
      <c r="Y17" s="22">
        <v>14932.8</v>
      </c>
      <c r="Z17" s="22">
        <v>15298.8</v>
      </c>
      <c r="AA17" s="22">
        <v>15406.3</v>
      </c>
      <c r="AB17" s="22">
        <v>15954.8</v>
      </c>
      <c r="AC17" s="22">
        <v>15941.5</v>
      </c>
      <c r="AD17" s="22">
        <v>16862.900000000001</v>
      </c>
      <c r="AE17" s="22">
        <v>17626.5</v>
      </c>
      <c r="AF17" s="3">
        <f t="shared" si="0"/>
        <v>16757</v>
      </c>
      <c r="AG17" s="3">
        <f t="shared" si="1"/>
        <v>17060</v>
      </c>
      <c r="AH17" s="3">
        <f t="shared" si="2"/>
        <v>17363</v>
      </c>
      <c r="AI17" s="3">
        <f t="shared" si="3"/>
        <v>17665</v>
      </c>
      <c r="AJ17" s="3">
        <f t="shared" si="4"/>
        <v>17968</v>
      </c>
      <c r="AK17" s="3">
        <f t="shared" si="5"/>
        <v>18271</v>
      </c>
      <c r="AL17" s="3">
        <f t="shared" si="6"/>
        <v>18573</v>
      </c>
    </row>
    <row r="18" spans="1:38" x14ac:dyDescent="0.2">
      <c r="A18" s="43"/>
      <c r="B18" s="40" t="s">
        <v>37</v>
      </c>
      <c r="C18" s="38" t="s">
        <v>38</v>
      </c>
      <c r="D18" s="42"/>
      <c r="E18" s="39"/>
      <c r="F18" s="18" t="s">
        <v>28</v>
      </c>
      <c r="G18" s="19"/>
      <c r="H18" s="22">
        <v>2209.9</v>
      </c>
      <c r="I18" s="22">
        <v>2172.6999999999998</v>
      </c>
      <c r="J18" s="22">
        <v>2239.6999999999998</v>
      </c>
      <c r="K18" s="22">
        <v>2194.5</v>
      </c>
      <c r="L18" s="22">
        <v>2340.1999999999998</v>
      </c>
      <c r="M18" s="22">
        <v>2342.9</v>
      </c>
      <c r="N18" s="22">
        <v>2326.9</v>
      </c>
      <c r="O18" s="22">
        <v>2403.6999999999998</v>
      </c>
      <c r="P18" s="22">
        <v>2450.4</v>
      </c>
      <c r="Q18" s="22">
        <v>2481</v>
      </c>
      <c r="R18" s="22">
        <v>2520.6999999999998</v>
      </c>
      <c r="S18" s="22">
        <v>2613.8000000000002</v>
      </c>
      <c r="T18" s="22">
        <v>2703.7</v>
      </c>
      <c r="U18" s="22">
        <v>2760.6</v>
      </c>
      <c r="V18" s="22">
        <v>2827.3</v>
      </c>
      <c r="W18" s="22">
        <v>3094.3</v>
      </c>
      <c r="X18" s="22">
        <v>3200.6</v>
      </c>
      <c r="Y18" s="22">
        <v>3278.8</v>
      </c>
      <c r="Z18" s="22">
        <v>3265.6</v>
      </c>
      <c r="AA18" s="22">
        <v>3182.2</v>
      </c>
      <c r="AB18" s="22">
        <v>3042.7</v>
      </c>
      <c r="AC18" s="22">
        <v>2988.6</v>
      </c>
      <c r="AD18" s="22">
        <v>3236.3</v>
      </c>
      <c r="AE18" s="22">
        <v>3331.1</v>
      </c>
      <c r="AF18" s="3">
        <f t="shared" si="0"/>
        <v>3403</v>
      </c>
      <c r="AG18" s="3">
        <f t="shared" si="1"/>
        <v>3458</v>
      </c>
      <c r="AH18" s="3">
        <f t="shared" si="2"/>
        <v>3512</v>
      </c>
      <c r="AI18" s="3">
        <f t="shared" si="3"/>
        <v>3567</v>
      </c>
      <c r="AJ18" s="3">
        <f t="shared" si="4"/>
        <v>3622</v>
      </c>
      <c r="AK18" s="3">
        <f t="shared" si="5"/>
        <v>3677</v>
      </c>
      <c r="AL18" s="3">
        <f t="shared" si="6"/>
        <v>3732</v>
      </c>
    </row>
    <row r="19" spans="1:38" x14ac:dyDescent="0.2">
      <c r="A19" s="43"/>
      <c r="B19" s="43"/>
      <c r="C19" s="38" t="s">
        <v>39</v>
      </c>
      <c r="D19" s="42"/>
      <c r="E19" s="39"/>
      <c r="F19" s="18" t="s">
        <v>28</v>
      </c>
      <c r="G19" s="19"/>
      <c r="H19" s="22">
        <v>2826.1</v>
      </c>
      <c r="I19" s="22">
        <v>3074.7</v>
      </c>
      <c r="J19" s="22">
        <v>3164.4</v>
      </c>
      <c r="K19" s="22">
        <v>3583.2</v>
      </c>
      <c r="L19" s="22">
        <v>3346.6</v>
      </c>
      <c r="M19" s="22">
        <v>3548</v>
      </c>
      <c r="N19" s="22">
        <v>3700.5</v>
      </c>
      <c r="O19" s="22">
        <v>3531</v>
      </c>
      <c r="P19" s="22">
        <v>3499.5</v>
      </c>
      <c r="Q19" s="22">
        <v>3543</v>
      </c>
      <c r="R19" s="22">
        <v>3591.8</v>
      </c>
      <c r="S19" s="22">
        <v>3428.5</v>
      </c>
      <c r="T19" s="22">
        <v>3401.4</v>
      </c>
      <c r="U19" s="22">
        <v>3449.9</v>
      </c>
      <c r="V19" s="22">
        <v>3603.3</v>
      </c>
      <c r="W19" s="22">
        <v>3690.1</v>
      </c>
      <c r="X19" s="22">
        <v>3980.4</v>
      </c>
      <c r="Y19" s="22">
        <v>4237.3</v>
      </c>
      <c r="Z19" s="22">
        <v>4430.3</v>
      </c>
      <c r="AA19" s="22">
        <v>4551</v>
      </c>
      <c r="AB19" s="22">
        <v>4878.3999999999996</v>
      </c>
      <c r="AC19" s="22">
        <v>4830.7</v>
      </c>
      <c r="AD19" s="22">
        <v>5051.3999999999996</v>
      </c>
      <c r="AE19" s="22">
        <v>5319</v>
      </c>
      <c r="AF19" s="3">
        <f t="shared" si="0"/>
        <v>4895</v>
      </c>
      <c r="AG19" s="3">
        <f t="shared" si="1"/>
        <v>4979</v>
      </c>
      <c r="AH19" s="3">
        <f t="shared" si="2"/>
        <v>5063</v>
      </c>
      <c r="AI19" s="3">
        <f t="shared" si="3"/>
        <v>5147</v>
      </c>
      <c r="AJ19" s="3">
        <f t="shared" si="4"/>
        <v>5231</v>
      </c>
      <c r="AK19" s="3">
        <f t="shared" si="5"/>
        <v>5315</v>
      </c>
      <c r="AL19" s="3">
        <f t="shared" si="6"/>
        <v>5399</v>
      </c>
    </row>
    <row r="20" spans="1:38" x14ac:dyDescent="0.2">
      <c r="A20" s="43"/>
      <c r="B20" s="43"/>
      <c r="C20" s="38" t="s">
        <v>40</v>
      </c>
      <c r="D20" s="42"/>
      <c r="E20" s="39"/>
      <c r="F20" s="18" t="s">
        <v>28</v>
      </c>
      <c r="G20" s="19"/>
      <c r="H20" s="22">
        <v>866</v>
      </c>
      <c r="I20" s="22">
        <v>851.3</v>
      </c>
      <c r="J20" s="22">
        <v>877.6</v>
      </c>
      <c r="K20" s="22">
        <v>859.7</v>
      </c>
      <c r="L20" s="22">
        <v>916.8</v>
      </c>
      <c r="M20" s="22">
        <v>918.2</v>
      </c>
      <c r="N20" s="22">
        <v>913.1</v>
      </c>
      <c r="O20" s="22">
        <v>943.1</v>
      </c>
      <c r="P20" s="22">
        <v>962.5</v>
      </c>
      <c r="Q20" s="22">
        <v>972.7</v>
      </c>
      <c r="R20" s="22">
        <v>988.5</v>
      </c>
      <c r="S20" s="22">
        <v>1021.4</v>
      </c>
      <c r="T20" s="22">
        <v>1045</v>
      </c>
      <c r="U20" s="22">
        <v>1073.7</v>
      </c>
      <c r="V20" s="22">
        <v>1121.9000000000001</v>
      </c>
      <c r="W20" s="22">
        <v>1156.2</v>
      </c>
      <c r="X20" s="22">
        <v>1265.5</v>
      </c>
      <c r="Y20" s="22">
        <v>1351.3</v>
      </c>
      <c r="Z20" s="22">
        <v>1402.9</v>
      </c>
      <c r="AA20" s="22">
        <v>1424.9</v>
      </c>
      <c r="AB20" s="22">
        <v>1505.9</v>
      </c>
      <c r="AC20" s="22">
        <v>1454.5</v>
      </c>
      <c r="AD20" s="22">
        <v>1517.6</v>
      </c>
      <c r="AE20" s="22">
        <v>1601.5</v>
      </c>
      <c r="AF20" s="3">
        <f t="shared" si="0"/>
        <v>1544</v>
      </c>
      <c r="AG20" s="3">
        <f t="shared" si="1"/>
        <v>1577</v>
      </c>
      <c r="AH20" s="3">
        <f t="shared" si="2"/>
        <v>1611</v>
      </c>
      <c r="AI20" s="3">
        <f t="shared" si="3"/>
        <v>1644</v>
      </c>
      <c r="AJ20" s="3">
        <f t="shared" si="4"/>
        <v>1678</v>
      </c>
      <c r="AK20" s="3">
        <f t="shared" si="5"/>
        <v>1711</v>
      </c>
      <c r="AL20" s="3">
        <f t="shared" si="6"/>
        <v>1744</v>
      </c>
    </row>
    <row r="21" spans="1:38" ht="15.75" customHeight="1" x14ac:dyDescent="0.2">
      <c r="A21" s="43"/>
      <c r="B21" s="43"/>
      <c r="C21" s="40" t="s">
        <v>40</v>
      </c>
      <c r="D21" s="38" t="s">
        <v>41</v>
      </c>
      <c r="E21" s="39"/>
      <c r="F21" s="18" t="s">
        <v>28</v>
      </c>
      <c r="G21" s="19"/>
      <c r="H21" s="22">
        <v>491.9</v>
      </c>
      <c r="I21" s="22">
        <v>483.7</v>
      </c>
      <c r="J21" s="22">
        <v>498.6</v>
      </c>
      <c r="K21" s="22">
        <v>488.5</v>
      </c>
      <c r="L21" s="22">
        <v>520.9</v>
      </c>
      <c r="M21" s="22">
        <v>521.70000000000005</v>
      </c>
      <c r="N21" s="22">
        <v>518.6</v>
      </c>
      <c r="O21" s="22">
        <v>535.6</v>
      </c>
      <c r="P21" s="22">
        <v>546.70000000000005</v>
      </c>
      <c r="Q21" s="22">
        <v>552.5</v>
      </c>
      <c r="R21" s="22">
        <v>561.4</v>
      </c>
      <c r="S21" s="22">
        <v>580.5</v>
      </c>
      <c r="T21" s="22">
        <v>593.6</v>
      </c>
      <c r="U21" s="22">
        <v>610.1</v>
      </c>
      <c r="V21" s="22">
        <v>638.29999999999995</v>
      </c>
      <c r="W21" s="22">
        <v>655.29999999999995</v>
      </c>
      <c r="X21" s="22">
        <v>697.7</v>
      </c>
      <c r="Y21" s="22">
        <v>730.1</v>
      </c>
      <c r="Z21" s="22">
        <v>742.5</v>
      </c>
      <c r="AA21" s="22">
        <v>738.3</v>
      </c>
      <c r="AB21" s="22">
        <v>766.7</v>
      </c>
      <c r="AC21" s="22">
        <v>721.4</v>
      </c>
      <c r="AD21" s="22">
        <v>750.7</v>
      </c>
      <c r="AE21" s="22">
        <v>793.6</v>
      </c>
      <c r="AF21" s="3">
        <f t="shared" si="0"/>
        <v>793</v>
      </c>
      <c r="AG21" s="3">
        <f t="shared" si="1"/>
        <v>807</v>
      </c>
      <c r="AH21" s="3">
        <f t="shared" si="2"/>
        <v>821</v>
      </c>
      <c r="AI21" s="3">
        <f t="shared" si="3"/>
        <v>835</v>
      </c>
      <c r="AJ21" s="3">
        <f t="shared" si="4"/>
        <v>850</v>
      </c>
      <c r="AK21" s="3">
        <f t="shared" si="5"/>
        <v>864</v>
      </c>
      <c r="AL21" s="3">
        <f t="shared" si="6"/>
        <v>878</v>
      </c>
    </row>
    <row r="22" spans="1:38" ht="15.75" customHeight="1" x14ac:dyDescent="0.2">
      <c r="A22" s="43"/>
      <c r="B22" s="43"/>
      <c r="C22" s="41"/>
      <c r="D22" s="38" t="s">
        <v>42</v>
      </c>
      <c r="E22" s="39"/>
      <c r="F22" s="18" t="s">
        <v>28</v>
      </c>
      <c r="G22" s="19"/>
      <c r="H22" s="22">
        <v>374.1</v>
      </c>
      <c r="I22" s="22">
        <v>367.6</v>
      </c>
      <c r="J22" s="22">
        <v>379</v>
      </c>
      <c r="K22" s="22">
        <v>371.3</v>
      </c>
      <c r="L22" s="22">
        <v>395.9</v>
      </c>
      <c r="M22" s="22">
        <v>396.5</v>
      </c>
      <c r="N22" s="22">
        <v>394.5</v>
      </c>
      <c r="O22" s="22">
        <v>407.4</v>
      </c>
      <c r="P22" s="22">
        <v>415.8</v>
      </c>
      <c r="Q22" s="22">
        <v>420.3</v>
      </c>
      <c r="R22" s="22">
        <v>427.1</v>
      </c>
      <c r="S22" s="22">
        <v>440.8</v>
      </c>
      <c r="T22" s="22">
        <v>451.4</v>
      </c>
      <c r="U22" s="22">
        <v>463.6</v>
      </c>
      <c r="V22" s="22">
        <v>483.6</v>
      </c>
      <c r="W22" s="22">
        <v>500.9</v>
      </c>
      <c r="X22" s="22">
        <v>567.79999999999995</v>
      </c>
      <c r="Y22" s="22">
        <v>621.20000000000005</v>
      </c>
      <c r="Z22" s="22">
        <v>660.4</v>
      </c>
      <c r="AA22" s="22">
        <v>686.6</v>
      </c>
      <c r="AB22" s="22">
        <v>739.2</v>
      </c>
      <c r="AC22" s="22">
        <v>733.1</v>
      </c>
      <c r="AD22" s="22">
        <v>766.8</v>
      </c>
      <c r="AE22" s="22">
        <v>807.9</v>
      </c>
      <c r="AF22" s="3">
        <f t="shared" si="0"/>
        <v>752</v>
      </c>
      <c r="AG22" s="3">
        <f t="shared" si="1"/>
        <v>771</v>
      </c>
      <c r="AH22" s="3">
        <f t="shared" si="2"/>
        <v>790</v>
      </c>
      <c r="AI22" s="3">
        <f t="shared" si="3"/>
        <v>809</v>
      </c>
      <c r="AJ22" s="3">
        <f t="shared" si="4"/>
        <v>828</v>
      </c>
      <c r="AK22" s="3">
        <f t="shared" si="5"/>
        <v>847</v>
      </c>
      <c r="AL22" s="3">
        <f t="shared" si="6"/>
        <v>867</v>
      </c>
    </row>
    <row r="23" spans="1:38" ht="15.75" customHeight="1" x14ac:dyDescent="0.2">
      <c r="A23" s="43"/>
      <c r="B23" s="43"/>
      <c r="C23" s="38" t="s">
        <v>43</v>
      </c>
      <c r="D23" s="42"/>
      <c r="E23" s="39"/>
      <c r="F23" s="18" t="s">
        <v>28</v>
      </c>
      <c r="G23" s="19"/>
      <c r="H23" s="22">
        <v>1596.4</v>
      </c>
      <c r="I23" s="22">
        <v>1552.5</v>
      </c>
      <c r="J23" s="22">
        <v>1593.8</v>
      </c>
      <c r="K23" s="22">
        <v>1561.4</v>
      </c>
      <c r="L23" s="22">
        <v>1665.2</v>
      </c>
      <c r="M23" s="22">
        <v>1699.9</v>
      </c>
      <c r="N23" s="22">
        <v>1720.3</v>
      </c>
      <c r="O23" s="22">
        <v>1762.1</v>
      </c>
      <c r="P23" s="22">
        <v>1769.2</v>
      </c>
      <c r="Q23" s="22">
        <v>1806.1</v>
      </c>
      <c r="R23" s="22">
        <v>1847.9</v>
      </c>
      <c r="S23" s="22">
        <v>1920.3</v>
      </c>
      <c r="T23" s="22">
        <v>1981.9</v>
      </c>
      <c r="U23" s="22">
        <v>2039.9</v>
      </c>
      <c r="V23" s="22">
        <v>2002.4</v>
      </c>
      <c r="W23" s="22">
        <v>2216.1</v>
      </c>
      <c r="X23" s="22">
        <v>2476.4</v>
      </c>
      <c r="Y23" s="22">
        <v>2610.3000000000002</v>
      </c>
      <c r="Z23" s="22">
        <v>2671.1</v>
      </c>
      <c r="AA23" s="22">
        <v>2666.6</v>
      </c>
      <c r="AB23" s="22">
        <v>2616.1999999999998</v>
      </c>
      <c r="AC23" s="22">
        <v>2857.5</v>
      </c>
      <c r="AD23" s="22">
        <v>3126.7</v>
      </c>
      <c r="AE23" s="22">
        <v>3195.1</v>
      </c>
      <c r="AF23" s="3">
        <f t="shared" si="0"/>
        <v>2995</v>
      </c>
      <c r="AG23" s="3">
        <f t="shared" si="1"/>
        <v>3065</v>
      </c>
      <c r="AH23" s="3">
        <f t="shared" si="2"/>
        <v>3135</v>
      </c>
      <c r="AI23" s="3">
        <f t="shared" si="3"/>
        <v>3204</v>
      </c>
      <c r="AJ23" s="3">
        <f t="shared" si="4"/>
        <v>3274</v>
      </c>
      <c r="AK23" s="3">
        <f t="shared" si="5"/>
        <v>3344</v>
      </c>
      <c r="AL23" s="3">
        <f t="shared" si="6"/>
        <v>3414</v>
      </c>
    </row>
    <row r="24" spans="1:38" ht="15.75" customHeight="1" x14ac:dyDescent="0.2">
      <c r="A24" s="43"/>
      <c r="B24" s="43"/>
      <c r="C24" s="40" t="s">
        <v>43</v>
      </c>
      <c r="D24" s="38" t="s">
        <v>44</v>
      </c>
      <c r="E24" s="39"/>
      <c r="F24" s="18" t="s">
        <v>28</v>
      </c>
      <c r="G24" s="19"/>
      <c r="H24" s="22">
        <v>12.8</v>
      </c>
      <c r="I24" s="22">
        <v>12.2</v>
      </c>
      <c r="J24" s="22">
        <v>12.4</v>
      </c>
      <c r="K24" s="22">
        <v>12.2</v>
      </c>
      <c r="L24" s="22">
        <v>13</v>
      </c>
      <c r="M24" s="22">
        <v>13.8</v>
      </c>
      <c r="N24" s="22">
        <v>14.8</v>
      </c>
      <c r="O24" s="22">
        <v>14.9</v>
      </c>
      <c r="P24" s="22">
        <v>14.5</v>
      </c>
      <c r="Q24" s="22">
        <v>15.1</v>
      </c>
      <c r="R24" s="22">
        <v>15.7</v>
      </c>
      <c r="S24" s="22">
        <v>16.100000000000001</v>
      </c>
      <c r="T24" s="22">
        <v>16.7</v>
      </c>
      <c r="U24" s="22">
        <v>17.399999999999999</v>
      </c>
      <c r="V24" s="22">
        <v>15.3</v>
      </c>
      <c r="W24" s="22">
        <v>18.399999999999999</v>
      </c>
      <c r="X24" s="22">
        <v>28.5</v>
      </c>
      <c r="Y24" s="22">
        <v>36.799999999999997</v>
      </c>
      <c r="Z24" s="22">
        <v>45.9</v>
      </c>
      <c r="AA24" s="22">
        <v>55.4</v>
      </c>
      <c r="AB24" s="22">
        <v>62.2</v>
      </c>
      <c r="AC24" s="22">
        <v>101.5</v>
      </c>
      <c r="AD24" s="22">
        <v>117.7</v>
      </c>
      <c r="AE24" s="22">
        <v>115.6</v>
      </c>
      <c r="AF24" s="3">
        <f t="shared" si="0"/>
        <v>80</v>
      </c>
      <c r="AG24" s="3">
        <f t="shared" si="1"/>
        <v>84</v>
      </c>
      <c r="AH24" s="3">
        <f t="shared" si="2"/>
        <v>88</v>
      </c>
      <c r="AI24" s="3">
        <f t="shared" si="3"/>
        <v>92</v>
      </c>
      <c r="AJ24" s="3">
        <f t="shared" si="4"/>
        <v>95</v>
      </c>
      <c r="AK24" s="3">
        <f t="shared" si="5"/>
        <v>99</v>
      </c>
      <c r="AL24" s="3">
        <f t="shared" si="6"/>
        <v>103</v>
      </c>
    </row>
    <row r="25" spans="1:38" ht="15.75" customHeight="1" x14ac:dyDescent="0.2">
      <c r="A25" s="43"/>
      <c r="B25" s="43"/>
      <c r="C25" s="43"/>
      <c r="D25" s="38" t="s">
        <v>45</v>
      </c>
      <c r="E25" s="39"/>
      <c r="F25" s="18" t="s">
        <v>28</v>
      </c>
      <c r="G25" s="19"/>
      <c r="H25" s="22">
        <v>442.8</v>
      </c>
      <c r="I25" s="22">
        <v>428.6</v>
      </c>
      <c r="J25" s="22">
        <v>440.1</v>
      </c>
      <c r="K25" s="22">
        <v>431.2</v>
      </c>
      <c r="L25" s="22">
        <v>459.8</v>
      </c>
      <c r="M25" s="22">
        <v>468.9</v>
      </c>
      <c r="N25" s="22">
        <v>464.5</v>
      </c>
      <c r="O25" s="22">
        <v>476</v>
      </c>
      <c r="P25" s="22">
        <v>477.5</v>
      </c>
      <c r="Q25" s="22">
        <v>488.3</v>
      </c>
      <c r="R25" s="22">
        <v>499.4</v>
      </c>
      <c r="S25" s="22">
        <v>529</v>
      </c>
      <c r="T25" s="22">
        <v>552.20000000000005</v>
      </c>
      <c r="U25" s="22">
        <v>564.4</v>
      </c>
      <c r="V25" s="22">
        <v>543.1</v>
      </c>
      <c r="W25" s="22">
        <v>639.20000000000005</v>
      </c>
      <c r="X25" s="22">
        <v>686.4</v>
      </c>
      <c r="Y25" s="22">
        <v>712.7</v>
      </c>
      <c r="Z25" s="22">
        <v>716.6</v>
      </c>
      <c r="AA25" s="22">
        <v>701.3</v>
      </c>
      <c r="AB25" s="22">
        <v>634.79999999999995</v>
      </c>
      <c r="AC25" s="22">
        <v>712.7</v>
      </c>
      <c r="AD25" s="22">
        <v>808.5</v>
      </c>
      <c r="AE25" s="22">
        <v>806.6</v>
      </c>
      <c r="AF25" s="3">
        <f t="shared" si="0"/>
        <v>778</v>
      </c>
      <c r="AG25" s="3">
        <f t="shared" si="1"/>
        <v>794</v>
      </c>
      <c r="AH25" s="3">
        <f t="shared" si="2"/>
        <v>811</v>
      </c>
      <c r="AI25" s="3">
        <f t="shared" si="3"/>
        <v>827</v>
      </c>
      <c r="AJ25" s="3">
        <f t="shared" si="4"/>
        <v>844</v>
      </c>
      <c r="AK25" s="3">
        <f t="shared" si="5"/>
        <v>860</v>
      </c>
      <c r="AL25" s="3">
        <f t="shared" si="6"/>
        <v>877</v>
      </c>
    </row>
    <row r="26" spans="1:38" ht="15.75" customHeight="1" x14ac:dyDescent="0.2">
      <c r="A26" s="43"/>
      <c r="B26" s="43"/>
      <c r="C26" s="43"/>
      <c r="D26" s="40" t="s">
        <v>45</v>
      </c>
      <c r="E26" s="23" t="s">
        <v>46</v>
      </c>
      <c r="F26" s="18" t="s">
        <v>28</v>
      </c>
      <c r="G26" s="19"/>
      <c r="H26" s="22">
        <v>300.8</v>
      </c>
      <c r="I26" s="22">
        <v>295.8</v>
      </c>
      <c r="J26" s="22">
        <v>303.60000000000002</v>
      </c>
      <c r="K26" s="22">
        <v>297.39999999999998</v>
      </c>
      <c r="L26" s="22">
        <v>317.3</v>
      </c>
      <c r="M26" s="22">
        <v>324</v>
      </c>
      <c r="N26" s="22">
        <v>344.4</v>
      </c>
      <c r="O26" s="22">
        <v>352.9</v>
      </c>
      <c r="P26" s="22">
        <v>353.5</v>
      </c>
      <c r="Q26" s="22">
        <v>362.2</v>
      </c>
      <c r="R26" s="22">
        <v>370.4</v>
      </c>
      <c r="S26" s="22">
        <v>360.2</v>
      </c>
      <c r="T26" s="22">
        <v>379.6</v>
      </c>
      <c r="U26" s="22">
        <v>386</v>
      </c>
      <c r="V26" s="22">
        <v>365.1</v>
      </c>
      <c r="W26" s="22">
        <v>451.3</v>
      </c>
      <c r="X26" s="22">
        <v>516.4</v>
      </c>
      <c r="Y26" s="22">
        <v>526.20000000000005</v>
      </c>
      <c r="Z26" s="22">
        <v>518.6</v>
      </c>
      <c r="AA26" s="22">
        <v>497</v>
      </c>
      <c r="AB26" s="22">
        <v>418.2</v>
      </c>
      <c r="AC26" s="22">
        <v>483</v>
      </c>
      <c r="AD26" s="22">
        <v>565.79999999999995</v>
      </c>
      <c r="AE26" s="22">
        <v>552.70000000000005</v>
      </c>
      <c r="AF26" s="3">
        <f t="shared" si="0"/>
        <v>546</v>
      </c>
      <c r="AG26" s="3">
        <f t="shared" si="1"/>
        <v>557</v>
      </c>
      <c r="AH26" s="3">
        <f t="shared" si="2"/>
        <v>569</v>
      </c>
      <c r="AI26" s="3">
        <f t="shared" si="3"/>
        <v>580</v>
      </c>
      <c r="AJ26" s="3">
        <f t="shared" si="4"/>
        <v>592</v>
      </c>
      <c r="AK26" s="3">
        <f t="shared" si="5"/>
        <v>603</v>
      </c>
      <c r="AL26" s="3">
        <f t="shared" si="6"/>
        <v>615</v>
      </c>
    </row>
    <row r="27" spans="1:38" ht="15.75" customHeight="1" x14ac:dyDescent="0.2">
      <c r="A27" s="43"/>
      <c r="B27" s="43"/>
      <c r="C27" s="43"/>
      <c r="D27" s="41"/>
      <c r="E27" s="23" t="s">
        <v>47</v>
      </c>
      <c r="F27" s="18" t="s">
        <v>28</v>
      </c>
      <c r="G27" s="19"/>
      <c r="H27" s="22">
        <v>142</v>
      </c>
      <c r="I27" s="22">
        <v>132.80000000000001</v>
      </c>
      <c r="J27" s="22">
        <v>136.4</v>
      </c>
      <c r="K27" s="22">
        <v>133.80000000000001</v>
      </c>
      <c r="L27" s="22">
        <v>142.6</v>
      </c>
      <c r="M27" s="22">
        <v>145</v>
      </c>
      <c r="N27" s="22">
        <v>120.1</v>
      </c>
      <c r="O27" s="22">
        <v>123.1</v>
      </c>
      <c r="P27" s="22">
        <v>123.9</v>
      </c>
      <c r="Q27" s="22">
        <v>126.1</v>
      </c>
      <c r="R27" s="22">
        <v>129</v>
      </c>
      <c r="S27" s="22">
        <v>168.8</v>
      </c>
      <c r="T27" s="22">
        <v>172.7</v>
      </c>
      <c r="U27" s="22">
        <v>178.4</v>
      </c>
      <c r="V27" s="22">
        <v>177.9</v>
      </c>
      <c r="W27" s="22">
        <v>187.9</v>
      </c>
      <c r="X27" s="22">
        <v>170</v>
      </c>
      <c r="Y27" s="22">
        <v>186.5</v>
      </c>
      <c r="Z27" s="22">
        <v>198</v>
      </c>
      <c r="AA27" s="22">
        <v>204.3</v>
      </c>
      <c r="AB27" s="22">
        <v>216.6</v>
      </c>
      <c r="AC27" s="22">
        <v>229.7</v>
      </c>
      <c r="AD27" s="22">
        <v>242.7</v>
      </c>
      <c r="AE27" s="22">
        <v>253.9</v>
      </c>
      <c r="AF27" s="3">
        <f t="shared" si="0"/>
        <v>232</v>
      </c>
      <c r="AG27" s="3">
        <f t="shared" si="1"/>
        <v>238</v>
      </c>
      <c r="AH27" s="3">
        <f t="shared" si="2"/>
        <v>243</v>
      </c>
      <c r="AI27" s="3">
        <f t="shared" si="3"/>
        <v>248</v>
      </c>
      <c r="AJ27" s="3">
        <f t="shared" si="4"/>
        <v>253</v>
      </c>
      <c r="AK27" s="3">
        <f t="shared" si="5"/>
        <v>258</v>
      </c>
      <c r="AL27" s="3">
        <f t="shared" si="6"/>
        <v>263</v>
      </c>
    </row>
    <row r="28" spans="1:38" ht="15.75" customHeight="1" x14ac:dyDescent="0.2">
      <c r="A28" s="43"/>
      <c r="B28" s="43"/>
      <c r="C28" s="43"/>
      <c r="D28" s="38" t="s">
        <v>48</v>
      </c>
      <c r="E28" s="39"/>
      <c r="F28" s="18" t="s">
        <v>28</v>
      </c>
      <c r="G28" s="19"/>
      <c r="H28" s="22">
        <v>765.6</v>
      </c>
      <c r="I28" s="22">
        <v>746</v>
      </c>
      <c r="J28" s="22">
        <v>765.9</v>
      </c>
      <c r="K28" s="22">
        <v>750.3</v>
      </c>
      <c r="L28" s="22">
        <v>800.2</v>
      </c>
      <c r="M28" s="22">
        <v>816.8</v>
      </c>
      <c r="N28" s="22">
        <v>832.8</v>
      </c>
      <c r="O28" s="22">
        <v>853.2</v>
      </c>
      <c r="P28" s="22">
        <v>856.9</v>
      </c>
      <c r="Q28" s="22">
        <v>874.5</v>
      </c>
      <c r="R28" s="22">
        <v>894.7</v>
      </c>
      <c r="S28" s="22">
        <v>921.7</v>
      </c>
      <c r="T28" s="22">
        <v>950</v>
      </c>
      <c r="U28" s="22">
        <v>978.6</v>
      </c>
      <c r="V28" s="22">
        <v>963.4</v>
      </c>
      <c r="W28" s="22">
        <v>1058.3</v>
      </c>
      <c r="X28" s="22">
        <v>1238.8</v>
      </c>
      <c r="Y28" s="22">
        <v>1351.7</v>
      </c>
      <c r="Z28" s="22">
        <v>1428.3</v>
      </c>
      <c r="AA28" s="22">
        <v>1469</v>
      </c>
      <c r="AB28" s="22">
        <v>1496.8</v>
      </c>
      <c r="AC28" s="22">
        <v>1649</v>
      </c>
      <c r="AD28" s="22">
        <v>1786.7</v>
      </c>
      <c r="AE28" s="22">
        <v>1837.8</v>
      </c>
      <c r="AF28" s="3">
        <f t="shared" si="0"/>
        <v>1660</v>
      </c>
      <c r="AG28" s="3">
        <f t="shared" si="1"/>
        <v>1705</v>
      </c>
      <c r="AH28" s="3">
        <f t="shared" si="2"/>
        <v>1751</v>
      </c>
      <c r="AI28" s="3">
        <f t="shared" si="3"/>
        <v>1797</v>
      </c>
      <c r="AJ28" s="3">
        <f t="shared" si="4"/>
        <v>1843</v>
      </c>
      <c r="AK28" s="3">
        <f t="shared" si="5"/>
        <v>1888</v>
      </c>
      <c r="AL28" s="3">
        <f t="shared" si="6"/>
        <v>1934</v>
      </c>
    </row>
    <row r="29" spans="1:38" ht="15.75" customHeight="1" x14ac:dyDescent="0.2">
      <c r="A29" s="43"/>
      <c r="B29" s="43"/>
      <c r="C29" s="41"/>
      <c r="D29" s="38" t="s">
        <v>49</v>
      </c>
      <c r="E29" s="39"/>
      <c r="F29" s="18" t="s">
        <v>28</v>
      </c>
      <c r="G29" s="19"/>
      <c r="H29" s="22">
        <v>375.2</v>
      </c>
      <c r="I29" s="22">
        <v>365.6</v>
      </c>
      <c r="J29" s="22">
        <v>375.4</v>
      </c>
      <c r="K29" s="22">
        <v>367.7</v>
      </c>
      <c r="L29" s="22">
        <v>392.2</v>
      </c>
      <c r="M29" s="22">
        <v>400.4</v>
      </c>
      <c r="N29" s="22">
        <v>408.1</v>
      </c>
      <c r="O29" s="22">
        <v>418</v>
      </c>
      <c r="P29" s="22">
        <v>420.3</v>
      </c>
      <c r="Q29" s="22">
        <v>428.2</v>
      </c>
      <c r="R29" s="22">
        <v>438.2</v>
      </c>
      <c r="S29" s="22">
        <v>453.5</v>
      </c>
      <c r="T29" s="22">
        <v>462.9</v>
      </c>
      <c r="U29" s="22">
        <v>479.5</v>
      </c>
      <c r="V29" s="22">
        <v>480.5</v>
      </c>
      <c r="W29" s="22">
        <v>500.2</v>
      </c>
      <c r="X29" s="22">
        <v>522.70000000000005</v>
      </c>
      <c r="Y29" s="22">
        <v>509.1</v>
      </c>
      <c r="Z29" s="22">
        <v>480.2</v>
      </c>
      <c r="AA29" s="22">
        <v>440.9</v>
      </c>
      <c r="AB29" s="22">
        <v>422.3</v>
      </c>
      <c r="AC29" s="22">
        <v>394.4</v>
      </c>
      <c r="AD29" s="22">
        <v>413.9</v>
      </c>
      <c r="AE29" s="22">
        <v>435</v>
      </c>
      <c r="AF29" s="3">
        <f t="shared" si="0"/>
        <v>479</v>
      </c>
      <c r="AG29" s="3">
        <f t="shared" si="1"/>
        <v>483</v>
      </c>
      <c r="AH29" s="3">
        <f t="shared" si="2"/>
        <v>486</v>
      </c>
      <c r="AI29" s="3">
        <f t="shared" si="3"/>
        <v>490</v>
      </c>
      <c r="AJ29" s="3">
        <f t="shared" si="4"/>
        <v>494</v>
      </c>
      <c r="AK29" s="3">
        <f t="shared" si="5"/>
        <v>498</v>
      </c>
      <c r="AL29" s="3">
        <f t="shared" si="6"/>
        <v>501</v>
      </c>
    </row>
    <row r="30" spans="1:38" ht="15.75" customHeight="1" x14ac:dyDescent="0.2">
      <c r="A30" s="43"/>
      <c r="B30" s="43"/>
      <c r="C30" s="38" t="s">
        <v>50</v>
      </c>
      <c r="D30" s="42"/>
      <c r="E30" s="39"/>
      <c r="F30" s="18" t="s">
        <v>28</v>
      </c>
      <c r="G30" s="19"/>
      <c r="H30" s="22">
        <v>504.6</v>
      </c>
      <c r="I30" s="22">
        <v>496.3</v>
      </c>
      <c r="J30" s="22">
        <v>511.6</v>
      </c>
      <c r="K30" s="22">
        <v>501.2</v>
      </c>
      <c r="L30" s="22">
        <v>534.5</v>
      </c>
      <c r="M30" s="22">
        <v>535.29999999999995</v>
      </c>
      <c r="N30" s="22">
        <v>532.1</v>
      </c>
      <c r="O30" s="22">
        <v>560.1</v>
      </c>
      <c r="P30" s="22">
        <v>561.1</v>
      </c>
      <c r="Q30" s="22">
        <v>568.5</v>
      </c>
      <c r="R30" s="22">
        <v>575.79999999999995</v>
      </c>
      <c r="S30" s="22">
        <v>596.5</v>
      </c>
      <c r="T30" s="22">
        <v>607.9</v>
      </c>
      <c r="U30" s="22">
        <v>626</v>
      </c>
      <c r="V30" s="22">
        <v>659.1</v>
      </c>
      <c r="W30" s="22">
        <v>663.8</v>
      </c>
      <c r="X30" s="22">
        <v>820.9</v>
      </c>
      <c r="Y30" s="22">
        <v>1001.6</v>
      </c>
      <c r="Z30" s="22">
        <v>1188</v>
      </c>
      <c r="AA30" s="22">
        <v>1378.7</v>
      </c>
      <c r="AB30" s="22">
        <v>1701.5</v>
      </c>
      <c r="AC30" s="22">
        <v>1837.4</v>
      </c>
      <c r="AD30" s="22">
        <v>1892.3</v>
      </c>
      <c r="AE30" s="22">
        <v>2014.6</v>
      </c>
      <c r="AF30" s="3">
        <f t="shared" si="0"/>
        <v>1629</v>
      </c>
      <c r="AG30" s="3">
        <f t="shared" si="1"/>
        <v>1690</v>
      </c>
      <c r="AH30" s="3">
        <f t="shared" si="2"/>
        <v>1750</v>
      </c>
      <c r="AI30" s="3">
        <f t="shared" si="3"/>
        <v>1811</v>
      </c>
      <c r="AJ30" s="3">
        <f t="shared" si="4"/>
        <v>1872</v>
      </c>
      <c r="AK30" s="3">
        <f t="shared" si="5"/>
        <v>1932</v>
      </c>
      <c r="AL30" s="3">
        <f t="shared" si="6"/>
        <v>1993</v>
      </c>
    </row>
    <row r="31" spans="1:38" ht="15.75" customHeight="1" x14ac:dyDescent="0.2">
      <c r="A31" s="43"/>
      <c r="B31" s="43"/>
      <c r="C31" s="40" t="s">
        <v>50</v>
      </c>
      <c r="D31" s="38" t="s">
        <v>51</v>
      </c>
      <c r="E31" s="39"/>
      <c r="F31" s="18" t="s">
        <v>28</v>
      </c>
      <c r="G31" s="19"/>
      <c r="H31" s="22">
        <v>154.9</v>
      </c>
      <c r="I31" s="22">
        <v>152.4</v>
      </c>
      <c r="J31" s="22">
        <v>157.1</v>
      </c>
      <c r="K31" s="22">
        <v>153.9</v>
      </c>
      <c r="L31" s="22">
        <v>164.1</v>
      </c>
      <c r="M31" s="22">
        <v>164.4</v>
      </c>
      <c r="N31" s="22">
        <v>163.4</v>
      </c>
      <c r="O31" s="22">
        <v>178.9</v>
      </c>
      <c r="P31" s="22">
        <v>172.3</v>
      </c>
      <c r="Q31" s="22">
        <v>175.8</v>
      </c>
      <c r="R31" s="22">
        <v>176.8</v>
      </c>
      <c r="S31" s="22">
        <v>183.2</v>
      </c>
      <c r="T31" s="22">
        <v>186.6</v>
      </c>
      <c r="U31" s="22">
        <v>192.2</v>
      </c>
      <c r="V31" s="22">
        <v>202.6</v>
      </c>
      <c r="W31" s="22">
        <v>203.3</v>
      </c>
      <c r="X31" s="22">
        <v>240.2</v>
      </c>
      <c r="Y31" s="22">
        <v>279.7</v>
      </c>
      <c r="Z31" s="22">
        <v>316.5</v>
      </c>
      <c r="AA31" s="22">
        <v>350</v>
      </c>
      <c r="AB31" s="22">
        <v>412.9</v>
      </c>
      <c r="AC31" s="22">
        <v>422.6</v>
      </c>
      <c r="AD31" s="22">
        <v>434.2</v>
      </c>
      <c r="AE31" s="22">
        <v>463</v>
      </c>
      <c r="AF31" s="3">
        <f t="shared" si="0"/>
        <v>398</v>
      </c>
      <c r="AG31" s="3">
        <f t="shared" si="1"/>
        <v>411</v>
      </c>
      <c r="AH31" s="3">
        <f t="shared" si="2"/>
        <v>424</v>
      </c>
      <c r="AI31" s="3">
        <f t="shared" si="3"/>
        <v>437</v>
      </c>
      <c r="AJ31" s="3">
        <f t="shared" si="4"/>
        <v>449</v>
      </c>
      <c r="AK31" s="3">
        <f t="shared" si="5"/>
        <v>462</v>
      </c>
      <c r="AL31" s="3">
        <f t="shared" si="6"/>
        <v>475</v>
      </c>
    </row>
    <row r="32" spans="1:38" ht="15.75" customHeight="1" x14ac:dyDescent="0.2">
      <c r="A32" s="43"/>
      <c r="B32" s="43"/>
      <c r="C32" s="41"/>
      <c r="D32" s="38" t="s">
        <v>52</v>
      </c>
      <c r="E32" s="39"/>
      <c r="F32" s="18" t="s">
        <v>28</v>
      </c>
      <c r="G32" s="19"/>
      <c r="H32" s="22">
        <v>349.7</v>
      </c>
      <c r="I32" s="22">
        <v>343.9</v>
      </c>
      <c r="J32" s="22">
        <v>354.5</v>
      </c>
      <c r="K32" s="22">
        <v>347.3</v>
      </c>
      <c r="L32" s="22">
        <v>370.4</v>
      </c>
      <c r="M32" s="22">
        <v>371</v>
      </c>
      <c r="N32" s="22">
        <v>368.7</v>
      </c>
      <c r="O32" s="22">
        <v>381.2</v>
      </c>
      <c r="P32" s="22">
        <v>388.8</v>
      </c>
      <c r="Q32" s="22">
        <v>392.8</v>
      </c>
      <c r="R32" s="22">
        <v>399</v>
      </c>
      <c r="S32" s="22">
        <v>413.3</v>
      </c>
      <c r="T32" s="22">
        <v>421.3</v>
      </c>
      <c r="U32" s="22">
        <v>433.8</v>
      </c>
      <c r="V32" s="22">
        <v>456.5</v>
      </c>
      <c r="W32" s="22">
        <v>460.5</v>
      </c>
      <c r="X32" s="22">
        <v>580.79999999999995</v>
      </c>
      <c r="Y32" s="22">
        <v>721.8</v>
      </c>
      <c r="Z32" s="22">
        <v>871.6</v>
      </c>
      <c r="AA32" s="22">
        <v>1028.7</v>
      </c>
      <c r="AB32" s="22">
        <v>1288.5999999999999</v>
      </c>
      <c r="AC32" s="22">
        <v>1414.8</v>
      </c>
      <c r="AD32" s="22">
        <v>1458.1</v>
      </c>
      <c r="AE32" s="22">
        <v>1551.6</v>
      </c>
      <c r="AF32" s="3">
        <f t="shared" si="0"/>
        <v>1231</v>
      </c>
      <c r="AG32" s="3">
        <f t="shared" si="1"/>
        <v>1279</v>
      </c>
      <c r="AH32" s="3">
        <f t="shared" si="2"/>
        <v>1327</v>
      </c>
      <c r="AI32" s="3">
        <f t="shared" si="3"/>
        <v>1375</v>
      </c>
      <c r="AJ32" s="3">
        <f t="shared" si="4"/>
        <v>1423</v>
      </c>
      <c r="AK32" s="3">
        <f t="shared" si="5"/>
        <v>1471</v>
      </c>
      <c r="AL32" s="3">
        <f t="shared" si="6"/>
        <v>1519</v>
      </c>
    </row>
    <row r="33" spans="1:38" ht="15.75" customHeight="1" x14ac:dyDescent="0.2">
      <c r="A33" s="43"/>
      <c r="B33" s="43"/>
      <c r="C33" s="38" t="s">
        <v>53</v>
      </c>
      <c r="D33" s="42"/>
      <c r="E33" s="39"/>
      <c r="F33" s="18" t="s">
        <v>28</v>
      </c>
      <c r="G33" s="19"/>
      <c r="H33" s="22">
        <v>608.79999999999995</v>
      </c>
      <c r="I33" s="22">
        <v>762.6</v>
      </c>
      <c r="J33" s="22">
        <v>786.7</v>
      </c>
      <c r="K33" s="22">
        <v>994.4</v>
      </c>
      <c r="L33" s="22">
        <v>881.6</v>
      </c>
      <c r="M33" s="22">
        <v>941.8</v>
      </c>
      <c r="N33" s="22">
        <v>986</v>
      </c>
      <c r="O33" s="22">
        <v>910.4</v>
      </c>
      <c r="P33" s="22">
        <v>917.1</v>
      </c>
      <c r="Q33" s="22">
        <v>924.7</v>
      </c>
      <c r="R33" s="22">
        <v>940</v>
      </c>
      <c r="S33" s="22">
        <v>727.8</v>
      </c>
      <c r="T33" s="22">
        <v>721.9</v>
      </c>
      <c r="U33" s="22">
        <v>742.3</v>
      </c>
      <c r="V33" s="22">
        <v>788.9</v>
      </c>
      <c r="W33" s="22">
        <v>782.8</v>
      </c>
      <c r="X33" s="22">
        <v>800.6</v>
      </c>
      <c r="Y33" s="22">
        <v>779.2</v>
      </c>
      <c r="Z33" s="22">
        <v>737.6</v>
      </c>
      <c r="AA33" s="22">
        <v>683.3</v>
      </c>
      <c r="AB33" s="22">
        <v>682.9</v>
      </c>
      <c r="AC33" s="22">
        <v>574.79999999999995</v>
      </c>
      <c r="AD33" s="22">
        <v>586.20000000000005</v>
      </c>
      <c r="AE33" s="22">
        <v>628.20000000000005</v>
      </c>
      <c r="AF33" s="3">
        <f t="shared" si="0"/>
        <v>659</v>
      </c>
      <c r="AG33" s="3">
        <f t="shared" si="1"/>
        <v>649</v>
      </c>
      <c r="AH33" s="3">
        <f t="shared" si="2"/>
        <v>638</v>
      </c>
      <c r="AI33" s="3">
        <f t="shared" si="3"/>
        <v>628</v>
      </c>
      <c r="AJ33" s="3">
        <f t="shared" si="4"/>
        <v>618</v>
      </c>
      <c r="AK33" s="3">
        <f t="shared" si="5"/>
        <v>607</v>
      </c>
      <c r="AL33" s="3">
        <f t="shared" si="6"/>
        <v>597</v>
      </c>
    </row>
    <row r="34" spans="1:38" ht="15.75" customHeight="1" x14ac:dyDescent="0.2">
      <c r="A34" s="43"/>
      <c r="B34" s="43"/>
      <c r="C34" s="40" t="s">
        <v>53</v>
      </c>
      <c r="D34" s="38" t="s">
        <v>54</v>
      </c>
      <c r="E34" s="39"/>
      <c r="F34" s="18" t="s">
        <v>28</v>
      </c>
      <c r="G34" s="19"/>
      <c r="H34" s="22">
        <v>372.9</v>
      </c>
      <c r="I34" s="22">
        <v>488.5</v>
      </c>
      <c r="J34" s="22">
        <v>503.8</v>
      </c>
      <c r="K34" s="22">
        <v>718.7</v>
      </c>
      <c r="L34" s="22">
        <v>586.70000000000005</v>
      </c>
      <c r="M34" s="22">
        <v>648.29999999999995</v>
      </c>
      <c r="N34" s="22">
        <v>650.70000000000005</v>
      </c>
      <c r="O34" s="22">
        <v>562.9</v>
      </c>
      <c r="P34" s="22">
        <v>561.5</v>
      </c>
      <c r="Q34" s="22">
        <v>566.4</v>
      </c>
      <c r="R34" s="22">
        <v>575.79999999999995</v>
      </c>
      <c r="S34" s="22">
        <v>453.4</v>
      </c>
      <c r="T34" s="22">
        <v>444.3</v>
      </c>
      <c r="U34" s="22">
        <v>455.8</v>
      </c>
      <c r="V34" s="22">
        <v>483.1</v>
      </c>
      <c r="W34" s="22">
        <v>486.6</v>
      </c>
      <c r="X34" s="22">
        <v>466.8</v>
      </c>
      <c r="Y34" s="22">
        <v>448.9</v>
      </c>
      <c r="Z34" s="22">
        <v>419.7</v>
      </c>
      <c r="AA34" s="22">
        <v>383.8</v>
      </c>
      <c r="AB34" s="22">
        <v>373.1</v>
      </c>
      <c r="AC34" s="22">
        <v>316.7</v>
      </c>
      <c r="AD34" s="22">
        <v>325.7</v>
      </c>
      <c r="AE34" s="22">
        <v>346.8</v>
      </c>
      <c r="AF34" s="3">
        <f t="shared" si="0"/>
        <v>356</v>
      </c>
      <c r="AG34" s="3">
        <f t="shared" si="1"/>
        <v>345</v>
      </c>
      <c r="AH34" s="3">
        <f t="shared" si="2"/>
        <v>335</v>
      </c>
      <c r="AI34" s="3">
        <f t="shared" si="3"/>
        <v>325</v>
      </c>
      <c r="AJ34" s="3">
        <f t="shared" si="4"/>
        <v>314</v>
      </c>
      <c r="AK34" s="3">
        <f t="shared" si="5"/>
        <v>304</v>
      </c>
      <c r="AL34" s="3">
        <f t="shared" si="6"/>
        <v>294</v>
      </c>
    </row>
    <row r="35" spans="1:38" ht="15.75" customHeight="1" x14ac:dyDescent="0.2">
      <c r="A35" s="43"/>
      <c r="B35" s="43"/>
      <c r="C35" s="41"/>
      <c r="D35" s="38" t="s">
        <v>55</v>
      </c>
      <c r="E35" s="39"/>
      <c r="F35" s="18" t="s">
        <v>28</v>
      </c>
      <c r="G35" s="19"/>
      <c r="H35" s="22">
        <v>236</v>
      </c>
      <c r="I35" s="22">
        <v>274.10000000000002</v>
      </c>
      <c r="J35" s="22">
        <v>282.8</v>
      </c>
      <c r="K35" s="22">
        <v>275.60000000000002</v>
      </c>
      <c r="L35" s="22">
        <v>295</v>
      </c>
      <c r="M35" s="22">
        <v>293.5</v>
      </c>
      <c r="N35" s="22">
        <v>335.2</v>
      </c>
      <c r="O35" s="22">
        <v>347.5</v>
      </c>
      <c r="P35" s="22">
        <v>355.6</v>
      </c>
      <c r="Q35" s="22">
        <v>358.3</v>
      </c>
      <c r="R35" s="22">
        <v>364.2</v>
      </c>
      <c r="S35" s="22">
        <v>274.3</v>
      </c>
      <c r="T35" s="22">
        <v>277.60000000000002</v>
      </c>
      <c r="U35" s="22">
        <v>286.5</v>
      </c>
      <c r="V35" s="22">
        <v>305.8</v>
      </c>
      <c r="W35" s="22">
        <v>296.2</v>
      </c>
      <c r="X35" s="22">
        <v>333.8</v>
      </c>
      <c r="Y35" s="22">
        <v>330.3</v>
      </c>
      <c r="Z35" s="22">
        <v>317.8</v>
      </c>
      <c r="AA35" s="22">
        <v>299.5</v>
      </c>
      <c r="AB35" s="22">
        <v>309.89999999999998</v>
      </c>
      <c r="AC35" s="22">
        <v>258.2</v>
      </c>
      <c r="AD35" s="22">
        <v>260.60000000000002</v>
      </c>
      <c r="AE35" s="22">
        <v>281.39999999999998</v>
      </c>
      <c r="AF35" s="3">
        <f t="shared" si="0"/>
        <v>304</v>
      </c>
      <c r="AG35" s="3">
        <f t="shared" si="1"/>
        <v>304</v>
      </c>
      <c r="AH35" s="3">
        <f t="shared" si="2"/>
        <v>304</v>
      </c>
      <c r="AI35" s="3">
        <f t="shared" si="3"/>
        <v>304</v>
      </c>
      <c r="AJ35" s="3">
        <f t="shared" si="4"/>
        <v>304</v>
      </c>
      <c r="AK35" s="3">
        <f t="shared" si="5"/>
        <v>304</v>
      </c>
      <c r="AL35" s="3">
        <f t="shared" si="6"/>
        <v>304</v>
      </c>
    </row>
    <row r="36" spans="1:38" ht="15.75" customHeight="1" x14ac:dyDescent="0.2">
      <c r="A36" s="43"/>
      <c r="B36" s="43"/>
      <c r="C36" s="38" t="s">
        <v>56</v>
      </c>
      <c r="D36" s="42"/>
      <c r="E36" s="39"/>
      <c r="F36" s="18" t="s">
        <v>28</v>
      </c>
      <c r="G36" s="19"/>
      <c r="H36" s="22">
        <v>87.5</v>
      </c>
      <c r="I36" s="22">
        <v>86.1</v>
      </c>
      <c r="J36" s="22">
        <v>88.7</v>
      </c>
      <c r="K36" s="22">
        <v>86.9</v>
      </c>
      <c r="L36" s="22">
        <v>92.7</v>
      </c>
      <c r="M36" s="22">
        <v>92.8</v>
      </c>
      <c r="N36" s="22">
        <v>92.3</v>
      </c>
      <c r="O36" s="22">
        <v>95.3</v>
      </c>
      <c r="P36" s="22">
        <v>97.3</v>
      </c>
      <c r="Q36" s="22">
        <v>98.3</v>
      </c>
      <c r="R36" s="22">
        <v>99.9</v>
      </c>
      <c r="S36" s="22">
        <v>103.3</v>
      </c>
      <c r="T36" s="22">
        <v>105.7</v>
      </c>
      <c r="U36" s="22">
        <v>108.6</v>
      </c>
      <c r="V36" s="22">
        <v>113.5</v>
      </c>
      <c r="W36" s="22">
        <v>116.9</v>
      </c>
      <c r="X36" s="22">
        <v>118.3</v>
      </c>
      <c r="Y36" s="22">
        <v>118.1</v>
      </c>
      <c r="Z36" s="22">
        <v>114.6</v>
      </c>
      <c r="AA36" s="22">
        <v>108.8</v>
      </c>
      <c r="AB36" s="22">
        <v>107.6</v>
      </c>
      <c r="AC36" s="22">
        <v>97.1</v>
      </c>
      <c r="AD36" s="22">
        <v>101.3</v>
      </c>
      <c r="AE36" s="22">
        <v>106.9</v>
      </c>
      <c r="AF36" s="3">
        <f t="shared" si="0"/>
        <v>116</v>
      </c>
      <c r="AG36" s="3">
        <f t="shared" si="1"/>
        <v>117</v>
      </c>
      <c r="AH36" s="3">
        <f t="shared" si="2"/>
        <v>118</v>
      </c>
      <c r="AI36" s="3">
        <f t="shared" si="3"/>
        <v>119</v>
      </c>
      <c r="AJ36" s="3">
        <f t="shared" si="4"/>
        <v>120</v>
      </c>
      <c r="AK36" s="3">
        <f t="shared" si="5"/>
        <v>121</v>
      </c>
      <c r="AL36" s="3">
        <f t="shared" si="6"/>
        <v>122</v>
      </c>
    </row>
    <row r="37" spans="1:38" ht="15.75" customHeight="1" x14ac:dyDescent="0.2">
      <c r="A37" s="43"/>
      <c r="B37" s="43"/>
      <c r="C37" s="38" t="s">
        <v>57</v>
      </c>
      <c r="D37" s="42"/>
      <c r="E37" s="39"/>
      <c r="F37" s="18" t="s">
        <v>28</v>
      </c>
      <c r="G37" s="19"/>
      <c r="H37" s="22">
        <v>414</v>
      </c>
      <c r="I37" s="22">
        <v>418.3</v>
      </c>
      <c r="J37" s="22">
        <v>431.3</v>
      </c>
      <c r="K37" s="22">
        <v>422.5</v>
      </c>
      <c r="L37" s="22">
        <v>450.5</v>
      </c>
      <c r="M37" s="22">
        <v>450.9</v>
      </c>
      <c r="N37" s="22">
        <v>453</v>
      </c>
      <c r="O37" s="22">
        <v>467.9</v>
      </c>
      <c r="P37" s="22">
        <v>477.8</v>
      </c>
      <c r="Q37" s="22">
        <v>482.6</v>
      </c>
      <c r="R37" s="22">
        <v>490.4</v>
      </c>
      <c r="S37" s="22">
        <v>458.7</v>
      </c>
      <c r="T37" s="22">
        <v>468.6</v>
      </c>
      <c r="U37" s="22">
        <v>481.6</v>
      </c>
      <c r="V37" s="22">
        <v>504.7</v>
      </c>
      <c r="W37" s="22">
        <v>516.29999999999995</v>
      </c>
      <c r="X37" s="22">
        <v>585.79999999999995</v>
      </c>
      <c r="Y37" s="22">
        <v>652.6</v>
      </c>
      <c r="Z37" s="22">
        <v>707</v>
      </c>
      <c r="AA37" s="22">
        <v>749.2</v>
      </c>
      <c r="AB37" s="22">
        <v>832.4</v>
      </c>
      <c r="AC37" s="22">
        <v>832</v>
      </c>
      <c r="AD37" s="22">
        <v>863.8</v>
      </c>
      <c r="AE37" s="22">
        <v>914.5</v>
      </c>
      <c r="AF37" s="3">
        <f t="shared" si="0"/>
        <v>819</v>
      </c>
      <c r="AG37" s="3">
        <f t="shared" si="1"/>
        <v>839</v>
      </c>
      <c r="AH37" s="3">
        <f t="shared" si="2"/>
        <v>860</v>
      </c>
      <c r="AI37" s="3">
        <f t="shared" si="3"/>
        <v>880</v>
      </c>
      <c r="AJ37" s="3">
        <f t="shared" si="4"/>
        <v>900</v>
      </c>
      <c r="AK37" s="3">
        <f t="shared" si="5"/>
        <v>921</v>
      </c>
      <c r="AL37" s="3">
        <f t="shared" si="6"/>
        <v>941</v>
      </c>
    </row>
    <row r="38" spans="1:38" ht="15.75" customHeight="1" x14ac:dyDescent="0.2">
      <c r="A38" s="43"/>
      <c r="B38" s="43"/>
      <c r="C38" s="40" t="s">
        <v>57</v>
      </c>
      <c r="D38" s="38" t="s">
        <v>58</v>
      </c>
      <c r="E38" s="39"/>
      <c r="F38" s="18" t="s">
        <v>28</v>
      </c>
      <c r="G38" s="19"/>
      <c r="H38" s="22">
        <v>207</v>
      </c>
      <c r="I38" s="22">
        <v>201.1</v>
      </c>
      <c r="J38" s="22">
        <v>207.3</v>
      </c>
      <c r="K38" s="22">
        <v>203.1</v>
      </c>
      <c r="L38" s="22">
        <v>216.6</v>
      </c>
      <c r="M38" s="22">
        <v>217</v>
      </c>
      <c r="N38" s="22">
        <v>214.7</v>
      </c>
      <c r="O38" s="22">
        <v>221.7</v>
      </c>
      <c r="P38" s="22">
        <v>226.3</v>
      </c>
      <c r="Q38" s="22">
        <v>228.7</v>
      </c>
      <c r="R38" s="22">
        <v>232.4</v>
      </c>
      <c r="S38" s="22">
        <v>251.9</v>
      </c>
      <c r="T38" s="22">
        <v>257.3</v>
      </c>
      <c r="U38" s="22">
        <v>264.7</v>
      </c>
      <c r="V38" s="22">
        <v>277.39999999999998</v>
      </c>
      <c r="W38" s="22">
        <v>283.3</v>
      </c>
      <c r="X38" s="22">
        <v>328.7</v>
      </c>
      <c r="Y38" s="22">
        <v>376.8</v>
      </c>
      <c r="Z38" s="22">
        <v>419.5</v>
      </c>
      <c r="AA38" s="22">
        <v>456.5</v>
      </c>
      <c r="AB38" s="22">
        <v>520.6</v>
      </c>
      <c r="AC38" s="22">
        <v>533.20000000000005</v>
      </c>
      <c r="AD38" s="22">
        <v>553.70000000000005</v>
      </c>
      <c r="AE38" s="22">
        <v>586.20000000000005</v>
      </c>
      <c r="AF38" s="3">
        <f t="shared" si="0"/>
        <v>516</v>
      </c>
      <c r="AG38" s="3">
        <f t="shared" si="1"/>
        <v>532</v>
      </c>
      <c r="AH38" s="3">
        <f t="shared" si="2"/>
        <v>548</v>
      </c>
      <c r="AI38" s="3">
        <f t="shared" si="3"/>
        <v>565</v>
      </c>
      <c r="AJ38" s="3">
        <f t="shared" si="4"/>
        <v>581</v>
      </c>
      <c r="AK38" s="3">
        <f t="shared" si="5"/>
        <v>597</v>
      </c>
      <c r="AL38" s="3">
        <f t="shared" si="6"/>
        <v>614</v>
      </c>
    </row>
    <row r="39" spans="1:38" ht="15.75" customHeight="1" x14ac:dyDescent="0.2">
      <c r="A39" s="43"/>
      <c r="B39" s="43"/>
      <c r="C39" s="41"/>
      <c r="D39" s="38" t="s">
        <v>59</v>
      </c>
      <c r="E39" s="39"/>
      <c r="F39" s="18" t="s">
        <v>28</v>
      </c>
      <c r="G39" s="19"/>
      <c r="H39" s="22">
        <v>207</v>
      </c>
      <c r="I39" s="22">
        <v>217.2</v>
      </c>
      <c r="J39" s="22">
        <v>224</v>
      </c>
      <c r="K39" s="22">
        <v>219.4</v>
      </c>
      <c r="L39" s="22">
        <v>234</v>
      </c>
      <c r="M39" s="22">
        <v>233.9</v>
      </c>
      <c r="N39" s="22">
        <v>238.3</v>
      </c>
      <c r="O39" s="22">
        <v>246.2</v>
      </c>
      <c r="P39" s="22">
        <v>251.5</v>
      </c>
      <c r="Q39" s="22">
        <v>253.9</v>
      </c>
      <c r="R39" s="22">
        <v>258</v>
      </c>
      <c r="S39" s="22">
        <v>206.9</v>
      </c>
      <c r="T39" s="22">
        <v>211.3</v>
      </c>
      <c r="U39" s="22">
        <v>216.9</v>
      </c>
      <c r="V39" s="22">
        <v>227.3</v>
      </c>
      <c r="W39" s="22">
        <v>233</v>
      </c>
      <c r="X39" s="22">
        <v>257.10000000000002</v>
      </c>
      <c r="Y39" s="22">
        <v>275.8</v>
      </c>
      <c r="Z39" s="22">
        <v>287.39999999999998</v>
      </c>
      <c r="AA39" s="22">
        <v>292.7</v>
      </c>
      <c r="AB39" s="22">
        <v>311.89999999999998</v>
      </c>
      <c r="AC39" s="22">
        <v>298.8</v>
      </c>
      <c r="AD39" s="22">
        <v>310.10000000000002</v>
      </c>
      <c r="AE39" s="22">
        <v>328.2</v>
      </c>
      <c r="AF39" s="3">
        <f t="shared" si="0"/>
        <v>303</v>
      </c>
      <c r="AG39" s="3">
        <f t="shared" si="1"/>
        <v>308</v>
      </c>
      <c r="AH39" s="3">
        <f t="shared" si="2"/>
        <v>312</v>
      </c>
      <c r="AI39" s="3">
        <f t="shared" si="3"/>
        <v>316</v>
      </c>
      <c r="AJ39" s="3">
        <f t="shared" si="4"/>
        <v>320</v>
      </c>
      <c r="AK39" s="3">
        <f t="shared" si="5"/>
        <v>324</v>
      </c>
      <c r="AL39" s="3">
        <f t="shared" si="6"/>
        <v>328</v>
      </c>
    </row>
    <row r="40" spans="1:38" ht="15.75" customHeight="1" x14ac:dyDescent="0.2">
      <c r="A40" s="43"/>
      <c r="B40" s="41"/>
      <c r="C40" s="38" t="s">
        <v>60</v>
      </c>
      <c r="D40" s="42"/>
      <c r="E40" s="39"/>
      <c r="F40" s="18" t="s">
        <v>28</v>
      </c>
      <c r="G40" s="19"/>
      <c r="H40" s="22">
        <v>826.4</v>
      </c>
      <c r="I40" s="22">
        <v>811.9</v>
      </c>
      <c r="J40" s="22">
        <v>837</v>
      </c>
      <c r="K40" s="22">
        <v>820</v>
      </c>
      <c r="L40" s="22">
        <v>874.4</v>
      </c>
      <c r="M40" s="22">
        <v>875.7</v>
      </c>
      <c r="N40" s="22">
        <v>871.4</v>
      </c>
      <c r="O40" s="22">
        <v>900</v>
      </c>
      <c r="P40" s="22">
        <v>918.7</v>
      </c>
      <c r="Q40" s="22">
        <v>928.2</v>
      </c>
      <c r="R40" s="22">
        <v>943.2</v>
      </c>
      <c r="S40" s="22">
        <v>974.4</v>
      </c>
      <c r="T40" s="22">
        <v>995.6</v>
      </c>
      <c r="U40" s="22">
        <v>1023.7</v>
      </c>
      <c r="V40" s="22">
        <v>1072.4000000000001</v>
      </c>
      <c r="W40" s="22">
        <v>1096.9000000000001</v>
      </c>
      <c r="X40" s="22">
        <v>1015.4</v>
      </c>
      <c r="Y40" s="22">
        <v>903.6</v>
      </c>
      <c r="Z40" s="22">
        <v>781.8</v>
      </c>
      <c r="AA40" s="22">
        <v>661.7</v>
      </c>
      <c r="AB40" s="22">
        <v>587.1</v>
      </c>
      <c r="AC40" s="22">
        <v>469</v>
      </c>
      <c r="AD40" s="22">
        <v>487.2</v>
      </c>
      <c r="AE40" s="22">
        <v>515.70000000000005</v>
      </c>
      <c r="AF40" s="3">
        <f t="shared" si="0"/>
        <v>702</v>
      </c>
      <c r="AG40" s="3">
        <f t="shared" si="1"/>
        <v>691</v>
      </c>
      <c r="AH40" s="3">
        <f t="shared" si="2"/>
        <v>680</v>
      </c>
      <c r="AI40" s="3">
        <f t="shared" si="3"/>
        <v>669</v>
      </c>
      <c r="AJ40" s="3">
        <f t="shared" si="4"/>
        <v>657</v>
      </c>
      <c r="AK40" s="3">
        <f t="shared" si="5"/>
        <v>646</v>
      </c>
      <c r="AL40" s="3">
        <f t="shared" si="6"/>
        <v>635</v>
      </c>
    </row>
    <row r="41" spans="1:38" ht="15.75" customHeight="1" x14ac:dyDescent="0.2">
      <c r="A41" s="43"/>
      <c r="B41" s="38" t="s">
        <v>61</v>
      </c>
      <c r="C41" s="42"/>
      <c r="D41" s="42"/>
      <c r="E41" s="39"/>
      <c r="F41" s="18" t="s">
        <v>28</v>
      </c>
      <c r="G41" s="19"/>
      <c r="H41" s="22">
        <v>227.4</v>
      </c>
      <c r="I41" s="22">
        <v>234</v>
      </c>
      <c r="J41" s="22">
        <v>241</v>
      </c>
      <c r="K41" s="22">
        <v>244.1</v>
      </c>
      <c r="L41" s="22">
        <v>252.6</v>
      </c>
      <c r="M41" s="22">
        <v>256.7</v>
      </c>
      <c r="N41" s="22">
        <v>260.10000000000002</v>
      </c>
      <c r="O41" s="22">
        <v>263.89999999999998</v>
      </c>
      <c r="P41" s="22">
        <v>266.89999999999998</v>
      </c>
      <c r="Q41" s="22">
        <v>270.8</v>
      </c>
      <c r="R41" s="22">
        <v>275.10000000000002</v>
      </c>
      <c r="S41" s="22">
        <v>311.60000000000002</v>
      </c>
      <c r="T41" s="22">
        <v>294.39999999999998</v>
      </c>
      <c r="U41" s="22">
        <v>285.8</v>
      </c>
      <c r="V41" s="22">
        <v>306</v>
      </c>
      <c r="W41" s="22">
        <v>311.5</v>
      </c>
      <c r="X41" s="22">
        <v>351.1</v>
      </c>
      <c r="Y41" s="22">
        <v>372.7</v>
      </c>
      <c r="Z41" s="22">
        <v>373.3</v>
      </c>
      <c r="AA41" s="22">
        <v>438.6</v>
      </c>
      <c r="AB41" s="22">
        <v>484.9</v>
      </c>
      <c r="AC41" s="22">
        <v>556.70000000000005</v>
      </c>
      <c r="AD41" s="22">
        <v>671.5</v>
      </c>
      <c r="AE41" s="22">
        <v>777.4</v>
      </c>
      <c r="AF41" s="3">
        <f t="shared" si="0"/>
        <v>558</v>
      </c>
      <c r="AG41" s="3">
        <f t="shared" si="1"/>
        <v>575</v>
      </c>
      <c r="AH41" s="3">
        <f t="shared" si="2"/>
        <v>592</v>
      </c>
      <c r="AI41" s="3">
        <f t="shared" si="3"/>
        <v>609</v>
      </c>
      <c r="AJ41" s="3">
        <f t="shared" si="4"/>
        <v>626</v>
      </c>
      <c r="AK41" s="3">
        <f t="shared" si="5"/>
        <v>642</v>
      </c>
      <c r="AL41" s="3">
        <f t="shared" si="6"/>
        <v>659</v>
      </c>
    </row>
    <row r="42" spans="1:38" ht="28.5" customHeight="1" x14ac:dyDescent="0.2">
      <c r="A42" s="43"/>
      <c r="B42" s="40" t="s">
        <v>61</v>
      </c>
      <c r="C42" s="38" t="s">
        <v>62</v>
      </c>
      <c r="D42" s="42"/>
      <c r="E42" s="39"/>
      <c r="F42" s="18" t="s">
        <v>28</v>
      </c>
      <c r="G42" s="19"/>
      <c r="H42" s="22">
        <v>201.5</v>
      </c>
      <c r="I42" s="22">
        <v>207.3</v>
      </c>
      <c r="J42" s="22">
        <v>213.5</v>
      </c>
      <c r="K42" s="22">
        <v>216.3</v>
      </c>
      <c r="L42" s="22">
        <v>223.8</v>
      </c>
      <c r="M42" s="22">
        <v>227.5</v>
      </c>
      <c r="N42" s="22">
        <v>230.5</v>
      </c>
      <c r="O42" s="22">
        <v>231.8</v>
      </c>
      <c r="P42" s="22">
        <v>234.3</v>
      </c>
      <c r="Q42" s="22">
        <v>238.3</v>
      </c>
      <c r="R42" s="22">
        <v>242.7</v>
      </c>
      <c r="S42" s="22">
        <v>275.39999999999998</v>
      </c>
      <c r="T42" s="22">
        <v>260.10000000000002</v>
      </c>
      <c r="U42" s="22">
        <v>253.3</v>
      </c>
      <c r="V42" s="22">
        <v>272</v>
      </c>
      <c r="W42" s="22">
        <v>274.39999999999998</v>
      </c>
      <c r="X42" s="22">
        <v>301.8</v>
      </c>
      <c r="Y42" s="22">
        <v>311.3</v>
      </c>
      <c r="Z42" s="22">
        <v>301.5</v>
      </c>
      <c r="AA42" s="22">
        <v>340.7</v>
      </c>
      <c r="AB42" s="22">
        <v>367.4</v>
      </c>
      <c r="AC42" s="22">
        <v>392.2</v>
      </c>
      <c r="AD42" s="22">
        <v>464.4</v>
      </c>
      <c r="AE42" s="22">
        <v>544.20000000000005</v>
      </c>
      <c r="AF42" s="3">
        <f t="shared" si="0"/>
        <v>415</v>
      </c>
      <c r="AG42" s="3">
        <f t="shared" si="1"/>
        <v>425</v>
      </c>
      <c r="AH42" s="3">
        <f t="shared" si="2"/>
        <v>436</v>
      </c>
      <c r="AI42" s="3">
        <f t="shared" si="3"/>
        <v>446</v>
      </c>
      <c r="AJ42" s="3">
        <f t="shared" si="4"/>
        <v>457</v>
      </c>
      <c r="AK42" s="3">
        <f t="shared" si="5"/>
        <v>467</v>
      </c>
      <c r="AL42" s="3">
        <f t="shared" si="6"/>
        <v>478</v>
      </c>
    </row>
    <row r="43" spans="1:38" ht="15.75" customHeight="1" x14ac:dyDescent="0.2">
      <c r="A43" s="43"/>
      <c r="B43" s="41"/>
      <c r="C43" s="38" t="s">
        <v>63</v>
      </c>
      <c r="D43" s="42"/>
      <c r="E43" s="39"/>
      <c r="F43" s="18" t="s">
        <v>28</v>
      </c>
      <c r="G43" s="19"/>
      <c r="H43" s="22">
        <v>25.9</v>
      </c>
      <c r="I43" s="22">
        <v>26.6</v>
      </c>
      <c r="J43" s="22">
        <v>27.4</v>
      </c>
      <c r="K43" s="22">
        <v>27.8</v>
      </c>
      <c r="L43" s="22">
        <v>28.8</v>
      </c>
      <c r="M43" s="22">
        <v>29.2</v>
      </c>
      <c r="N43" s="22">
        <v>29.6</v>
      </c>
      <c r="O43" s="22">
        <v>32.1</v>
      </c>
      <c r="P43" s="22">
        <v>32.6</v>
      </c>
      <c r="Q43" s="22">
        <v>32.5</v>
      </c>
      <c r="R43" s="22">
        <v>32.299999999999997</v>
      </c>
      <c r="S43" s="22">
        <v>36.1</v>
      </c>
      <c r="T43" s="22">
        <v>34.299999999999997</v>
      </c>
      <c r="U43" s="22">
        <v>32.5</v>
      </c>
      <c r="V43" s="22">
        <v>34</v>
      </c>
      <c r="W43" s="22">
        <v>37.1</v>
      </c>
      <c r="X43" s="22">
        <v>49.3</v>
      </c>
      <c r="Y43" s="22">
        <v>61.4</v>
      </c>
      <c r="Z43" s="22">
        <v>71.8</v>
      </c>
      <c r="AA43" s="22">
        <v>98</v>
      </c>
      <c r="AB43" s="22">
        <v>117.6</v>
      </c>
      <c r="AC43" s="22">
        <v>164.5</v>
      </c>
      <c r="AD43" s="22">
        <v>207.1</v>
      </c>
      <c r="AE43" s="22">
        <v>233.2</v>
      </c>
      <c r="AF43" s="3">
        <f t="shared" si="0"/>
        <v>144</v>
      </c>
      <c r="AG43" s="3">
        <f t="shared" si="1"/>
        <v>150</v>
      </c>
      <c r="AH43" s="3">
        <f t="shared" si="2"/>
        <v>157</v>
      </c>
      <c r="AI43" s="3">
        <f t="shared" si="3"/>
        <v>163</v>
      </c>
      <c r="AJ43" s="3">
        <f t="shared" si="4"/>
        <v>169</v>
      </c>
      <c r="AK43" s="3">
        <f t="shared" si="5"/>
        <v>176</v>
      </c>
      <c r="AL43" s="3">
        <f t="shared" si="6"/>
        <v>182</v>
      </c>
    </row>
    <row r="44" spans="1:38" ht="15.75" customHeight="1" x14ac:dyDescent="0.2">
      <c r="A44" s="43"/>
      <c r="B44" s="38" t="s">
        <v>64</v>
      </c>
      <c r="C44" s="42"/>
      <c r="D44" s="42"/>
      <c r="E44" s="39"/>
      <c r="F44" s="18" t="s">
        <v>28</v>
      </c>
      <c r="G44" s="19"/>
      <c r="H44" s="22">
        <v>3698.2</v>
      </c>
      <c r="I44" s="22">
        <v>3805.7</v>
      </c>
      <c r="J44" s="22">
        <v>3920.1</v>
      </c>
      <c r="K44" s="22">
        <v>3992.1</v>
      </c>
      <c r="L44" s="22">
        <v>4115</v>
      </c>
      <c r="M44" s="22">
        <v>4187.2</v>
      </c>
      <c r="N44" s="22">
        <v>4249.8</v>
      </c>
      <c r="O44" s="22">
        <v>4301.2</v>
      </c>
      <c r="P44" s="22">
        <v>4354.1000000000004</v>
      </c>
      <c r="Q44" s="22">
        <v>4407.5</v>
      </c>
      <c r="R44" s="22">
        <v>4469</v>
      </c>
      <c r="S44" s="22">
        <v>4484.7</v>
      </c>
      <c r="T44" s="22">
        <v>4646.3</v>
      </c>
      <c r="U44" s="22">
        <v>4902.3999999999996</v>
      </c>
      <c r="V44" s="22">
        <v>4928</v>
      </c>
      <c r="W44" s="22">
        <v>5066.7</v>
      </c>
      <c r="X44" s="22">
        <v>5850</v>
      </c>
      <c r="Y44" s="22">
        <v>6295.8</v>
      </c>
      <c r="Z44" s="22">
        <v>6589.4</v>
      </c>
      <c r="AA44" s="22">
        <v>7118.2</v>
      </c>
      <c r="AB44" s="22">
        <v>7864.3</v>
      </c>
      <c r="AC44" s="22">
        <v>7731.6</v>
      </c>
      <c r="AD44" s="22">
        <v>7447.3</v>
      </c>
      <c r="AE44" s="22">
        <v>7514.6</v>
      </c>
      <c r="AF44" s="3">
        <f t="shared" si="0"/>
        <v>7554</v>
      </c>
      <c r="AG44" s="3">
        <f t="shared" si="1"/>
        <v>7738</v>
      </c>
      <c r="AH44" s="3">
        <f t="shared" si="2"/>
        <v>7923</v>
      </c>
      <c r="AI44" s="3">
        <f t="shared" si="3"/>
        <v>8107</v>
      </c>
      <c r="AJ44" s="3">
        <f t="shared" si="4"/>
        <v>8292</v>
      </c>
      <c r="AK44" s="3">
        <f t="shared" si="5"/>
        <v>8476</v>
      </c>
      <c r="AL44" s="3">
        <f t="shared" si="6"/>
        <v>8661</v>
      </c>
    </row>
    <row r="45" spans="1:38" ht="15.75" customHeight="1" x14ac:dyDescent="0.2">
      <c r="A45" s="43"/>
      <c r="B45" s="38" t="s">
        <v>65</v>
      </c>
      <c r="C45" s="42"/>
      <c r="D45" s="42"/>
      <c r="E45" s="39"/>
      <c r="F45" s="18" t="s">
        <v>28</v>
      </c>
      <c r="G45" s="19"/>
      <c r="H45" s="22">
        <v>21229.8</v>
      </c>
      <c r="I45" s="22">
        <v>21883.5</v>
      </c>
      <c r="J45" s="22">
        <v>22513.8</v>
      </c>
      <c r="K45" s="22">
        <v>22941.200000000001</v>
      </c>
      <c r="L45" s="22">
        <v>23584.799999999999</v>
      </c>
      <c r="M45" s="22">
        <v>23981.5</v>
      </c>
      <c r="N45" s="22">
        <v>24339.8</v>
      </c>
      <c r="O45" s="22">
        <v>24844.6</v>
      </c>
      <c r="P45" s="22">
        <v>25010.799999999999</v>
      </c>
      <c r="Q45" s="22">
        <v>25445.599999999999</v>
      </c>
      <c r="R45" s="22">
        <v>25635.599999999999</v>
      </c>
      <c r="S45" s="22">
        <v>26085.1</v>
      </c>
      <c r="T45" s="22">
        <v>26772</v>
      </c>
      <c r="U45" s="22">
        <v>28196.799999999999</v>
      </c>
      <c r="V45" s="22">
        <v>29468.1</v>
      </c>
      <c r="W45" s="22">
        <v>29659</v>
      </c>
      <c r="X45" s="22">
        <v>30816.799999999999</v>
      </c>
      <c r="Y45" s="22">
        <v>31762.3</v>
      </c>
      <c r="Z45" s="22">
        <v>33674.1</v>
      </c>
      <c r="AA45" s="22">
        <v>34103.1</v>
      </c>
      <c r="AB45" s="22">
        <v>35379.300000000003</v>
      </c>
      <c r="AC45" s="22">
        <v>37222.5</v>
      </c>
      <c r="AD45" s="22">
        <v>38282.699999999997</v>
      </c>
      <c r="AE45" s="22">
        <v>40037.5</v>
      </c>
      <c r="AF45" s="3">
        <f t="shared" si="0"/>
        <v>37954</v>
      </c>
      <c r="AG45" s="3">
        <f t="shared" si="1"/>
        <v>38714</v>
      </c>
      <c r="AH45" s="3">
        <f t="shared" si="2"/>
        <v>39474</v>
      </c>
      <c r="AI45" s="3">
        <f t="shared" si="3"/>
        <v>40234</v>
      </c>
      <c r="AJ45" s="3">
        <f t="shared" si="4"/>
        <v>40994</v>
      </c>
      <c r="AK45" s="3">
        <f t="shared" si="5"/>
        <v>41754</v>
      </c>
      <c r="AL45" s="3">
        <f t="shared" si="6"/>
        <v>42514</v>
      </c>
    </row>
    <row r="46" spans="1:38" ht="15.75" customHeight="1" x14ac:dyDescent="0.2">
      <c r="A46" s="43"/>
      <c r="B46" s="40" t="s">
        <v>65</v>
      </c>
      <c r="C46" s="38" t="s">
        <v>66</v>
      </c>
      <c r="D46" s="42"/>
      <c r="E46" s="39"/>
      <c r="F46" s="18" t="s">
        <v>28</v>
      </c>
      <c r="G46" s="19"/>
      <c r="H46" s="22">
        <v>19188.400000000001</v>
      </c>
      <c r="I46" s="22">
        <v>19769.7</v>
      </c>
      <c r="J46" s="22">
        <v>20346.3</v>
      </c>
      <c r="K46" s="22">
        <v>20728.900000000001</v>
      </c>
      <c r="L46" s="22">
        <v>21326.799999999999</v>
      </c>
      <c r="M46" s="22">
        <v>21690.2</v>
      </c>
      <c r="N46" s="22">
        <v>22014.3</v>
      </c>
      <c r="O46" s="22">
        <v>22415.1</v>
      </c>
      <c r="P46" s="22">
        <v>22601.8</v>
      </c>
      <c r="Q46" s="22">
        <v>22960.799999999999</v>
      </c>
      <c r="R46" s="22">
        <v>23175.599999999999</v>
      </c>
      <c r="S46" s="22">
        <v>23607.5</v>
      </c>
      <c r="T46" s="22">
        <v>24232.3</v>
      </c>
      <c r="U46" s="22">
        <v>25522.5</v>
      </c>
      <c r="V46" s="22">
        <v>26678.400000000001</v>
      </c>
      <c r="W46" s="22">
        <v>26833.200000000001</v>
      </c>
      <c r="X46" s="22">
        <v>27896.6</v>
      </c>
      <c r="Y46" s="22">
        <v>28768.2</v>
      </c>
      <c r="Z46" s="22">
        <v>30525.1</v>
      </c>
      <c r="AA46" s="22">
        <v>30956.9</v>
      </c>
      <c r="AB46" s="22">
        <v>32196.9</v>
      </c>
      <c r="AC46" s="22">
        <v>33864.300000000003</v>
      </c>
      <c r="AD46" s="22">
        <v>34840.6</v>
      </c>
      <c r="AE46" s="22">
        <v>36479.300000000003</v>
      </c>
      <c r="AF46" s="3">
        <f t="shared" si="0"/>
        <v>34498</v>
      </c>
      <c r="AG46" s="3">
        <f t="shared" si="1"/>
        <v>35196</v>
      </c>
      <c r="AH46" s="3">
        <f t="shared" si="2"/>
        <v>35893</v>
      </c>
      <c r="AI46" s="3">
        <f t="shared" si="3"/>
        <v>36591</v>
      </c>
      <c r="AJ46" s="3">
        <f t="shared" si="4"/>
        <v>37289</v>
      </c>
      <c r="AK46" s="3">
        <f t="shared" si="5"/>
        <v>37987</v>
      </c>
      <c r="AL46" s="3">
        <f t="shared" si="6"/>
        <v>38684</v>
      </c>
    </row>
    <row r="47" spans="1:38" ht="15.75" customHeight="1" x14ac:dyDescent="0.2">
      <c r="A47" s="43"/>
      <c r="B47" s="43"/>
      <c r="C47" s="40" t="s">
        <v>66</v>
      </c>
      <c r="D47" s="38" t="s">
        <v>67</v>
      </c>
      <c r="E47" s="39"/>
      <c r="F47" s="18" t="s">
        <v>28</v>
      </c>
      <c r="G47" s="19"/>
      <c r="H47" s="22">
        <v>13028.2</v>
      </c>
      <c r="I47" s="22">
        <v>13422.8</v>
      </c>
      <c r="J47" s="22">
        <v>13814.4</v>
      </c>
      <c r="K47" s="22">
        <v>14074</v>
      </c>
      <c r="L47" s="22">
        <v>14479.8</v>
      </c>
      <c r="M47" s="22">
        <v>14727.5</v>
      </c>
      <c r="N47" s="22">
        <v>14946.3</v>
      </c>
      <c r="O47" s="22">
        <v>15217.7</v>
      </c>
      <c r="P47" s="22">
        <v>15349.7</v>
      </c>
      <c r="Q47" s="22">
        <v>15585.1</v>
      </c>
      <c r="R47" s="22">
        <v>15731.7</v>
      </c>
      <c r="S47" s="22">
        <v>16049.2</v>
      </c>
      <c r="T47" s="22">
        <v>16421.2</v>
      </c>
      <c r="U47" s="22">
        <v>17327.400000000001</v>
      </c>
      <c r="V47" s="22">
        <v>18217.7</v>
      </c>
      <c r="W47" s="22">
        <v>18000.400000000001</v>
      </c>
      <c r="X47" s="22">
        <v>19041.2</v>
      </c>
      <c r="Y47" s="22">
        <v>19960.2</v>
      </c>
      <c r="Z47" s="22">
        <v>21508.6</v>
      </c>
      <c r="AA47" s="22">
        <v>22062.2</v>
      </c>
      <c r="AB47" s="22">
        <v>23445.3</v>
      </c>
      <c r="AC47" s="22">
        <v>24534.400000000001</v>
      </c>
      <c r="AD47" s="22">
        <v>24891.8</v>
      </c>
      <c r="AE47" s="22">
        <v>26219.599999999999</v>
      </c>
      <c r="AF47" s="3">
        <f t="shared" si="0"/>
        <v>24551</v>
      </c>
      <c r="AG47" s="3">
        <f t="shared" si="1"/>
        <v>25088</v>
      </c>
      <c r="AH47" s="3">
        <f t="shared" si="2"/>
        <v>25626</v>
      </c>
      <c r="AI47" s="3">
        <f t="shared" si="3"/>
        <v>26163</v>
      </c>
      <c r="AJ47" s="3">
        <f t="shared" si="4"/>
        <v>26700</v>
      </c>
      <c r="AK47" s="3">
        <f t="shared" si="5"/>
        <v>27237</v>
      </c>
      <c r="AL47" s="3">
        <f t="shared" si="6"/>
        <v>27775</v>
      </c>
    </row>
    <row r="48" spans="1:38" ht="15.75" customHeight="1" x14ac:dyDescent="0.2">
      <c r="A48" s="43"/>
      <c r="B48" s="43"/>
      <c r="C48" s="43"/>
      <c r="D48" s="38" t="s">
        <v>68</v>
      </c>
      <c r="E48" s="39"/>
      <c r="F48" s="18" t="s">
        <v>28</v>
      </c>
      <c r="G48" s="19"/>
      <c r="H48" s="22">
        <v>2919.3</v>
      </c>
      <c r="I48" s="22">
        <v>3007.8</v>
      </c>
      <c r="J48" s="22">
        <v>3095.3</v>
      </c>
      <c r="K48" s="22">
        <v>3153.7</v>
      </c>
      <c r="L48" s="22">
        <v>3244.9</v>
      </c>
      <c r="M48" s="22">
        <v>3299.2</v>
      </c>
      <c r="N48" s="22">
        <v>3349.7</v>
      </c>
      <c r="O48" s="22">
        <v>3411.3</v>
      </c>
      <c r="P48" s="22">
        <v>3434.8</v>
      </c>
      <c r="Q48" s="22">
        <v>3497.3</v>
      </c>
      <c r="R48" s="22">
        <v>3529.2</v>
      </c>
      <c r="S48" s="22">
        <v>3572.1</v>
      </c>
      <c r="T48" s="22">
        <v>3716.5</v>
      </c>
      <c r="U48" s="22">
        <v>3883.9</v>
      </c>
      <c r="V48" s="22">
        <v>3960.8</v>
      </c>
      <c r="W48" s="22">
        <v>4288.6000000000004</v>
      </c>
      <c r="X48" s="22">
        <v>4147.7</v>
      </c>
      <c r="Y48" s="22">
        <v>3975.2</v>
      </c>
      <c r="Z48" s="22">
        <v>3916.4</v>
      </c>
      <c r="AA48" s="22">
        <v>3771.4</v>
      </c>
      <c r="AB48" s="22">
        <v>3529.8</v>
      </c>
      <c r="AC48" s="22">
        <v>3865.6</v>
      </c>
      <c r="AD48" s="22">
        <v>4333.8</v>
      </c>
      <c r="AE48" s="22">
        <v>4395.8999999999996</v>
      </c>
      <c r="AF48" s="3">
        <f t="shared" si="0"/>
        <v>4300</v>
      </c>
      <c r="AG48" s="3">
        <f t="shared" si="1"/>
        <v>4353</v>
      </c>
      <c r="AH48" s="3">
        <f t="shared" si="2"/>
        <v>4406</v>
      </c>
      <c r="AI48" s="3">
        <f t="shared" si="3"/>
        <v>4459</v>
      </c>
      <c r="AJ48" s="3">
        <f t="shared" si="4"/>
        <v>4512</v>
      </c>
      <c r="AK48" s="3">
        <f t="shared" si="5"/>
        <v>4565</v>
      </c>
      <c r="AL48" s="3">
        <f t="shared" si="6"/>
        <v>4617</v>
      </c>
    </row>
    <row r="49" spans="1:38" ht="15.75" customHeight="1" x14ac:dyDescent="0.2">
      <c r="A49" s="43"/>
      <c r="B49" s="43"/>
      <c r="C49" s="43"/>
      <c r="D49" s="40" t="s">
        <v>68</v>
      </c>
      <c r="E49" s="23" t="s">
        <v>69</v>
      </c>
      <c r="F49" s="18" t="s">
        <v>28</v>
      </c>
      <c r="G49" s="19"/>
      <c r="H49" s="22">
        <v>1499.5</v>
      </c>
      <c r="I49" s="22">
        <v>1545.5</v>
      </c>
      <c r="J49" s="22">
        <v>1590.5</v>
      </c>
      <c r="K49" s="22">
        <v>1620.5</v>
      </c>
      <c r="L49" s="22">
        <v>1667.4</v>
      </c>
      <c r="M49" s="22">
        <v>1695.2</v>
      </c>
      <c r="N49" s="22">
        <v>1720.6</v>
      </c>
      <c r="O49" s="22">
        <v>1752.4</v>
      </c>
      <c r="P49" s="22">
        <v>1763.5</v>
      </c>
      <c r="Q49" s="22">
        <v>1797.2</v>
      </c>
      <c r="R49" s="22">
        <v>1813.3</v>
      </c>
      <c r="S49" s="22">
        <v>1831.3</v>
      </c>
      <c r="T49" s="22">
        <v>1915</v>
      </c>
      <c r="U49" s="22">
        <v>1995.4</v>
      </c>
      <c r="V49" s="22">
        <v>2016</v>
      </c>
      <c r="W49" s="22">
        <v>2242.5</v>
      </c>
      <c r="X49" s="22">
        <v>2089.5</v>
      </c>
      <c r="Y49" s="22">
        <v>1945.4</v>
      </c>
      <c r="Z49" s="22">
        <v>1859.8</v>
      </c>
      <c r="AA49" s="22">
        <v>1690.1</v>
      </c>
      <c r="AB49" s="22">
        <v>1395.5</v>
      </c>
      <c r="AC49" s="22">
        <v>1454.2</v>
      </c>
      <c r="AD49" s="22">
        <v>1600</v>
      </c>
      <c r="AE49" s="22">
        <v>1592.3</v>
      </c>
      <c r="AF49" s="3">
        <f t="shared" si="0"/>
        <v>1808</v>
      </c>
      <c r="AG49" s="3">
        <f t="shared" si="1"/>
        <v>1813</v>
      </c>
      <c r="AH49" s="3">
        <f t="shared" si="2"/>
        <v>1817</v>
      </c>
      <c r="AI49" s="3">
        <f t="shared" si="3"/>
        <v>1821</v>
      </c>
      <c r="AJ49" s="3">
        <f t="shared" si="4"/>
        <v>1826</v>
      </c>
      <c r="AK49" s="3">
        <f t="shared" si="5"/>
        <v>1830</v>
      </c>
      <c r="AL49" s="3">
        <f t="shared" si="6"/>
        <v>1834</v>
      </c>
    </row>
    <row r="50" spans="1:38" ht="15.75" customHeight="1" x14ac:dyDescent="0.2">
      <c r="A50" s="43"/>
      <c r="B50" s="43"/>
      <c r="C50" s="43"/>
      <c r="D50" s="43"/>
      <c r="E50" s="23" t="s">
        <v>70</v>
      </c>
      <c r="F50" s="18" t="s">
        <v>28</v>
      </c>
      <c r="G50" s="19"/>
      <c r="H50" s="22">
        <v>343.7</v>
      </c>
      <c r="I50" s="22">
        <v>354.2</v>
      </c>
      <c r="J50" s="22">
        <v>364.5</v>
      </c>
      <c r="K50" s="22">
        <v>371.4</v>
      </c>
      <c r="L50" s="22">
        <v>382.2</v>
      </c>
      <c r="M50" s="22">
        <v>388.6</v>
      </c>
      <c r="N50" s="22">
        <v>394.4</v>
      </c>
      <c r="O50" s="22">
        <v>401.6</v>
      </c>
      <c r="P50" s="22">
        <v>404.3</v>
      </c>
      <c r="Q50" s="22">
        <v>411.8</v>
      </c>
      <c r="R50" s="22">
        <v>415.5</v>
      </c>
      <c r="S50" s="22">
        <v>420.4</v>
      </c>
      <c r="T50" s="22">
        <v>437.9</v>
      </c>
      <c r="U50" s="22">
        <v>457.4</v>
      </c>
      <c r="V50" s="22">
        <v>465.5</v>
      </c>
      <c r="W50" s="22">
        <v>506.6</v>
      </c>
      <c r="X50" s="22">
        <v>482.7</v>
      </c>
      <c r="Y50" s="22">
        <v>459.6</v>
      </c>
      <c r="Z50" s="22">
        <v>449.4</v>
      </c>
      <c r="AA50" s="22">
        <v>417.6</v>
      </c>
      <c r="AB50" s="22">
        <v>360.6</v>
      </c>
      <c r="AC50" s="22">
        <v>375.7</v>
      </c>
      <c r="AD50" s="22">
        <v>407</v>
      </c>
      <c r="AE50" s="22">
        <v>409.2</v>
      </c>
      <c r="AF50" s="3">
        <f t="shared" si="0"/>
        <v>448</v>
      </c>
      <c r="AG50" s="3">
        <f t="shared" si="1"/>
        <v>451</v>
      </c>
      <c r="AH50" s="3">
        <f t="shared" si="2"/>
        <v>453</v>
      </c>
      <c r="AI50" s="3">
        <f t="shared" si="3"/>
        <v>456</v>
      </c>
      <c r="AJ50" s="3">
        <f t="shared" si="4"/>
        <v>459</v>
      </c>
      <c r="AK50" s="3">
        <f t="shared" si="5"/>
        <v>462</v>
      </c>
      <c r="AL50" s="3">
        <f t="shared" si="6"/>
        <v>465</v>
      </c>
    </row>
    <row r="51" spans="1:38" ht="15.75" customHeight="1" x14ac:dyDescent="0.2">
      <c r="A51" s="43"/>
      <c r="B51" s="43"/>
      <c r="C51" s="43"/>
      <c r="D51" s="43"/>
      <c r="E51" s="23" t="s">
        <v>71</v>
      </c>
      <c r="F51" s="18" t="s">
        <v>28</v>
      </c>
      <c r="G51" s="19"/>
      <c r="H51" s="22">
        <v>520.79999999999995</v>
      </c>
      <c r="I51" s="22">
        <v>536.79999999999995</v>
      </c>
      <c r="J51" s="22">
        <v>552.5</v>
      </c>
      <c r="K51" s="22">
        <v>562.9</v>
      </c>
      <c r="L51" s="22">
        <v>579.1</v>
      </c>
      <c r="M51" s="22">
        <v>589</v>
      </c>
      <c r="N51" s="22">
        <v>597.6</v>
      </c>
      <c r="O51" s="22">
        <v>608.5</v>
      </c>
      <c r="P51" s="22">
        <v>613.20000000000005</v>
      </c>
      <c r="Q51" s="22">
        <v>623.5</v>
      </c>
      <c r="R51" s="22">
        <v>629.29999999999995</v>
      </c>
      <c r="S51" s="22">
        <v>639.70000000000005</v>
      </c>
      <c r="T51" s="22">
        <v>659.6</v>
      </c>
      <c r="U51" s="22">
        <v>693.2</v>
      </c>
      <c r="V51" s="22">
        <v>718.2</v>
      </c>
      <c r="W51" s="22">
        <v>740.8</v>
      </c>
      <c r="X51" s="22">
        <v>744.8</v>
      </c>
      <c r="Y51" s="22">
        <v>748.2</v>
      </c>
      <c r="Z51" s="22">
        <v>771.8</v>
      </c>
      <c r="AA51" s="22">
        <v>856.6</v>
      </c>
      <c r="AB51" s="22">
        <v>1020.5</v>
      </c>
      <c r="AC51" s="22">
        <v>1251</v>
      </c>
      <c r="AD51" s="22">
        <v>1499.2</v>
      </c>
      <c r="AE51" s="22">
        <v>1547.3</v>
      </c>
      <c r="AF51" s="3">
        <f t="shared" si="0"/>
        <v>1176</v>
      </c>
      <c r="AG51" s="3">
        <f t="shared" si="1"/>
        <v>1209</v>
      </c>
      <c r="AH51" s="3">
        <f t="shared" si="2"/>
        <v>1241</v>
      </c>
      <c r="AI51" s="3">
        <f t="shared" si="3"/>
        <v>1274</v>
      </c>
      <c r="AJ51" s="3">
        <f t="shared" si="4"/>
        <v>1307</v>
      </c>
      <c r="AK51" s="3">
        <f t="shared" si="5"/>
        <v>1340</v>
      </c>
      <c r="AL51" s="3">
        <f t="shared" si="6"/>
        <v>1373</v>
      </c>
    </row>
    <row r="52" spans="1:38" ht="15.75" customHeight="1" x14ac:dyDescent="0.2">
      <c r="A52" s="43"/>
      <c r="B52" s="43"/>
      <c r="C52" s="43"/>
      <c r="D52" s="43"/>
      <c r="E52" s="23" t="s">
        <v>72</v>
      </c>
      <c r="F52" s="18" t="s">
        <v>28</v>
      </c>
      <c r="G52" s="19"/>
      <c r="H52" s="22">
        <v>466.3</v>
      </c>
      <c r="I52" s="22">
        <v>480.7</v>
      </c>
      <c r="J52" s="22">
        <v>494.7</v>
      </c>
      <c r="K52" s="22">
        <v>504</v>
      </c>
      <c r="L52" s="22">
        <v>518.5</v>
      </c>
      <c r="M52" s="22">
        <v>527.29999999999995</v>
      </c>
      <c r="N52" s="22">
        <v>535.1</v>
      </c>
      <c r="O52" s="22">
        <v>544.9</v>
      </c>
      <c r="P52" s="22">
        <v>548.9</v>
      </c>
      <c r="Q52" s="22">
        <v>558.4</v>
      </c>
      <c r="R52" s="22">
        <v>563.6</v>
      </c>
      <c r="S52" s="22">
        <v>571.9</v>
      </c>
      <c r="T52" s="22">
        <v>591.9</v>
      </c>
      <c r="U52" s="22">
        <v>620.6</v>
      </c>
      <c r="V52" s="22">
        <v>638.6</v>
      </c>
      <c r="W52" s="22">
        <v>672.5</v>
      </c>
      <c r="X52" s="22">
        <v>662.5</v>
      </c>
      <c r="Y52" s="22">
        <v>652.1</v>
      </c>
      <c r="Z52" s="22">
        <v>659.1</v>
      </c>
      <c r="AA52" s="22">
        <v>633.20000000000005</v>
      </c>
      <c r="AB52" s="22">
        <v>584.4</v>
      </c>
      <c r="AC52" s="22">
        <v>608.9</v>
      </c>
      <c r="AD52" s="22">
        <v>644.79999999999995</v>
      </c>
      <c r="AE52" s="22">
        <v>658.2</v>
      </c>
      <c r="AF52" s="3">
        <f t="shared" si="0"/>
        <v>683</v>
      </c>
      <c r="AG52" s="3">
        <f t="shared" si="1"/>
        <v>691</v>
      </c>
      <c r="AH52" s="3">
        <f t="shared" si="2"/>
        <v>699</v>
      </c>
      <c r="AI52" s="3">
        <f t="shared" si="3"/>
        <v>707</v>
      </c>
      <c r="AJ52" s="3">
        <f t="shared" si="4"/>
        <v>715</v>
      </c>
      <c r="AK52" s="3">
        <f t="shared" si="5"/>
        <v>723</v>
      </c>
      <c r="AL52" s="3">
        <f t="shared" si="6"/>
        <v>731</v>
      </c>
    </row>
    <row r="53" spans="1:38" ht="15.75" customHeight="1" x14ac:dyDescent="0.2">
      <c r="A53" s="43"/>
      <c r="B53" s="43"/>
      <c r="C53" s="43"/>
      <c r="D53" s="41"/>
      <c r="E53" s="23" t="s">
        <v>73</v>
      </c>
      <c r="F53" s="18" t="s">
        <v>28</v>
      </c>
      <c r="G53" s="19"/>
      <c r="H53" s="22">
        <v>89</v>
      </c>
      <c r="I53" s="22">
        <v>90.5</v>
      </c>
      <c r="J53" s="22">
        <v>93.2</v>
      </c>
      <c r="K53" s="22">
        <v>94.9</v>
      </c>
      <c r="L53" s="22">
        <v>97.7</v>
      </c>
      <c r="M53" s="22">
        <v>99.1</v>
      </c>
      <c r="N53" s="22">
        <v>102.1</v>
      </c>
      <c r="O53" s="22">
        <v>104</v>
      </c>
      <c r="P53" s="22">
        <v>104.9</v>
      </c>
      <c r="Q53" s="22">
        <v>106.5</v>
      </c>
      <c r="R53" s="22">
        <v>107.5</v>
      </c>
      <c r="S53" s="22">
        <v>108.8</v>
      </c>
      <c r="T53" s="22">
        <v>112.1</v>
      </c>
      <c r="U53" s="22">
        <v>117.3</v>
      </c>
      <c r="V53" s="22">
        <v>122.5</v>
      </c>
      <c r="W53" s="22">
        <v>126.1</v>
      </c>
      <c r="X53" s="22">
        <v>168.2</v>
      </c>
      <c r="Y53" s="22">
        <v>169.9</v>
      </c>
      <c r="Z53" s="22">
        <v>176.3</v>
      </c>
      <c r="AA53" s="22">
        <v>173.9</v>
      </c>
      <c r="AB53" s="22">
        <v>168.8</v>
      </c>
      <c r="AC53" s="22">
        <v>175.8</v>
      </c>
      <c r="AD53" s="22">
        <v>182.9</v>
      </c>
      <c r="AE53" s="22">
        <v>188.8</v>
      </c>
      <c r="AF53" s="3">
        <f t="shared" si="0"/>
        <v>188</v>
      </c>
      <c r="AG53" s="3">
        <f t="shared" si="1"/>
        <v>192</v>
      </c>
      <c r="AH53" s="3">
        <f t="shared" si="2"/>
        <v>197</v>
      </c>
      <c r="AI53" s="3">
        <f t="shared" si="3"/>
        <v>202</v>
      </c>
      <c r="AJ53" s="3">
        <f t="shared" si="4"/>
        <v>206</v>
      </c>
      <c r="AK53" s="3">
        <f t="shared" si="5"/>
        <v>211</v>
      </c>
      <c r="AL53" s="3">
        <f t="shared" si="6"/>
        <v>216</v>
      </c>
    </row>
    <row r="54" spans="1:38" ht="15.75" customHeight="1" x14ac:dyDescent="0.2">
      <c r="A54" s="43"/>
      <c r="B54" s="43"/>
      <c r="C54" s="41"/>
      <c r="D54" s="38" t="s">
        <v>74</v>
      </c>
      <c r="E54" s="39"/>
      <c r="F54" s="18" t="s">
        <v>28</v>
      </c>
      <c r="G54" s="19"/>
      <c r="H54" s="22">
        <v>3241</v>
      </c>
      <c r="I54" s="22">
        <v>3339.1</v>
      </c>
      <c r="J54" s="22">
        <v>3436.5</v>
      </c>
      <c r="K54" s="22">
        <v>3501.2</v>
      </c>
      <c r="L54" s="22">
        <v>3602.2</v>
      </c>
      <c r="M54" s="22">
        <v>3663.5</v>
      </c>
      <c r="N54" s="22">
        <v>3718.3</v>
      </c>
      <c r="O54" s="22">
        <v>3786</v>
      </c>
      <c r="P54" s="22">
        <v>3817.3</v>
      </c>
      <c r="Q54" s="22">
        <v>3878.4</v>
      </c>
      <c r="R54" s="22">
        <v>3914.7</v>
      </c>
      <c r="S54" s="22">
        <v>3986.2</v>
      </c>
      <c r="T54" s="22">
        <v>4094.6</v>
      </c>
      <c r="U54" s="22">
        <v>4311.2</v>
      </c>
      <c r="V54" s="22">
        <v>4499.8999999999996</v>
      </c>
      <c r="W54" s="22">
        <v>4544.2</v>
      </c>
      <c r="X54" s="22">
        <v>4707.6000000000004</v>
      </c>
      <c r="Y54" s="22">
        <v>4832.8999999999996</v>
      </c>
      <c r="Z54" s="22">
        <v>5100.1000000000004</v>
      </c>
      <c r="AA54" s="22">
        <v>5123.3</v>
      </c>
      <c r="AB54" s="22">
        <v>5221.8</v>
      </c>
      <c r="AC54" s="22">
        <v>5464.4</v>
      </c>
      <c r="AD54" s="22">
        <v>5615</v>
      </c>
      <c r="AE54" s="22">
        <v>5863.8</v>
      </c>
      <c r="AF54" s="3">
        <f t="shared" si="0"/>
        <v>5648</v>
      </c>
      <c r="AG54" s="3">
        <f t="shared" si="1"/>
        <v>5755</v>
      </c>
      <c r="AH54" s="3">
        <f t="shared" si="2"/>
        <v>5863</v>
      </c>
      <c r="AI54" s="3">
        <f t="shared" si="3"/>
        <v>5971</v>
      </c>
      <c r="AJ54" s="3">
        <f t="shared" si="4"/>
        <v>6078</v>
      </c>
      <c r="AK54" s="3">
        <f t="shared" si="5"/>
        <v>6186</v>
      </c>
      <c r="AL54" s="3">
        <f t="shared" si="6"/>
        <v>6293</v>
      </c>
    </row>
    <row r="55" spans="1:38" ht="15.75" customHeight="1" x14ac:dyDescent="0.2">
      <c r="A55" s="43"/>
      <c r="B55" s="43"/>
      <c r="C55" s="38" t="s">
        <v>75</v>
      </c>
      <c r="D55" s="42"/>
      <c r="E55" s="39"/>
      <c r="F55" s="18" t="s">
        <v>28</v>
      </c>
      <c r="G55" s="19"/>
      <c r="H55" s="22">
        <v>576.5</v>
      </c>
      <c r="I55" s="22">
        <v>596.29999999999995</v>
      </c>
      <c r="J55" s="22">
        <v>612</v>
      </c>
      <c r="K55" s="22">
        <v>630.70000000000005</v>
      </c>
      <c r="L55" s="22">
        <v>638.5</v>
      </c>
      <c r="M55" s="22">
        <v>648.20000000000005</v>
      </c>
      <c r="N55" s="22">
        <v>658</v>
      </c>
      <c r="O55" s="22">
        <v>705.1</v>
      </c>
      <c r="P55" s="22">
        <v>687.1</v>
      </c>
      <c r="Q55" s="22">
        <v>737.8</v>
      </c>
      <c r="R55" s="22">
        <v>708.1</v>
      </c>
      <c r="S55" s="22">
        <v>699.7</v>
      </c>
      <c r="T55" s="22">
        <v>723.5</v>
      </c>
      <c r="U55" s="22">
        <v>757.7</v>
      </c>
      <c r="V55" s="22">
        <v>778.1</v>
      </c>
      <c r="W55" s="22">
        <v>824.6</v>
      </c>
      <c r="X55" s="22">
        <v>814.3</v>
      </c>
      <c r="Y55" s="22">
        <v>796.9</v>
      </c>
      <c r="Z55" s="22">
        <v>803.2</v>
      </c>
      <c r="AA55" s="22">
        <v>768.1</v>
      </c>
      <c r="AB55" s="22">
        <v>707.8</v>
      </c>
      <c r="AC55" s="22">
        <v>728.7</v>
      </c>
      <c r="AD55" s="22">
        <v>766.4</v>
      </c>
      <c r="AE55" s="22">
        <v>788.8</v>
      </c>
      <c r="AF55" s="3">
        <f t="shared" si="0"/>
        <v>823</v>
      </c>
      <c r="AG55" s="3">
        <f t="shared" si="1"/>
        <v>831</v>
      </c>
      <c r="AH55" s="3">
        <f t="shared" si="2"/>
        <v>840</v>
      </c>
      <c r="AI55" s="3">
        <f t="shared" si="3"/>
        <v>849</v>
      </c>
      <c r="AJ55" s="3">
        <f t="shared" si="4"/>
        <v>857</v>
      </c>
      <c r="AK55" s="3">
        <f t="shared" si="5"/>
        <v>866</v>
      </c>
      <c r="AL55" s="3">
        <f t="shared" si="6"/>
        <v>875</v>
      </c>
    </row>
    <row r="56" spans="1:38" ht="15.75" customHeight="1" x14ac:dyDescent="0.2">
      <c r="A56" s="43"/>
      <c r="B56" s="43"/>
      <c r="C56" s="40" t="s">
        <v>75</v>
      </c>
      <c r="D56" s="38" t="s">
        <v>76</v>
      </c>
      <c r="E56" s="39"/>
      <c r="F56" s="18" t="s">
        <v>28</v>
      </c>
      <c r="G56" s="19"/>
      <c r="H56" s="22">
        <v>162.1</v>
      </c>
      <c r="I56" s="22">
        <v>175</v>
      </c>
      <c r="J56" s="22">
        <v>179.5</v>
      </c>
      <c r="K56" s="22">
        <v>182.7</v>
      </c>
      <c r="L56" s="22">
        <v>187.3</v>
      </c>
      <c r="M56" s="22">
        <v>190.5</v>
      </c>
      <c r="N56" s="22">
        <v>175.1</v>
      </c>
      <c r="O56" s="22">
        <v>180.2</v>
      </c>
      <c r="P56" s="22">
        <v>179.8</v>
      </c>
      <c r="Q56" s="22">
        <v>179</v>
      </c>
      <c r="R56" s="22">
        <v>184.1</v>
      </c>
      <c r="S56" s="22">
        <v>174.6</v>
      </c>
      <c r="T56" s="22">
        <v>180.7</v>
      </c>
      <c r="U56" s="22">
        <v>189.4</v>
      </c>
      <c r="V56" s="22">
        <v>194.5</v>
      </c>
      <c r="W56" s="22">
        <v>206</v>
      </c>
      <c r="X56" s="22">
        <v>196.4</v>
      </c>
      <c r="Y56" s="22">
        <v>191.4</v>
      </c>
      <c r="Z56" s="22">
        <v>192.2</v>
      </c>
      <c r="AA56" s="22">
        <v>183.2</v>
      </c>
      <c r="AB56" s="22">
        <v>168</v>
      </c>
      <c r="AC56" s="22">
        <v>173.8</v>
      </c>
      <c r="AD56" s="22">
        <v>183</v>
      </c>
      <c r="AE56" s="22">
        <v>188.1</v>
      </c>
      <c r="AF56" s="3">
        <f t="shared" si="0"/>
        <v>189</v>
      </c>
      <c r="AG56" s="3">
        <f t="shared" si="1"/>
        <v>189</v>
      </c>
      <c r="AH56" s="3">
        <f t="shared" si="2"/>
        <v>190</v>
      </c>
      <c r="AI56" s="3">
        <f t="shared" si="3"/>
        <v>190</v>
      </c>
      <c r="AJ56" s="3">
        <f t="shared" si="4"/>
        <v>191</v>
      </c>
      <c r="AK56" s="3">
        <f t="shared" si="5"/>
        <v>191</v>
      </c>
      <c r="AL56" s="3">
        <f t="shared" si="6"/>
        <v>192</v>
      </c>
    </row>
    <row r="57" spans="1:38" ht="15.75" customHeight="1" x14ac:dyDescent="0.2">
      <c r="A57" s="43"/>
      <c r="B57" s="43"/>
      <c r="C57" s="43"/>
      <c r="D57" s="38" t="s">
        <v>77</v>
      </c>
      <c r="E57" s="39"/>
      <c r="F57" s="18" t="s">
        <v>28</v>
      </c>
      <c r="G57" s="19"/>
      <c r="H57" s="22">
        <v>310</v>
      </c>
      <c r="I57" s="22">
        <v>330.2</v>
      </c>
      <c r="J57" s="22">
        <v>338.9</v>
      </c>
      <c r="K57" s="22">
        <v>352.7</v>
      </c>
      <c r="L57" s="22">
        <v>353.6</v>
      </c>
      <c r="M57" s="22">
        <v>358.9</v>
      </c>
      <c r="N57" s="22">
        <v>390.6</v>
      </c>
      <c r="O57" s="22">
        <v>429.8</v>
      </c>
      <c r="P57" s="22">
        <v>412.1</v>
      </c>
      <c r="Q57" s="22">
        <v>464.3</v>
      </c>
      <c r="R57" s="22">
        <v>426.8</v>
      </c>
      <c r="S57" s="22">
        <v>443.4</v>
      </c>
      <c r="T57" s="22">
        <v>458.7</v>
      </c>
      <c r="U57" s="22">
        <v>480</v>
      </c>
      <c r="V57" s="22">
        <v>492.4</v>
      </c>
      <c r="W57" s="22">
        <v>523.70000000000005</v>
      </c>
      <c r="X57" s="22">
        <v>493.8</v>
      </c>
      <c r="Y57" s="22">
        <v>481.8</v>
      </c>
      <c r="Z57" s="22">
        <v>484.1</v>
      </c>
      <c r="AA57" s="22">
        <v>461.2</v>
      </c>
      <c r="AB57" s="22">
        <v>421.6</v>
      </c>
      <c r="AC57" s="22">
        <v>432.8</v>
      </c>
      <c r="AD57" s="22">
        <v>456.7</v>
      </c>
      <c r="AE57" s="22">
        <v>469.2</v>
      </c>
      <c r="AF57" s="3">
        <f t="shared" si="0"/>
        <v>511</v>
      </c>
      <c r="AG57" s="3">
        <f t="shared" si="1"/>
        <v>517</v>
      </c>
      <c r="AH57" s="3">
        <f t="shared" si="2"/>
        <v>524</v>
      </c>
      <c r="AI57" s="3">
        <f t="shared" si="3"/>
        <v>531</v>
      </c>
      <c r="AJ57" s="3">
        <f t="shared" si="4"/>
        <v>537</v>
      </c>
      <c r="AK57" s="3">
        <f t="shared" si="5"/>
        <v>544</v>
      </c>
      <c r="AL57" s="3">
        <f t="shared" si="6"/>
        <v>550</v>
      </c>
    </row>
    <row r="58" spans="1:38" ht="15.75" customHeight="1" x14ac:dyDescent="0.2">
      <c r="A58" s="43"/>
      <c r="B58" s="43"/>
      <c r="C58" s="41"/>
      <c r="D58" s="38" t="s">
        <v>78</v>
      </c>
      <c r="E58" s="39"/>
      <c r="F58" s="18" t="s">
        <v>28</v>
      </c>
      <c r="G58" s="19"/>
      <c r="H58" s="22">
        <v>104.4</v>
      </c>
      <c r="I58" s="22">
        <v>91.1</v>
      </c>
      <c r="J58" s="22">
        <v>93.5</v>
      </c>
      <c r="K58" s="22">
        <v>95.3</v>
      </c>
      <c r="L58" s="22">
        <v>97.6</v>
      </c>
      <c r="M58" s="22">
        <v>98.8</v>
      </c>
      <c r="N58" s="22">
        <v>92.3</v>
      </c>
      <c r="O58" s="22">
        <v>95.1</v>
      </c>
      <c r="P58" s="22">
        <v>95.2</v>
      </c>
      <c r="Q58" s="22">
        <v>94.5</v>
      </c>
      <c r="R58" s="22">
        <v>97.2</v>
      </c>
      <c r="S58" s="22">
        <v>81.7</v>
      </c>
      <c r="T58" s="22">
        <v>84.2</v>
      </c>
      <c r="U58" s="22">
        <v>88.3</v>
      </c>
      <c r="V58" s="22">
        <v>91.2</v>
      </c>
      <c r="W58" s="22">
        <v>94.9</v>
      </c>
      <c r="X58" s="22">
        <v>124.2</v>
      </c>
      <c r="Y58" s="22">
        <v>123.7</v>
      </c>
      <c r="Z58" s="22">
        <v>126.9</v>
      </c>
      <c r="AA58" s="22">
        <v>123.7</v>
      </c>
      <c r="AB58" s="22">
        <v>118.2</v>
      </c>
      <c r="AC58" s="22">
        <v>122.1</v>
      </c>
      <c r="AD58" s="22">
        <v>126.7</v>
      </c>
      <c r="AE58" s="22">
        <v>131.5</v>
      </c>
      <c r="AF58" s="3">
        <f t="shared" si="0"/>
        <v>124</v>
      </c>
      <c r="AG58" s="3">
        <f t="shared" si="1"/>
        <v>126</v>
      </c>
      <c r="AH58" s="3">
        <f t="shared" si="2"/>
        <v>127</v>
      </c>
      <c r="AI58" s="3">
        <f t="shared" si="3"/>
        <v>129</v>
      </c>
      <c r="AJ58" s="3">
        <f t="shared" si="4"/>
        <v>130</v>
      </c>
      <c r="AK58" s="3">
        <f t="shared" si="5"/>
        <v>132</v>
      </c>
      <c r="AL58" s="3">
        <f t="shared" si="6"/>
        <v>134</v>
      </c>
    </row>
    <row r="59" spans="1:38" ht="15.75" customHeight="1" x14ac:dyDescent="0.2">
      <c r="A59" s="43"/>
      <c r="B59" s="43"/>
      <c r="C59" s="38" t="s">
        <v>79</v>
      </c>
      <c r="D59" s="42"/>
      <c r="E59" s="39"/>
      <c r="F59" s="18" t="s">
        <v>28</v>
      </c>
      <c r="G59" s="19"/>
      <c r="H59" s="22">
        <v>902.6</v>
      </c>
      <c r="I59" s="22">
        <v>933.6</v>
      </c>
      <c r="J59" s="22">
        <v>958.2</v>
      </c>
      <c r="K59" s="22">
        <v>975.1</v>
      </c>
      <c r="L59" s="22">
        <v>999.6</v>
      </c>
      <c r="M59" s="22">
        <v>1015</v>
      </c>
      <c r="N59" s="22">
        <v>1030.0999999999999</v>
      </c>
      <c r="O59" s="22">
        <v>1061</v>
      </c>
      <c r="P59" s="22">
        <v>1062.2</v>
      </c>
      <c r="Q59" s="22">
        <v>1079.2</v>
      </c>
      <c r="R59" s="22">
        <v>1083.4000000000001</v>
      </c>
      <c r="S59" s="22">
        <v>1100.8</v>
      </c>
      <c r="T59" s="22">
        <v>1124.8</v>
      </c>
      <c r="U59" s="22">
        <v>1186</v>
      </c>
      <c r="V59" s="22">
        <v>1244.5999999999999</v>
      </c>
      <c r="W59" s="22">
        <v>1236.0999999999999</v>
      </c>
      <c r="X59" s="22">
        <v>1300.5</v>
      </c>
      <c r="Y59" s="22">
        <v>1355.8</v>
      </c>
      <c r="Z59" s="22">
        <v>1455.6</v>
      </c>
      <c r="AA59" s="22">
        <v>1483.1</v>
      </c>
      <c r="AB59" s="22">
        <v>1551.1</v>
      </c>
      <c r="AC59" s="22">
        <v>1674.4</v>
      </c>
      <c r="AD59" s="22">
        <v>1705.4</v>
      </c>
      <c r="AE59" s="22">
        <v>1742.2</v>
      </c>
      <c r="AF59" s="3">
        <f t="shared" si="0"/>
        <v>1655</v>
      </c>
      <c r="AG59" s="3">
        <f t="shared" si="1"/>
        <v>1689</v>
      </c>
      <c r="AH59" s="3">
        <f t="shared" si="2"/>
        <v>1724</v>
      </c>
      <c r="AI59" s="3">
        <f t="shared" si="3"/>
        <v>1759</v>
      </c>
      <c r="AJ59" s="3">
        <f t="shared" si="4"/>
        <v>1794</v>
      </c>
      <c r="AK59" s="3">
        <f t="shared" si="5"/>
        <v>1828</v>
      </c>
      <c r="AL59" s="3">
        <f t="shared" si="6"/>
        <v>1863</v>
      </c>
    </row>
    <row r="60" spans="1:38" ht="15.75" customHeight="1" x14ac:dyDescent="0.2">
      <c r="A60" s="43"/>
      <c r="B60" s="43"/>
      <c r="C60" s="38" t="s">
        <v>80</v>
      </c>
      <c r="D60" s="42"/>
      <c r="E60" s="39"/>
      <c r="F60" s="18" t="s">
        <v>28</v>
      </c>
      <c r="G60" s="19"/>
      <c r="H60" s="22">
        <v>110.8</v>
      </c>
      <c r="I60" s="22">
        <v>117.2</v>
      </c>
      <c r="J60" s="22">
        <v>118.4</v>
      </c>
      <c r="K60" s="22">
        <v>119.1</v>
      </c>
      <c r="L60" s="22">
        <v>120.1</v>
      </c>
      <c r="M60" s="22">
        <v>120.7</v>
      </c>
      <c r="N60" s="22">
        <v>122.5</v>
      </c>
      <c r="O60" s="22">
        <v>133</v>
      </c>
      <c r="P60" s="22">
        <v>128.80000000000001</v>
      </c>
      <c r="Q60" s="22">
        <v>128.19999999999999</v>
      </c>
      <c r="R60" s="22">
        <v>126.8</v>
      </c>
      <c r="S60" s="22">
        <v>127.5</v>
      </c>
      <c r="T60" s="22">
        <v>128</v>
      </c>
      <c r="U60" s="22">
        <v>135.30000000000001</v>
      </c>
      <c r="V60" s="22">
        <v>143.19999999999999</v>
      </c>
      <c r="W60" s="22">
        <v>138.5</v>
      </c>
      <c r="X60" s="22">
        <v>149.5</v>
      </c>
      <c r="Y60" s="22">
        <v>159.80000000000001</v>
      </c>
      <c r="Z60" s="22">
        <v>175.9</v>
      </c>
      <c r="AA60" s="22">
        <v>183.8</v>
      </c>
      <c r="AB60" s="22">
        <v>202.1</v>
      </c>
      <c r="AC60" s="22">
        <v>208.1</v>
      </c>
      <c r="AD60" s="22">
        <v>207.1</v>
      </c>
      <c r="AE60" s="22">
        <v>221.2</v>
      </c>
      <c r="AF60" s="3">
        <f t="shared" si="0"/>
        <v>201</v>
      </c>
      <c r="AG60" s="3">
        <f t="shared" si="1"/>
        <v>206</v>
      </c>
      <c r="AH60" s="3">
        <f t="shared" si="2"/>
        <v>210</v>
      </c>
      <c r="AI60" s="3">
        <f t="shared" si="3"/>
        <v>214</v>
      </c>
      <c r="AJ60" s="3">
        <f t="shared" si="4"/>
        <v>219</v>
      </c>
      <c r="AK60" s="3">
        <f t="shared" si="5"/>
        <v>223</v>
      </c>
      <c r="AL60" s="3">
        <f t="shared" si="6"/>
        <v>227</v>
      </c>
    </row>
    <row r="61" spans="1:38" ht="15.75" customHeight="1" x14ac:dyDescent="0.2">
      <c r="A61" s="43"/>
      <c r="B61" s="43"/>
      <c r="C61" s="38" t="s">
        <v>81</v>
      </c>
      <c r="D61" s="42"/>
      <c r="E61" s="39"/>
      <c r="F61" s="18" t="s">
        <v>28</v>
      </c>
      <c r="G61" s="19"/>
      <c r="H61" s="22">
        <v>451.5</v>
      </c>
      <c r="I61" s="22">
        <v>466.7</v>
      </c>
      <c r="J61" s="22">
        <v>479</v>
      </c>
      <c r="K61" s="22">
        <v>487.5</v>
      </c>
      <c r="L61" s="22">
        <v>499.7</v>
      </c>
      <c r="M61" s="22">
        <v>507.4</v>
      </c>
      <c r="N61" s="22">
        <v>515</v>
      </c>
      <c r="O61" s="22">
        <v>530.4</v>
      </c>
      <c r="P61" s="22">
        <v>531</v>
      </c>
      <c r="Q61" s="22">
        <v>539.6</v>
      </c>
      <c r="R61" s="22">
        <v>541.70000000000005</v>
      </c>
      <c r="S61" s="22">
        <v>549.6</v>
      </c>
      <c r="T61" s="22">
        <v>563.4</v>
      </c>
      <c r="U61" s="22">
        <v>595.4</v>
      </c>
      <c r="V61" s="22">
        <v>623.9</v>
      </c>
      <c r="W61" s="22">
        <v>626.5</v>
      </c>
      <c r="X61" s="22">
        <v>655.9</v>
      </c>
      <c r="Y61" s="22">
        <v>681.5</v>
      </c>
      <c r="Z61" s="22">
        <v>714.3</v>
      </c>
      <c r="AA61" s="22">
        <v>711.2</v>
      </c>
      <c r="AB61" s="22">
        <v>721.4</v>
      </c>
      <c r="AC61" s="22">
        <v>747</v>
      </c>
      <c r="AD61" s="22">
        <v>763.2</v>
      </c>
      <c r="AE61" s="22">
        <v>806</v>
      </c>
      <c r="AF61" s="3">
        <f t="shared" si="0"/>
        <v>779</v>
      </c>
      <c r="AG61" s="3">
        <f t="shared" si="1"/>
        <v>794</v>
      </c>
      <c r="AH61" s="3">
        <f t="shared" si="2"/>
        <v>808</v>
      </c>
      <c r="AI61" s="3">
        <f t="shared" si="3"/>
        <v>823</v>
      </c>
      <c r="AJ61" s="3">
        <f t="shared" si="4"/>
        <v>837</v>
      </c>
      <c r="AK61" s="3">
        <f t="shared" si="5"/>
        <v>852</v>
      </c>
      <c r="AL61" s="3">
        <f t="shared" si="6"/>
        <v>866</v>
      </c>
    </row>
    <row r="62" spans="1:38" ht="15.75" customHeight="1" x14ac:dyDescent="0.2">
      <c r="A62" s="43"/>
      <c r="B62" s="43"/>
      <c r="C62" s="40" t="s">
        <v>81</v>
      </c>
      <c r="D62" s="38" t="s">
        <v>82</v>
      </c>
      <c r="E62" s="39"/>
      <c r="F62" s="18" t="s">
        <v>28</v>
      </c>
      <c r="G62" s="19"/>
      <c r="H62" s="22">
        <v>77.8</v>
      </c>
      <c r="I62" s="22">
        <v>128.9</v>
      </c>
      <c r="J62" s="22">
        <v>132.30000000000001</v>
      </c>
      <c r="K62" s="22">
        <v>134.6</v>
      </c>
      <c r="L62" s="22">
        <v>138</v>
      </c>
      <c r="M62" s="22">
        <v>140.1</v>
      </c>
      <c r="N62" s="22">
        <v>141.69999999999999</v>
      </c>
      <c r="O62" s="22">
        <v>146</v>
      </c>
      <c r="P62" s="22">
        <v>146</v>
      </c>
      <c r="Q62" s="22">
        <v>148.69999999999999</v>
      </c>
      <c r="R62" s="22">
        <v>149.19999999999999</v>
      </c>
      <c r="S62" s="22">
        <v>120.3</v>
      </c>
      <c r="T62" s="22">
        <v>124.9</v>
      </c>
      <c r="U62" s="22">
        <v>132.9</v>
      </c>
      <c r="V62" s="22">
        <v>137.9</v>
      </c>
      <c r="W62" s="22">
        <v>145.4</v>
      </c>
      <c r="X62" s="22">
        <v>117.5</v>
      </c>
      <c r="Y62" s="22">
        <v>119.8</v>
      </c>
      <c r="Z62" s="22">
        <v>112.9</v>
      </c>
      <c r="AA62" s="22">
        <v>101.3</v>
      </c>
      <c r="AB62" s="22">
        <v>88.1</v>
      </c>
      <c r="AC62" s="22">
        <v>90.6</v>
      </c>
      <c r="AD62" s="22">
        <v>95.6</v>
      </c>
      <c r="AE62" s="22">
        <v>98.1</v>
      </c>
      <c r="AF62" s="3">
        <f t="shared" si="0"/>
        <v>106</v>
      </c>
      <c r="AG62" s="3">
        <f t="shared" si="1"/>
        <v>105</v>
      </c>
      <c r="AH62" s="3">
        <f t="shared" si="2"/>
        <v>103</v>
      </c>
      <c r="AI62" s="3">
        <f t="shared" si="3"/>
        <v>102</v>
      </c>
      <c r="AJ62" s="3">
        <f t="shared" si="4"/>
        <v>100</v>
      </c>
      <c r="AK62" s="3">
        <f t="shared" si="5"/>
        <v>99</v>
      </c>
      <c r="AL62" s="3">
        <f t="shared" si="6"/>
        <v>97</v>
      </c>
    </row>
    <row r="63" spans="1:38" ht="15.75" customHeight="1" x14ac:dyDescent="0.2">
      <c r="A63" s="43"/>
      <c r="B63" s="41"/>
      <c r="C63" s="41"/>
      <c r="D63" s="38" t="s">
        <v>83</v>
      </c>
      <c r="E63" s="39"/>
      <c r="F63" s="18" t="s">
        <v>28</v>
      </c>
      <c r="G63" s="19"/>
      <c r="H63" s="22">
        <v>373.6</v>
      </c>
      <c r="I63" s="22">
        <v>337.8</v>
      </c>
      <c r="J63" s="22">
        <v>346.7</v>
      </c>
      <c r="K63" s="22">
        <v>352.8</v>
      </c>
      <c r="L63" s="22">
        <v>361.7</v>
      </c>
      <c r="M63" s="22">
        <v>367.3</v>
      </c>
      <c r="N63" s="22">
        <v>373.2</v>
      </c>
      <c r="O63" s="22">
        <v>384.4</v>
      </c>
      <c r="P63" s="22">
        <v>384.9</v>
      </c>
      <c r="Q63" s="22">
        <v>390.9</v>
      </c>
      <c r="R63" s="22">
        <v>392.5</v>
      </c>
      <c r="S63" s="22">
        <v>429.3</v>
      </c>
      <c r="T63" s="22">
        <v>438.4</v>
      </c>
      <c r="U63" s="22">
        <v>462.5</v>
      </c>
      <c r="V63" s="22">
        <v>485.9</v>
      </c>
      <c r="W63" s="22">
        <v>481.1</v>
      </c>
      <c r="X63" s="22">
        <v>538.4</v>
      </c>
      <c r="Y63" s="22">
        <v>561.70000000000005</v>
      </c>
      <c r="Z63" s="22">
        <v>601.29999999999995</v>
      </c>
      <c r="AA63" s="22">
        <v>609.9</v>
      </c>
      <c r="AB63" s="22">
        <v>633.29999999999995</v>
      </c>
      <c r="AC63" s="22">
        <v>656.4</v>
      </c>
      <c r="AD63" s="22">
        <v>667.6</v>
      </c>
      <c r="AE63" s="22">
        <v>707.9</v>
      </c>
      <c r="AF63" s="3">
        <f t="shared" si="0"/>
        <v>673</v>
      </c>
      <c r="AG63" s="3">
        <f t="shared" si="1"/>
        <v>689</v>
      </c>
      <c r="AH63" s="3">
        <f t="shared" si="2"/>
        <v>705</v>
      </c>
      <c r="AI63" s="3">
        <f t="shared" si="3"/>
        <v>721</v>
      </c>
      <c r="AJ63" s="3">
        <f t="shared" si="4"/>
        <v>737</v>
      </c>
      <c r="AK63" s="3">
        <f t="shared" si="5"/>
        <v>753</v>
      </c>
      <c r="AL63" s="3">
        <f t="shared" si="6"/>
        <v>769</v>
      </c>
    </row>
    <row r="64" spans="1:38" ht="15.75" customHeight="1" x14ac:dyDescent="0.2">
      <c r="A64" s="43"/>
      <c r="B64" s="38" t="s">
        <v>84</v>
      </c>
      <c r="C64" s="42"/>
      <c r="D64" s="42"/>
      <c r="E64" s="39"/>
      <c r="F64" s="18" t="s">
        <v>28</v>
      </c>
      <c r="G64" s="19"/>
      <c r="H64" s="22">
        <v>7942.5</v>
      </c>
      <c r="I64" s="22">
        <v>8156.5</v>
      </c>
      <c r="J64" s="22">
        <v>8402.1</v>
      </c>
      <c r="K64" s="22">
        <v>8557.2000000000007</v>
      </c>
      <c r="L64" s="22">
        <v>8818.1</v>
      </c>
      <c r="M64" s="22">
        <v>8977</v>
      </c>
      <c r="N64" s="22">
        <v>9121.9</v>
      </c>
      <c r="O64" s="22">
        <v>9246.1</v>
      </c>
      <c r="P64" s="22">
        <v>9390.1</v>
      </c>
      <c r="Q64" s="22">
        <v>9486.7999999999993</v>
      </c>
      <c r="R64" s="22">
        <v>9629.2999999999993</v>
      </c>
      <c r="S64" s="22">
        <v>10037.1</v>
      </c>
      <c r="T64" s="22">
        <v>10245.700000000001</v>
      </c>
      <c r="U64" s="22">
        <v>11546.6</v>
      </c>
      <c r="V64" s="22">
        <v>12477.5</v>
      </c>
      <c r="W64" s="22">
        <v>14189.7</v>
      </c>
      <c r="X64" s="22">
        <v>15094.6</v>
      </c>
      <c r="Y64" s="22">
        <v>15455</v>
      </c>
      <c r="Z64" s="22">
        <v>16250.7</v>
      </c>
      <c r="AA64" s="22">
        <v>16576.8</v>
      </c>
      <c r="AB64" s="22">
        <v>16904.400000000001</v>
      </c>
      <c r="AC64" s="22">
        <v>17517.7</v>
      </c>
      <c r="AD64" s="22">
        <v>18126.2</v>
      </c>
      <c r="AE64" s="22">
        <v>18799.8</v>
      </c>
      <c r="AF64" s="3">
        <f t="shared" si="0"/>
        <v>18438</v>
      </c>
      <c r="AG64" s="3">
        <f t="shared" si="1"/>
        <v>18943</v>
      </c>
      <c r="AH64" s="3">
        <f t="shared" si="2"/>
        <v>19449</v>
      </c>
      <c r="AI64" s="3">
        <f t="shared" si="3"/>
        <v>19954</v>
      </c>
      <c r="AJ64" s="3">
        <f t="shared" si="4"/>
        <v>20459</v>
      </c>
      <c r="AK64" s="3">
        <f t="shared" si="5"/>
        <v>20964</v>
      </c>
      <c r="AL64" s="3">
        <f t="shared" si="6"/>
        <v>21469</v>
      </c>
    </row>
    <row r="65" spans="1:38" ht="15.75" customHeight="1" x14ac:dyDescent="0.2">
      <c r="A65" s="43"/>
      <c r="B65" s="40" t="s">
        <v>84</v>
      </c>
      <c r="C65" s="38" t="s">
        <v>85</v>
      </c>
      <c r="D65" s="42"/>
      <c r="E65" s="39"/>
      <c r="F65" s="18" t="s">
        <v>28</v>
      </c>
      <c r="G65" s="19"/>
      <c r="H65" s="22">
        <v>6730.7</v>
      </c>
      <c r="I65" s="22">
        <v>6925.7</v>
      </c>
      <c r="J65" s="22">
        <v>7134.2</v>
      </c>
      <c r="K65" s="22">
        <v>7265</v>
      </c>
      <c r="L65" s="22">
        <v>7487.9</v>
      </c>
      <c r="M65" s="22">
        <v>7621.9</v>
      </c>
      <c r="N65" s="22">
        <v>7733.5</v>
      </c>
      <c r="O65" s="22">
        <v>7825.4</v>
      </c>
      <c r="P65" s="22">
        <v>7935</v>
      </c>
      <c r="Q65" s="22">
        <v>8012.8</v>
      </c>
      <c r="R65" s="22">
        <v>8125.4</v>
      </c>
      <c r="S65" s="22">
        <v>8448.6</v>
      </c>
      <c r="T65" s="22">
        <v>8667.7000000000007</v>
      </c>
      <c r="U65" s="22">
        <v>9770</v>
      </c>
      <c r="V65" s="22">
        <v>10489.1</v>
      </c>
      <c r="W65" s="22">
        <v>12155.1</v>
      </c>
      <c r="X65" s="22">
        <v>12698.8</v>
      </c>
      <c r="Y65" s="22">
        <v>12732.4</v>
      </c>
      <c r="Z65" s="22">
        <v>13063.9</v>
      </c>
      <c r="AA65" s="22">
        <v>12961.9</v>
      </c>
      <c r="AB65" s="22">
        <v>12400.4</v>
      </c>
      <c r="AC65" s="22">
        <v>12830</v>
      </c>
      <c r="AD65" s="22">
        <v>13540.4</v>
      </c>
      <c r="AE65" s="22">
        <v>13831.1</v>
      </c>
      <c r="AF65" s="3">
        <f t="shared" si="0"/>
        <v>14179</v>
      </c>
      <c r="AG65" s="3">
        <f t="shared" si="1"/>
        <v>14525</v>
      </c>
      <c r="AH65" s="3">
        <f t="shared" si="2"/>
        <v>14871</v>
      </c>
      <c r="AI65" s="3">
        <f t="shared" si="3"/>
        <v>15218</v>
      </c>
      <c r="AJ65" s="3">
        <f t="shared" si="4"/>
        <v>15564</v>
      </c>
      <c r="AK65" s="3">
        <f t="shared" si="5"/>
        <v>15910</v>
      </c>
      <c r="AL65" s="3">
        <f t="shared" si="6"/>
        <v>16257</v>
      </c>
    </row>
    <row r="66" spans="1:38" ht="15.75" customHeight="1" x14ac:dyDescent="0.2">
      <c r="A66" s="43"/>
      <c r="B66" s="43"/>
      <c r="C66" s="40" t="s">
        <v>85</v>
      </c>
      <c r="D66" s="38" t="s">
        <v>86</v>
      </c>
      <c r="E66" s="39"/>
      <c r="F66" s="18" t="s">
        <v>28</v>
      </c>
      <c r="G66" s="19"/>
      <c r="H66" s="22">
        <v>3203.2</v>
      </c>
      <c r="I66" s="22">
        <v>3296</v>
      </c>
      <c r="J66" s="22">
        <v>3395.1</v>
      </c>
      <c r="K66" s="22">
        <v>3457.4</v>
      </c>
      <c r="L66" s="22">
        <v>3563.6</v>
      </c>
      <c r="M66" s="22">
        <v>3627</v>
      </c>
      <c r="N66" s="22">
        <v>3680.6</v>
      </c>
      <c r="O66" s="22">
        <v>3724.6</v>
      </c>
      <c r="P66" s="22">
        <v>3774.5</v>
      </c>
      <c r="Q66" s="22">
        <v>3815.2</v>
      </c>
      <c r="R66" s="22">
        <v>3868.3</v>
      </c>
      <c r="S66" s="22">
        <v>4011.7</v>
      </c>
      <c r="T66" s="22">
        <v>4138.8999999999996</v>
      </c>
      <c r="U66" s="22">
        <v>4649.1000000000004</v>
      </c>
      <c r="V66" s="22">
        <v>4941.3999999999996</v>
      </c>
      <c r="W66" s="22">
        <v>5899.4</v>
      </c>
      <c r="X66" s="22">
        <v>5978.7</v>
      </c>
      <c r="Y66" s="22">
        <v>5808.9</v>
      </c>
      <c r="Z66" s="22">
        <v>5769.5</v>
      </c>
      <c r="AA66" s="22">
        <v>5535.5</v>
      </c>
      <c r="AB66" s="22">
        <v>4935.3999999999996</v>
      </c>
      <c r="AC66" s="22">
        <v>5106.3999999999996</v>
      </c>
      <c r="AD66" s="22">
        <v>5525</v>
      </c>
      <c r="AE66" s="22">
        <v>5551.7</v>
      </c>
      <c r="AF66" s="3">
        <f t="shared" si="0"/>
        <v>6005</v>
      </c>
      <c r="AG66" s="3">
        <f t="shared" si="1"/>
        <v>6128</v>
      </c>
      <c r="AH66" s="3">
        <f t="shared" si="2"/>
        <v>6251</v>
      </c>
      <c r="AI66" s="3">
        <f t="shared" si="3"/>
        <v>6374</v>
      </c>
      <c r="AJ66" s="3">
        <f t="shared" si="4"/>
        <v>6497</v>
      </c>
      <c r="AK66" s="3">
        <f t="shared" si="5"/>
        <v>6620</v>
      </c>
      <c r="AL66" s="3">
        <f t="shared" si="6"/>
        <v>6742</v>
      </c>
    </row>
    <row r="67" spans="1:38" ht="15.75" customHeight="1" x14ac:dyDescent="0.2">
      <c r="A67" s="43"/>
      <c r="B67" s="43"/>
      <c r="C67" s="43"/>
      <c r="D67" s="38" t="s">
        <v>87</v>
      </c>
      <c r="E67" s="39"/>
      <c r="F67" s="18" t="s">
        <v>28</v>
      </c>
      <c r="G67" s="19"/>
      <c r="H67" s="22">
        <v>2873.3</v>
      </c>
      <c r="I67" s="22">
        <v>2956.5</v>
      </c>
      <c r="J67" s="22">
        <v>3045.6</v>
      </c>
      <c r="K67" s="22">
        <v>3101.4</v>
      </c>
      <c r="L67" s="22">
        <v>3196.4</v>
      </c>
      <c r="M67" s="22">
        <v>3253.9</v>
      </c>
      <c r="N67" s="22">
        <v>3301.2</v>
      </c>
      <c r="O67" s="22">
        <v>3340.3</v>
      </c>
      <c r="P67" s="22">
        <v>3388.3</v>
      </c>
      <c r="Q67" s="22">
        <v>3419.5</v>
      </c>
      <c r="R67" s="22">
        <v>3467.9</v>
      </c>
      <c r="S67" s="22">
        <v>3611.5</v>
      </c>
      <c r="T67" s="22">
        <v>3692.5</v>
      </c>
      <c r="U67" s="22">
        <v>4171.2</v>
      </c>
      <c r="V67" s="22">
        <v>4505</v>
      </c>
      <c r="W67" s="22">
        <v>5126</v>
      </c>
      <c r="X67" s="22">
        <v>5457.4</v>
      </c>
      <c r="Y67" s="22">
        <v>5570.6</v>
      </c>
      <c r="Z67" s="22">
        <v>5812.5</v>
      </c>
      <c r="AA67" s="22">
        <v>5858.6</v>
      </c>
      <c r="AB67" s="22">
        <v>5764.9</v>
      </c>
      <c r="AC67" s="22">
        <v>5964.6</v>
      </c>
      <c r="AD67" s="22">
        <v>6234.4</v>
      </c>
      <c r="AE67" s="22">
        <v>6409.2</v>
      </c>
      <c r="AF67" s="3">
        <f t="shared" si="0"/>
        <v>6422</v>
      </c>
      <c r="AG67" s="3">
        <f t="shared" si="1"/>
        <v>6591</v>
      </c>
      <c r="AH67" s="3">
        <f t="shared" si="2"/>
        <v>6759</v>
      </c>
      <c r="AI67" s="3">
        <f t="shared" si="3"/>
        <v>6928</v>
      </c>
      <c r="AJ67" s="3">
        <f t="shared" si="4"/>
        <v>7097</v>
      </c>
      <c r="AK67" s="3">
        <f t="shared" si="5"/>
        <v>7265</v>
      </c>
      <c r="AL67" s="3">
        <f t="shared" si="6"/>
        <v>7434</v>
      </c>
    </row>
    <row r="68" spans="1:38" ht="15.75" customHeight="1" x14ac:dyDescent="0.2">
      <c r="A68" s="43"/>
      <c r="B68" s="43"/>
      <c r="C68" s="41"/>
      <c r="D68" s="38" t="s">
        <v>88</v>
      </c>
      <c r="E68" s="39"/>
      <c r="F68" s="18" t="s">
        <v>28</v>
      </c>
      <c r="G68" s="19"/>
      <c r="H68" s="22">
        <v>654.29999999999995</v>
      </c>
      <c r="I68" s="22">
        <v>673.2</v>
      </c>
      <c r="J68" s="22">
        <v>693.5</v>
      </c>
      <c r="K68" s="22">
        <v>706.2</v>
      </c>
      <c r="L68" s="22">
        <v>727.8</v>
      </c>
      <c r="M68" s="22">
        <v>741.1</v>
      </c>
      <c r="N68" s="22">
        <v>751.7</v>
      </c>
      <c r="O68" s="22">
        <v>760.5</v>
      </c>
      <c r="P68" s="22">
        <v>772.1</v>
      </c>
      <c r="Q68" s="22">
        <v>778.1</v>
      </c>
      <c r="R68" s="22">
        <v>789.2</v>
      </c>
      <c r="S68" s="22">
        <v>825.4</v>
      </c>
      <c r="T68" s="22">
        <v>836.3</v>
      </c>
      <c r="U68" s="22">
        <v>949.8</v>
      </c>
      <c r="V68" s="22">
        <v>1042.7</v>
      </c>
      <c r="W68" s="22">
        <v>1129.7</v>
      </c>
      <c r="X68" s="22">
        <v>1262.5999999999999</v>
      </c>
      <c r="Y68" s="22">
        <v>1352.9</v>
      </c>
      <c r="Z68" s="22">
        <v>1481.8</v>
      </c>
      <c r="AA68" s="22">
        <v>1567.9</v>
      </c>
      <c r="AB68" s="22">
        <v>1700.1</v>
      </c>
      <c r="AC68" s="22">
        <v>1759</v>
      </c>
      <c r="AD68" s="22">
        <v>1780.9</v>
      </c>
      <c r="AE68" s="22">
        <v>1870.2</v>
      </c>
      <c r="AF68" s="3">
        <f t="shared" si="0"/>
        <v>1753</v>
      </c>
      <c r="AG68" s="3">
        <f t="shared" si="1"/>
        <v>1807</v>
      </c>
      <c r="AH68" s="3">
        <f t="shared" si="2"/>
        <v>1862</v>
      </c>
      <c r="AI68" s="3">
        <f t="shared" si="3"/>
        <v>1917</v>
      </c>
      <c r="AJ68" s="3">
        <f t="shared" si="4"/>
        <v>1972</v>
      </c>
      <c r="AK68" s="3">
        <f t="shared" si="5"/>
        <v>2027</v>
      </c>
      <c r="AL68" s="3">
        <f t="shared" si="6"/>
        <v>2081</v>
      </c>
    </row>
    <row r="69" spans="1:38" ht="15.75" customHeight="1" x14ac:dyDescent="0.2">
      <c r="A69" s="43"/>
      <c r="B69" s="43"/>
      <c r="C69" s="38" t="s">
        <v>89</v>
      </c>
      <c r="D69" s="42"/>
      <c r="E69" s="39"/>
      <c r="F69" s="18" t="s">
        <v>28</v>
      </c>
      <c r="G69" s="19"/>
      <c r="H69" s="22">
        <v>1211.8</v>
      </c>
      <c r="I69" s="22">
        <v>1230.8</v>
      </c>
      <c r="J69" s="22">
        <v>1267.8</v>
      </c>
      <c r="K69" s="22">
        <v>1292.2</v>
      </c>
      <c r="L69" s="22">
        <v>1330.2</v>
      </c>
      <c r="M69" s="22">
        <v>1355.1</v>
      </c>
      <c r="N69" s="22">
        <v>1388.4</v>
      </c>
      <c r="O69" s="22">
        <v>1420.7</v>
      </c>
      <c r="P69" s="22">
        <v>1455.1</v>
      </c>
      <c r="Q69" s="22">
        <v>1473.9</v>
      </c>
      <c r="R69" s="22">
        <v>1503.9</v>
      </c>
      <c r="S69" s="22">
        <v>1588.5</v>
      </c>
      <c r="T69" s="22">
        <v>1578</v>
      </c>
      <c r="U69" s="22">
        <v>1776.5</v>
      </c>
      <c r="V69" s="22">
        <v>1988.4</v>
      </c>
      <c r="W69" s="22">
        <v>2034.6</v>
      </c>
      <c r="X69" s="22">
        <v>2395.9</v>
      </c>
      <c r="Y69" s="22">
        <v>2722.6</v>
      </c>
      <c r="Z69" s="22">
        <v>3186.9</v>
      </c>
      <c r="AA69" s="22">
        <v>3614.9</v>
      </c>
      <c r="AB69" s="22">
        <v>4504.1000000000004</v>
      </c>
      <c r="AC69" s="22">
        <v>4687.7</v>
      </c>
      <c r="AD69" s="22">
        <v>4585.8</v>
      </c>
      <c r="AE69" s="22">
        <v>4968.7</v>
      </c>
      <c r="AF69" s="3">
        <f t="shared" si="0"/>
        <v>4260</v>
      </c>
      <c r="AG69" s="3">
        <f t="shared" si="1"/>
        <v>4419</v>
      </c>
      <c r="AH69" s="3">
        <f t="shared" si="2"/>
        <v>4578</v>
      </c>
      <c r="AI69" s="3">
        <f t="shared" si="3"/>
        <v>4737</v>
      </c>
      <c r="AJ69" s="3">
        <f t="shared" si="4"/>
        <v>4895</v>
      </c>
      <c r="AK69" s="3">
        <f t="shared" si="5"/>
        <v>5054</v>
      </c>
      <c r="AL69" s="3">
        <f t="shared" si="6"/>
        <v>5213</v>
      </c>
    </row>
    <row r="70" spans="1:38" ht="15.75" customHeight="1" x14ac:dyDescent="0.2">
      <c r="A70" s="43"/>
      <c r="B70" s="43"/>
      <c r="C70" s="40" t="s">
        <v>89</v>
      </c>
      <c r="D70" s="38" t="s">
        <v>90</v>
      </c>
      <c r="E70" s="39"/>
      <c r="F70" s="18" t="s">
        <v>28</v>
      </c>
      <c r="G70" s="19"/>
      <c r="H70" s="22">
        <v>748.3</v>
      </c>
      <c r="I70" s="22">
        <v>817.2</v>
      </c>
      <c r="J70" s="22">
        <v>846</v>
      </c>
      <c r="K70" s="22">
        <v>863.4</v>
      </c>
      <c r="L70" s="22">
        <v>895.7</v>
      </c>
      <c r="M70" s="22">
        <v>915.2</v>
      </c>
      <c r="N70" s="22">
        <v>875.2</v>
      </c>
      <c r="O70" s="22">
        <v>864</v>
      </c>
      <c r="P70" s="22">
        <v>865.8</v>
      </c>
      <c r="Q70" s="22">
        <v>856.9</v>
      </c>
      <c r="R70" s="22">
        <v>859.3</v>
      </c>
      <c r="S70" s="22">
        <v>832</v>
      </c>
      <c r="T70" s="22">
        <v>838.5</v>
      </c>
      <c r="U70" s="22">
        <v>988</v>
      </c>
      <c r="V70" s="22">
        <v>1125.5</v>
      </c>
      <c r="W70" s="22">
        <v>1085.8</v>
      </c>
      <c r="X70" s="22">
        <v>1527.3</v>
      </c>
      <c r="Y70" s="22">
        <v>1803.9</v>
      </c>
      <c r="Z70" s="22">
        <v>2147.5</v>
      </c>
      <c r="AA70" s="22">
        <v>2465.8000000000002</v>
      </c>
      <c r="AB70" s="22">
        <v>3180.3</v>
      </c>
      <c r="AC70" s="22">
        <v>3263.6</v>
      </c>
      <c r="AD70" s="22">
        <v>3096.7</v>
      </c>
      <c r="AE70" s="22">
        <v>3366.5</v>
      </c>
      <c r="AF70" s="3">
        <f t="shared" si="0"/>
        <v>2836</v>
      </c>
      <c r="AG70" s="3">
        <f t="shared" si="1"/>
        <v>2946</v>
      </c>
      <c r="AH70" s="3">
        <f t="shared" si="2"/>
        <v>3056</v>
      </c>
      <c r="AI70" s="3">
        <f t="shared" si="3"/>
        <v>3165</v>
      </c>
      <c r="AJ70" s="3">
        <f t="shared" si="4"/>
        <v>3275</v>
      </c>
      <c r="AK70" s="3">
        <f t="shared" si="5"/>
        <v>3385</v>
      </c>
      <c r="AL70" s="3">
        <f t="shared" si="6"/>
        <v>3495</v>
      </c>
    </row>
    <row r="71" spans="1:38" ht="15.75" customHeight="1" x14ac:dyDescent="0.2">
      <c r="A71" s="43"/>
      <c r="B71" s="43"/>
      <c r="C71" s="43"/>
      <c r="D71" s="40" t="s">
        <v>90</v>
      </c>
      <c r="E71" s="23" t="s">
        <v>91</v>
      </c>
      <c r="F71" s="18" t="s">
        <v>28</v>
      </c>
      <c r="G71" s="19"/>
      <c r="H71" s="22">
        <v>177.2</v>
      </c>
      <c r="I71" s="22">
        <v>235.7</v>
      </c>
      <c r="J71" s="22">
        <v>244</v>
      </c>
      <c r="K71" s="22">
        <v>249.3</v>
      </c>
      <c r="L71" s="22">
        <v>258.5</v>
      </c>
      <c r="M71" s="22">
        <v>263.39999999999998</v>
      </c>
      <c r="N71" s="22">
        <v>196.1</v>
      </c>
      <c r="O71" s="22">
        <v>193.9</v>
      </c>
      <c r="P71" s="22">
        <v>194</v>
      </c>
      <c r="Q71" s="22">
        <v>192.7</v>
      </c>
      <c r="R71" s="22">
        <v>193.1</v>
      </c>
      <c r="S71" s="22">
        <v>182.2</v>
      </c>
      <c r="T71" s="22">
        <v>188.6</v>
      </c>
      <c r="U71" s="22">
        <v>218.8</v>
      </c>
      <c r="V71" s="22">
        <v>237.3</v>
      </c>
      <c r="W71" s="22">
        <v>264.7</v>
      </c>
      <c r="X71" s="22">
        <v>433.5</v>
      </c>
      <c r="Y71" s="22">
        <v>447.4</v>
      </c>
      <c r="Z71" s="22">
        <v>462.5</v>
      </c>
      <c r="AA71" s="22">
        <v>458.5</v>
      </c>
      <c r="AB71" s="22">
        <v>434.3</v>
      </c>
      <c r="AC71" s="22">
        <v>445.6</v>
      </c>
      <c r="AD71" s="22">
        <v>467.6</v>
      </c>
      <c r="AE71" s="22">
        <v>475.3</v>
      </c>
      <c r="AF71" s="3">
        <f t="shared" si="0"/>
        <v>460</v>
      </c>
      <c r="AG71" s="3">
        <f t="shared" si="1"/>
        <v>473</v>
      </c>
      <c r="AH71" s="3">
        <f t="shared" si="2"/>
        <v>486</v>
      </c>
      <c r="AI71" s="3">
        <f t="shared" si="3"/>
        <v>499</v>
      </c>
      <c r="AJ71" s="3">
        <f t="shared" si="4"/>
        <v>512</v>
      </c>
      <c r="AK71" s="3">
        <f t="shared" si="5"/>
        <v>525</v>
      </c>
      <c r="AL71" s="3">
        <f t="shared" si="6"/>
        <v>538</v>
      </c>
    </row>
    <row r="72" spans="1:38" ht="15.75" customHeight="1" x14ac:dyDescent="0.2">
      <c r="A72" s="43"/>
      <c r="B72" s="43"/>
      <c r="C72" s="43"/>
      <c r="D72" s="41"/>
      <c r="E72" s="23" t="s">
        <v>92</v>
      </c>
      <c r="F72" s="18" t="s">
        <v>28</v>
      </c>
      <c r="G72" s="19"/>
      <c r="H72" s="22">
        <v>571</v>
      </c>
      <c r="I72" s="22">
        <v>581.6</v>
      </c>
      <c r="J72" s="22">
        <v>602</v>
      </c>
      <c r="K72" s="22">
        <v>614</v>
      </c>
      <c r="L72" s="22">
        <v>637.20000000000005</v>
      </c>
      <c r="M72" s="22">
        <v>651.79999999999995</v>
      </c>
      <c r="N72" s="22">
        <v>679</v>
      </c>
      <c r="O72" s="22">
        <v>670.1</v>
      </c>
      <c r="P72" s="22">
        <v>671.8</v>
      </c>
      <c r="Q72" s="22">
        <v>664.2</v>
      </c>
      <c r="R72" s="22">
        <v>666.3</v>
      </c>
      <c r="S72" s="22">
        <v>649.79999999999995</v>
      </c>
      <c r="T72" s="22">
        <v>649.9</v>
      </c>
      <c r="U72" s="22">
        <v>769.2</v>
      </c>
      <c r="V72" s="22">
        <v>888.2</v>
      </c>
      <c r="W72" s="22">
        <v>821.1</v>
      </c>
      <c r="X72" s="22">
        <v>1093.8</v>
      </c>
      <c r="Y72" s="22">
        <v>1356.5</v>
      </c>
      <c r="Z72" s="22">
        <v>1685.1</v>
      </c>
      <c r="AA72" s="22">
        <v>2007.4</v>
      </c>
      <c r="AB72" s="22">
        <v>2746</v>
      </c>
      <c r="AC72" s="22">
        <v>2817.9</v>
      </c>
      <c r="AD72" s="22">
        <v>2629.1</v>
      </c>
      <c r="AE72" s="22">
        <v>2891.2</v>
      </c>
      <c r="AF72" s="3">
        <f t="shared" si="0"/>
        <v>2377</v>
      </c>
      <c r="AG72" s="3">
        <f t="shared" si="1"/>
        <v>2473</v>
      </c>
      <c r="AH72" s="3">
        <f t="shared" si="2"/>
        <v>2570</v>
      </c>
      <c r="AI72" s="3">
        <f t="shared" si="3"/>
        <v>2667</v>
      </c>
      <c r="AJ72" s="3">
        <f t="shared" si="4"/>
        <v>2763</v>
      </c>
      <c r="AK72" s="3">
        <f t="shared" si="5"/>
        <v>2860</v>
      </c>
      <c r="AL72" s="3">
        <f t="shared" si="6"/>
        <v>2957</v>
      </c>
    </row>
    <row r="73" spans="1:38" ht="15.75" customHeight="1" x14ac:dyDescent="0.2">
      <c r="A73" s="43"/>
      <c r="B73" s="41"/>
      <c r="C73" s="41"/>
      <c r="D73" s="38" t="s">
        <v>93</v>
      </c>
      <c r="E73" s="39"/>
      <c r="F73" s="18" t="s">
        <v>28</v>
      </c>
      <c r="G73" s="19"/>
      <c r="H73" s="22">
        <v>463.5</v>
      </c>
      <c r="I73" s="22">
        <v>413.6</v>
      </c>
      <c r="J73" s="22">
        <v>421.9</v>
      </c>
      <c r="K73" s="22">
        <v>428.8</v>
      </c>
      <c r="L73" s="22">
        <v>434.5</v>
      </c>
      <c r="M73" s="22">
        <v>439.9</v>
      </c>
      <c r="N73" s="22">
        <v>513.20000000000005</v>
      </c>
      <c r="O73" s="22">
        <v>556.70000000000005</v>
      </c>
      <c r="P73" s="22">
        <v>589.29999999999995</v>
      </c>
      <c r="Q73" s="22">
        <v>617</v>
      </c>
      <c r="R73" s="22">
        <v>644.6</v>
      </c>
      <c r="S73" s="22">
        <v>756.5</v>
      </c>
      <c r="T73" s="22">
        <v>739.5</v>
      </c>
      <c r="U73" s="22">
        <v>788.6</v>
      </c>
      <c r="V73" s="22">
        <v>862.9</v>
      </c>
      <c r="W73" s="22">
        <v>948.8</v>
      </c>
      <c r="X73" s="22">
        <v>868.6</v>
      </c>
      <c r="Y73" s="22">
        <v>918.7</v>
      </c>
      <c r="Z73" s="22">
        <v>1039.3</v>
      </c>
      <c r="AA73" s="22">
        <v>1149</v>
      </c>
      <c r="AB73" s="22">
        <v>1323.8</v>
      </c>
      <c r="AC73" s="22">
        <v>1424.2</v>
      </c>
      <c r="AD73" s="22">
        <v>1489.2</v>
      </c>
      <c r="AE73" s="22">
        <v>1602.3</v>
      </c>
      <c r="AF73" s="3">
        <f t="shared" si="0"/>
        <v>1424</v>
      </c>
      <c r="AG73" s="3">
        <f t="shared" si="1"/>
        <v>1473</v>
      </c>
      <c r="AH73" s="3">
        <f t="shared" si="2"/>
        <v>1523</v>
      </c>
      <c r="AI73" s="3">
        <f t="shared" si="3"/>
        <v>1572</v>
      </c>
      <c r="AJ73" s="3">
        <f t="shared" si="4"/>
        <v>1621</v>
      </c>
      <c r="AK73" s="3">
        <f t="shared" si="5"/>
        <v>1670</v>
      </c>
      <c r="AL73" s="3">
        <f t="shared" si="6"/>
        <v>1719</v>
      </c>
    </row>
    <row r="74" spans="1:38" ht="15.75" customHeight="1" x14ac:dyDescent="0.2">
      <c r="A74" s="43"/>
      <c r="B74" s="38" t="s">
        <v>94</v>
      </c>
      <c r="C74" s="42"/>
      <c r="D74" s="42"/>
      <c r="E74" s="39"/>
      <c r="F74" s="18" t="s">
        <v>28</v>
      </c>
      <c r="G74" s="19"/>
      <c r="H74" s="22">
        <v>10880.9</v>
      </c>
      <c r="I74" s="22">
        <v>11193.3</v>
      </c>
      <c r="J74" s="22">
        <v>11526.2</v>
      </c>
      <c r="K74" s="22">
        <v>12029</v>
      </c>
      <c r="L74" s="22">
        <v>12141.2</v>
      </c>
      <c r="M74" s="22">
        <v>12467.5</v>
      </c>
      <c r="N74" s="22">
        <v>12658.8</v>
      </c>
      <c r="O74" s="22">
        <v>12633.4</v>
      </c>
      <c r="P74" s="22">
        <v>12727.2</v>
      </c>
      <c r="Q74" s="22">
        <v>12892.1</v>
      </c>
      <c r="R74" s="22">
        <v>13124.7</v>
      </c>
      <c r="S74" s="22">
        <v>13079.4</v>
      </c>
      <c r="T74" s="22">
        <v>13295.2</v>
      </c>
      <c r="U74" s="22">
        <v>13619</v>
      </c>
      <c r="V74" s="22">
        <v>14118.3</v>
      </c>
      <c r="W74" s="22">
        <v>14830</v>
      </c>
      <c r="X74" s="22">
        <v>15987.1</v>
      </c>
      <c r="Y74" s="22">
        <v>16863.099999999999</v>
      </c>
      <c r="Z74" s="22">
        <v>17148.2</v>
      </c>
      <c r="AA74" s="22">
        <v>17347</v>
      </c>
      <c r="AB74" s="22">
        <v>17788.2</v>
      </c>
      <c r="AC74" s="22">
        <v>17866.3</v>
      </c>
      <c r="AD74" s="22">
        <v>18870.400000000001</v>
      </c>
      <c r="AE74" s="22">
        <v>19777.099999999999</v>
      </c>
      <c r="AF74" s="3">
        <f t="shared" si="0"/>
        <v>18838</v>
      </c>
      <c r="AG74" s="3">
        <f t="shared" si="1"/>
        <v>19195</v>
      </c>
      <c r="AH74" s="3">
        <f t="shared" si="2"/>
        <v>19553</v>
      </c>
      <c r="AI74" s="3">
        <f t="shared" si="3"/>
        <v>19910</v>
      </c>
      <c r="AJ74" s="3">
        <f t="shared" si="4"/>
        <v>20268</v>
      </c>
      <c r="AK74" s="3">
        <f t="shared" si="5"/>
        <v>20625</v>
      </c>
      <c r="AL74" s="3">
        <f t="shared" si="6"/>
        <v>20982</v>
      </c>
    </row>
    <row r="75" spans="1:38" ht="15.75" customHeight="1" x14ac:dyDescent="0.2">
      <c r="A75" s="43"/>
      <c r="B75" s="38" t="s">
        <v>95</v>
      </c>
      <c r="C75" s="42"/>
      <c r="D75" s="42"/>
      <c r="E75" s="39"/>
      <c r="F75" s="18" t="s">
        <v>28</v>
      </c>
      <c r="G75" s="19"/>
      <c r="H75" s="22">
        <v>32870.5</v>
      </c>
      <c r="I75" s="22">
        <v>33845.699999999997</v>
      </c>
      <c r="J75" s="22">
        <v>34836</v>
      </c>
      <c r="K75" s="22">
        <v>35490.5</v>
      </c>
      <c r="L75" s="22">
        <v>36517.9</v>
      </c>
      <c r="M75" s="22">
        <v>37145.699999999997</v>
      </c>
      <c r="N75" s="22">
        <v>37711.599999999999</v>
      </c>
      <c r="O75" s="22">
        <v>38391.800000000003</v>
      </c>
      <c r="P75" s="22">
        <v>38755</v>
      </c>
      <c r="Q75" s="22">
        <v>39339.9</v>
      </c>
      <c r="R75" s="22">
        <v>39733.9</v>
      </c>
      <c r="S75" s="22">
        <v>40606.9</v>
      </c>
      <c r="T75" s="22">
        <v>41664</v>
      </c>
      <c r="U75" s="22">
        <v>44645.7</v>
      </c>
      <c r="V75" s="22">
        <v>46873.7</v>
      </c>
      <c r="W75" s="22">
        <v>48915.4</v>
      </c>
      <c r="X75" s="22">
        <v>51761.5</v>
      </c>
      <c r="Y75" s="22">
        <v>53513.2</v>
      </c>
      <c r="Z75" s="22">
        <v>56514.2</v>
      </c>
      <c r="AA75" s="22">
        <v>57798</v>
      </c>
      <c r="AB75" s="22">
        <v>60148.1</v>
      </c>
      <c r="AC75" s="22">
        <v>62471.8</v>
      </c>
      <c r="AD75" s="22">
        <v>63856.1</v>
      </c>
      <c r="AE75" s="22">
        <v>66351.899999999994</v>
      </c>
      <c r="AF75" s="3">
        <f t="shared" si="0"/>
        <v>63945</v>
      </c>
      <c r="AG75" s="3">
        <f t="shared" si="1"/>
        <v>65395</v>
      </c>
      <c r="AH75" s="3">
        <f t="shared" si="2"/>
        <v>66844</v>
      </c>
      <c r="AI75" s="3">
        <f t="shared" si="3"/>
        <v>68294</v>
      </c>
      <c r="AJ75" s="3">
        <f t="shared" si="4"/>
        <v>69744</v>
      </c>
      <c r="AK75" s="3">
        <f t="shared" si="5"/>
        <v>71193</v>
      </c>
      <c r="AL75" s="3">
        <f t="shared" si="6"/>
        <v>72643</v>
      </c>
    </row>
    <row r="76" spans="1:38" ht="15.75" customHeight="1" x14ac:dyDescent="0.2">
      <c r="A76" s="43"/>
      <c r="B76" s="38" t="s">
        <v>96</v>
      </c>
      <c r="C76" s="42"/>
      <c r="D76" s="42"/>
      <c r="E76" s="39"/>
      <c r="F76" s="18" t="s">
        <v>28</v>
      </c>
      <c r="G76" s="19"/>
      <c r="H76" s="22">
        <v>29172.3</v>
      </c>
      <c r="I76" s="22">
        <v>30040</v>
      </c>
      <c r="J76" s="22">
        <v>30915.9</v>
      </c>
      <c r="K76" s="22">
        <v>31498.400000000001</v>
      </c>
      <c r="L76" s="22">
        <v>32402.9</v>
      </c>
      <c r="M76" s="22">
        <v>32958.5</v>
      </c>
      <c r="N76" s="22">
        <v>33461.699999999997</v>
      </c>
      <c r="O76" s="22">
        <v>34090.699999999997</v>
      </c>
      <c r="P76" s="22">
        <v>34400.9</v>
      </c>
      <c r="Q76" s="22">
        <v>34932.400000000001</v>
      </c>
      <c r="R76" s="22">
        <v>35264.9</v>
      </c>
      <c r="S76" s="22">
        <v>36122.199999999997</v>
      </c>
      <c r="T76" s="22">
        <v>37017.699999999997</v>
      </c>
      <c r="U76" s="22">
        <v>39743.300000000003</v>
      </c>
      <c r="V76" s="22">
        <v>41945.599999999999</v>
      </c>
      <c r="W76" s="22">
        <v>43848.7</v>
      </c>
      <c r="X76" s="22">
        <v>45911.5</v>
      </c>
      <c r="Y76" s="22">
        <v>47217.3</v>
      </c>
      <c r="Z76" s="22">
        <v>49924.800000000003</v>
      </c>
      <c r="AA76" s="22">
        <v>50679.8</v>
      </c>
      <c r="AB76" s="22">
        <v>52283.7</v>
      </c>
      <c r="AC76" s="22">
        <v>54740.2</v>
      </c>
      <c r="AD76" s="22">
        <v>56408.9</v>
      </c>
      <c r="AE76" s="22">
        <v>58837.3</v>
      </c>
      <c r="AF76" s="3">
        <f t="shared" si="0"/>
        <v>56392</v>
      </c>
      <c r="AG76" s="3">
        <f t="shared" si="1"/>
        <v>57657</v>
      </c>
      <c r="AH76" s="3">
        <f t="shared" si="2"/>
        <v>58922</v>
      </c>
      <c r="AI76" s="3">
        <f t="shared" si="3"/>
        <v>60187</v>
      </c>
      <c r="AJ76" s="3">
        <f t="shared" si="4"/>
        <v>61452</v>
      </c>
      <c r="AK76" s="3">
        <f t="shared" si="5"/>
        <v>62718</v>
      </c>
      <c r="AL76" s="3">
        <f t="shared" si="6"/>
        <v>63983</v>
      </c>
    </row>
    <row r="77" spans="1:38" ht="15.75" customHeight="1" x14ac:dyDescent="0.2">
      <c r="A77" s="43"/>
      <c r="B77" s="38" t="s">
        <v>97</v>
      </c>
      <c r="C77" s="42"/>
      <c r="D77" s="42"/>
      <c r="E77" s="39"/>
      <c r="F77" s="18" t="s">
        <v>28</v>
      </c>
      <c r="G77" s="19"/>
      <c r="H77" s="22">
        <v>2041.4</v>
      </c>
      <c r="I77" s="22">
        <v>2113.8000000000002</v>
      </c>
      <c r="J77" s="22">
        <v>2167.6</v>
      </c>
      <c r="K77" s="22">
        <v>2212.3000000000002</v>
      </c>
      <c r="L77" s="22">
        <v>2257.9</v>
      </c>
      <c r="M77" s="22">
        <v>2291.3000000000002</v>
      </c>
      <c r="N77" s="22">
        <v>2325.5</v>
      </c>
      <c r="O77" s="22">
        <v>2429.5</v>
      </c>
      <c r="P77" s="22">
        <v>2409</v>
      </c>
      <c r="Q77" s="22">
        <v>2484.8000000000002</v>
      </c>
      <c r="R77" s="22">
        <v>2460</v>
      </c>
      <c r="S77" s="22">
        <v>2477.6</v>
      </c>
      <c r="T77" s="22">
        <v>2539.6999999999998</v>
      </c>
      <c r="U77" s="22">
        <v>2674.3</v>
      </c>
      <c r="V77" s="22">
        <v>2789.8</v>
      </c>
      <c r="W77" s="22">
        <v>2825.8</v>
      </c>
      <c r="X77" s="22">
        <v>2920.2</v>
      </c>
      <c r="Y77" s="22">
        <v>2994.1</v>
      </c>
      <c r="Z77" s="22">
        <v>3149</v>
      </c>
      <c r="AA77" s="22">
        <v>3146.2</v>
      </c>
      <c r="AB77" s="22">
        <v>3182.4</v>
      </c>
      <c r="AC77" s="22">
        <v>3358.1</v>
      </c>
      <c r="AD77" s="22">
        <v>3442.1</v>
      </c>
      <c r="AE77" s="22">
        <v>3558.2</v>
      </c>
      <c r="AF77" s="3">
        <f t="shared" si="0"/>
        <v>3456</v>
      </c>
      <c r="AG77" s="3">
        <f t="shared" si="1"/>
        <v>3519</v>
      </c>
      <c r="AH77" s="3">
        <f t="shared" si="2"/>
        <v>3581</v>
      </c>
      <c r="AI77" s="3">
        <f t="shared" si="3"/>
        <v>3643</v>
      </c>
      <c r="AJ77" s="3">
        <f t="shared" si="4"/>
        <v>3706</v>
      </c>
      <c r="AK77" s="3">
        <f t="shared" si="5"/>
        <v>3768</v>
      </c>
      <c r="AL77" s="3">
        <f t="shared" si="6"/>
        <v>3830</v>
      </c>
    </row>
    <row r="78" spans="1:38" ht="15.75" customHeight="1" x14ac:dyDescent="0.2">
      <c r="A78" s="41"/>
      <c r="B78" s="38" t="s">
        <v>98</v>
      </c>
      <c r="C78" s="42"/>
      <c r="D78" s="42"/>
      <c r="E78" s="39"/>
      <c r="F78" s="18" t="s">
        <v>28</v>
      </c>
      <c r="G78" s="19"/>
      <c r="H78" s="22">
        <v>949.3</v>
      </c>
      <c r="I78" s="22">
        <v>1084.8</v>
      </c>
      <c r="J78" s="22">
        <v>1115.8</v>
      </c>
      <c r="K78" s="22">
        <v>1349.4</v>
      </c>
      <c r="L78" s="22">
        <v>1225.2</v>
      </c>
      <c r="M78" s="22">
        <v>1296.4000000000001</v>
      </c>
      <c r="N78" s="22">
        <v>1308.7</v>
      </c>
      <c r="O78" s="22">
        <v>1268</v>
      </c>
      <c r="P78" s="22">
        <v>1248.5999999999999</v>
      </c>
      <c r="Q78" s="22">
        <v>1304.3</v>
      </c>
      <c r="R78" s="22">
        <v>1283.9000000000001</v>
      </c>
      <c r="S78" s="22">
        <v>1153.0999999999999</v>
      </c>
      <c r="T78" s="22">
        <v>1167.8</v>
      </c>
      <c r="U78" s="22">
        <v>1213.4000000000001</v>
      </c>
      <c r="V78" s="22">
        <v>1261.2</v>
      </c>
      <c r="W78" s="22">
        <v>1311.2</v>
      </c>
      <c r="X78" s="22">
        <v>1281.0999999999999</v>
      </c>
      <c r="Y78" s="22">
        <v>1245.9000000000001</v>
      </c>
      <c r="Z78" s="22">
        <v>1222.9000000000001</v>
      </c>
      <c r="AA78" s="22">
        <v>1151.9000000000001</v>
      </c>
      <c r="AB78" s="22">
        <v>1080.9000000000001</v>
      </c>
      <c r="AC78" s="22">
        <v>1045.4000000000001</v>
      </c>
      <c r="AD78" s="22">
        <v>1092</v>
      </c>
      <c r="AE78" s="22">
        <v>1135.5999999999999</v>
      </c>
      <c r="AF78" s="3">
        <f t="shared" si="0"/>
        <v>1178</v>
      </c>
      <c r="AG78" s="3">
        <f t="shared" si="1"/>
        <v>1176</v>
      </c>
      <c r="AH78" s="3">
        <f t="shared" si="2"/>
        <v>1175</v>
      </c>
      <c r="AI78" s="3">
        <f t="shared" si="3"/>
        <v>1173</v>
      </c>
      <c r="AJ78" s="3">
        <f t="shared" si="4"/>
        <v>1171</v>
      </c>
      <c r="AK78" s="3">
        <f t="shared" si="5"/>
        <v>1169</v>
      </c>
      <c r="AL78" s="3">
        <f t="shared" si="6"/>
        <v>1168</v>
      </c>
    </row>
    <row r="79" spans="1:38" ht="15.75" customHeight="1" x14ac:dyDescent="0.2">
      <c r="A79" s="24" t="s">
        <v>99</v>
      </c>
    </row>
    <row r="80" spans="1:38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7">
    <mergeCell ref="A8:E8"/>
    <mergeCell ref="B17:E17"/>
    <mergeCell ref="C23:E23"/>
    <mergeCell ref="D24:E24"/>
    <mergeCell ref="B74:E74"/>
    <mergeCell ref="D35:E35"/>
    <mergeCell ref="C36:E36"/>
    <mergeCell ref="C37:E37"/>
    <mergeCell ref="C38:C39"/>
    <mergeCell ref="D38:E38"/>
    <mergeCell ref="D39:E39"/>
    <mergeCell ref="C40:E40"/>
    <mergeCell ref="A3:F3"/>
    <mergeCell ref="A4:F4"/>
    <mergeCell ref="A5:F5"/>
    <mergeCell ref="A6:F6"/>
    <mergeCell ref="A7:F7"/>
    <mergeCell ref="B13:E13"/>
    <mergeCell ref="B14:B16"/>
    <mergeCell ref="C14:E14"/>
    <mergeCell ref="C15:E15"/>
    <mergeCell ref="C16:E16"/>
    <mergeCell ref="A9:E9"/>
    <mergeCell ref="B10:E10"/>
    <mergeCell ref="B11:B12"/>
    <mergeCell ref="C11:E11"/>
    <mergeCell ref="C12:E12"/>
    <mergeCell ref="A10:A78"/>
    <mergeCell ref="B18:B40"/>
    <mergeCell ref="B42:B43"/>
    <mergeCell ref="B46:B63"/>
    <mergeCell ref="B65:B73"/>
    <mergeCell ref="B75:E75"/>
    <mergeCell ref="B76:E76"/>
    <mergeCell ref="B77:E77"/>
    <mergeCell ref="B78:E78"/>
    <mergeCell ref="C69:E69"/>
    <mergeCell ref="D70:E70"/>
    <mergeCell ref="D71:D72"/>
    <mergeCell ref="D73:E73"/>
    <mergeCell ref="B64:E64"/>
    <mergeCell ref="C65:E65"/>
    <mergeCell ref="C66:C68"/>
    <mergeCell ref="D66:E66"/>
    <mergeCell ref="D67:E67"/>
    <mergeCell ref="D68:E68"/>
    <mergeCell ref="C70:C73"/>
    <mergeCell ref="C56:C58"/>
    <mergeCell ref="C62:C63"/>
    <mergeCell ref="D62:E62"/>
    <mergeCell ref="D63:E63"/>
    <mergeCell ref="C55:E55"/>
    <mergeCell ref="D56:E56"/>
    <mergeCell ref="D57:E57"/>
    <mergeCell ref="D58:E58"/>
    <mergeCell ref="C59:E59"/>
    <mergeCell ref="C60:E60"/>
    <mergeCell ref="C61:E61"/>
    <mergeCell ref="D47:E47"/>
    <mergeCell ref="D48:E48"/>
    <mergeCell ref="D49:D53"/>
    <mergeCell ref="D54:E54"/>
    <mergeCell ref="B41:E41"/>
    <mergeCell ref="C42:E42"/>
    <mergeCell ref="C43:E43"/>
    <mergeCell ref="B44:E44"/>
    <mergeCell ref="B45:E45"/>
    <mergeCell ref="C46:E46"/>
    <mergeCell ref="C47:C54"/>
    <mergeCell ref="C33:E33"/>
    <mergeCell ref="D34:E34"/>
    <mergeCell ref="D28:E28"/>
    <mergeCell ref="D29:E29"/>
    <mergeCell ref="C30:E30"/>
    <mergeCell ref="C31:C32"/>
    <mergeCell ref="D31:E31"/>
    <mergeCell ref="D32:E32"/>
    <mergeCell ref="C34:C35"/>
    <mergeCell ref="D25:E25"/>
    <mergeCell ref="D26:D27"/>
    <mergeCell ref="C18:E18"/>
    <mergeCell ref="C19:E19"/>
    <mergeCell ref="C20:E20"/>
    <mergeCell ref="C21:C22"/>
    <mergeCell ref="D21:E21"/>
    <mergeCell ref="D22:E22"/>
    <mergeCell ref="C24:C29"/>
  </mergeCells>
  <hyperlinks>
    <hyperlink ref="A2" r:id="rId1" xr:uid="{00000000-0004-0000-0100-000000000000}"/>
    <hyperlink ref="G4" r:id="rId2" xr:uid="{00000000-0004-0000-0100-000001000000}"/>
    <hyperlink ref="A79" r:id="rId3" xr:uid="{00000000-0004-0000-0100-000002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workbookViewId="0"/>
  </sheetViews>
  <sheetFormatPr baseColWidth="10" defaultColWidth="14.5" defaultRowHeight="15" customHeight="1" x14ac:dyDescent="0.2"/>
  <cols>
    <col min="1" max="1" width="43.83203125" customWidth="1"/>
    <col min="2" max="2" width="13.6640625" customWidth="1"/>
    <col min="3" max="3" width="12.1640625" customWidth="1"/>
    <col min="4" max="4" width="12.5" customWidth="1"/>
    <col min="5" max="5" width="11.83203125" customWidth="1"/>
    <col min="6" max="6" width="12" customWidth="1"/>
    <col min="7" max="7" width="11.1640625" customWidth="1"/>
    <col min="8" max="8" width="12.5" customWidth="1"/>
    <col min="9" max="9" width="10.83203125" customWidth="1"/>
    <col min="10" max="10" width="10.5" customWidth="1"/>
    <col min="11" max="35" width="10.6640625" customWidth="1"/>
  </cols>
  <sheetData>
    <row r="1" spans="1:33" ht="16" x14ac:dyDescent="0.2">
      <c r="A1" s="25" t="s">
        <v>100</v>
      </c>
      <c r="B1" s="26">
        <v>2019</v>
      </c>
      <c r="C1" s="26">
        <v>2020</v>
      </c>
      <c r="D1" s="26">
        <v>2021</v>
      </c>
      <c r="E1" s="26">
        <v>2022</v>
      </c>
      <c r="F1" s="26">
        <v>2023</v>
      </c>
      <c r="G1" s="26">
        <v>2024</v>
      </c>
      <c r="H1" s="26">
        <v>2025</v>
      </c>
      <c r="I1" s="26">
        <v>2026</v>
      </c>
      <c r="J1" s="26">
        <v>2027</v>
      </c>
      <c r="K1" s="26">
        <v>2028</v>
      </c>
      <c r="L1" s="26">
        <v>2029</v>
      </c>
      <c r="M1" s="26">
        <v>2030</v>
      </c>
      <c r="N1" s="26">
        <v>2031</v>
      </c>
      <c r="O1" s="26">
        <v>2032</v>
      </c>
      <c r="P1" s="26">
        <v>2033</v>
      </c>
      <c r="Q1" s="26">
        <v>2034</v>
      </c>
      <c r="R1" s="26">
        <v>2035</v>
      </c>
      <c r="S1" s="26">
        <v>2036</v>
      </c>
      <c r="T1" s="26">
        <v>2037</v>
      </c>
      <c r="U1" s="26">
        <v>2038</v>
      </c>
      <c r="V1" s="26">
        <v>2039</v>
      </c>
      <c r="W1" s="26">
        <v>2040</v>
      </c>
      <c r="X1" s="26">
        <v>2041</v>
      </c>
      <c r="Y1" s="26">
        <v>2042</v>
      </c>
      <c r="Z1" s="26">
        <v>2043</v>
      </c>
      <c r="AA1" s="26">
        <v>2044</v>
      </c>
      <c r="AB1" s="26">
        <v>2045</v>
      </c>
      <c r="AC1" s="26">
        <v>2046</v>
      </c>
      <c r="AD1" s="26">
        <v>2047</v>
      </c>
      <c r="AE1" s="26">
        <v>2048</v>
      </c>
      <c r="AF1" s="26">
        <v>2049</v>
      </c>
      <c r="AG1" s="26">
        <v>2050</v>
      </c>
    </row>
    <row r="2" spans="1:33" ht="16" x14ac:dyDescent="0.2">
      <c r="A2" s="27" t="s">
        <v>101</v>
      </c>
      <c r="B2" s="28">
        <v>0</v>
      </c>
      <c r="C2" s="28">
        <v>0</v>
      </c>
      <c r="D2" s="28">
        <v>4.4329088675229326E-2</v>
      </c>
      <c r="E2" s="28">
        <v>4.2447432668423969E-2</v>
      </c>
      <c r="F2" s="28">
        <v>4.0719015020036428E-2</v>
      </c>
      <c r="G2" s="28">
        <v>3.9125848987454658E-2</v>
      </c>
      <c r="H2" s="28">
        <v>3.7652656822626446E-2</v>
      </c>
      <c r="I2" s="28">
        <v>3.6286378274134452E-2</v>
      </c>
      <c r="J2" s="28">
        <v>3.5015782350209974E-2</v>
      </c>
      <c r="K2" s="28">
        <v>3.3831157888924462E-2</v>
      </c>
      <c r="L2" s="28">
        <v>3.2724064883088905E-2</v>
      </c>
      <c r="M2" s="28">
        <v>3.1687133084086196E-2</v>
      </c>
      <c r="N2" s="28">
        <v>3.0713897719516856E-2</v>
      </c>
      <c r="O2" s="28">
        <v>2.9798664583333748E-2</v>
      </c>
      <c r="P2" s="28">
        <v>2.8936398548723308E-2</v>
      </c>
      <c r="Q2" s="28">
        <v>2.8122630892965812E-2</v>
      </c>
      <c r="R2" s="28">
        <v>2.7353381832036058E-2</v>
      </c>
      <c r="S2" s="28">
        <v>2.6625095430406975E-2</v>
      </c>
      <c r="T2" s="28">
        <v>2.5934584639434075E-2</v>
      </c>
      <c r="U2" s="28">
        <v>2.5278984671862695E-2</v>
      </c>
      <c r="V2" s="28">
        <v>2.4655713273943097E-2</v>
      </c>
      <c r="W2" s="28">
        <v>2.4062436733171527E-2</v>
      </c>
      <c r="X2" s="28">
        <v>2.3497040678430045E-2</v>
      </c>
      <c r="Y2" s="28">
        <v>2.2957604902164561E-2</v>
      </c>
      <c r="Z2" s="28">
        <v>2.2442381572954723E-2</v>
      </c>
      <c r="AA2" s="28">
        <v>2.194977631739323E-2</v>
      </c>
      <c r="AB2" s="28">
        <v>2.147833174002883E-2</v>
      </c>
      <c r="AC2" s="28">
        <v>2.1026713022332784E-2</v>
      </c>
      <c r="AD2" s="28">
        <v>2.0593695301170899E-2</v>
      </c>
      <c r="AE2" s="28">
        <v>2.0178152575289751E-2</v>
      </c>
      <c r="AF2" s="28">
        <v>1.9779047928396597E-2</v>
      </c>
      <c r="AG2" s="28">
        <v>1.9395424889912298E-2</v>
      </c>
    </row>
    <row r="3" spans="1:33" ht="16" x14ac:dyDescent="0.2">
      <c r="A3" s="27" t="s">
        <v>102</v>
      </c>
      <c r="B3" s="28">
        <v>0</v>
      </c>
      <c r="C3" s="28">
        <v>0</v>
      </c>
      <c r="D3" s="28">
        <v>4.446922130886221E-2</v>
      </c>
      <c r="E3" s="28">
        <v>4.257590401098825E-2</v>
      </c>
      <c r="F3" s="28">
        <v>4.0837222352037621E-2</v>
      </c>
      <c r="G3" s="28">
        <v>3.9234974955805066E-2</v>
      </c>
      <c r="H3" s="28">
        <v>3.7753709123829159E-2</v>
      </c>
      <c r="I3" s="28">
        <v>3.6380220848083164E-2</v>
      </c>
      <c r="J3" s="28">
        <v>3.5103160130072766E-2</v>
      </c>
      <c r="K3" s="28">
        <v>3.3912716608530034E-2</v>
      </c>
      <c r="L3" s="28">
        <v>3.2800367055895813E-2</v>
      </c>
      <c r="M3" s="28">
        <v>3.1758670990209514E-2</v>
      </c>
      <c r="N3" s="28">
        <v>3.078110403447434E-2</v>
      </c>
      <c r="O3" s="28">
        <v>2.9861921133387506E-2</v>
      </c>
      <c r="P3" s="28">
        <v>2.899604356721355E-2</v>
      </c>
      <c r="Q3" s="28">
        <v>2.8178965068401063E-2</v>
      </c>
      <c r="R3" s="28">
        <v>2.7406673376688145E-2</v>
      </c>
      <c r="S3" s="28">
        <v>2.6675584349285401E-2</v>
      </c>
      <c r="T3" s="28">
        <v>2.5982486343241438E-2</v>
      </c>
      <c r="U3" s="28">
        <v>2.5324493048451448E-2</v>
      </c>
      <c r="V3" s="28">
        <v>2.4699003310811967E-2</v>
      </c>
      <c r="W3" s="28">
        <v>2.4103666765558102E-2</v>
      </c>
      <c r="X3" s="28">
        <v>2.3536354324063209E-2</v>
      </c>
      <c r="Y3" s="28">
        <v>2.299513273233781E-2</v>
      </c>
      <c r="Z3" s="28">
        <v>2.2478242561064492E-2</v>
      </c>
      <c r="AA3" s="28">
        <v>2.1984079098596742E-2</v>
      </c>
      <c r="AB3" s="28">
        <v>2.1511175710285699E-2</v>
      </c>
      <c r="AC3" s="28">
        <v>2.1058189300103197E-2</v>
      </c>
      <c r="AD3" s="28">
        <v>2.0623887571525334E-2</v>
      </c>
      <c r="AE3" s="28">
        <v>2.0207137832713915E-2</v>
      </c>
      <c r="AF3" s="28">
        <v>1.9806897132322684E-2</v>
      </c>
      <c r="AG3" s="28">
        <v>1.9422203544637934E-2</v>
      </c>
    </row>
    <row r="4" spans="1:33" ht="16" x14ac:dyDescent="0.2">
      <c r="A4" s="27" t="s">
        <v>103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</row>
    <row r="5" spans="1:33" ht="16" x14ac:dyDescent="0.2">
      <c r="A5" s="29" t="s">
        <v>104</v>
      </c>
      <c r="B5" s="28">
        <v>0</v>
      </c>
      <c r="C5" s="28">
        <v>0</v>
      </c>
      <c r="D5" s="28">
        <v>4.6815030817588962E-2</v>
      </c>
      <c r="E5" s="28">
        <v>4.4721397228147594E-2</v>
      </c>
      <c r="F5" s="28">
        <v>4.2807008018421674E-2</v>
      </c>
      <c r="G5" s="28">
        <v>4.1049789356279114E-2</v>
      </c>
      <c r="H5" s="28">
        <v>3.9431148995920519E-2</v>
      </c>
      <c r="I5" s="28">
        <v>3.7935315902379203E-2</v>
      </c>
      <c r="J5" s="28">
        <v>3.6548824691822031E-2</v>
      </c>
      <c r="K5" s="28">
        <v>3.5260109144099813E-2</v>
      </c>
      <c r="L5" s="28">
        <v>3.4059178782857837E-2</v>
      </c>
      <c r="M5" s="28">
        <v>3.2937359371402963E-2</v>
      </c>
      <c r="N5" s="28">
        <v>3.1887083057424194E-2</v>
      </c>
      <c r="O5" s="28">
        <v>3.0901717427205828E-2</v>
      </c>
      <c r="P5" s="28">
        <v>2.9975425304689943E-2</v>
      </c>
      <c r="Q5" s="28">
        <v>2.9103049032274605E-2</v>
      </c>
      <c r="R5" s="28">
        <v>2.8280014386938116E-2</v>
      </c>
      <c r="S5" s="28">
        <v>2.7502250351338211E-2</v>
      </c>
      <c r="T5" s="28">
        <v>2.676612176949042E-2</v>
      </c>
      <c r="U5" s="28">
        <v>2.6068372535863069E-2</v>
      </c>
      <c r="V5" s="28">
        <v>2.5406077444368288E-2</v>
      </c>
      <c r="W5" s="28">
        <v>2.4776601195593013E-2</v>
      </c>
      <c r="X5" s="28">
        <v>2.4177563350566846E-2</v>
      </c>
      <c r="Y5" s="28">
        <v>2.3606808248630887E-2</v>
      </c>
      <c r="Z5" s="28">
        <v>2.3062379087756591E-2</v>
      </c>
      <c r="AA5" s="28">
        <v>2.2542495510697404E-2</v>
      </c>
      <c r="AB5" s="28">
        <v>2.2045534155955844E-2</v>
      </c>
      <c r="AC5" s="28">
        <v>2.1570011725712285E-2</v>
      </c>
      <c r="AD5" s="28">
        <v>2.1114570198944627E-2</v>
      </c>
      <c r="AE5" s="28">
        <v>2.0677963879042537E-2</v>
      </c>
      <c r="AF5" s="28">
        <v>2.0259048015945035E-2</v>
      </c>
      <c r="AG5" s="28">
        <v>1.9856768783720651E-2</v>
      </c>
    </row>
    <row r="6" spans="1:33" ht="16" x14ac:dyDescent="0.2">
      <c r="A6" s="29" t="s">
        <v>105</v>
      </c>
      <c r="B6" s="28">
        <v>0</v>
      </c>
      <c r="C6" s="28">
        <v>0</v>
      </c>
      <c r="D6" s="28">
        <v>4.487159854570491E-2</v>
      </c>
      <c r="E6" s="28">
        <v>4.2944605450219581E-2</v>
      </c>
      <c r="F6" s="28">
        <v>4.1176305266663472E-2</v>
      </c>
      <c r="G6" s="28">
        <v>3.9547870094985976E-2</v>
      </c>
      <c r="H6" s="28">
        <v>3.8043337139801355E-2</v>
      </c>
      <c r="I6" s="28">
        <v>3.6649083693003626E-2</v>
      </c>
      <c r="J6" s="28">
        <v>3.5353413483416529E-2</v>
      </c>
      <c r="K6" s="28">
        <v>3.4146227774007838E-2</v>
      </c>
      <c r="L6" s="28">
        <v>3.3018761618965713E-2</v>
      </c>
      <c r="M6" s="28">
        <v>3.1963370701242749E-2</v>
      </c>
      <c r="N6" s="28">
        <v>3.0973357784514099E-2</v>
      </c>
      <c r="O6" s="28">
        <v>3.0042830448183035E-2</v>
      </c>
      <c r="P6" s="28">
        <v>2.9166583718767371E-2</v>
      </c>
      <c r="Q6" s="28">
        <v>2.8340002658621983E-2</v>
      </c>
      <c r="R6" s="28">
        <v>2.7558981062066352E-2</v>
      </c>
      <c r="S6" s="28">
        <v>2.6819853234684287E-2</v>
      </c>
      <c r="T6" s="28">
        <v>2.6119336464129009E-2</v>
      </c>
      <c r="U6" s="28">
        <v>2.5454482277015435E-2</v>
      </c>
      <c r="V6" s="28">
        <v>2.4822634955472538E-2</v>
      </c>
      <c r="W6" s="28">
        <v>2.4221396082396571E-2</v>
      </c>
      <c r="X6" s="28">
        <v>2.3648594117495345E-2</v>
      </c>
      <c r="Y6" s="28">
        <v>2.310225819035408E-2</v>
      </c>
      <c r="Z6" s="28">
        <v>2.2580595444307749E-2</v>
      </c>
      <c r="AA6" s="28">
        <v>2.2081971381919835E-2</v>
      </c>
      <c r="AB6" s="28">
        <v>2.1604892758321143E-2</v>
      </c>
      <c r="AC6" s="28">
        <v>2.1147992645159375E-2</v>
      </c>
      <c r="AD6" s="28">
        <v>2.0710017350557792E-2</v>
      </c>
      <c r="AE6" s="28">
        <v>2.0289814931291145E-2</v>
      </c>
      <c r="AF6" s="28">
        <v>1.988632507583888E-2</v>
      </c>
      <c r="AG6" s="28">
        <v>1.9498570170906185E-2</v>
      </c>
    </row>
    <row r="7" spans="1:33" ht="16" x14ac:dyDescent="0.2">
      <c r="A7" s="29" t="s">
        <v>106</v>
      </c>
      <c r="B7" s="28">
        <v>0</v>
      </c>
      <c r="C7" s="28">
        <v>0</v>
      </c>
      <c r="D7" s="28">
        <v>4.3822254480991835E-2</v>
      </c>
      <c r="E7" s="28">
        <v>4.1982487241370693E-2</v>
      </c>
      <c r="F7" s="28">
        <v>4.0290972022493918E-2</v>
      </c>
      <c r="G7" s="28">
        <v>3.8730483207162492E-2</v>
      </c>
      <c r="H7" s="28">
        <v>3.7286364300768857E-2</v>
      </c>
      <c r="I7" s="28">
        <v>3.5946066181929866E-2</v>
      </c>
      <c r="J7" s="28">
        <v>3.4698781486194791E-2</v>
      </c>
      <c r="K7" s="28">
        <v>3.3535152555551465E-2</v>
      </c>
      <c r="L7" s="28">
        <v>3.2447036245107898E-2</v>
      </c>
      <c r="M7" s="28">
        <v>3.1427313078561461E-2</v>
      </c>
      <c r="N7" s="28">
        <v>3.0469731293772433E-2</v>
      </c>
      <c r="O7" s="28">
        <v>2.9568778556461423E-2</v>
      </c>
      <c r="P7" s="28">
        <v>2.8719575779997421E-2</v>
      </c>
      <c r="Q7" s="28">
        <v>2.7917788730929535E-2</v>
      </c>
      <c r="R7" s="28">
        <v>2.7159554039226461E-2</v>
      </c>
      <c r="S7" s="28">
        <v>2.6441416946795668E-2</v>
      </c>
      <c r="T7" s="28">
        <v>2.5760278677615194E-2</v>
      </c>
      <c r="U7" s="28">
        <v>2.5113351738307421E-2</v>
      </c>
      <c r="V7" s="28">
        <v>2.4498121788886509E-2</v>
      </c>
      <c r="W7" s="28">
        <v>2.3912314984158869E-2</v>
      </c>
      <c r="X7" s="28">
        <v>2.335386989122093E-2</v>
      </c>
      <c r="Y7" s="28">
        <v>2.2820913252327241E-2</v>
      </c>
      <c r="Z7" s="28">
        <v>2.2311738992268203E-2</v>
      </c>
      <c r="AA7" s="28">
        <v>2.1824789974797199E-2</v>
      </c>
      <c r="AB7" s="28">
        <v>2.1358642096885802E-2</v>
      </c>
      <c r="AC7" s="28">
        <v>2.0911990378850418E-2</v>
      </c>
      <c r="AD7" s="28">
        <v>2.048363676391236E-2</v>
      </c>
      <c r="AE7" s="28">
        <v>2.0072479387200925E-2</v>
      </c>
      <c r="AF7" s="28">
        <v>1.9677503111601716E-2</v>
      </c>
      <c r="AG7" s="28">
        <v>1.9297771159555756E-2</v>
      </c>
    </row>
    <row r="8" spans="1:33" ht="16" x14ac:dyDescent="0.2">
      <c r="A8" s="29" t="s">
        <v>107</v>
      </c>
      <c r="B8" s="28">
        <v>0</v>
      </c>
      <c r="C8" s="28">
        <v>0</v>
      </c>
      <c r="D8" s="28">
        <v>4.4912277109221084E-2</v>
      </c>
      <c r="E8" s="28">
        <v>4.2981863734494474E-2</v>
      </c>
      <c r="F8" s="28">
        <v>4.1210557181316235E-2</v>
      </c>
      <c r="G8" s="28">
        <v>3.9579465360845965E-2</v>
      </c>
      <c r="H8" s="28">
        <v>3.8072573266073884E-2</v>
      </c>
      <c r="I8" s="28">
        <v>3.6676215369293788E-2</v>
      </c>
      <c r="J8" s="28">
        <v>3.5378660015112473E-2</v>
      </c>
      <c r="K8" s="28">
        <v>3.4169779020350358E-2</v>
      </c>
      <c r="L8" s="28">
        <v>3.3040782774302335E-2</v>
      </c>
      <c r="M8" s="28">
        <v>3.1984006174044795E-2</v>
      </c>
      <c r="N8" s="28">
        <v>3.0992734366717855E-2</v>
      </c>
      <c r="O8" s="28">
        <v>3.0061059921771962E-2</v>
      </c>
      <c r="P8" s="28">
        <v>2.9183765012981974E-2</v>
      </c>
      <c r="Q8" s="28">
        <v>2.8356223645449673E-2</v>
      </c>
      <c r="R8" s="28">
        <v>2.7574320058993358E-2</v>
      </c>
      <c r="S8" s="28">
        <v>2.6834380268867374E-2</v>
      </c>
      <c r="T8" s="28">
        <v>2.6133114341037478E-2</v>
      </c>
      <c r="U8" s="28">
        <v>2.5467567487881478E-2</v>
      </c>
      <c r="V8" s="28">
        <v>2.4835078451361521E-2</v>
      </c>
      <c r="W8" s="28">
        <v>2.4233243937047223E-2</v>
      </c>
      <c r="X8" s="28">
        <v>2.3659888097269439E-2</v>
      </c>
      <c r="Y8" s="28">
        <v>2.3113036246092331E-2</v>
      </c>
      <c r="Z8" s="28">
        <v>2.2590892137297692E-2</v>
      </c>
      <c r="AA8" s="28">
        <v>2.2091818253998679E-2</v>
      </c>
      <c r="AB8" s="28">
        <v>2.1614318654603181E-2</v>
      </c>
      <c r="AC8" s="28">
        <v>2.1157023996161189E-2</v>
      </c>
      <c r="AD8" s="28">
        <v>2.0718678419673169E-2</v>
      </c>
      <c r="AE8" s="28">
        <v>2.0298128032442016E-2</v>
      </c>
      <c r="AF8" s="28">
        <v>1.9894310765408565E-2</v>
      </c>
      <c r="AG8" s="28">
        <v>1.9506247417424776E-2</v>
      </c>
    </row>
    <row r="9" spans="1:33" ht="16" x14ac:dyDescent="0.2">
      <c r="A9" s="29" t="s">
        <v>108</v>
      </c>
      <c r="B9" s="28">
        <v>0</v>
      </c>
      <c r="C9" s="28">
        <v>0</v>
      </c>
      <c r="D9" s="28">
        <v>4.5412947283167922E-2</v>
      </c>
      <c r="E9" s="28">
        <v>4.34401997805774E-2</v>
      </c>
      <c r="F9" s="28">
        <v>4.1631709981748713E-2</v>
      </c>
      <c r="G9" s="28">
        <v>3.9967782838022638E-2</v>
      </c>
      <c r="H9" s="28">
        <v>3.8431750961520912E-2</v>
      </c>
      <c r="I9" s="28">
        <v>3.7009414365385872E-2</v>
      </c>
      <c r="J9" s="28">
        <v>3.5688600173446217E-2</v>
      </c>
      <c r="K9" s="28">
        <v>3.4458813360955666E-2</v>
      </c>
      <c r="L9" s="28">
        <v>3.33109573004753E-2</v>
      </c>
      <c r="M9" s="28">
        <v>3.2237108360380767E-2</v>
      </c>
      <c r="N9" s="28">
        <v>3.1230332739719674E-2</v>
      </c>
      <c r="O9" s="28">
        <v>3.0284536585302852E-2</v>
      </c>
      <c r="P9" s="28">
        <v>2.9394342543143999E-2</v>
      </c>
      <c r="Q9" s="28">
        <v>2.8554987460417312E-2</v>
      </c>
      <c r="R9" s="28">
        <v>2.7762237127381316E-2</v>
      </c>
      <c r="S9" s="28">
        <v>2.701231483749408E-2</v>
      </c>
      <c r="T9" s="28">
        <v>2.6301841221610164E-2</v>
      </c>
      <c r="U9" s="28">
        <v>2.5627783333518884E-2</v>
      </c>
      <c r="V9" s="28">
        <v>2.4987411368883106E-2</v>
      </c>
      <c r="W9" s="28">
        <v>2.4378261714953275E-2</v>
      </c>
      <c r="X9" s="28">
        <v>2.3798105276217747E-2</v>
      </c>
      <c r="Y9" s="28">
        <v>2.3244920217730978E-2</v>
      </c>
      <c r="Z9" s="28">
        <v>2.2716868423627072E-2</v>
      </c>
      <c r="AA9" s="28">
        <v>2.2212275092958492E-2</v>
      </c>
      <c r="AB9" s="28">
        <v>2.1729610995848334E-2</v>
      </c>
      <c r="AC9" s="28">
        <v>2.1267476993907571E-2</v>
      </c>
      <c r="AD9" s="28">
        <v>2.0824590494661885E-2</v>
      </c>
      <c r="AE9" s="28">
        <v>2.0399773564000804E-2</v>
      </c>
      <c r="AF9" s="28">
        <v>1.9991942464618065E-2</v>
      </c>
      <c r="AG9" s="28">
        <v>1.9600098424618888E-2</v>
      </c>
    </row>
    <row r="10" spans="1:33" ht="16" x14ac:dyDescent="0.2">
      <c r="A10" s="29" t="s">
        <v>109</v>
      </c>
      <c r="B10" s="28">
        <v>0</v>
      </c>
      <c r="C10" s="28">
        <v>0</v>
      </c>
      <c r="D10" s="28">
        <v>4.5048755828185412E-2</v>
      </c>
      <c r="E10" s="28">
        <v>4.3106846046146778E-2</v>
      </c>
      <c r="F10" s="28">
        <v>4.1325436804029066E-2</v>
      </c>
      <c r="G10" s="28">
        <v>3.9685419508120809E-2</v>
      </c>
      <c r="H10" s="28">
        <v>3.8170603110791089E-2</v>
      </c>
      <c r="I10" s="28">
        <v>3.6767177760958863E-2</v>
      </c>
      <c r="J10" s="28">
        <v>3.546329257874159E-2</v>
      </c>
      <c r="K10" s="28">
        <v>3.4248720194039219E-2</v>
      </c>
      <c r="L10" s="28">
        <v>3.3114587937442097E-2</v>
      </c>
      <c r="M10" s="28">
        <v>3.2053160727834457E-2</v>
      </c>
      <c r="N10" s="28">
        <v>3.1057664418412328E-2</v>
      </c>
      <c r="O10" s="28">
        <v>3.0122141069499724E-2</v>
      </c>
      <c r="P10" s="28">
        <v>2.9241329613824023E-2</v>
      </c>
      <c r="Q10" s="28">
        <v>2.8410566863637507E-2</v>
      </c>
      <c r="R10" s="28">
        <v>2.7625704926674096E-2</v>
      </c>
      <c r="S10" s="28">
        <v>2.6883041942430429E-2</v>
      </c>
      <c r="T10" s="28">
        <v>2.61792636984144E-2</v>
      </c>
      <c r="U10" s="28">
        <v>2.5511394182788975E-2</v>
      </c>
      <c r="V10" s="28">
        <v>2.4876753517798472E-2</v>
      </c>
      <c r="W10" s="28">
        <v>2.427292201957049E-2</v>
      </c>
      <c r="X10" s="28">
        <v>2.3697709368028508E-2</v>
      </c>
      <c r="Y10" s="28">
        <v>2.3149128059168224E-2</v>
      </c>
      <c r="Z10" s="28">
        <v>2.262537046097211E-2</v>
      </c>
      <c r="AA10" s="28">
        <v>2.2124788915399141E-2</v>
      </c>
      <c r="AB10" s="28">
        <v>2.1645878424363163E-2</v>
      </c>
      <c r="AC10" s="28">
        <v>2.1187261536996516E-2</v>
      </c>
      <c r="AD10" s="28">
        <v>2.0747675117979068E-2</v>
      </c>
      <c r="AE10" s="28">
        <v>2.0325958729799753E-2</v>
      </c>
      <c r="AF10" s="28">
        <v>1.9921044403401703E-2</v>
      </c>
      <c r="AG10" s="28">
        <v>1.9531947607813828E-2</v>
      </c>
    </row>
    <row r="11" spans="1:33" ht="16" x14ac:dyDescent="0.2">
      <c r="A11" s="29" t="s">
        <v>110</v>
      </c>
      <c r="B11" s="28">
        <v>0</v>
      </c>
      <c r="C11" s="28">
        <v>0</v>
      </c>
      <c r="D11" s="28">
        <v>4.4912275585269716E-2</v>
      </c>
      <c r="E11" s="28">
        <v>4.2981862338762583E-2</v>
      </c>
      <c r="F11" s="28">
        <v>4.1210555898240533E-2</v>
      </c>
      <c r="G11" s="28">
        <v>3.957946417732075E-2</v>
      </c>
      <c r="H11" s="28">
        <v>3.8072572170959003E-2</v>
      </c>
      <c r="I11" s="28">
        <v>3.6676214353045133E-2</v>
      </c>
      <c r="J11" s="28">
        <v>3.5378659069473878E-2</v>
      </c>
      <c r="K11" s="28">
        <v>3.4169778138256307E-2</v>
      </c>
      <c r="L11" s="28">
        <v>3.3040781949526483E-2</v>
      </c>
      <c r="M11" s="28">
        <v>3.1984005401179294E-2</v>
      </c>
      <c r="N11" s="28">
        <v>3.0992733641021442E-2</v>
      </c>
      <c r="O11" s="28">
        <v>3.0061059239045288E-2</v>
      </c>
      <c r="P11" s="28">
        <v>2.9183764369527632E-2</v>
      </c>
      <c r="Q11" s="28">
        <v>2.8356223037977524E-2</v>
      </c>
      <c r="R11" s="28">
        <v>2.7574319484541115E-2</v>
      </c>
      <c r="S11" s="28">
        <v>2.6834379724850567E-2</v>
      </c>
      <c r="T11" s="28">
        <v>2.613311382507574E-2</v>
      </c>
      <c r="U11" s="28">
        <v>2.5467566997861537E-2</v>
      </c>
      <c r="V11" s="28">
        <v>2.4835077985382745E-2</v>
      </c>
      <c r="W11" s="28">
        <v>2.423324349338574E-2</v>
      </c>
      <c r="X11" s="28">
        <v>2.3659887674336858E-2</v>
      </c>
      <c r="Y11" s="28">
        <v>2.3113035842500643E-2</v>
      </c>
      <c r="Z11" s="28">
        <v>2.2590891751728879E-2</v>
      </c>
      <c r="AA11" s="28">
        <v>2.2091817885273941E-2</v>
      </c>
      <c r="AB11" s="28">
        <v>2.1614318301649154E-2</v>
      </c>
      <c r="AC11" s="28">
        <v>2.115702365798984E-2</v>
      </c>
      <c r="AD11" s="28">
        <v>2.0718678095354954E-2</v>
      </c>
      <c r="AE11" s="28">
        <v>2.0298127721170615E-2</v>
      </c>
      <c r="AF11" s="28">
        <v>1.9894310466399025E-2</v>
      </c>
      <c r="AG11" s="28">
        <v>1.9506247129952803E-2</v>
      </c>
    </row>
    <row r="12" spans="1:33" ht="16" x14ac:dyDescent="0.2">
      <c r="A12" s="29" t="s">
        <v>111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</row>
    <row r="13" spans="1:33" ht="16" x14ac:dyDescent="0.2">
      <c r="A13" s="29" t="s">
        <v>112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</row>
    <row r="14" spans="1:33" ht="16" x14ac:dyDescent="0.2">
      <c r="A14" s="29" t="s">
        <v>113</v>
      </c>
      <c r="B14" s="28">
        <v>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</row>
    <row r="15" spans="1:33" ht="16" x14ac:dyDescent="0.2">
      <c r="A15" s="29" t="s">
        <v>114</v>
      </c>
      <c r="B15" s="28">
        <v>0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</row>
    <row r="16" spans="1:33" ht="16" x14ac:dyDescent="0.2">
      <c r="A16" s="29" t="s">
        <v>115</v>
      </c>
      <c r="B16" s="28">
        <v>0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</row>
    <row r="17" spans="1:33" ht="16" x14ac:dyDescent="0.2">
      <c r="A17" s="29" t="s">
        <v>116</v>
      </c>
      <c r="B17" s="28">
        <v>0</v>
      </c>
      <c r="C17" s="28">
        <v>0</v>
      </c>
      <c r="D17" s="28">
        <v>4.4285130364378512E-2</v>
      </c>
      <c r="E17" s="28">
        <v>4.2407125292424942E-2</v>
      </c>
      <c r="F17" s="28">
        <v>4.06819219319269E-2</v>
      </c>
      <c r="G17" s="28">
        <v>3.9091600492491684E-2</v>
      </c>
      <c r="H17" s="28">
        <v>3.7620937821038765E-2</v>
      </c>
      <c r="I17" s="28">
        <v>3.6256918542956887E-2</v>
      </c>
      <c r="J17" s="28">
        <v>3.4988348829486968E-2</v>
      </c>
      <c r="K17" s="28">
        <v>3.3805548505995091E-2</v>
      </c>
      <c r="L17" s="28">
        <v>3.2700103568647901E-2</v>
      </c>
      <c r="M17" s="28">
        <v>3.1664665720132941E-2</v>
      </c>
      <c r="N17" s="28">
        <v>3.0692788822067885E-2</v>
      </c>
      <c r="O17" s="28">
        <v>2.9778794568980783E-2</v>
      </c>
      <c r="P17" s="28">
        <v>2.8917661468690681E-2</v>
      </c>
      <c r="Q17" s="28">
        <v>2.8104932543795445E-2</v>
      </c>
      <c r="R17" s="28">
        <v>2.7336638171988541E-2</v>
      </c>
      <c r="S17" s="28">
        <v>2.6609231245405637E-2</v>
      </c>
      <c r="T17" s="28">
        <v>2.5919532413633595E-2</v>
      </c>
      <c r="U17" s="28">
        <v>2.526468362743101E-2</v>
      </c>
      <c r="V17" s="28">
        <v>2.4642108550982263E-2</v>
      </c>
      <c r="W17" s="28">
        <v>2.4049478686590506E-2</v>
      </c>
      <c r="X17" s="28">
        <v>2.3484684272710443E-2</v>
      </c>
      <c r="Y17" s="28">
        <v>2.2945809188541083E-2</v>
      </c>
      <c r="Z17" s="28">
        <v>2.2431109236116568E-2</v>
      </c>
      <c r="AA17" s="28">
        <v>2.1938993281297472E-2</v>
      </c>
      <c r="AB17" s="28">
        <v>2.1468006823823736E-2</v>
      </c>
      <c r="AC17" s="28">
        <v>2.1016817639328559E-2</v>
      </c>
      <c r="AD17" s="28">
        <v>2.0584203194539009E-2</v>
      </c>
      <c r="AE17" s="28">
        <v>2.0169039585471085E-2</v>
      </c>
      <c r="AF17" s="28">
        <v>1.9770291787786897E-2</v>
      </c>
      <c r="AG17" s="28">
        <v>1.9387005041232253E-2</v>
      </c>
    </row>
    <row r="18" spans="1:33" ht="16" x14ac:dyDescent="0.2">
      <c r="A18" s="29" t="s">
        <v>117</v>
      </c>
      <c r="B18" s="28">
        <v>0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</row>
    <row r="19" spans="1:33" ht="16" x14ac:dyDescent="0.2">
      <c r="A19" s="27" t="s">
        <v>118</v>
      </c>
      <c r="B19" s="28">
        <v>0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</row>
    <row r="20" spans="1:33" ht="16" x14ac:dyDescent="0.2">
      <c r="A20" s="29" t="s">
        <v>119</v>
      </c>
      <c r="B20" s="28">
        <v>0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</row>
    <row r="21" spans="1:33" ht="15.75" customHeight="1" x14ac:dyDescent="0.2">
      <c r="A21" s="27" t="s">
        <v>120</v>
      </c>
      <c r="B21" s="28">
        <v>0</v>
      </c>
      <c r="C21" s="28">
        <v>0</v>
      </c>
      <c r="D21" s="28">
        <v>4.4226811039245778E-2</v>
      </c>
      <c r="E21" s="28">
        <v>4.2353644411050689E-2</v>
      </c>
      <c r="F21" s="28">
        <v>4.0632701423503212E-2</v>
      </c>
      <c r="G21" s="28">
        <v>3.9046150834884649E-2</v>
      </c>
      <c r="H21" s="28">
        <v>3.7578841713159686E-2</v>
      </c>
      <c r="I21" s="28">
        <v>3.6217818061040769E-2</v>
      </c>
      <c r="J21" s="28">
        <v>3.4951935230005927E-2</v>
      </c>
      <c r="K21" s="28">
        <v>3.3771554059884912E-2</v>
      </c>
      <c r="L21" s="28">
        <v>3.2668294970255814E-2</v>
      </c>
      <c r="M21" s="28">
        <v>3.1634838727373507E-2</v>
      </c>
      <c r="N21" s="28">
        <v>3.0664763867796829E-2</v>
      </c>
      <c r="O21" s="28">
        <v>2.9752413144237405E-2</v>
      </c>
      <c r="P21" s="28">
        <v>2.8892783123844357E-2</v>
      </c>
      <c r="Q21" s="28">
        <v>2.8081432388057444E-2</v>
      </c>
      <c r="R21" s="28">
        <v>2.7314404777081885E-2</v>
      </c>
      <c r="S21" s="28">
        <v>2.6588164879294177E-2</v>
      </c>
      <c r="T21" s="28">
        <v>2.5899543545210669E-2</v>
      </c>
      <c r="U21" s="28">
        <v>2.5245691654871227E-2</v>
      </c>
      <c r="V21" s="28">
        <v>2.4624040715661898E-2</v>
      </c>
      <c r="W21" s="28">
        <v>2.4032269141830643E-2</v>
      </c>
      <c r="X21" s="28">
        <v>2.3468273282016429E-2</v>
      </c>
      <c r="Y21" s="28">
        <v>2.293014243300745E-2</v>
      </c>
      <c r="Z21" s="28">
        <v>2.2416137213890793E-2</v>
      </c>
      <c r="AA21" s="28">
        <v>2.1924670785204471E-2</v>
      </c>
      <c r="AB21" s="28">
        <v>2.1454292485525724E-2</v>
      </c>
      <c r="AC21" s="28">
        <v>2.100367353034132E-2</v>
      </c>
      <c r="AD21" s="28">
        <v>2.0571594475963698E-2</v>
      </c>
      <c r="AE21" s="28">
        <v>2.0156934199731986E-2</v>
      </c>
      <c r="AF21" s="28">
        <v>1.9758660186478278E-2</v>
      </c>
      <c r="AG21" s="28">
        <v>1.9375819944359583E-2</v>
      </c>
    </row>
    <row r="22" spans="1:33" ht="15.75" customHeight="1" x14ac:dyDescent="0.2">
      <c r="A22" s="29" t="s">
        <v>121</v>
      </c>
      <c r="B22" s="28">
        <v>0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</row>
    <row r="23" spans="1:33" ht="15.75" customHeight="1" x14ac:dyDescent="0.2">
      <c r="A23" s="29" t="s">
        <v>122</v>
      </c>
      <c r="B23" s="28">
        <v>0</v>
      </c>
      <c r="C23" s="28">
        <v>0</v>
      </c>
      <c r="D23" s="28">
        <v>4.5119543603296529E-2</v>
      </c>
      <c r="E23" s="28">
        <v>4.3171658093532822E-2</v>
      </c>
      <c r="F23" s="28">
        <v>4.1384999063738478E-2</v>
      </c>
      <c r="G23" s="28">
        <v>3.9740344926176036E-2</v>
      </c>
      <c r="H23" s="28">
        <v>3.8221412798021048E-2</v>
      </c>
      <c r="I23" s="28">
        <v>3.681431756932256E-2</v>
      </c>
      <c r="J23" s="28">
        <v>3.5507146212680057E-2</v>
      </c>
      <c r="K23" s="28">
        <v>3.4289619673350161E-2</v>
      </c>
      <c r="L23" s="28">
        <v>3.3152822015345688E-2</v>
      </c>
      <c r="M23" s="28">
        <v>3.2088981715869234E-2</v>
      </c>
      <c r="N23" s="28">
        <v>3.1091293758913414E-2</v>
      </c>
      <c r="O23" s="28">
        <v>3.0153773916152898E-2</v>
      </c>
      <c r="P23" s="28">
        <v>2.9271138619935851E-2</v>
      </c>
      <c r="Q23" s="28">
        <v>2.8438705333931783E-2</v>
      </c>
      <c r="R23" s="28">
        <v>2.7652309453578761E-2</v>
      </c>
      <c r="S23" s="28">
        <v>2.6908234622938631E-2</v>
      </c>
      <c r="T23" s="28">
        <v>2.6203154007058502E-2</v>
      </c>
      <c r="U23" s="28">
        <v>2.5534080561667057E-2</v>
      </c>
      <c r="V23" s="28">
        <v>2.489832473210948E-2</v>
      </c>
      <c r="W23" s="28">
        <v>2.4293458318038409E-2</v>
      </c>
      <c r="X23" s="28">
        <v>2.3717283480397831E-2</v>
      </c>
      <c r="Y23" s="28">
        <v>2.3167806056528868E-2</v>
      </c>
      <c r="Z23" s="28">
        <v>2.2643212500813258E-2</v>
      </c>
      <c r="AA23" s="28">
        <v>2.2141849888626334E-2</v>
      </c>
      <c r="AB23" s="28">
        <v>2.1662208519332843E-2</v>
      </c>
      <c r="AC23" s="28">
        <v>2.1202906732482346E-2</v>
      </c>
      <c r="AD23" s="28">
        <v>2.0762677615482467E-2</v>
      </c>
      <c r="AE23" s="28">
        <v>2.0340357333579487E-2</v>
      </c>
      <c r="AF23" s="28">
        <v>1.9934874855616066E-2</v>
      </c>
      <c r="AG23" s="28">
        <v>1.9545242884689236E-2</v>
      </c>
    </row>
    <row r="24" spans="1:33" ht="15.75" customHeight="1" x14ac:dyDescent="0.2">
      <c r="A24" s="29" t="s">
        <v>123</v>
      </c>
      <c r="B24" s="28">
        <v>0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</row>
    <row r="25" spans="1:33" ht="15.75" customHeight="1" x14ac:dyDescent="0.2">
      <c r="A25" s="27" t="s">
        <v>124</v>
      </c>
      <c r="B25" s="28">
        <v>0</v>
      </c>
      <c r="C25" s="28">
        <v>0</v>
      </c>
      <c r="D25" s="28">
        <v>4.4074053492810426E-2</v>
      </c>
      <c r="E25" s="28">
        <v>4.2213532024269078E-2</v>
      </c>
      <c r="F25" s="28">
        <v>4.0503726661731819E-2</v>
      </c>
      <c r="G25" s="28">
        <v>3.8927036611070401E-2</v>
      </c>
      <c r="H25" s="28">
        <v>3.7468498979546537E-2</v>
      </c>
      <c r="I25" s="28">
        <v>3.6115312432522563E-2</v>
      </c>
      <c r="J25" s="28">
        <v>3.4856460472274496E-2</v>
      </c>
      <c r="K25" s="28">
        <v>3.3682410849862121E-2</v>
      </c>
      <c r="L25" s="28">
        <v>3.2584873744908045E-2</v>
      </c>
      <c r="M25" s="28">
        <v>3.1556605731334661E-2</v>
      </c>
      <c r="N25" s="28">
        <v>3.0591249724936053E-2</v>
      </c>
      <c r="O25" s="28">
        <v>2.9683203435978335E-2</v>
      </c>
      <c r="P25" s="28">
        <v>2.8827510575037948E-2</v>
      </c>
      <c r="Q25" s="28">
        <v>2.8019770348992237E-2</v>
      </c>
      <c r="R25" s="28">
        <v>2.7256061757907082E-2</v>
      </c>
      <c r="S25" s="28">
        <v>2.6532879943560621E-2</v>
      </c>
      <c r="T25" s="28">
        <v>2.5847082409108428E-2</v>
      </c>
      <c r="U25" s="28">
        <v>2.5195843369178288E-2</v>
      </c>
      <c r="V25" s="28">
        <v>2.4576614831333804E-2</v>
      </c>
      <c r="W25" s="28">
        <v>2.3987093278904238E-2</v>
      </c>
      <c r="X25" s="28">
        <v>2.342519103643707E-2</v>
      </c>
      <c r="Y25" s="28">
        <v>2.2889011567825541E-2</v>
      </c>
      <c r="Z25" s="28">
        <v>2.237682809079538E-2</v>
      </c>
      <c r="AA25" s="28">
        <v>2.1887064999889298E-2</v>
      </c>
      <c r="AB25" s="28">
        <v>2.1418281676646597E-2</v>
      </c>
      <c r="AC25" s="28">
        <v>2.0969158336865412E-2</v>
      </c>
      <c r="AD25" s="28">
        <v>2.0538483621792947E-2</v>
      </c>
      <c r="AE25" s="28">
        <v>2.0125143687782992E-2</v>
      </c>
      <c r="AF25" s="28">
        <v>1.9728112587275318E-2</v>
      </c>
      <c r="AG25" s="28">
        <v>1.9346443766479322E-2</v>
      </c>
    </row>
    <row r="26" spans="1:33" ht="15.75" customHeight="1" x14ac:dyDescent="0.2">
      <c r="A26" s="30" t="s">
        <v>125</v>
      </c>
      <c r="B26" s="28">
        <v>0</v>
      </c>
      <c r="C26" s="28">
        <v>0</v>
      </c>
      <c r="D26" s="28">
        <v>4.4673100028574421E-2</v>
      </c>
      <c r="E26" s="28">
        <v>4.2762755188539364E-2</v>
      </c>
      <c r="F26" s="28">
        <v>4.1009093368336809E-2</v>
      </c>
      <c r="G26" s="28">
        <v>3.9393597644411339E-2</v>
      </c>
      <c r="H26" s="28">
        <v>3.7900558300233388E-2</v>
      </c>
      <c r="I26" s="28">
        <v>3.6516560278475059E-2</v>
      </c>
      <c r="J26" s="28">
        <v>3.5230078975934893E-2</v>
      </c>
      <c r="K26" s="28">
        <v>3.4031158571816773E-2</v>
      </c>
      <c r="L26" s="28">
        <v>3.2911153875489312E-2</v>
      </c>
      <c r="M26" s="28">
        <v>3.1862521526664175E-2</v>
      </c>
      <c r="N26" s="28">
        <v>3.0878649880143771E-2</v>
      </c>
      <c r="O26" s="28">
        <v>2.9953719464208786E-2</v>
      </c>
      <c r="P26" s="28">
        <v>2.9082587788296803E-2</v>
      </c>
      <c r="Q26" s="28">
        <v>2.8260693683294234E-2</v>
      </c>
      <c r="R26" s="28">
        <v>2.748397741633268E-2</v>
      </c>
      <c r="S26" s="28">
        <v>2.6748813626702689E-2</v>
      </c>
      <c r="T26" s="28">
        <v>2.6051954744634419E-2</v>
      </c>
      <c r="U26" s="28">
        <v>2.5390483029790842E-2</v>
      </c>
      <c r="V26" s="28">
        <v>2.4761769735533196E-2</v>
      </c>
      <c r="W26" s="28">
        <v>2.4163440193444789E-2</v>
      </c>
      <c r="X26" s="28">
        <v>2.359334384058933E-2</v>
      </c>
      <c r="Y26" s="28">
        <v>2.3049528391882613E-2</v>
      </c>
      <c r="Z26" s="28">
        <v>2.2530217503846171E-2</v>
      </c>
      <c r="AA26" s="28">
        <v>2.2033791391364362E-2</v>
      </c>
      <c r="AB26" s="28">
        <v>2.155876995159647E-2</v>
      </c>
      <c r="AC26" s="28">
        <v>2.1103798024878988E-2</v>
      </c>
      <c r="AD26" s="28">
        <v>2.0667632483293417E-2</v>
      </c>
      <c r="AE26" s="28">
        <v>2.0249130887994248E-2</v>
      </c>
      <c r="AF26" s="28">
        <v>1.9847241497152772E-2</v>
      </c>
      <c r="AG26" s="28">
        <v>1.9460994440713187E-2</v>
      </c>
    </row>
    <row r="27" spans="1:33" ht="15.75" customHeight="1" x14ac:dyDescent="0.2"/>
    <row r="28" spans="1:33" ht="15.75" customHeight="1" x14ac:dyDescent="0.2"/>
    <row r="29" spans="1:33" ht="15.75" customHeight="1" x14ac:dyDescent="0.2">
      <c r="A29" s="5"/>
      <c r="B29" s="5"/>
      <c r="C29" s="5"/>
      <c r="D29" s="5"/>
      <c r="E29" s="5"/>
      <c r="F29" s="5"/>
      <c r="G29" s="5"/>
    </row>
    <row r="30" spans="1:33" ht="15.75" customHeight="1" x14ac:dyDescent="0.2">
      <c r="A30" s="31" t="s">
        <v>126</v>
      </c>
      <c r="B30" s="5"/>
      <c r="C30" s="5"/>
      <c r="D30" s="5"/>
      <c r="E30" s="5"/>
      <c r="F30" s="5"/>
      <c r="G30" s="5"/>
    </row>
    <row r="31" spans="1:33" ht="15.75" customHeight="1" x14ac:dyDescent="0.2">
      <c r="A31" s="5"/>
      <c r="B31" s="5"/>
      <c r="C31" s="5"/>
      <c r="D31" s="5"/>
      <c r="E31" s="5"/>
      <c r="F31" s="5"/>
      <c r="G31" s="5"/>
    </row>
    <row r="32" spans="1:33" ht="15.75" customHeight="1" x14ac:dyDescent="0.2">
      <c r="A32" s="31" t="s">
        <v>127</v>
      </c>
      <c r="B32" s="5"/>
      <c r="C32" s="5"/>
      <c r="D32" s="5"/>
      <c r="E32" s="5"/>
      <c r="F32" s="5"/>
      <c r="G32" s="5"/>
    </row>
    <row r="33" spans="1:33" ht="15.75" customHeight="1" x14ac:dyDescent="0.2">
      <c r="A33" s="5"/>
      <c r="B33" s="5"/>
      <c r="C33" s="5"/>
      <c r="D33" s="5"/>
      <c r="E33" s="5"/>
      <c r="F33" s="5"/>
      <c r="G33" s="5"/>
    </row>
    <row r="34" spans="1:33" ht="15.75" customHeight="1" x14ac:dyDescent="0.2">
      <c r="A34" s="31" t="s">
        <v>128</v>
      </c>
      <c r="B34" s="5"/>
      <c r="C34" s="5"/>
      <c r="D34" s="5"/>
      <c r="E34" s="5"/>
      <c r="F34" s="5"/>
      <c r="G34" s="5"/>
    </row>
    <row r="35" spans="1:33" ht="15.75" customHeight="1" x14ac:dyDescent="0.2">
      <c r="A35" s="31" t="s">
        <v>129</v>
      </c>
      <c r="B35" s="5"/>
      <c r="C35" s="5"/>
      <c r="D35" s="5"/>
      <c r="E35" s="5"/>
      <c r="F35" s="5"/>
      <c r="G35" s="5"/>
    </row>
    <row r="36" spans="1:33" ht="15.75" customHeight="1" x14ac:dyDescent="0.2">
      <c r="A36" s="31" t="s">
        <v>130</v>
      </c>
      <c r="B36" s="5"/>
      <c r="C36" s="5"/>
      <c r="D36" s="5"/>
      <c r="E36" s="5"/>
      <c r="F36" s="5"/>
      <c r="G36" s="5"/>
    </row>
    <row r="37" spans="1:33" ht="15.75" customHeight="1" x14ac:dyDescent="0.2">
      <c r="A37" s="31" t="s">
        <v>131</v>
      </c>
      <c r="B37" s="5"/>
      <c r="C37" s="5"/>
      <c r="D37" s="5"/>
      <c r="E37" s="5"/>
      <c r="F37" s="5"/>
      <c r="G37" s="5"/>
    </row>
    <row r="38" spans="1:33" ht="15.75" customHeight="1" x14ac:dyDescent="0.2">
      <c r="A38" s="5"/>
      <c r="B38" s="5"/>
      <c r="C38" s="5"/>
      <c r="D38" s="5"/>
      <c r="E38" s="5"/>
      <c r="F38" s="5"/>
      <c r="G38" s="5"/>
    </row>
    <row r="39" spans="1:33" ht="15.75" customHeight="1" x14ac:dyDescent="0.2">
      <c r="A39" s="25" t="s">
        <v>100</v>
      </c>
      <c r="B39" s="26" t="s">
        <v>132</v>
      </c>
      <c r="C39" s="26" t="s">
        <v>133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</row>
    <row r="40" spans="1:33" ht="15.75" customHeight="1" x14ac:dyDescent="0.2">
      <c r="A40" s="27" t="s">
        <v>101</v>
      </c>
      <c r="B40" s="28">
        <v>4.3999999999999997E-2</v>
      </c>
      <c r="C40" s="28">
        <v>4.2000000000000003E-2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</row>
    <row r="41" spans="1:33" ht="15.75" customHeight="1" x14ac:dyDescent="0.2">
      <c r="A41" s="27" t="s">
        <v>102</v>
      </c>
      <c r="B41" s="28">
        <v>4.3999999999999997E-2</v>
      </c>
      <c r="C41" s="28">
        <v>4.2000000000000003E-2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1:33" ht="15.75" customHeight="1" x14ac:dyDescent="0.2">
      <c r="A42" s="27" t="s">
        <v>103</v>
      </c>
      <c r="B42" s="28">
        <v>4.3999999999999997E-2</v>
      </c>
      <c r="C42" s="28">
        <v>4.2000000000000003E-2</v>
      </c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1:33" ht="15.75" customHeight="1" x14ac:dyDescent="0.2">
      <c r="A43" s="29" t="s">
        <v>104</v>
      </c>
      <c r="B43" s="28">
        <v>4.5999999999999999E-2</v>
      </c>
      <c r="C43" s="28">
        <v>4.3999999999999997E-2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1:33" ht="15.75" customHeight="1" x14ac:dyDescent="0.2">
      <c r="A44" s="29" t="s">
        <v>105</v>
      </c>
      <c r="B44" s="28">
        <v>4.4999999999999998E-2</v>
      </c>
      <c r="C44" s="28">
        <v>4.2999999999999997E-2</v>
      </c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  <row r="45" spans="1:33" ht="15.75" customHeight="1" x14ac:dyDescent="0.2">
      <c r="A45" s="29" t="s">
        <v>106</v>
      </c>
      <c r="B45" s="28">
        <v>4.3999999999999997E-2</v>
      </c>
      <c r="C45" s="28">
        <v>4.2000000000000003E-2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 ht="15.75" customHeight="1" x14ac:dyDescent="0.2">
      <c r="A46" s="29" t="s">
        <v>107</v>
      </c>
      <c r="B46" s="28">
        <v>4.4999999999999998E-2</v>
      </c>
      <c r="C46" s="28">
        <v>4.2999999999999997E-2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</row>
    <row r="47" spans="1:33" ht="15.75" customHeight="1" x14ac:dyDescent="0.2">
      <c r="A47" s="29" t="s">
        <v>108</v>
      </c>
      <c r="B47" s="28">
        <v>4.4999999999999998E-2</v>
      </c>
      <c r="C47" s="28">
        <v>4.2999999999999997E-2</v>
      </c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</row>
    <row r="48" spans="1:33" ht="15.75" customHeight="1" x14ac:dyDescent="0.2">
      <c r="A48" s="29" t="s">
        <v>109</v>
      </c>
      <c r="B48" s="28">
        <v>4.4999999999999998E-2</v>
      </c>
      <c r="C48" s="28">
        <v>4.2999999999999997E-2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</row>
    <row r="49" spans="1:33" ht="15.75" customHeight="1" x14ac:dyDescent="0.2">
      <c r="A49" s="29" t="s">
        <v>110</v>
      </c>
      <c r="B49" s="28">
        <v>4.4999999999999998E-2</v>
      </c>
      <c r="C49" s="28">
        <v>4.2999999999999997E-2</v>
      </c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</row>
    <row r="50" spans="1:33" ht="15.75" customHeight="1" x14ac:dyDescent="0.2">
      <c r="A50" s="29" t="s">
        <v>111</v>
      </c>
      <c r="B50" s="28">
        <v>4.3999999999999997E-2</v>
      </c>
      <c r="C50" s="28">
        <v>4.2000000000000003E-2</v>
      </c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</row>
    <row r="51" spans="1:33" ht="15.75" customHeight="1" x14ac:dyDescent="0.2">
      <c r="A51" s="29" t="s">
        <v>112</v>
      </c>
      <c r="B51" s="28">
        <v>4.3999999999999997E-2</v>
      </c>
      <c r="C51" s="28">
        <v>4.2000000000000003E-2</v>
      </c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</row>
    <row r="52" spans="1:33" ht="15.75" customHeight="1" x14ac:dyDescent="0.2">
      <c r="A52" s="29" t="s">
        <v>113</v>
      </c>
      <c r="B52" s="28">
        <v>4.3999999999999997E-2</v>
      </c>
      <c r="C52" s="28">
        <v>4.2000000000000003E-2</v>
      </c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</row>
    <row r="53" spans="1:33" ht="15.75" customHeight="1" x14ac:dyDescent="0.2">
      <c r="A53" s="29" t="s">
        <v>114</v>
      </c>
      <c r="B53" s="28">
        <v>4.3999999999999997E-2</v>
      </c>
      <c r="C53" s="28">
        <v>4.2000000000000003E-2</v>
      </c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</row>
    <row r="54" spans="1:33" ht="15.75" customHeight="1" x14ac:dyDescent="0.2">
      <c r="A54" s="29" t="s">
        <v>115</v>
      </c>
      <c r="B54" s="28">
        <v>4.3999999999999997E-2</v>
      </c>
      <c r="C54" s="28">
        <v>4.2000000000000003E-2</v>
      </c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</row>
    <row r="55" spans="1:33" ht="15.75" customHeight="1" x14ac:dyDescent="0.2">
      <c r="A55" s="29" t="s">
        <v>116</v>
      </c>
      <c r="B55" s="28">
        <v>4.3999999999999997E-2</v>
      </c>
      <c r="C55" s="28">
        <v>4.2000000000000003E-2</v>
      </c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</row>
    <row r="56" spans="1:33" ht="15.75" customHeight="1" x14ac:dyDescent="0.2">
      <c r="A56" s="29" t="s">
        <v>117</v>
      </c>
      <c r="B56" s="28">
        <v>4.3999999999999997E-2</v>
      </c>
      <c r="C56" s="28">
        <v>4.2000000000000003E-2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</row>
    <row r="57" spans="1:33" ht="15.75" customHeight="1" x14ac:dyDescent="0.2">
      <c r="A57" s="27" t="s">
        <v>118</v>
      </c>
      <c r="B57" s="28">
        <v>4.3999999999999997E-2</v>
      </c>
      <c r="C57" s="28">
        <v>4.2000000000000003E-2</v>
      </c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</row>
    <row r="58" spans="1:33" ht="15.75" customHeight="1" x14ac:dyDescent="0.2">
      <c r="A58" s="29" t="s">
        <v>119</v>
      </c>
      <c r="B58" s="28">
        <v>4.3999999999999997E-2</v>
      </c>
      <c r="C58" s="28">
        <v>4.2000000000000003E-2</v>
      </c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</row>
    <row r="59" spans="1:33" ht="15.75" customHeight="1" x14ac:dyDescent="0.2">
      <c r="A59" s="27" t="s">
        <v>120</v>
      </c>
      <c r="B59" s="28">
        <v>4.3999999999999997E-2</v>
      </c>
      <c r="C59" s="28">
        <v>4.2000000000000003E-2</v>
      </c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</row>
    <row r="60" spans="1:33" ht="15.75" customHeight="1" x14ac:dyDescent="0.2">
      <c r="A60" s="29" t="s">
        <v>121</v>
      </c>
      <c r="B60" s="28">
        <v>4.3999999999999997E-2</v>
      </c>
      <c r="C60" s="28">
        <v>4.2000000000000003E-2</v>
      </c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</row>
    <row r="61" spans="1:33" ht="15.75" customHeight="1" x14ac:dyDescent="0.2">
      <c r="A61" s="29" t="s">
        <v>122</v>
      </c>
      <c r="B61" s="28">
        <v>4.4999999999999998E-2</v>
      </c>
      <c r="C61" s="28">
        <v>4.2999999999999997E-2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</row>
    <row r="62" spans="1:33" ht="15.75" customHeight="1" x14ac:dyDescent="0.2">
      <c r="A62" s="29" t="s">
        <v>123</v>
      </c>
      <c r="B62" s="28">
        <v>4.3999999999999997E-2</v>
      </c>
      <c r="C62" s="28">
        <v>4.2000000000000003E-2</v>
      </c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</row>
    <row r="63" spans="1:33" ht="15.75" customHeight="1" x14ac:dyDescent="0.2">
      <c r="A63" s="27" t="s">
        <v>124</v>
      </c>
      <c r="B63" s="28">
        <v>4.3999999999999997E-2</v>
      </c>
      <c r="C63" s="28">
        <v>4.2000000000000003E-2</v>
      </c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</row>
    <row r="64" spans="1:33" ht="15.75" customHeight="1" x14ac:dyDescent="0.2">
      <c r="A64" s="30" t="s">
        <v>125</v>
      </c>
      <c r="B64" s="28">
        <v>4.4999999999999998E-2</v>
      </c>
      <c r="C64" s="28">
        <v>4.2999999999999997E-2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</row>
    <row r="65" spans="1:7" ht="15.75" customHeight="1" x14ac:dyDescent="0.2">
      <c r="A65" s="5"/>
      <c r="B65" s="5"/>
      <c r="C65" s="5"/>
      <c r="D65" s="5"/>
      <c r="E65" s="5"/>
      <c r="F65" s="5"/>
      <c r="G65" s="5"/>
    </row>
    <row r="66" spans="1:7" ht="15.75" customHeight="1" x14ac:dyDescent="0.2">
      <c r="A66" s="5"/>
      <c r="B66" s="5"/>
      <c r="C66" s="5"/>
      <c r="D66" s="5"/>
      <c r="E66" s="5"/>
      <c r="F66" s="5"/>
      <c r="G66" s="5"/>
    </row>
    <row r="67" spans="1:7" ht="15.75" customHeight="1" x14ac:dyDescent="0.2">
      <c r="A67" s="5"/>
      <c r="B67" s="5"/>
      <c r="C67" s="5"/>
      <c r="D67" s="5"/>
      <c r="E67" s="5"/>
      <c r="F67" s="5"/>
      <c r="G67" s="5"/>
    </row>
    <row r="68" spans="1:7" ht="15.75" customHeight="1" x14ac:dyDescent="0.2">
      <c r="A68" s="5"/>
      <c r="B68" s="5"/>
      <c r="C68" s="5"/>
      <c r="D68" s="5"/>
      <c r="E68" s="5"/>
      <c r="F68" s="5"/>
      <c r="G68" s="5"/>
    </row>
    <row r="69" spans="1:7" ht="15.75" customHeight="1" x14ac:dyDescent="0.2">
      <c r="A69" s="5"/>
      <c r="B69" s="5"/>
      <c r="C69" s="5"/>
      <c r="D69" s="5"/>
      <c r="E69" s="5"/>
      <c r="F69" s="5"/>
      <c r="G69" s="5"/>
    </row>
    <row r="70" spans="1:7" ht="15.75" customHeight="1" x14ac:dyDescent="0.2">
      <c r="A70" s="5"/>
      <c r="B70" s="5"/>
      <c r="C70" s="5"/>
      <c r="D70" s="5"/>
      <c r="E70" s="5"/>
      <c r="F70" s="5"/>
      <c r="G70" s="5"/>
    </row>
    <row r="71" spans="1:7" ht="15.75" customHeight="1" x14ac:dyDescent="0.2">
      <c r="A71" s="5"/>
      <c r="B71" s="5"/>
      <c r="C71" s="5"/>
      <c r="D71" s="5"/>
      <c r="E71" s="5"/>
      <c r="F71" s="5"/>
      <c r="G71" s="5"/>
    </row>
    <row r="72" spans="1:7" ht="15.75" customHeight="1" x14ac:dyDescent="0.2">
      <c r="A72" s="5"/>
      <c r="B72" s="5"/>
      <c r="C72" s="5"/>
      <c r="D72" s="5"/>
      <c r="E72" s="5"/>
      <c r="F72" s="5"/>
      <c r="G72" s="5"/>
    </row>
    <row r="73" spans="1:7" ht="15.75" customHeight="1" x14ac:dyDescent="0.2">
      <c r="A73" s="5"/>
      <c r="B73" s="5"/>
      <c r="C73" s="5"/>
      <c r="D73" s="5"/>
      <c r="E73" s="5"/>
      <c r="F73" s="5"/>
      <c r="G73" s="5"/>
    </row>
    <row r="74" spans="1:7" ht="15.75" customHeight="1" x14ac:dyDescent="0.2">
      <c r="A74" s="5"/>
      <c r="B74" s="5"/>
      <c r="C74" s="5"/>
      <c r="D74" s="5"/>
      <c r="E74" s="5"/>
      <c r="F74" s="5"/>
      <c r="G74" s="5"/>
    </row>
    <row r="75" spans="1:7" ht="15.75" customHeight="1" x14ac:dyDescent="0.2">
      <c r="A75" s="5"/>
      <c r="B75" s="5"/>
      <c r="C75" s="5"/>
      <c r="D75" s="5"/>
      <c r="E75" s="5"/>
      <c r="F75" s="5"/>
      <c r="G75" s="5"/>
    </row>
    <row r="76" spans="1:7" ht="15.75" customHeight="1" x14ac:dyDescent="0.2">
      <c r="A76" s="5"/>
      <c r="B76" s="5"/>
      <c r="C76" s="5"/>
      <c r="D76" s="5"/>
      <c r="E76" s="5"/>
      <c r="F76" s="5"/>
      <c r="G76" s="5"/>
    </row>
    <row r="77" spans="1:7" ht="15.75" customHeight="1" x14ac:dyDescent="0.2">
      <c r="A77" s="5"/>
      <c r="B77" s="5"/>
      <c r="C77" s="5"/>
      <c r="D77" s="5"/>
      <c r="E77" s="5"/>
      <c r="F77" s="5"/>
      <c r="G77" s="5"/>
    </row>
    <row r="78" spans="1:7" ht="15.75" customHeight="1" x14ac:dyDescent="0.2">
      <c r="A78" s="5"/>
      <c r="B78" s="5"/>
      <c r="C78" s="5"/>
      <c r="D78" s="5"/>
      <c r="E78" s="5"/>
      <c r="F78" s="5"/>
      <c r="G78" s="5"/>
    </row>
    <row r="79" spans="1:7" ht="15.75" customHeight="1" x14ac:dyDescent="0.2">
      <c r="A79" s="5"/>
      <c r="B79" s="5"/>
      <c r="C79" s="5"/>
      <c r="D79" s="5"/>
      <c r="E79" s="5"/>
      <c r="F79" s="5"/>
      <c r="G79" s="5"/>
    </row>
    <row r="80" spans="1:7" ht="15.75" customHeight="1" x14ac:dyDescent="0.2">
      <c r="A80" s="5"/>
      <c r="B80" s="5"/>
      <c r="C80" s="5"/>
      <c r="D80" s="5"/>
      <c r="E80" s="5"/>
      <c r="F80" s="5"/>
      <c r="G80" s="5"/>
    </row>
    <row r="81" spans="1:7" ht="15.75" customHeight="1" x14ac:dyDescent="0.2">
      <c r="A81" s="5"/>
      <c r="B81" s="5"/>
      <c r="C81" s="5"/>
      <c r="D81" s="5"/>
      <c r="E81" s="5"/>
      <c r="F81" s="5"/>
      <c r="G81" s="5"/>
    </row>
    <row r="82" spans="1:7" ht="15.75" customHeight="1" x14ac:dyDescent="0.2">
      <c r="A82" s="5"/>
      <c r="B82" s="5"/>
      <c r="C82" s="5"/>
      <c r="D82" s="5"/>
      <c r="E82" s="5"/>
      <c r="F82" s="5"/>
      <c r="G82" s="5"/>
    </row>
    <row r="83" spans="1:7" ht="15.75" customHeight="1" x14ac:dyDescent="0.2">
      <c r="A83" s="5"/>
      <c r="B83" s="5"/>
      <c r="C83" s="5"/>
      <c r="D83" s="5"/>
      <c r="E83" s="5"/>
      <c r="F83" s="5"/>
      <c r="G83" s="5"/>
    </row>
    <row r="84" spans="1:7" ht="15.75" customHeight="1" x14ac:dyDescent="0.2">
      <c r="A84" s="5"/>
      <c r="B84" s="5"/>
      <c r="C84" s="5"/>
      <c r="D84" s="5"/>
      <c r="E84" s="5"/>
      <c r="F84" s="5"/>
      <c r="G84" s="5"/>
    </row>
    <row r="85" spans="1:7" ht="15.75" customHeight="1" x14ac:dyDescent="0.2">
      <c r="A85" s="5"/>
      <c r="B85" s="5"/>
      <c r="C85" s="5"/>
      <c r="D85" s="5"/>
      <c r="E85" s="5"/>
      <c r="F85" s="5"/>
      <c r="G85" s="5"/>
    </row>
    <row r="86" spans="1:7" ht="15.75" customHeight="1" x14ac:dyDescent="0.2">
      <c r="A86" s="5"/>
      <c r="B86" s="5"/>
      <c r="C86" s="5"/>
      <c r="D86" s="5"/>
      <c r="E86" s="5"/>
      <c r="F86" s="5"/>
      <c r="G86" s="5"/>
    </row>
    <row r="87" spans="1:7" ht="15.75" customHeight="1" x14ac:dyDescent="0.2">
      <c r="A87" s="5"/>
      <c r="B87" s="5"/>
      <c r="C87" s="5"/>
      <c r="D87" s="5"/>
      <c r="E87" s="5"/>
      <c r="F87" s="5"/>
      <c r="G87" s="5"/>
    </row>
    <row r="88" spans="1:7" ht="15.75" customHeight="1" x14ac:dyDescent="0.2">
      <c r="A88" s="5"/>
      <c r="B88" s="5"/>
      <c r="C88" s="5"/>
      <c r="D88" s="5"/>
      <c r="E88" s="5"/>
      <c r="F88" s="5"/>
      <c r="G88" s="5"/>
    </row>
    <row r="89" spans="1:7" ht="15.75" customHeight="1" x14ac:dyDescent="0.2">
      <c r="A89" s="5"/>
      <c r="B89" s="5"/>
      <c r="C89" s="5"/>
      <c r="D89" s="5"/>
      <c r="E89" s="5"/>
      <c r="F89" s="5"/>
      <c r="G89" s="5"/>
    </row>
    <row r="90" spans="1:7" ht="15.75" customHeight="1" x14ac:dyDescent="0.2">
      <c r="A90" s="5"/>
      <c r="B90" s="5"/>
      <c r="C90" s="5"/>
      <c r="D90" s="5"/>
      <c r="E90" s="5"/>
      <c r="F90" s="5"/>
      <c r="G90" s="5"/>
    </row>
    <row r="91" spans="1:7" ht="15.75" customHeight="1" x14ac:dyDescent="0.2">
      <c r="A91" s="5"/>
      <c r="B91" s="5"/>
      <c r="C91" s="5"/>
      <c r="D91" s="5"/>
      <c r="E91" s="5"/>
      <c r="F91" s="5"/>
      <c r="G91" s="5"/>
    </row>
    <row r="92" spans="1:7" ht="15.75" customHeight="1" x14ac:dyDescent="0.2">
      <c r="A92" s="5"/>
      <c r="B92" s="5"/>
      <c r="C92" s="5"/>
      <c r="D92" s="5"/>
      <c r="E92" s="5"/>
      <c r="F92" s="5"/>
      <c r="G92" s="5"/>
    </row>
    <row r="93" spans="1:7" ht="15.75" customHeight="1" x14ac:dyDescent="0.2">
      <c r="A93" s="5"/>
      <c r="B93" s="5"/>
      <c r="C93" s="5"/>
      <c r="D93" s="5"/>
      <c r="E93" s="5"/>
      <c r="F93" s="5"/>
      <c r="G93" s="5"/>
    </row>
    <row r="94" spans="1:7" ht="15.75" customHeight="1" x14ac:dyDescent="0.2">
      <c r="A94" s="5"/>
      <c r="B94" s="5"/>
      <c r="C94" s="5"/>
      <c r="D94" s="5"/>
      <c r="E94" s="5"/>
      <c r="F94" s="5"/>
      <c r="G94" s="5"/>
    </row>
    <row r="95" spans="1:7" ht="15.75" customHeight="1" x14ac:dyDescent="0.2">
      <c r="A95" s="5"/>
      <c r="B95" s="5"/>
      <c r="C95" s="5"/>
      <c r="D95" s="5"/>
      <c r="E95" s="5"/>
      <c r="F95" s="5"/>
      <c r="G95" s="5"/>
    </row>
    <row r="96" spans="1:7" ht="15.75" customHeight="1" x14ac:dyDescent="0.2">
      <c r="A96" s="5"/>
      <c r="B96" s="5"/>
      <c r="C96" s="5"/>
      <c r="D96" s="5"/>
      <c r="E96" s="5"/>
      <c r="F96" s="5"/>
      <c r="G96" s="5"/>
    </row>
    <row r="97" spans="1:7" ht="15.75" customHeight="1" x14ac:dyDescent="0.2">
      <c r="A97" s="5"/>
      <c r="B97" s="5"/>
      <c r="C97" s="5"/>
      <c r="D97" s="5"/>
      <c r="E97" s="5"/>
      <c r="F97" s="5"/>
      <c r="G97" s="5"/>
    </row>
    <row r="98" spans="1:7" ht="15.75" customHeight="1" x14ac:dyDescent="0.2">
      <c r="A98" s="5"/>
      <c r="B98" s="5"/>
      <c r="C98" s="5"/>
      <c r="D98" s="5"/>
      <c r="E98" s="5"/>
      <c r="F98" s="5"/>
      <c r="G98" s="5"/>
    </row>
    <row r="99" spans="1:7" ht="15.75" customHeight="1" x14ac:dyDescent="0.2">
      <c r="A99" s="5"/>
      <c r="B99" s="5"/>
      <c r="C99" s="5"/>
      <c r="D99" s="5"/>
      <c r="E99" s="5"/>
      <c r="F99" s="5"/>
      <c r="G99" s="5"/>
    </row>
    <row r="100" spans="1:7" ht="15.75" customHeight="1" x14ac:dyDescent="0.2">
      <c r="A100" s="5"/>
      <c r="B100" s="5"/>
      <c r="C100" s="5"/>
      <c r="D100" s="5"/>
      <c r="E100" s="5"/>
      <c r="F100" s="5"/>
      <c r="G100" s="5"/>
    </row>
    <row r="101" spans="1:7" ht="15.75" customHeight="1" x14ac:dyDescent="0.2">
      <c r="A101" s="5"/>
      <c r="B101" s="5"/>
      <c r="C101" s="5"/>
      <c r="D101" s="5"/>
      <c r="E101" s="5"/>
      <c r="F101" s="5"/>
      <c r="G101" s="5"/>
    </row>
    <row r="102" spans="1:7" ht="15.75" customHeight="1" x14ac:dyDescent="0.2">
      <c r="A102" s="5"/>
      <c r="B102" s="5"/>
      <c r="C102" s="5"/>
      <c r="D102" s="5"/>
      <c r="E102" s="5"/>
      <c r="F102" s="5"/>
      <c r="G102" s="5"/>
    </row>
    <row r="103" spans="1:7" ht="15.75" customHeight="1" x14ac:dyDescent="0.2">
      <c r="A103" s="5"/>
      <c r="B103" s="5"/>
      <c r="C103" s="5"/>
      <c r="D103" s="5"/>
      <c r="E103" s="5"/>
      <c r="F103" s="5"/>
      <c r="G103" s="5"/>
    </row>
    <row r="104" spans="1:7" ht="15.75" customHeight="1" x14ac:dyDescent="0.2">
      <c r="A104" s="5"/>
      <c r="B104" s="5"/>
      <c r="C104" s="5"/>
      <c r="D104" s="5"/>
      <c r="E104" s="5"/>
      <c r="F104" s="5"/>
      <c r="G104" s="5"/>
    </row>
    <row r="105" spans="1:7" ht="15.75" customHeight="1" x14ac:dyDescent="0.2"/>
    <row r="106" spans="1:7" ht="15.75" customHeight="1" x14ac:dyDescent="0.2"/>
    <row r="107" spans="1:7" ht="15.75" customHeight="1" x14ac:dyDescent="0.2"/>
    <row r="108" spans="1:7" ht="15.75" customHeight="1" x14ac:dyDescent="0.2"/>
    <row r="109" spans="1:7" ht="15.75" customHeight="1" x14ac:dyDescent="0.2"/>
    <row r="110" spans="1:7" ht="15.75" customHeight="1" x14ac:dyDescent="0.2"/>
    <row r="111" spans="1:7" ht="15.75" customHeight="1" x14ac:dyDescent="0.2"/>
    <row r="112" spans="1:7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1000"/>
  <sheetViews>
    <sheetView workbookViewId="0"/>
  </sheetViews>
  <sheetFormatPr baseColWidth="10" defaultColWidth="14.5" defaultRowHeight="15" customHeight="1" x14ac:dyDescent="0.2"/>
  <cols>
    <col min="1" max="1" width="14.33203125" customWidth="1"/>
    <col min="2" max="43" width="10.6640625" customWidth="1"/>
  </cols>
  <sheetData>
    <row r="1" spans="1:43" x14ac:dyDescent="0.2">
      <c r="A1" s="32" t="s">
        <v>134</v>
      </c>
      <c r="B1" s="33" t="s">
        <v>135</v>
      </c>
      <c r="C1" s="34" t="s">
        <v>136</v>
      </c>
      <c r="D1" s="34" t="s">
        <v>137</v>
      </c>
      <c r="E1" s="33" t="s">
        <v>138</v>
      </c>
      <c r="F1" s="33" t="s">
        <v>139</v>
      </c>
      <c r="G1" s="33" t="s">
        <v>140</v>
      </c>
      <c r="H1" s="33" t="s">
        <v>141</v>
      </c>
      <c r="I1" s="33" t="s">
        <v>142</v>
      </c>
      <c r="J1" s="33" t="s">
        <v>143</v>
      </c>
      <c r="K1" s="33" t="s">
        <v>144</v>
      </c>
      <c r="L1" s="34" t="s">
        <v>145</v>
      </c>
      <c r="M1" s="34" t="s">
        <v>146</v>
      </c>
      <c r="N1" s="33" t="s">
        <v>147</v>
      </c>
      <c r="O1" s="34" t="s">
        <v>148</v>
      </c>
      <c r="P1" s="34" t="s">
        <v>149</v>
      </c>
      <c r="Q1" s="34" t="s">
        <v>150</v>
      </c>
      <c r="R1" s="34" t="s">
        <v>151</v>
      </c>
      <c r="S1" s="33" t="s">
        <v>152</v>
      </c>
      <c r="T1" s="33" t="s">
        <v>153</v>
      </c>
      <c r="U1" s="33" t="s">
        <v>154</v>
      </c>
      <c r="V1" s="33" t="s">
        <v>155</v>
      </c>
      <c r="W1" s="33" t="s">
        <v>156</v>
      </c>
      <c r="X1" s="33" t="s">
        <v>157</v>
      </c>
      <c r="Y1" s="33" t="s">
        <v>158</v>
      </c>
      <c r="Z1" s="34" t="s">
        <v>159</v>
      </c>
      <c r="AA1" s="34" t="s">
        <v>160</v>
      </c>
      <c r="AB1" s="34" t="s">
        <v>161</v>
      </c>
      <c r="AC1" s="33" t="s">
        <v>162</v>
      </c>
      <c r="AD1" s="33" t="s">
        <v>163</v>
      </c>
      <c r="AE1" s="33" t="s">
        <v>164</v>
      </c>
      <c r="AF1" s="33" t="s">
        <v>165</v>
      </c>
      <c r="AG1" s="33" t="s">
        <v>166</v>
      </c>
      <c r="AH1" s="33" t="s">
        <v>167</v>
      </c>
      <c r="AI1" s="33" t="s">
        <v>168</v>
      </c>
      <c r="AJ1" s="33" t="s">
        <v>169</v>
      </c>
      <c r="AK1" s="33" t="s">
        <v>170</v>
      </c>
      <c r="AL1" s="33" t="s">
        <v>171</v>
      </c>
      <c r="AM1" s="33" t="s">
        <v>172</v>
      </c>
      <c r="AN1" s="33" t="s">
        <v>173</v>
      </c>
      <c r="AO1" s="33" t="s">
        <v>174</v>
      </c>
      <c r="AP1" s="33" t="s">
        <v>175</v>
      </c>
      <c r="AQ1" s="33" t="s">
        <v>176</v>
      </c>
    </row>
    <row r="2" spans="1:43" x14ac:dyDescent="0.2">
      <c r="A2" s="3" t="s">
        <v>177</v>
      </c>
      <c r="B2" s="3">
        <f>'OECD EMPN'!AF10</f>
        <v>39328</v>
      </c>
      <c r="C2" s="3">
        <f>'OECD EMPN'!AF13</f>
        <v>1523</v>
      </c>
      <c r="D2" s="3">
        <f>'OECD EMPN'!AF14</f>
        <v>788</v>
      </c>
      <c r="E2" s="3">
        <f>'OECD EMPN'!AF15</f>
        <v>655</v>
      </c>
      <c r="F2" s="3">
        <f>'OECD EMPN'!AF16</f>
        <v>81</v>
      </c>
      <c r="G2" s="3">
        <f>'OECD EMPN'!AF18</f>
        <v>3403</v>
      </c>
      <c r="H2" s="3">
        <f>'OECD EMPN'!AF19</f>
        <v>4895</v>
      </c>
      <c r="I2" s="3">
        <f>'OECD EMPN'!AF21</f>
        <v>793</v>
      </c>
      <c r="J2" s="3">
        <f>'OECD EMPN'!AF22</f>
        <v>752</v>
      </c>
      <c r="K2" s="3">
        <f>'OECD EMPN'!AF24</f>
        <v>80</v>
      </c>
      <c r="L2" s="3">
        <f>'OECD EMPN'!AF26</f>
        <v>546</v>
      </c>
      <c r="M2" s="3">
        <f>'OECD EMPN'!AF27</f>
        <v>232</v>
      </c>
      <c r="N2" s="3">
        <f>'OECD EMPN'!AF28</f>
        <v>1660</v>
      </c>
      <c r="O2" s="5">
        <f>ROUNDUP('OECD EMPN'!AF29*'Output by industry'!B51, 0)</f>
        <v>22</v>
      </c>
      <c r="P2" s="3">
        <f>'OECD EMPN'!AF29-Conversion!O2</f>
        <v>457</v>
      </c>
      <c r="Q2" s="3">
        <f>'OECD EMPN'!AF30</f>
        <v>1629</v>
      </c>
      <c r="R2" s="3">
        <f>'OECD EMPN'!AF31</f>
        <v>398</v>
      </c>
      <c r="S2" s="3">
        <f>'OECD EMPN'!AF32</f>
        <v>1231</v>
      </c>
      <c r="T2" s="3">
        <f>'OECD EMPN'!AF34</f>
        <v>356</v>
      </c>
      <c r="U2" s="3">
        <f>'OECD EMPN'!AF35</f>
        <v>304</v>
      </c>
      <c r="V2" s="3">
        <f>'OECD EMPN'!AF36</f>
        <v>116</v>
      </c>
      <c r="W2" s="3">
        <f>'OECD EMPN'!AF38</f>
        <v>516</v>
      </c>
      <c r="X2" s="3">
        <f>'OECD EMPN'!AF39</f>
        <v>303</v>
      </c>
      <c r="Y2" s="3">
        <f>'OECD EMPN'!AF40</f>
        <v>702</v>
      </c>
      <c r="Z2" s="3">
        <f>ROUNDUP('OECD EMPN'!AF42*'Output by industry'!B42, 0)</f>
        <v>19</v>
      </c>
      <c r="AA2" s="3">
        <f>'OECD EMPN'!AF42-Conversion!Z2</f>
        <v>396</v>
      </c>
      <c r="AB2" s="3">
        <f>'OECD EMPN'!AF43</f>
        <v>144</v>
      </c>
      <c r="AC2" s="3">
        <f>'OECD EMPN'!AF44</f>
        <v>7554</v>
      </c>
      <c r="AD2" s="3">
        <f>'OECD EMPN'!AF47</f>
        <v>24551</v>
      </c>
      <c r="AE2" s="3">
        <f>'OECD EMPN'!AF48</f>
        <v>4300</v>
      </c>
      <c r="AF2" s="3">
        <f>'OECD EMPN'!AF54</f>
        <v>5648</v>
      </c>
      <c r="AG2" s="3">
        <f>'OECD EMPN'!AF56</f>
        <v>189</v>
      </c>
      <c r="AH2" s="3">
        <f>'OECD EMPN'!AF57</f>
        <v>511</v>
      </c>
      <c r="AI2" s="3">
        <f>'OECD EMPN'!AF58</f>
        <v>124</v>
      </c>
      <c r="AJ2" s="3">
        <f>'OECD EMPN'!AF59</f>
        <v>1655</v>
      </c>
      <c r="AK2" s="3">
        <f>'OECD EMPN'!AF60</f>
        <v>201</v>
      </c>
      <c r="AL2" s="3">
        <f>'OECD EMPN'!AF61</f>
        <v>779</v>
      </c>
      <c r="AM2" s="3">
        <f>'OECD EMPN'!AF66</f>
        <v>6005</v>
      </c>
      <c r="AN2" s="3">
        <f>'OECD EMPN'!AF67</f>
        <v>6422</v>
      </c>
      <c r="AO2" s="3">
        <f>'OECD EMPN'!AF68</f>
        <v>1753</v>
      </c>
      <c r="AP2" s="3">
        <f>'OECD EMPN'!AF70</f>
        <v>2836</v>
      </c>
      <c r="AQ2" s="3">
        <f>'OECD EMPN'!AF73</f>
        <v>1424</v>
      </c>
    </row>
    <row r="5" spans="1:43" x14ac:dyDescent="0.2">
      <c r="A5" s="3" t="s">
        <v>178</v>
      </c>
      <c r="B5" s="3">
        <v>1000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Q1000"/>
  <sheetViews>
    <sheetView tabSelected="1" workbookViewId="0"/>
  </sheetViews>
  <sheetFormatPr baseColWidth="10" defaultColWidth="14.5" defaultRowHeight="15" customHeight="1" x14ac:dyDescent="0.2"/>
  <cols>
    <col min="1" max="43" width="10.6640625" customWidth="1"/>
  </cols>
  <sheetData>
    <row r="1" spans="1:43" x14ac:dyDescent="0.2">
      <c r="A1" s="32" t="s">
        <v>179</v>
      </c>
      <c r="B1" s="33" t="s">
        <v>135</v>
      </c>
      <c r="C1" s="34" t="s">
        <v>136</v>
      </c>
      <c r="D1" s="34" t="s">
        <v>137</v>
      </c>
      <c r="E1" s="33" t="s">
        <v>138</v>
      </c>
      <c r="F1" s="33" t="s">
        <v>139</v>
      </c>
      <c r="G1" s="33" t="s">
        <v>140</v>
      </c>
      <c r="H1" s="33" t="s">
        <v>141</v>
      </c>
      <c r="I1" s="33" t="s">
        <v>142</v>
      </c>
      <c r="J1" s="33" t="s">
        <v>143</v>
      </c>
      <c r="K1" s="33" t="s">
        <v>144</v>
      </c>
      <c r="L1" s="34" t="s">
        <v>145</v>
      </c>
      <c r="M1" s="34" t="s">
        <v>146</v>
      </c>
      <c r="N1" s="33" t="s">
        <v>147</v>
      </c>
      <c r="O1" s="35" t="s">
        <v>148</v>
      </c>
      <c r="P1" s="35" t="s">
        <v>149</v>
      </c>
      <c r="Q1" s="34" t="s">
        <v>150</v>
      </c>
      <c r="R1" s="34" t="s">
        <v>151</v>
      </c>
      <c r="S1" s="33" t="s">
        <v>152</v>
      </c>
      <c r="T1" s="33" t="s">
        <v>153</v>
      </c>
      <c r="U1" s="33" t="s">
        <v>154</v>
      </c>
      <c r="V1" s="33" t="s">
        <v>155</v>
      </c>
      <c r="W1" s="33" t="s">
        <v>156</v>
      </c>
      <c r="X1" s="33" t="s">
        <v>157</v>
      </c>
      <c r="Y1" s="33" t="s">
        <v>158</v>
      </c>
      <c r="Z1" s="35" t="s">
        <v>159</v>
      </c>
      <c r="AA1" s="35" t="s">
        <v>160</v>
      </c>
      <c r="AB1" s="34" t="s">
        <v>161</v>
      </c>
      <c r="AC1" s="33" t="s">
        <v>162</v>
      </c>
      <c r="AD1" s="33" t="s">
        <v>163</v>
      </c>
      <c r="AE1" s="33" t="s">
        <v>164</v>
      </c>
      <c r="AF1" s="33" t="s">
        <v>165</v>
      </c>
      <c r="AG1" s="33" t="s">
        <v>166</v>
      </c>
      <c r="AH1" s="33" t="s">
        <v>167</v>
      </c>
      <c r="AI1" s="33" t="s">
        <v>168</v>
      </c>
      <c r="AJ1" s="33" t="s">
        <v>169</v>
      </c>
      <c r="AK1" s="33" t="s">
        <v>170</v>
      </c>
      <c r="AL1" s="33" t="s">
        <v>171</v>
      </c>
      <c r="AM1" s="33" t="s">
        <v>172</v>
      </c>
      <c r="AN1" s="33" t="s">
        <v>173</v>
      </c>
      <c r="AO1" s="33" t="s">
        <v>174</v>
      </c>
      <c r="AP1" s="33" t="s">
        <v>175</v>
      </c>
      <c r="AQ1" s="33" t="s">
        <v>176</v>
      </c>
    </row>
    <row r="2" spans="1:43" x14ac:dyDescent="0.2">
      <c r="A2" s="3" t="s">
        <v>177</v>
      </c>
      <c r="B2" s="36">
        <f>Conversion!B2*Conversion!$B$5</f>
        <v>39328000</v>
      </c>
      <c r="C2" s="36">
        <f>Conversion!C2*Conversion!$B$5</f>
        <v>1523000</v>
      </c>
      <c r="D2" s="36">
        <f>Conversion!D2*Conversion!$B$5</f>
        <v>788000</v>
      </c>
      <c r="E2" s="36">
        <f>Conversion!E2*Conversion!$B$5</f>
        <v>655000</v>
      </c>
      <c r="F2" s="36">
        <f>Conversion!F2*Conversion!$B$5</f>
        <v>81000</v>
      </c>
      <c r="G2" s="36">
        <f>Conversion!G2*Conversion!$B$5</f>
        <v>3403000</v>
      </c>
      <c r="H2" s="36">
        <f>Conversion!H2*Conversion!$B$5</f>
        <v>4895000</v>
      </c>
      <c r="I2" s="36">
        <f>Conversion!I2*Conversion!$B$5</f>
        <v>793000</v>
      </c>
      <c r="J2" s="36">
        <f>Conversion!J2*Conversion!$B$5</f>
        <v>752000</v>
      </c>
      <c r="K2" s="36">
        <f>Conversion!K2*Conversion!$B$5</f>
        <v>80000</v>
      </c>
      <c r="L2" s="36">
        <f>Conversion!L2*Conversion!$B$5</f>
        <v>546000</v>
      </c>
      <c r="M2" s="36">
        <f>Conversion!M2*Conversion!$B$5</f>
        <v>232000</v>
      </c>
      <c r="N2" s="36">
        <f>Conversion!N2*Conversion!$B$5</f>
        <v>1660000</v>
      </c>
      <c r="O2" s="37">
        <f>Conversion!O2*Conversion!$B$5</f>
        <v>22000</v>
      </c>
      <c r="P2" s="37">
        <f>Conversion!P2*Conversion!$B$5</f>
        <v>457000</v>
      </c>
      <c r="Q2" s="36">
        <f>Conversion!Q2*Conversion!$B$5</f>
        <v>1629000</v>
      </c>
      <c r="R2" s="36">
        <f>Conversion!R2*Conversion!$B$5</f>
        <v>398000</v>
      </c>
      <c r="S2" s="36">
        <f>Conversion!S2*Conversion!$B$5</f>
        <v>1231000</v>
      </c>
      <c r="T2" s="36">
        <f>Conversion!T2*Conversion!$B$5</f>
        <v>356000</v>
      </c>
      <c r="U2" s="36">
        <f>Conversion!U2*Conversion!$B$5</f>
        <v>304000</v>
      </c>
      <c r="V2" s="36">
        <f>Conversion!V2*Conversion!$B$5</f>
        <v>116000</v>
      </c>
      <c r="W2" s="36">
        <f>Conversion!W2*Conversion!$B$5</f>
        <v>516000</v>
      </c>
      <c r="X2" s="36">
        <f>Conversion!X2*Conversion!$B$5</f>
        <v>303000</v>
      </c>
      <c r="Y2" s="36">
        <f>Conversion!Y2*Conversion!$B$5</f>
        <v>702000</v>
      </c>
      <c r="Z2" s="37">
        <f>Conversion!Z2*Conversion!$B$5</f>
        <v>19000</v>
      </c>
      <c r="AA2" s="37">
        <f>Conversion!AA2*Conversion!$B$5</f>
        <v>396000</v>
      </c>
      <c r="AB2" s="36">
        <f>Conversion!AB2*Conversion!$B$5</f>
        <v>144000</v>
      </c>
      <c r="AC2" s="36">
        <f>Conversion!AC2*Conversion!$B$5</f>
        <v>7554000</v>
      </c>
      <c r="AD2" s="36">
        <f>Conversion!AD2*Conversion!$B$5</f>
        <v>24551000</v>
      </c>
      <c r="AE2" s="36">
        <f>Conversion!AE2*Conversion!$B$5</f>
        <v>4300000</v>
      </c>
      <c r="AF2" s="36">
        <f>Conversion!AF2*Conversion!$B$5</f>
        <v>5648000</v>
      </c>
      <c r="AG2" s="36">
        <f>Conversion!AG2*Conversion!$B$5</f>
        <v>189000</v>
      </c>
      <c r="AH2" s="36">
        <f>Conversion!AH2*Conversion!$B$5</f>
        <v>511000</v>
      </c>
      <c r="AI2" s="36">
        <f>Conversion!AI2*Conversion!$B$5</f>
        <v>124000</v>
      </c>
      <c r="AJ2" s="36">
        <f>Conversion!AJ2*Conversion!$B$5</f>
        <v>1655000</v>
      </c>
      <c r="AK2" s="36">
        <f>Conversion!AK2*Conversion!$B$5</f>
        <v>201000</v>
      </c>
      <c r="AL2" s="36">
        <f>Conversion!AL2*Conversion!$B$5</f>
        <v>779000</v>
      </c>
      <c r="AM2" s="36">
        <f>Conversion!AM2*Conversion!$B$5</f>
        <v>6005000</v>
      </c>
      <c r="AN2" s="36">
        <f>Conversion!AN2*Conversion!$B$5</f>
        <v>6422000</v>
      </c>
      <c r="AO2" s="36">
        <f>Conversion!AO2*Conversion!$B$5</f>
        <v>1753000</v>
      </c>
      <c r="AP2" s="36">
        <f>Conversion!AP2*Conversion!$B$5</f>
        <v>2836000</v>
      </c>
      <c r="AQ2" s="36">
        <f>Conversion!AQ2*Conversion!$B$5</f>
        <v>1424000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OECD EMPN</vt:lpstr>
      <vt:lpstr>Output by industry</vt:lpstr>
      <vt:lpstr>Conversion</vt:lpstr>
      <vt:lpstr>BEbIC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</dc:creator>
  <cp:lastModifiedBy>Sy, Saidou Abdoulaye</cp:lastModifiedBy>
  <dcterms:created xsi:type="dcterms:W3CDTF">2021-03-03T02:33:51Z</dcterms:created>
  <dcterms:modified xsi:type="dcterms:W3CDTF">2025-04-12T22:22:45Z</dcterms:modified>
</cp:coreProperties>
</file>