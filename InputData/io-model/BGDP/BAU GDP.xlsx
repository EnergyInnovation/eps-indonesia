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IO-MODEL/New variables/"/>
    </mc:Choice>
  </mc:AlternateContent>
  <xr:revisionPtr revIDLastSave="0" documentId="13_ncr:1_{1A1DA48E-4A2F-2D44-B7F9-DCD82571EDD4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About" sheetId="1" r:id="rId1"/>
    <sheet name="IND GDP" sheetId="10" r:id="rId2"/>
    <sheet name="BGD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2" i="2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2" i="10"/>
  <c r="B8" i="10" l="1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7" i="10"/>
</calcChain>
</file>

<file path=xl/sharedStrings.xml><?xml version="1.0" encoding="utf-8"?>
<sst xmlns="http://schemas.openxmlformats.org/spreadsheetml/2006/main" count="13" uniqueCount="13">
  <si>
    <t>BGDP BAU Gross Domestic Product</t>
  </si>
  <si>
    <t>Source:</t>
  </si>
  <si>
    <t>GDP</t>
  </si>
  <si>
    <t>Unit: 2012 USD</t>
  </si>
  <si>
    <t>Year</t>
  </si>
  <si>
    <t>GDP (Rupiah)</t>
  </si>
  <si>
    <t>GDP ($2019)</t>
  </si>
  <si>
    <t>GDP ($2012)</t>
  </si>
  <si>
    <t>2019 Rupiah to USD</t>
  </si>
  <si>
    <t>$2019 to $2012</t>
  </si>
  <si>
    <t>United Nations Statistics Division</t>
  </si>
  <si>
    <t>Indonesia National Statistics</t>
  </si>
  <si>
    <t>https://data.un.org/Data.aspx?q=indonesia&amp;d=SNAAMA&amp;f=grID%3A101%3BcurrID%3ANCU%3BpcFlag%3A0%3BcrID%3A360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</si>
</sst>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1D3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 applyAlignment="1">
      <alignment horizontal="right"/>
    </xf>
    <xf numFmtId="164" fontId="0" fillId="0" borderId="0" xfId="0" applyNumberFormat="1"/>
    <xf numFmtId="11" fontId="0" fillId="0" borderId="0" xfId="0" applyNumberFormat="1"/>
    <xf numFmtId="0" fontId="0" fillId="0" borderId="0" xfId="0" applyAlignment="1">
      <alignment horizontal="right"/>
    </xf>
    <xf numFmtId="9" fontId="0" fillId="0" borderId="0" xfId="2" applyFont="1"/>
    <xf numFmtId="11" fontId="5" fillId="0" borderId="0" xfId="0" applyNumberFormat="1" applyFont="1"/>
    <xf numFmtId="0" fontId="1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16"/>
  <sheetViews>
    <sheetView workbookViewId="0">
      <selection activeCell="B17" sqref="B17"/>
    </sheetView>
  </sheetViews>
  <sheetFormatPr baseColWidth="10" defaultColWidth="8.83203125" defaultRowHeight="15" x14ac:dyDescent="0.2"/>
  <cols>
    <col min="2" max="2" width="77.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t="s">
        <v>10</v>
      </c>
    </row>
    <row r="4" spans="1:2" x14ac:dyDescent="0.2">
      <c r="A4" s="1"/>
      <c r="B4" s="12" t="s">
        <v>11</v>
      </c>
    </row>
    <row r="5" spans="1:2" x14ac:dyDescent="0.2">
      <c r="B5" s="13">
        <v>2023</v>
      </c>
    </row>
    <row r="6" spans="1:2" x14ac:dyDescent="0.2">
      <c r="B6" s="3" t="s">
        <v>12</v>
      </c>
    </row>
    <row r="7" spans="1:2" x14ac:dyDescent="0.2">
      <c r="B7" s="3"/>
    </row>
    <row r="8" spans="1:2" x14ac:dyDescent="0.2">
      <c r="A8" s="1" t="s">
        <v>8</v>
      </c>
      <c r="B8" s="7">
        <v>7.0740000000000004E-5</v>
      </c>
    </row>
    <row r="9" spans="1:2" x14ac:dyDescent="0.2">
      <c r="A9" s="1" t="s">
        <v>9</v>
      </c>
      <c r="B9" s="11">
        <v>0.96</v>
      </c>
    </row>
    <row r="14" spans="1:2" x14ac:dyDescent="0.2">
      <c r="A14" s="5"/>
    </row>
    <row r="16" spans="1:2" x14ac:dyDescent="0.2">
      <c r="A16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D7D2-B203-4241-B6C9-FC86562E89A7}">
  <dimension ref="A1:D53"/>
  <sheetViews>
    <sheetView workbookViewId="0">
      <selection activeCell="D53" sqref="D53"/>
    </sheetView>
  </sheetViews>
  <sheetFormatPr baseColWidth="10" defaultRowHeight="15" x14ac:dyDescent="0.2"/>
  <cols>
    <col min="2" max="2" width="11.83203125" bestFit="1" customWidth="1"/>
  </cols>
  <sheetData>
    <row r="1" spans="1:4" x14ac:dyDescent="0.2">
      <c r="A1" s="10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 s="2">
        <v>2019</v>
      </c>
      <c r="B2" s="9">
        <v>1.58326572E+16</v>
      </c>
      <c r="C2" s="6">
        <f>B2*About!$B$8</f>
        <v>1120002170328</v>
      </c>
      <c r="D2" s="6">
        <f>C2*About!$B$9</f>
        <v>1075202083514.88</v>
      </c>
    </row>
    <row r="3" spans="1:4" x14ac:dyDescent="0.2">
      <c r="A3" s="2">
        <v>2020</v>
      </c>
      <c r="B3" s="9">
        <v>1.54433532E+16</v>
      </c>
      <c r="C3" s="6">
        <f>B3*About!$B$8</f>
        <v>1092462805368</v>
      </c>
      <c r="D3" s="6">
        <f>C3*About!$B$9</f>
        <v>1048764293153.2799</v>
      </c>
    </row>
    <row r="4" spans="1:4" x14ac:dyDescent="0.2">
      <c r="A4" s="2">
        <v>2021</v>
      </c>
      <c r="B4" s="9">
        <v>1.69767514E+16</v>
      </c>
      <c r="C4" s="6">
        <f>B4*About!$B$8</f>
        <v>1200935394036</v>
      </c>
      <c r="D4" s="6">
        <f>C4*About!$B$9</f>
        <v>1152897978274.5601</v>
      </c>
    </row>
    <row r="5" spans="1:4" x14ac:dyDescent="0.2">
      <c r="A5" s="2">
        <v>2022</v>
      </c>
      <c r="B5" s="9">
        <v>1.95880899E+16</v>
      </c>
      <c r="C5" s="6">
        <f>B5*About!$B$8</f>
        <v>1385661479526</v>
      </c>
      <c r="D5" s="6">
        <f>C5*About!$B$9</f>
        <v>1330235020344.96</v>
      </c>
    </row>
    <row r="6" spans="1:4" x14ac:dyDescent="0.2">
      <c r="A6" s="2">
        <v>2023</v>
      </c>
      <c r="B6" s="9">
        <v>2.08923767E+16</v>
      </c>
      <c r="C6" s="6">
        <f>B6*About!$B$8</f>
        <v>1477926727758</v>
      </c>
      <c r="D6" s="6">
        <f>C6*About!$B$9</f>
        <v>1418809658647.6799</v>
      </c>
    </row>
    <row r="7" spans="1:4" x14ac:dyDescent="0.2">
      <c r="A7" s="2">
        <v>2024</v>
      </c>
      <c r="B7">
        <f>_xlfn.FORECAST.LINEAR(A7,$B$2:$B$6,$A$2:$A$6)</f>
        <v>2.2025898390000128E+16</v>
      </c>
      <c r="C7" s="6">
        <f>B7*About!$B$8</f>
        <v>1558112052108.6091</v>
      </c>
      <c r="D7" s="6">
        <f>C7*About!$B$9</f>
        <v>1495787570024.2646</v>
      </c>
    </row>
    <row r="8" spans="1:4" x14ac:dyDescent="0.2">
      <c r="A8" s="2">
        <v>2025</v>
      </c>
      <c r="B8">
        <f t="shared" ref="B8:B53" si="0">_xlfn.FORECAST.LINEAR(A8,$B$2:$B$6,$A$2:$A$6)</f>
        <v>2.345231596E+16</v>
      </c>
      <c r="C8" s="6">
        <f>B8*About!$B$8</f>
        <v>1659016831010.4001</v>
      </c>
      <c r="D8" s="6">
        <f>C8*About!$B$9</f>
        <v>1592656157769.9841</v>
      </c>
    </row>
    <row r="9" spans="1:4" x14ac:dyDescent="0.2">
      <c r="A9" s="2">
        <v>2026</v>
      </c>
      <c r="B9">
        <f t="shared" si="0"/>
        <v>2.4878733529999872E+16</v>
      </c>
      <c r="C9" s="6">
        <f>B9*About!$B$8</f>
        <v>1759921609912.1909</v>
      </c>
      <c r="D9" s="6">
        <f>C9*About!$B$9</f>
        <v>1689524745515.7031</v>
      </c>
    </row>
    <row r="10" spans="1:4" x14ac:dyDescent="0.2">
      <c r="A10" s="2">
        <v>2027</v>
      </c>
      <c r="B10">
        <f t="shared" si="0"/>
        <v>2.6305151100000256E+16</v>
      </c>
      <c r="C10" s="6">
        <f>B10*About!$B$8</f>
        <v>1860826388814.0183</v>
      </c>
      <c r="D10" s="6">
        <f>C10*About!$B$9</f>
        <v>1786393333261.4575</v>
      </c>
    </row>
    <row r="11" spans="1:4" x14ac:dyDescent="0.2">
      <c r="A11" s="2">
        <v>2028</v>
      </c>
      <c r="B11">
        <f t="shared" si="0"/>
        <v>2.7731568670000128E+16</v>
      </c>
      <c r="C11" s="6">
        <f>B11*About!$B$8</f>
        <v>1961731167715.8091</v>
      </c>
      <c r="D11" s="6">
        <f>C11*About!$B$9</f>
        <v>1883261921007.1768</v>
      </c>
    </row>
    <row r="12" spans="1:4" x14ac:dyDescent="0.2">
      <c r="A12" s="2">
        <v>2029</v>
      </c>
      <c r="B12">
        <f t="shared" si="0"/>
        <v>2.915798624E+16</v>
      </c>
      <c r="C12" s="6">
        <f>B12*About!$B$8</f>
        <v>2062635946617.6001</v>
      </c>
      <c r="D12" s="6">
        <f>C12*About!$B$9</f>
        <v>1980130508752.896</v>
      </c>
    </row>
    <row r="13" spans="1:4" x14ac:dyDescent="0.2">
      <c r="A13" s="2">
        <v>2030</v>
      </c>
      <c r="B13">
        <f t="shared" si="0"/>
        <v>3.0584403810000384E+16</v>
      </c>
      <c r="C13" s="6">
        <f>B13*About!$B$8</f>
        <v>2163540725519.4272</v>
      </c>
      <c r="D13" s="6">
        <f>C13*About!$B$9</f>
        <v>2076999096498.6501</v>
      </c>
    </row>
    <row r="14" spans="1:4" x14ac:dyDescent="0.2">
      <c r="A14" s="2">
        <v>2031</v>
      </c>
      <c r="B14">
        <f t="shared" si="0"/>
        <v>3.2010821380000256E+16</v>
      </c>
      <c r="C14" s="6">
        <f>B14*About!$B$8</f>
        <v>2264445504421.2183</v>
      </c>
      <c r="D14" s="6">
        <f>C14*About!$B$9</f>
        <v>2173867684244.3694</v>
      </c>
    </row>
    <row r="15" spans="1:4" x14ac:dyDescent="0.2">
      <c r="A15" s="2">
        <v>2032</v>
      </c>
      <c r="B15">
        <f t="shared" si="0"/>
        <v>3.3437238950000128E+16</v>
      </c>
      <c r="C15" s="6">
        <f>B15*About!$B$8</f>
        <v>2365350283323.0093</v>
      </c>
      <c r="D15" s="6">
        <f>C15*About!$B$9</f>
        <v>2270736271990.0889</v>
      </c>
    </row>
    <row r="16" spans="1:4" x14ac:dyDescent="0.2">
      <c r="A16" s="2">
        <v>2033</v>
      </c>
      <c r="B16">
        <f t="shared" si="0"/>
        <v>3.486365652E+16</v>
      </c>
      <c r="C16" s="6">
        <f>B16*About!$B$8</f>
        <v>2466255062224.8003</v>
      </c>
      <c r="D16" s="6">
        <f>C16*About!$B$9</f>
        <v>2367604859735.8081</v>
      </c>
    </row>
    <row r="17" spans="1:4" x14ac:dyDescent="0.2">
      <c r="A17" s="2">
        <v>2034</v>
      </c>
      <c r="B17">
        <f t="shared" si="0"/>
        <v>3.6290074089999872E+16</v>
      </c>
      <c r="C17" s="6">
        <f>B17*About!$B$8</f>
        <v>2567159841126.5913</v>
      </c>
      <c r="D17" s="6">
        <f>C17*About!$B$9</f>
        <v>2464473447481.5273</v>
      </c>
    </row>
    <row r="18" spans="1:4" x14ac:dyDescent="0.2">
      <c r="A18" s="2">
        <v>2035</v>
      </c>
      <c r="B18">
        <f t="shared" si="0"/>
        <v>3.7716491660000256E+16</v>
      </c>
      <c r="C18" s="6">
        <f>B18*About!$B$8</f>
        <v>2668064620028.4185</v>
      </c>
      <c r="D18" s="6">
        <f>C18*About!$B$9</f>
        <v>2561342035227.2817</v>
      </c>
    </row>
    <row r="19" spans="1:4" x14ac:dyDescent="0.2">
      <c r="A19" s="2">
        <v>2036</v>
      </c>
      <c r="B19">
        <f t="shared" si="0"/>
        <v>3.9142909230000128E+16</v>
      </c>
      <c r="C19" s="6">
        <f>B19*About!$B$8</f>
        <v>2768969398930.209</v>
      </c>
      <c r="D19" s="6">
        <f>C19*About!$B$9</f>
        <v>2658210622973.0005</v>
      </c>
    </row>
    <row r="20" spans="1:4" x14ac:dyDescent="0.2">
      <c r="A20" s="2">
        <v>2037</v>
      </c>
      <c r="B20">
        <f t="shared" si="0"/>
        <v>4.05693268E+16</v>
      </c>
      <c r="C20" s="6">
        <f>B20*About!$B$8</f>
        <v>2869874177832</v>
      </c>
      <c r="D20" s="6">
        <f>C20*About!$B$9</f>
        <v>2755079210718.7197</v>
      </c>
    </row>
    <row r="21" spans="1:4" x14ac:dyDescent="0.2">
      <c r="A21" s="2">
        <v>2038</v>
      </c>
      <c r="B21">
        <f t="shared" si="0"/>
        <v>4.1995744370000384E+16</v>
      </c>
      <c r="C21" s="6">
        <f>B21*About!$B$8</f>
        <v>2970778956733.8271</v>
      </c>
      <c r="D21" s="6">
        <f>C21*About!$B$9</f>
        <v>2851947798464.4741</v>
      </c>
    </row>
    <row r="22" spans="1:4" x14ac:dyDescent="0.2">
      <c r="A22" s="2">
        <v>2039</v>
      </c>
      <c r="B22">
        <f t="shared" si="0"/>
        <v>4.3422161940000256E+16</v>
      </c>
      <c r="C22" s="6">
        <f>B22*About!$B$8</f>
        <v>3071683735635.6182</v>
      </c>
      <c r="D22" s="6">
        <f>C22*About!$B$9</f>
        <v>2948816386210.1934</v>
      </c>
    </row>
    <row r="23" spans="1:4" x14ac:dyDescent="0.2">
      <c r="A23" s="2">
        <v>2040</v>
      </c>
      <c r="B23">
        <f t="shared" si="0"/>
        <v>4.4848579510000128E+16</v>
      </c>
      <c r="C23" s="6">
        <f>B23*About!$B$8</f>
        <v>3172588514537.4092</v>
      </c>
      <c r="D23" s="6">
        <f>C23*About!$B$9</f>
        <v>3045684973955.9126</v>
      </c>
    </row>
    <row r="24" spans="1:4" x14ac:dyDescent="0.2">
      <c r="A24" s="2">
        <v>2041</v>
      </c>
      <c r="B24">
        <f t="shared" si="0"/>
        <v>4.627499708E+16</v>
      </c>
      <c r="C24" s="6">
        <f>B24*About!$B$8</f>
        <v>3273493293439.2002</v>
      </c>
      <c r="D24" s="6">
        <f>C24*About!$B$9</f>
        <v>3142553561701.6318</v>
      </c>
    </row>
    <row r="25" spans="1:4" x14ac:dyDescent="0.2">
      <c r="A25" s="2">
        <v>2042</v>
      </c>
      <c r="B25">
        <f t="shared" si="0"/>
        <v>4.7701414649999872E+16</v>
      </c>
      <c r="C25" s="6">
        <f>B25*About!$B$8</f>
        <v>3374398072340.9912</v>
      </c>
      <c r="D25" s="6">
        <f>C25*About!$B$9</f>
        <v>3239422149447.3516</v>
      </c>
    </row>
    <row r="26" spans="1:4" x14ac:dyDescent="0.2">
      <c r="A26" s="2">
        <v>2043</v>
      </c>
      <c r="B26">
        <f t="shared" si="0"/>
        <v>4.9127832220000256E+16</v>
      </c>
      <c r="C26" s="6">
        <f>B26*About!$B$8</f>
        <v>3475302851242.8184</v>
      </c>
      <c r="D26" s="6">
        <f>C26*About!$B$9</f>
        <v>3336290737193.1055</v>
      </c>
    </row>
    <row r="27" spans="1:4" x14ac:dyDescent="0.2">
      <c r="A27" s="2">
        <v>2044</v>
      </c>
      <c r="B27">
        <f t="shared" si="0"/>
        <v>5.0554249790000128E+16</v>
      </c>
      <c r="C27" s="6">
        <f>B27*About!$B$8</f>
        <v>3576207630144.6094</v>
      </c>
      <c r="D27" s="6">
        <f>C27*About!$B$9</f>
        <v>3433159324938.8247</v>
      </c>
    </row>
    <row r="28" spans="1:4" x14ac:dyDescent="0.2">
      <c r="A28" s="2">
        <v>2045</v>
      </c>
      <c r="B28">
        <f t="shared" si="0"/>
        <v>5.198066736E+16</v>
      </c>
      <c r="C28" s="6">
        <f>B28*About!$B$8</f>
        <v>3677112409046.4004</v>
      </c>
      <c r="D28" s="6">
        <f>C28*About!$B$9</f>
        <v>3530027912684.5444</v>
      </c>
    </row>
    <row r="29" spans="1:4" x14ac:dyDescent="0.2">
      <c r="A29" s="2">
        <v>2046</v>
      </c>
      <c r="B29">
        <f t="shared" si="0"/>
        <v>5.3407084930000384E+16</v>
      </c>
      <c r="C29" s="6">
        <f>B29*About!$B$8</f>
        <v>3778017187948.2275</v>
      </c>
      <c r="D29" s="6">
        <f>C29*About!$B$9</f>
        <v>3626896500430.2983</v>
      </c>
    </row>
    <row r="30" spans="1:4" x14ac:dyDescent="0.2">
      <c r="A30" s="2">
        <v>2047</v>
      </c>
      <c r="B30">
        <f t="shared" si="0"/>
        <v>5.4833502500000256E+16</v>
      </c>
      <c r="C30" s="6">
        <f>B30*About!$B$8</f>
        <v>3878921966850.0186</v>
      </c>
      <c r="D30" s="6">
        <f>C30*About!$B$9</f>
        <v>3723765088176.0176</v>
      </c>
    </row>
    <row r="31" spans="1:4" x14ac:dyDescent="0.2">
      <c r="A31" s="2">
        <v>2048</v>
      </c>
      <c r="B31">
        <f t="shared" si="0"/>
        <v>5.6259920070000128E+16</v>
      </c>
      <c r="C31" s="6">
        <f>B31*About!$B$8</f>
        <v>3979826745751.8091</v>
      </c>
      <c r="D31" s="6">
        <f>C31*About!$B$9</f>
        <v>3820633675921.7368</v>
      </c>
    </row>
    <row r="32" spans="1:4" x14ac:dyDescent="0.2">
      <c r="A32" s="2">
        <v>2049</v>
      </c>
      <c r="B32">
        <f t="shared" si="0"/>
        <v>5.768633764E+16</v>
      </c>
      <c r="C32" s="6">
        <f>B32*About!$B$8</f>
        <v>4080731524653.6001</v>
      </c>
      <c r="D32" s="6">
        <f>C32*About!$B$9</f>
        <v>3917502263667.4561</v>
      </c>
    </row>
    <row r="33" spans="1:4" x14ac:dyDescent="0.2">
      <c r="A33" s="2">
        <v>2050</v>
      </c>
      <c r="B33">
        <f t="shared" si="0"/>
        <v>5.9112755209999872E+16</v>
      </c>
      <c r="C33" s="6">
        <f>B33*About!$B$8</f>
        <v>4181636303555.3911</v>
      </c>
      <c r="D33" s="6">
        <f>C33*About!$B$9</f>
        <v>4014370851413.1753</v>
      </c>
    </row>
    <row r="34" spans="1:4" x14ac:dyDescent="0.2">
      <c r="A34" s="2">
        <v>2051</v>
      </c>
      <c r="B34">
        <f t="shared" si="0"/>
        <v>6.0539172780000256E+16</v>
      </c>
      <c r="C34" s="6">
        <f>B34*About!$B$8</f>
        <v>4282541082457.2183</v>
      </c>
      <c r="D34" s="6">
        <f>C34*About!$B$9</f>
        <v>4111239439158.9292</v>
      </c>
    </row>
    <row r="35" spans="1:4" x14ac:dyDescent="0.2">
      <c r="A35" s="2">
        <v>2052</v>
      </c>
      <c r="B35">
        <f t="shared" si="0"/>
        <v>6.1965590350000128E+16</v>
      </c>
      <c r="C35" s="6">
        <f>B35*About!$B$8</f>
        <v>4383445861359.0093</v>
      </c>
      <c r="D35" s="6">
        <f>C35*About!$B$9</f>
        <v>4208108026904.6489</v>
      </c>
    </row>
    <row r="36" spans="1:4" x14ac:dyDescent="0.2">
      <c r="A36" s="2">
        <v>2053</v>
      </c>
      <c r="B36">
        <f t="shared" si="0"/>
        <v>6.339200792E+16</v>
      </c>
      <c r="C36" s="6">
        <f>B36*About!$B$8</f>
        <v>4484350640260.7998</v>
      </c>
      <c r="D36" s="6">
        <f>C36*About!$B$9</f>
        <v>4304976614650.3677</v>
      </c>
    </row>
    <row r="37" spans="1:4" x14ac:dyDescent="0.2">
      <c r="A37" s="2">
        <v>2054</v>
      </c>
      <c r="B37">
        <f t="shared" si="0"/>
        <v>6.4818425490000384E+16</v>
      </c>
      <c r="C37" s="6">
        <f>B37*About!$B$8</f>
        <v>4585255419162.627</v>
      </c>
      <c r="D37" s="6">
        <f>C37*About!$B$9</f>
        <v>4401845202396.1221</v>
      </c>
    </row>
    <row r="38" spans="1:4" x14ac:dyDescent="0.2">
      <c r="A38" s="2">
        <v>2055</v>
      </c>
      <c r="B38">
        <f t="shared" si="0"/>
        <v>6.6244843060000256E+16</v>
      </c>
      <c r="C38" s="6">
        <f>B38*About!$B$8</f>
        <v>4686160198064.418</v>
      </c>
      <c r="D38" s="6">
        <f>C38*About!$B$9</f>
        <v>4498713790141.8408</v>
      </c>
    </row>
    <row r="39" spans="1:4" x14ac:dyDescent="0.2">
      <c r="A39" s="2">
        <v>2056</v>
      </c>
      <c r="B39">
        <f t="shared" si="0"/>
        <v>6.7671260630000128E+16</v>
      </c>
      <c r="C39" s="6">
        <f>B39*About!$B$8</f>
        <v>4787064976966.209</v>
      </c>
      <c r="D39" s="6">
        <f>C39*About!$B$9</f>
        <v>4595582377887.5605</v>
      </c>
    </row>
    <row r="40" spans="1:4" x14ac:dyDescent="0.2">
      <c r="A40" s="2">
        <v>2057</v>
      </c>
      <c r="B40">
        <f t="shared" si="0"/>
        <v>6.90976782E+16</v>
      </c>
      <c r="C40" s="6">
        <f>B40*About!$B$8</f>
        <v>4887969755868</v>
      </c>
      <c r="D40" s="6">
        <f>C40*About!$B$9</f>
        <v>4692450965633.2803</v>
      </c>
    </row>
    <row r="41" spans="1:4" x14ac:dyDescent="0.2">
      <c r="A41" s="2">
        <v>2058</v>
      </c>
      <c r="B41">
        <f t="shared" si="0"/>
        <v>7.0524095769999872E+16</v>
      </c>
      <c r="C41" s="6">
        <f>B41*About!$B$8</f>
        <v>4988874534769.791</v>
      </c>
      <c r="D41" s="6">
        <f>C41*About!$B$9</f>
        <v>4789319553378.999</v>
      </c>
    </row>
    <row r="42" spans="1:4" x14ac:dyDescent="0.2">
      <c r="A42" s="2">
        <v>2059</v>
      </c>
      <c r="B42">
        <f t="shared" si="0"/>
        <v>7.1950513340000256E+16</v>
      </c>
      <c r="C42" s="6">
        <f>B42*About!$B$8</f>
        <v>5089779313671.6182</v>
      </c>
      <c r="D42" s="6">
        <f>C42*About!$B$9</f>
        <v>4886188141124.7529</v>
      </c>
    </row>
    <row r="43" spans="1:4" x14ac:dyDescent="0.2">
      <c r="A43" s="2">
        <v>2060</v>
      </c>
      <c r="B43">
        <f t="shared" si="0"/>
        <v>7.3376930910000128E+16</v>
      </c>
      <c r="C43" s="6">
        <f>B43*About!$B$8</f>
        <v>5190684092573.4092</v>
      </c>
      <c r="D43" s="6">
        <f>C43*About!$B$9</f>
        <v>4983056728870.4727</v>
      </c>
    </row>
    <row r="44" spans="1:4" x14ac:dyDescent="0.2">
      <c r="A44" s="2">
        <v>2061</v>
      </c>
      <c r="B44">
        <f t="shared" si="0"/>
        <v>7.480334848E+16</v>
      </c>
      <c r="C44" s="6">
        <f>B44*About!$B$8</f>
        <v>5291588871475.2002</v>
      </c>
      <c r="D44" s="6">
        <f>C44*About!$B$9</f>
        <v>5079925316616.1924</v>
      </c>
    </row>
    <row r="45" spans="1:4" x14ac:dyDescent="0.2">
      <c r="A45" s="2">
        <v>2062</v>
      </c>
      <c r="B45">
        <f t="shared" si="0"/>
        <v>7.6229766050000384E+16</v>
      </c>
      <c r="C45" s="6">
        <f>B45*About!$B$8</f>
        <v>5392493650377.0273</v>
      </c>
      <c r="D45" s="6">
        <f>C45*About!$B$9</f>
        <v>5176793904361.9463</v>
      </c>
    </row>
    <row r="46" spans="1:4" x14ac:dyDescent="0.2">
      <c r="A46" s="2">
        <v>2063</v>
      </c>
      <c r="B46">
        <f t="shared" si="0"/>
        <v>7.7656183620000256E+16</v>
      </c>
      <c r="C46" s="6">
        <f>B46*About!$B$8</f>
        <v>5493398429278.8184</v>
      </c>
      <c r="D46" s="6">
        <f>C46*About!$B$9</f>
        <v>5273662492107.665</v>
      </c>
    </row>
    <row r="47" spans="1:4" x14ac:dyDescent="0.2">
      <c r="A47" s="2">
        <v>2064</v>
      </c>
      <c r="B47">
        <f t="shared" si="0"/>
        <v>7.9082601190000128E+16</v>
      </c>
      <c r="C47" s="6">
        <f>B47*About!$B$8</f>
        <v>5594303208180.6094</v>
      </c>
      <c r="D47" s="6">
        <f>C47*About!$B$9</f>
        <v>5370531079853.3848</v>
      </c>
    </row>
    <row r="48" spans="1:4" x14ac:dyDescent="0.2">
      <c r="A48" s="2">
        <v>2065</v>
      </c>
      <c r="B48">
        <f t="shared" si="0"/>
        <v>8.050901876E+16</v>
      </c>
      <c r="C48" s="6">
        <f>B48*About!$B$8</f>
        <v>5695207987082.4004</v>
      </c>
      <c r="D48" s="6">
        <f>C48*About!$B$9</f>
        <v>5467399667599.1045</v>
      </c>
    </row>
    <row r="49" spans="1:4" x14ac:dyDescent="0.2">
      <c r="A49" s="2">
        <v>2066</v>
      </c>
      <c r="B49">
        <f t="shared" si="0"/>
        <v>8.1935436329999872E+16</v>
      </c>
      <c r="C49" s="6">
        <f>B49*About!$B$8</f>
        <v>5796112765984.1914</v>
      </c>
      <c r="D49" s="6">
        <f>C49*About!$B$9</f>
        <v>5564268255344.8232</v>
      </c>
    </row>
    <row r="50" spans="1:4" x14ac:dyDescent="0.2">
      <c r="A50" s="2">
        <v>2067</v>
      </c>
      <c r="B50">
        <f t="shared" si="0"/>
        <v>8.3361853900000256E+16</v>
      </c>
      <c r="C50" s="6">
        <f>B50*About!$B$8</f>
        <v>5897017544886.0186</v>
      </c>
      <c r="D50" s="6">
        <f>C50*About!$B$9</f>
        <v>5661136843090.5771</v>
      </c>
    </row>
    <row r="51" spans="1:4" x14ac:dyDescent="0.2">
      <c r="A51" s="2">
        <v>2068</v>
      </c>
      <c r="B51">
        <f t="shared" si="0"/>
        <v>8.4788271470000128E+16</v>
      </c>
      <c r="C51" s="6">
        <f>B51*About!$B$8</f>
        <v>5997922323787.8096</v>
      </c>
      <c r="D51" s="6">
        <f>C51*About!$B$9</f>
        <v>5758005430836.2969</v>
      </c>
    </row>
    <row r="52" spans="1:4" x14ac:dyDescent="0.2">
      <c r="A52" s="2">
        <v>2069</v>
      </c>
      <c r="B52">
        <f t="shared" si="0"/>
        <v>8.621468904E+16</v>
      </c>
      <c r="C52" s="6">
        <f>B52*About!$B$8</f>
        <v>6098827102689.6006</v>
      </c>
      <c r="D52" s="6">
        <f>C52*About!$B$9</f>
        <v>5854874018582.0166</v>
      </c>
    </row>
    <row r="53" spans="1:4" x14ac:dyDescent="0.2">
      <c r="A53" s="2">
        <v>2070</v>
      </c>
      <c r="B53">
        <f t="shared" si="0"/>
        <v>8.7641106610000384E+16</v>
      </c>
      <c r="C53" s="6">
        <f>B53*About!$B$8</f>
        <v>6199731881591.4277</v>
      </c>
      <c r="D53" s="6">
        <f>C53*About!$B$9</f>
        <v>5951742606327.7705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D53"/>
  <sheetViews>
    <sheetView tabSelected="1" workbookViewId="0">
      <selection activeCell="C2" sqref="C2:D2"/>
    </sheetView>
  </sheetViews>
  <sheetFormatPr baseColWidth="10" defaultColWidth="8.83203125" defaultRowHeight="15" x14ac:dyDescent="0.2"/>
  <cols>
    <col min="1" max="1" width="17.6640625" customWidth="1"/>
    <col min="2" max="2" width="15.1640625" customWidth="1"/>
    <col min="3" max="3" width="14.1640625" customWidth="1"/>
  </cols>
  <sheetData>
    <row r="1" spans="1:4" x14ac:dyDescent="0.2">
      <c r="A1" s="4" t="s">
        <v>3</v>
      </c>
      <c r="B1" s="7" t="s">
        <v>2</v>
      </c>
    </row>
    <row r="2" spans="1:4" x14ac:dyDescent="0.2">
      <c r="A2">
        <v>2019</v>
      </c>
      <c r="B2" s="6">
        <f>'IND GDP'!D2</f>
        <v>1075202083514.88</v>
      </c>
      <c r="C2" s="6"/>
      <c r="D2" s="6"/>
    </row>
    <row r="3" spans="1:4" x14ac:dyDescent="0.2">
      <c r="A3">
        <v>2020</v>
      </c>
      <c r="B3" s="6">
        <f>'IND GDP'!D3</f>
        <v>1048764293153.2799</v>
      </c>
      <c r="C3" s="6"/>
    </row>
    <row r="4" spans="1:4" x14ac:dyDescent="0.2">
      <c r="A4">
        <v>2021</v>
      </c>
      <c r="B4" s="6">
        <f>'IND GDP'!D4</f>
        <v>1152897978274.5601</v>
      </c>
      <c r="C4" s="6"/>
    </row>
    <row r="5" spans="1:4" x14ac:dyDescent="0.2">
      <c r="A5">
        <v>2022</v>
      </c>
      <c r="B5" s="6">
        <f>'IND GDP'!D5</f>
        <v>1330235020344.96</v>
      </c>
      <c r="C5" s="6"/>
    </row>
    <row r="6" spans="1:4" x14ac:dyDescent="0.2">
      <c r="A6">
        <v>2023</v>
      </c>
      <c r="B6" s="6">
        <f>'IND GDP'!D6</f>
        <v>1418809658647.6799</v>
      </c>
      <c r="C6" s="6"/>
    </row>
    <row r="7" spans="1:4" x14ac:dyDescent="0.2">
      <c r="A7">
        <v>2024</v>
      </c>
      <c r="B7" s="6">
        <f>'IND GDP'!D7</f>
        <v>1495787570024.2646</v>
      </c>
      <c r="C7" s="6"/>
    </row>
    <row r="8" spans="1:4" x14ac:dyDescent="0.2">
      <c r="A8">
        <v>2025</v>
      </c>
      <c r="B8" s="6">
        <f>'IND GDP'!D8</f>
        <v>1592656157769.9841</v>
      </c>
      <c r="C8" s="6"/>
    </row>
    <row r="9" spans="1:4" x14ac:dyDescent="0.2">
      <c r="A9">
        <v>2026</v>
      </c>
      <c r="B9" s="6">
        <f>'IND GDP'!D9</f>
        <v>1689524745515.7031</v>
      </c>
      <c r="C9" s="6"/>
    </row>
    <row r="10" spans="1:4" x14ac:dyDescent="0.2">
      <c r="A10">
        <v>2027</v>
      </c>
      <c r="B10" s="6">
        <f>'IND GDP'!D10</f>
        <v>1786393333261.4575</v>
      </c>
      <c r="C10" s="6"/>
    </row>
    <row r="11" spans="1:4" x14ac:dyDescent="0.2">
      <c r="A11">
        <v>2028</v>
      </c>
      <c r="B11" s="6">
        <f>'IND GDP'!D11</f>
        <v>1883261921007.1768</v>
      </c>
      <c r="C11" s="6"/>
    </row>
    <row r="12" spans="1:4" x14ac:dyDescent="0.2">
      <c r="A12">
        <v>2029</v>
      </c>
      <c r="B12" s="6">
        <f>'IND GDP'!D12</f>
        <v>1980130508752.896</v>
      </c>
      <c r="C12" s="6"/>
    </row>
    <row r="13" spans="1:4" x14ac:dyDescent="0.2">
      <c r="A13">
        <v>2030</v>
      </c>
      <c r="B13" s="6">
        <f>'IND GDP'!D13</f>
        <v>2076999096498.6501</v>
      </c>
      <c r="C13" s="6"/>
    </row>
    <row r="14" spans="1:4" x14ac:dyDescent="0.2">
      <c r="A14">
        <v>2031</v>
      </c>
      <c r="B14" s="6">
        <f>'IND GDP'!D14</f>
        <v>2173867684244.3694</v>
      </c>
      <c r="C14" s="6"/>
    </row>
    <row r="15" spans="1:4" x14ac:dyDescent="0.2">
      <c r="A15">
        <v>2032</v>
      </c>
      <c r="B15" s="6">
        <f>'IND GDP'!D15</f>
        <v>2270736271990.0889</v>
      </c>
      <c r="C15" s="6"/>
    </row>
    <row r="16" spans="1:4" x14ac:dyDescent="0.2">
      <c r="A16">
        <v>2033</v>
      </c>
      <c r="B16" s="6">
        <f>'IND GDP'!D16</f>
        <v>2367604859735.8081</v>
      </c>
      <c r="C16" s="6"/>
    </row>
    <row r="17" spans="1:3" x14ac:dyDescent="0.2">
      <c r="A17">
        <v>2034</v>
      </c>
      <c r="B17" s="6">
        <f>'IND GDP'!D17</f>
        <v>2464473447481.5273</v>
      </c>
      <c r="C17" s="6"/>
    </row>
    <row r="18" spans="1:3" x14ac:dyDescent="0.2">
      <c r="A18">
        <v>2035</v>
      </c>
      <c r="B18" s="6">
        <f>'IND GDP'!D18</f>
        <v>2561342035227.2817</v>
      </c>
      <c r="C18" s="6"/>
    </row>
    <row r="19" spans="1:3" x14ac:dyDescent="0.2">
      <c r="A19">
        <v>2036</v>
      </c>
      <c r="B19" s="6">
        <f>'IND GDP'!D19</f>
        <v>2658210622973.0005</v>
      </c>
      <c r="C19" s="6"/>
    </row>
    <row r="20" spans="1:3" x14ac:dyDescent="0.2">
      <c r="A20">
        <v>2037</v>
      </c>
      <c r="B20" s="6">
        <f>'IND GDP'!D20</f>
        <v>2755079210718.7197</v>
      </c>
      <c r="C20" s="6"/>
    </row>
    <row r="21" spans="1:3" x14ac:dyDescent="0.2">
      <c r="A21">
        <v>2038</v>
      </c>
      <c r="B21" s="6">
        <f>'IND GDP'!D21</f>
        <v>2851947798464.4741</v>
      </c>
      <c r="C21" s="6"/>
    </row>
    <row r="22" spans="1:3" x14ac:dyDescent="0.2">
      <c r="A22">
        <v>2039</v>
      </c>
      <c r="B22" s="6">
        <f>'IND GDP'!D22</f>
        <v>2948816386210.1934</v>
      </c>
      <c r="C22" s="6"/>
    </row>
    <row r="23" spans="1:3" x14ac:dyDescent="0.2">
      <c r="A23">
        <v>2040</v>
      </c>
      <c r="B23" s="6">
        <f>'IND GDP'!D23</f>
        <v>3045684973955.9126</v>
      </c>
      <c r="C23" s="6"/>
    </row>
    <row r="24" spans="1:3" x14ac:dyDescent="0.2">
      <c r="A24">
        <v>2041</v>
      </c>
      <c r="B24" s="6">
        <f>'IND GDP'!D24</f>
        <v>3142553561701.6318</v>
      </c>
      <c r="C24" s="6"/>
    </row>
    <row r="25" spans="1:3" x14ac:dyDescent="0.2">
      <c r="A25">
        <v>2042</v>
      </c>
      <c r="B25" s="6">
        <f>'IND GDP'!D25</f>
        <v>3239422149447.3516</v>
      </c>
      <c r="C25" s="6"/>
    </row>
    <row r="26" spans="1:3" x14ac:dyDescent="0.2">
      <c r="A26">
        <v>2043</v>
      </c>
      <c r="B26" s="6">
        <f>'IND GDP'!D26</f>
        <v>3336290737193.1055</v>
      </c>
      <c r="C26" s="6"/>
    </row>
    <row r="27" spans="1:3" x14ac:dyDescent="0.2">
      <c r="A27">
        <v>2044</v>
      </c>
      <c r="B27" s="6">
        <f>'IND GDP'!D27</f>
        <v>3433159324938.8247</v>
      </c>
      <c r="C27" s="6"/>
    </row>
    <row r="28" spans="1:3" x14ac:dyDescent="0.2">
      <c r="A28">
        <v>2045</v>
      </c>
      <c r="B28" s="6">
        <f>'IND GDP'!D28</f>
        <v>3530027912684.5444</v>
      </c>
      <c r="C28" s="6"/>
    </row>
    <row r="29" spans="1:3" x14ac:dyDescent="0.2">
      <c r="A29">
        <v>2046</v>
      </c>
      <c r="B29" s="6">
        <f>'IND GDP'!D29</f>
        <v>3626896500430.2983</v>
      </c>
      <c r="C29" s="6"/>
    </row>
    <row r="30" spans="1:3" x14ac:dyDescent="0.2">
      <c r="A30">
        <v>2047</v>
      </c>
      <c r="B30" s="6">
        <f>'IND GDP'!D30</f>
        <v>3723765088176.0176</v>
      </c>
      <c r="C30" s="6"/>
    </row>
    <row r="31" spans="1:3" x14ac:dyDescent="0.2">
      <c r="A31">
        <v>2048</v>
      </c>
      <c r="B31" s="6">
        <f>'IND GDP'!D31</f>
        <v>3820633675921.7368</v>
      </c>
      <c r="C31" s="6"/>
    </row>
    <row r="32" spans="1:3" x14ac:dyDescent="0.2">
      <c r="A32">
        <v>2049</v>
      </c>
      <c r="B32" s="6">
        <f>'IND GDP'!D32</f>
        <v>3917502263667.4561</v>
      </c>
      <c r="C32" s="6"/>
    </row>
    <row r="33" spans="1:4" x14ac:dyDescent="0.2">
      <c r="A33">
        <v>2050</v>
      </c>
      <c r="B33" s="6">
        <f>'IND GDP'!D33</f>
        <v>4014370851413.1753</v>
      </c>
      <c r="C33" s="6"/>
    </row>
    <row r="34" spans="1:4" x14ac:dyDescent="0.2">
      <c r="A34" s="7">
        <v>2051</v>
      </c>
      <c r="B34" s="6">
        <f>'IND GDP'!D34</f>
        <v>4111239439158.9292</v>
      </c>
      <c r="C34" s="6"/>
    </row>
    <row r="35" spans="1:4" x14ac:dyDescent="0.2">
      <c r="A35" s="7">
        <v>2052</v>
      </c>
      <c r="B35" s="6">
        <f>'IND GDP'!D35</f>
        <v>4208108026904.6489</v>
      </c>
      <c r="C35" s="6"/>
    </row>
    <row r="36" spans="1:4" x14ac:dyDescent="0.2">
      <c r="A36" s="7">
        <v>2053</v>
      </c>
      <c r="B36" s="6">
        <f>'IND GDP'!D36</f>
        <v>4304976614650.3677</v>
      </c>
      <c r="C36" s="6"/>
    </row>
    <row r="37" spans="1:4" x14ac:dyDescent="0.2">
      <c r="A37" s="7">
        <v>2054</v>
      </c>
      <c r="B37" s="6">
        <f>'IND GDP'!D37</f>
        <v>4401845202396.1221</v>
      </c>
      <c r="C37" s="6"/>
    </row>
    <row r="38" spans="1:4" x14ac:dyDescent="0.2">
      <c r="A38" s="7">
        <v>2055</v>
      </c>
      <c r="B38" s="6">
        <f>'IND GDP'!D38</f>
        <v>4498713790141.8408</v>
      </c>
      <c r="C38" s="6"/>
    </row>
    <row r="39" spans="1:4" x14ac:dyDescent="0.2">
      <c r="A39" s="7">
        <v>2056</v>
      </c>
      <c r="B39" s="6">
        <f>'IND GDP'!D39</f>
        <v>4595582377887.5605</v>
      </c>
      <c r="C39" s="6"/>
    </row>
    <row r="40" spans="1:4" x14ac:dyDescent="0.2">
      <c r="A40" s="7">
        <v>2057</v>
      </c>
      <c r="B40" s="6">
        <f>'IND GDP'!D40</f>
        <v>4692450965633.2803</v>
      </c>
      <c r="C40" s="6"/>
    </row>
    <row r="41" spans="1:4" x14ac:dyDescent="0.2">
      <c r="A41" s="7">
        <v>2058</v>
      </c>
      <c r="B41" s="6">
        <f>'IND GDP'!D41</f>
        <v>4789319553378.999</v>
      </c>
      <c r="C41" s="6"/>
    </row>
    <row r="42" spans="1:4" x14ac:dyDescent="0.2">
      <c r="A42" s="7">
        <v>2059</v>
      </c>
      <c r="B42" s="6">
        <f>'IND GDP'!D42</f>
        <v>4886188141124.7529</v>
      </c>
      <c r="C42" s="6"/>
    </row>
    <row r="43" spans="1:4" x14ac:dyDescent="0.2">
      <c r="A43" s="7">
        <v>2060</v>
      </c>
      <c r="B43" s="6">
        <f>'IND GDP'!D43</f>
        <v>4983056728870.4727</v>
      </c>
      <c r="C43" s="6"/>
      <c r="D43" s="8"/>
    </row>
    <row r="44" spans="1:4" x14ac:dyDescent="0.2">
      <c r="A44" s="7">
        <v>2061</v>
      </c>
      <c r="B44" s="6">
        <f>'IND GDP'!D44</f>
        <v>5079925316616.1924</v>
      </c>
    </row>
    <row r="45" spans="1:4" x14ac:dyDescent="0.2">
      <c r="A45" s="7">
        <v>2062</v>
      </c>
      <c r="B45" s="6">
        <f>'IND GDP'!D45</f>
        <v>5176793904361.9463</v>
      </c>
    </row>
    <row r="46" spans="1:4" x14ac:dyDescent="0.2">
      <c r="A46" s="7">
        <v>2063</v>
      </c>
      <c r="B46" s="6">
        <f>'IND GDP'!D46</f>
        <v>5273662492107.665</v>
      </c>
    </row>
    <row r="47" spans="1:4" x14ac:dyDescent="0.2">
      <c r="A47" s="7">
        <v>2064</v>
      </c>
      <c r="B47" s="6">
        <f>'IND GDP'!D47</f>
        <v>5370531079853.3848</v>
      </c>
    </row>
    <row r="48" spans="1:4" x14ac:dyDescent="0.2">
      <c r="A48" s="7">
        <v>2065</v>
      </c>
      <c r="B48" s="6">
        <f>'IND GDP'!D48</f>
        <v>5467399667599.1045</v>
      </c>
    </row>
    <row r="49" spans="1:2" x14ac:dyDescent="0.2">
      <c r="A49" s="7">
        <v>2066</v>
      </c>
      <c r="B49" s="6">
        <f>'IND GDP'!D49</f>
        <v>5564268255344.8232</v>
      </c>
    </row>
    <row r="50" spans="1:2" x14ac:dyDescent="0.2">
      <c r="A50" s="7">
        <v>2067</v>
      </c>
      <c r="B50" s="6">
        <f>'IND GDP'!D50</f>
        <v>5661136843090.5771</v>
      </c>
    </row>
    <row r="51" spans="1:2" x14ac:dyDescent="0.2">
      <c r="A51" s="7">
        <v>2068</v>
      </c>
      <c r="B51" s="6">
        <f>'IND GDP'!D51</f>
        <v>5758005430836.2969</v>
      </c>
    </row>
    <row r="52" spans="1:2" x14ac:dyDescent="0.2">
      <c r="A52" s="7">
        <v>2069</v>
      </c>
      <c r="B52" s="6">
        <f>'IND GDP'!D52</f>
        <v>5854874018582.0166</v>
      </c>
    </row>
    <row r="53" spans="1:2" x14ac:dyDescent="0.2">
      <c r="A53" s="7">
        <v>2070</v>
      </c>
      <c r="B53" s="6">
        <f>'IND GDP'!D53</f>
        <v>5951742606327.7705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IND GDP</vt:lpstr>
      <vt:lpstr>BGDP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2019-12-02T22:49:06Z</dcterms:created>
  <dcterms:modified xsi:type="dcterms:W3CDTF">2025-03-28T15:25:23Z</dcterms:modified>
</cp:coreProperties>
</file>