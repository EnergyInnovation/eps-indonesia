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elec/EIaE/"/>
    </mc:Choice>
  </mc:AlternateContent>
  <xr:revisionPtr revIDLastSave="0" documentId="13_ncr:1_{7E879A49-B858-9E45-A5D8-B3DC96B6CEFE}" xr6:coauthVersionLast="47" xr6:coauthVersionMax="47" xr10:uidLastSave="{00000000-0000-0000-0000-000000000000}"/>
  <bookViews>
    <workbookView xWindow="0" yWindow="760" windowWidth="34200" windowHeight="21380" firstSheet="1" activeTab="6" xr2:uid="{00000000-000D-0000-FFFF-FFFF00000000}"/>
  </bookViews>
  <sheets>
    <sheet name="About" sheetId="1" r:id="rId1"/>
    <sheet name="Electricity import" sheetId="2" r:id="rId2"/>
    <sheet name="Electricity price" sheetId="3" r:id="rId3"/>
    <sheet name="EIaE-BIE" sheetId="4" r:id="rId4"/>
    <sheet name="EIaE-BEE" sheetId="5" r:id="rId5"/>
    <sheet name="EIaE-IEP" sheetId="6" r:id="rId6"/>
    <sheet name="EIaE-BEE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NZWiallNyjRXW2aC4VEJDA3JZwA=="/>
    </ext>
  </extLst>
</workbook>
</file>

<file path=xl/calcChain.xml><?xml version="1.0" encoding="utf-8"?>
<calcChain xmlns="http://schemas.openxmlformats.org/spreadsheetml/2006/main">
  <c r="C5" i="4" l="1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B5" i="4"/>
  <c r="AS25" i="2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F25" i="2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AR25" i="2" s="1"/>
  <c r="D26" i="2"/>
  <c r="C26" i="2"/>
  <c r="B26" i="2"/>
  <c r="D25" i="2"/>
  <c r="E25" i="2" s="1"/>
  <c r="C25" i="2"/>
  <c r="E32" i="3"/>
  <c r="F32" i="3" s="1"/>
  <c r="G32" i="3" s="1"/>
  <c r="E31" i="3"/>
  <c r="F31" i="3" s="1"/>
  <c r="G31" i="3" s="1"/>
  <c r="E30" i="3"/>
  <c r="F30" i="3" s="1"/>
  <c r="G30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F26" i="2"/>
  <c r="N26" i="2"/>
  <c r="V26" i="2"/>
  <c r="AD26" i="2"/>
  <c r="AL26" i="2"/>
  <c r="AT26" i="2"/>
  <c r="BB26" i="2"/>
  <c r="I26" i="2"/>
  <c r="AG26" i="2"/>
  <c r="J26" i="2"/>
  <c r="AP26" i="2"/>
  <c r="AA26" i="2"/>
  <c r="L26" i="2"/>
  <c r="AJ26" i="2"/>
  <c r="AC26" i="2"/>
  <c r="BA26" i="2"/>
  <c r="G26" i="2"/>
  <c r="O26" i="2"/>
  <c r="W26" i="2"/>
  <c r="AE26" i="2"/>
  <c r="AM26" i="2"/>
  <c r="AU26" i="2"/>
  <c r="BC26" i="2"/>
  <c r="Y26" i="2"/>
  <c r="AO26" i="2"/>
  <c r="R26" i="2"/>
  <c r="AH26" i="2"/>
  <c r="S26" i="2"/>
  <c r="AY26" i="2"/>
  <c r="AB26" i="2"/>
  <c r="AZ26" i="2"/>
  <c r="U26" i="2"/>
  <c r="AK26" i="2"/>
  <c r="H26" i="2"/>
  <c r="P26" i="2"/>
  <c r="X26" i="2"/>
  <c r="AF26" i="2"/>
  <c r="AN26" i="2"/>
  <c r="AV26" i="2"/>
  <c r="Q26" i="2"/>
  <c r="AW26" i="2"/>
  <c r="Z26" i="2"/>
  <c r="AX26" i="2"/>
  <c r="K26" i="2"/>
  <c r="AQ26" i="2"/>
  <c r="T26" i="2"/>
  <c r="AR26" i="2"/>
  <c r="M26" i="2"/>
  <c r="AS26" i="2"/>
  <c r="AI26" i="2"/>
  <c r="E26" i="2"/>
  <c r="B2" i="6" l="1"/>
  <c r="B2" i="7"/>
  <c r="C2" i="7"/>
  <c r="C2" i="6"/>
  <c r="AG2" i="7"/>
  <c r="Y2" i="7"/>
  <c r="Q2" i="7"/>
  <c r="I2" i="7"/>
  <c r="AG2" i="6"/>
  <c r="Y2" i="6"/>
  <c r="Q2" i="6"/>
  <c r="I2" i="6"/>
  <c r="AF2" i="7"/>
  <c r="X2" i="7"/>
  <c r="P2" i="7"/>
  <c r="H2" i="7"/>
  <c r="AF2" i="6"/>
  <c r="X2" i="6"/>
  <c r="P2" i="6"/>
  <c r="H2" i="6"/>
  <c r="V2" i="7"/>
  <c r="N2" i="7"/>
  <c r="F2" i="7"/>
  <c r="AD2" i="6"/>
  <c r="V2" i="6"/>
  <c r="N2" i="6"/>
  <c r="F2" i="6"/>
  <c r="AE2" i="7"/>
  <c r="W2" i="7"/>
  <c r="O2" i="7"/>
  <c r="G2" i="7"/>
  <c r="AE2" i="6"/>
  <c r="W2" i="6"/>
  <c r="O2" i="6"/>
  <c r="G2" i="6"/>
  <c r="AD2" i="7"/>
  <c r="AC2" i="7"/>
  <c r="U2" i="7"/>
  <c r="M2" i="7"/>
  <c r="E2" i="7"/>
  <c r="AC2" i="6"/>
  <c r="U2" i="6"/>
  <c r="M2" i="6"/>
  <c r="E2" i="6"/>
  <c r="R2" i="7"/>
  <c r="R2" i="6"/>
  <c r="AB2" i="7"/>
  <c r="T2" i="7"/>
  <c r="L2" i="7"/>
  <c r="D2" i="7"/>
  <c r="AB2" i="6"/>
  <c r="T2" i="6"/>
  <c r="L2" i="6"/>
  <c r="D2" i="6"/>
  <c r="AA2" i="7"/>
  <c r="S2" i="7"/>
  <c r="K2" i="7"/>
  <c r="AA2" i="6"/>
  <c r="S2" i="6"/>
  <c r="K2" i="6"/>
  <c r="Z2" i="7"/>
  <c r="J2" i="7"/>
  <c r="Z2" i="6"/>
  <c r="J2" i="6"/>
</calcChain>
</file>

<file path=xl/sharedStrings.xml><?xml version="1.0" encoding="utf-8"?>
<sst xmlns="http://schemas.openxmlformats.org/spreadsheetml/2006/main" count="62" uniqueCount="56">
  <si>
    <t>EIaE BAU Imported Electricity</t>
  </si>
  <si>
    <t>EIaE BAU Exported Electricity</t>
  </si>
  <si>
    <t>Source:</t>
  </si>
  <si>
    <t>Ministry of Energy and Mineral Resources</t>
  </si>
  <si>
    <t>Handbook of Energy and Economic Statistics of Indonesia</t>
  </si>
  <si>
    <t>Table 6.4.3</t>
  </si>
  <si>
    <t>https://www.esdm.go.id/en/publication/handbook-of-energy-economic-statistics-of-indonesia-heesi</t>
  </si>
  <si>
    <t>Updates in Feb 2023 (Soyoung Oh)</t>
  </si>
  <si>
    <r>
      <t xml:space="preserve">Indonesia doesn't export electricity - only imported, according to IEA (2009-2020) data </t>
    </r>
    <r>
      <rPr>
        <u/>
        <sz val="11"/>
        <color rgb="FF1155CC"/>
        <rFont val="Calibri"/>
        <family val="2"/>
      </rPr>
      <t>https://www.iea.org/countries/indonesia#data-browser</t>
    </r>
  </si>
  <si>
    <t>Handbook of Energy and Economic Statistics of Indonesia 2021</t>
  </si>
  <si>
    <t>https://www.esdm.go.id/assets/media/content/content-handbook-of-energy-and-economic-statistics-of-indonesia-2021.pdf</t>
  </si>
  <si>
    <t>Table 6.4.3 for electricity import</t>
  </si>
  <si>
    <t>Table 4.4 for electricity prices - averaged household/commercial/industry prices. used for both IEP and BEEP</t>
  </si>
  <si>
    <t>Import of Electricity used year 2021 as baseline. Assumption the elcetricity import from 2021-2050 are the same (as the old EPS Indonesia data Reference)</t>
  </si>
  <si>
    <t>Ekectricity prices used year 2021 as baseline. Assumption the elcetricity prices from 2021-2050 are the same (as the old EPS Indonesia data Reference)</t>
  </si>
  <si>
    <t>Consersion factors</t>
  </si>
  <si>
    <t>BOE -&gt; MWh</t>
  </si>
  <si>
    <t>2012 USD/2021 USD</t>
  </si>
  <si>
    <t>Import of Electricity</t>
  </si>
  <si>
    <t>Year</t>
  </si>
  <si>
    <t>Hydro PP (GWh)</t>
  </si>
  <si>
    <t>2020 Malaysia 1,553.00</t>
  </si>
  <si>
    <t>2021 Malaysia 972.73</t>
  </si>
  <si>
    <t>Note:</t>
  </si>
  <si>
    <t>Indonesia never exported their electricity</t>
  </si>
  <si>
    <t>Indonesia only import electricity from Hydro Power Plant</t>
  </si>
  <si>
    <t>US$(2021)/BOE</t>
  </si>
  <si>
    <t>US$(2012)/BOE</t>
  </si>
  <si>
    <t>US$(2012)/MWh</t>
  </si>
  <si>
    <t>Household</t>
  </si>
  <si>
    <t>Industry</t>
  </si>
  <si>
    <t>Commercial</t>
  </si>
  <si>
    <t>average</t>
  </si>
  <si>
    <t>Electricity Imports (MWh)</t>
  </si>
  <si>
    <t>hard coal</t>
  </si>
  <si>
    <t>natural gas nonpeaker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</si>
  <si>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</si>
  <si>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</si>
  <si>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</si>
  <si>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</si>
  <si>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</si>
  <si>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</si>
  <si>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</si>
  <si>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</si>
  <si>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</si>
  <si>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</si>
  <si>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</si>
  <si>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</si>
  <si>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</si>
  <si>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</si>
  <si>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Exported Electricity (MW*hour)</t>
  </si>
  <si>
    <t>Electricity Exports (MWh)</t>
  </si>
  <si>
    <t>Unit: 2012 USD/MWh</t>
  </si>
  <si>
    <t>Imported Electricity Price</t>
  </si>
  <si>
    <t>Exported Electricity Price</t>
  </si>
  <si>
    <t>Imported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</si>
</sst>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11"/>
      <color rgb="FF0563C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Sans-serif"/>
    </font>
    <font>
      <u/>
      <sz val="11"/>
      <color rgb="FF1155CC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8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28575</xdr:rowOff>
    </xdr:from>
    <xdr:ext cx="9648825" cy="47815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sdm.go.id/assets/media/content/content-handbook-of-energy-and-economic-statistics-of-indonesia-2021.pdf" TargetMode="External"/><Relationship Id="rId1" Type="http://schemas.openxmlformats.org/officeDocument/2006/relationships/hyperlink" Target="https://www.iea.org/countries/indonesi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"/>
  <sheetViews>
    <sheetView workbookViewId="0"/>
  </sheetViews>
  <sheetFormatPr baseColWidth="10" defaultColWidth="14.5" defaultRowHeight="15" customHeight="1"/>
  <cols>
    <col min="1" max="26" width="8.6640625" customWidth="1"/>
  </cols>
  <sheetData>
    <row r="1" spans="1:2" ht="14.25" customHeight="1">
      <c r="A1" s="1" t="s">
        <v>0</v>
      </c>
      <c r="B1" s="2"/>
    </row>
    <row r="2" spans="1:2" ht="14.25" customHeight="1">
      <c r="A2" s="1" t="s">
        <v>1</v>
      </c>
      <c r="B2" s="2"/>
    </row>
    <row r="3" spans="1:2" ht="14.25" customHeight="1">
      <c r="A3" s="2"/>
      <c r="B3" s="2"/>
    </row>
    <row r="4" spans="1:2" ht="14.25" customHeight="1">
      <c r="A4" s="3" t="s">
        <v>2</v>
      </c>
      <c r="B4" s="4" t="s">
        <v>3</v>
      </c>
    </row>
    <row r="5" spans="1:2" ht="14.25" customHeight="1">
      <c r="A5" s="2"/>
      <c r="B5" s="2">
        <v>2019</v>
      </c>
    </row>
    <row r="6" spans="1:2" ht="14.25" customHeight="1">
      <c r="A6" s="2"/>
      <c r="B6" s="4" t="s">
        <v>4</v>
      </c>
    </row>
    <row r="7" spans="1:2" ht="14.25" customHeight="1">
      <c r="A7" s="2"/>
      <c r="B7" s="4" t="s">
        <v>5</v>
      </c>
    </row>
    <row r="8" spans="1:2" ht="14.25" customHeight="1">
      <c r="B8" s="5" t="s">
        <v>6</v>
      </c>
    </row>
    <row r="9" spans="1:2" ht="14.25" customHeight="1"/>
    <row r="10" spans="1:2" ht="14.25" customHeight="1">
      <c r="B10" s="5" t="s">
        <v>7</v>
      </c>
    </row>
    <row r="11" spans="1:2" ht="14.25" customHeight="1">
      <c r="B11" s="6" t="s">
        <v>8</v>
      </c>
    </row>
    <row r="12" spans="1:2" ht="14.25" customHeight="1">
      <c r="B12" s="5" t="s">
        <v>9</v>
      </c>
    </row>
    <row r="13" spans="1:2" ht="14.25" customHeight="1">
      <c r="B13" s="7" t="s">
        <v>10</v>
      </c>
    </row>
    <row r="14" spans="1:2" ht="14.25" customHeight="1">
      <c r="B14" s="5" t="s">
        <v>11</v>
      </c>
    </row>
    <row r="15" spans="1:2" ht="14.25" customHeight="1">
      <c r="B15" s="5" t="s">
        <v>12</v>
      </c>
    </row>
    <row r="16" spans="1:2" ht="14.25" customHeight="1">
      <c r="B16" s="5" t="s">
        <v>13</v>
      </c>
    </row>
    <row r="17" spans="2:3" ht="14.25" customHeight="1">
      <c r="B17" s="5" t="s">
        <v>14</v>
      </c>
    </row>
    <row r="18" spans="2:3" ht="14.25" customHeight="1"/>
    <row r="19" spans="2:3" ht="14.25" customHeight="1">
      <c r="B19" s="8" t="s">
        <v>15</v>
      </c>
    </row>
    <row r="20" spans="2:3" ht="14.25" customHeight="1">
      <c r="B20" s="5">
        <v>1.6994100000000001</v>
      </c>
      <c r="C20" s="5" t="s">
        <v>16</v>
      </c>
    </row>
    <row r="21" spans="2:3" ht="14.25" customHeight="1">
      <c r="B21" s="9">
        <v>0.84699999999999998</v>
      </c>
      <c r="C21" s="10" t="s">
        <v>17</v>
      </c>
    </row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hyperlinks>
    <hyperlink ref="B11" r:id="rId1" location="data-browser" xr:uid="{00000000-0004-0000-0000-000000000000}"/>
    <hyperlink ref="B13" r:id="rId2" xr:uid="{00000000-0004-0000-0000-000001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1003"/>
  <sheetViews>
    <sheetView workbookViewId="0">
      <selection activeCell="F26" sqref="F26"/>
    </sheetView>
  </sheetViews>
  <sheetFormatPr baseColWidth="10" defaultColWidth="14.5" defaultRowHeight="15" customHeight="1"/>
  <cols>
    <col min="1" max="1" width="17.33203125" customWidth="1"/>
    <col min="2" max="2" width="14.5" customWidth="1"/>
    <col min="3" max="26" width="8.6640625" customWidth="1"/>
  </cols>
  <sheetData>
    <row r="1" spans="1:6" ht="14.25" customHeight="1">
      <c r="A1" s="5" t="s">
        <v>18</v>
      </c>
    </row>
    <row r="2" spans="1:6" ht="14.25" customHeight="1">
      <c r="A2" s="11" t="s">
        <v>19</v>
      </c>
      <c r="B2" s="11" t="s">
        <v>20</v>
      </c>
    </row>
    <row r="3" spans="1:6" ht="14.25" customHeight="1">
      <c r="A3" s="12">
        <v>2009</v>
      </c>
      <c r="B3" s="11">
        <v>1.26</v>
      </c>
    </row>
    <row r="4" spans="1:6" ht="14.25" customHeight="1">
      <c r="A4" s="12">
        <f t="shared" ref="A4:A13" si="0">A3+1</f>
        <v>2010</v>
      </c>
      <c r="B4" s="11">
        <v>2.2200000000000002</v>
      </c>
    </row>
    <row r="5" spans="1:6" ht="14.25" customHeight="1">
      <c r="A5" s="12">
        <f t="shared" si="0"/>
        <v>2011</v>
      </c>
      <c r="B5" s="11">
        <v>2.54</v>
      </c>
    </row>
    <row r="6" spans="1:6" ht="14.25" customHeight="1">
      <c r="A6" s="12">
        <f t="shared" si="0"/>
        <v>2012</v>
      </c>
      <c r="B6" s="11">
        <v>2.99</v>
      </c>
    </row>
    <row r="7" spans="1:6" ht="14.25" customHeight="1">
      <c r="A7" s="12">
        <f t="shared" si="0"/>
        <v>2013</v>
      </c>
      <c r="B7" s="11">
        <v>3.03</v>
      </c>
    </row>
    <row r="8" spans="1:6" ht="14.25" customHeight="1">
      <c r="A8" s="12">
        <f t="shared" si="0"/>
        <v>2014</v>
      </c>
      <c r="B8" s="11">
        <v>8.99</v>
      </c>
    </row>
    <row r="9" spans="1:6" ht="14.25" customHeight="1">
      <c r="A9" s="12">
        <f t="shared" si="0"/>
        <v>2015</v>
      </c>
      <c r="B9" s="11">
        <v>12.75</v>
      </c>
    </row>
    <row r="10" spans="1:6" ht="14.25" customHeight="1">
      <c r="A10" s="12">
        <f t="shared" si="0"/>
        <v>2016</v>
      </c>
      <c r="B10" s="11">
        <v>692.7</v>
      </c>
      <c r="F10" s="13" t="s">
        <v>21</v>
      </c>
    </row>
    <row r="11" spans="1:6" ht="14.25" customHeight="1">
      <c r="A11" s="12">
        <f t="shared" si="0"/>
        <v>2017</v>
      </c>
      <c r="B11" s="11">
        <v>1119.47</v>
      </c>
      <c r="F11" s="13" t="s">
        <v>22</v>
      </c>
    </row>
    <row r="12" spans="1:6" ht="14.25" customHeight="1">
      <c r="A12" s="12">
        <f t="shared" si="0"/>
        <v>2018</v>
      </c>
      <c r="B12" s="11">
        <v>1495.89</v>
      </c>
    </row>
    <row r="13" spans="1:6" ht="14.25" customHeight="1">
      <c r="A13" s="12">
        <f t="shared" si="0"/>
        <v>2019</v>
      </c>
      <c r="B13" s="11">
        <v>1682.12</v>
      </c>
    </row>
    <row r="14" spans="1:6" ht="14.25" customHeight="1">
      <c r="A14" s="12">
        <v>2020</v>
      </c>
      <c r="B14" s="11">
        <v>1553</v>
      </c>
    </row>
    <row r="15" spans="1:6" ht="14.25" customHeight="1">
      <c r="A15" s="12">
        <v>2021</v>
      </c>
      <c r="B15" s="11">
        <v>972.73</v>
      </c>
    </row>
    <row r="16" spans="1:6" ht="14.25" customHeight="1"/>
    <row r="17" spans="1:55" ht="14.25" customHeight="1"/>
    <row r="18" spans="1:55" ht="14.25" customHeight="1">
      <c r="A18" s="5" t="s">
        <v>23</v>
      </c>
    </row>
    <row r="19" spans="1:55" ht="14.25" customHeight="1">
      <c r="A19" s="5" t="s">
        <v>13</v>
      </c>
    </row>
    <row r="20" spans="1:55" ht="14.25" customHeight="1">
      <c r="A20" s="5" t="s">
        <v>24</v>
      </c>
    </row>
    <row r="21" spans="1:55" ht="14.25" customHeight="1">
      <c r="A21" s="5" t="s">
        <v>25</v>
      </c>
    </row>
    <row r="22" spans="1:55" ht="14.25" customHeight="1"/>
    <row r="23" spans="1:55" ht="14.25" customHeight="1"/>
    <row r="24" spans="1:55" ht="14.25" customHeight="1"/>
    <row r="25" spans="1:55" ht="14.25" customHeight="1">
      <c r="A25" s="5" t="s">
        <v>19</v>
      </c>
      <c r="B25">
        <v>2017</v>
      </c>
      <c r="C25">
        <f>B25+1</f>
        <v>2018</v>
      </c>
      <c r="D25">
        <f t="shared" ref="D25:BF25" si="1">C25+1</f>
        <v>2019</v>
      </c>
      <c r="E25">
        <f t="shared" si="1"/>
        <v>2020</v>
      </c>
      <c r="F25">
        <f t="shared" si="1"/>
        <v>2021</v>
      </c>
      <c r="G25">
        <f t="shared" si="1"/>
        <v>2022</v>
      </c>
      <c r="H25">
        <f t="shared" si="1"/>
        <v>2023</v>
      </c>
      <c r="I25">
        <f t="shared" si="1"/>
        <v>2024</v>
      </c>
      <c r="J25">
        <f t="shared" si="1"/>
        <v>2025</v>
      </c>
      <c r="K25">
        <f t="shared" si="1"/>
        <v>2026</v>
      </c>
      <c r="L25">
        <f t="shared" si="1"/>
        <v>2027</v>
      </c>
      <c r="M25">
        <f t="shared" si="1"/>
        <v>2028</v>
      </c>
      <c r="N25">
        <f t="shared" si="1"/>
        <v>2029</v>
      </c>
      <c r="O25">
        <f t="shared" si="1"/>
        <v>2030</v>
      </c>
      <c r="P25">
        <f t="shared" si="1"/>
        <v>2031</v>
      </c>
      <c r="Q25">
        <f t="shared" si="1"/>
        <v>2032</v>
      </c>
      <c r="R25">
        <f t="shared" si="1"/>
        <v>2033</v>
      </c>
      <c r="S25">
        <f t="shared" si="1"/>
        <v>2034</v>
      </c>
      <c r="T25">
        <f t="shared" si="1"/>
        <v>2035</v>
      </c>
      <c r="U25">
        <f t="shared" si="1"/>
        <v>2036</v>
      </c>
      <c r="V25">
        <f t="shared" si="1"/>
        <v>2037</v>
      </c>
      <c r="W25">
        <f t="shared" si="1"/>
        <v>2038</v>
      </c>
      <c r="X25">
        <f t="shared" si="1"/>
        <v>2039</v>
      </c>
      <c r="Y25">
        <f t="shared" si="1"/>
        <v>2040</v>
      </c>
      <c r="Z25">
        <f t="shared" si="1"/>
        <v>2041</v>
      </c>
      <c r="AA25">
        <f t="shared" si="1"/>
        <v>2042</v>
      </c>
      <c r="AB25">
        <f t="shared" si="1"/>
        <v>2043</v>
      </c>
      <c r="AC25">
        <f t="shared" si="1"/>
        <v>2044</v>
      </c>
      <c r="AD25">
        <f t="shared" si="1"/>
        <v>2045</v>
      </c>
      <c r="AE25">
        <f t="shared" si="1"/>
        <v>2046</v>
      </c>
      <c r="AF25">
        <f t="shared" si="1"/>
        <v>2047</v>
      </c>
      <c r="AG25">
        <f t="shared" si="1"/>
        <v>2048</v>
      </c>
      <c r="AH25">
        <f t="shared" si="1"/>
        <v>2049</v>
      </c>
      <c r="AI25">
        <f t="shared" si="1"/>
        <v>2050</v>
      </c>
      <c r="AJ25">
        <f t="shared" si="1"/>
        <v>2051</v>
      </c>
      <c r="AK25">
        <f t="shared" si="1"/>
        <v>2052</v>
      </c>
      <c r="AL25">
        <f t="shared" si="1"/>
        <v>2053</v>
      </c>
      <c r="AM25">
        <f t="shared" si="1"/>
        <v>2054</v>
      </c>
      <c r="AN25">
        <f t="shared" si="1"/>
        <v>2055</v>
      </c>
      <c r="AO25">
        <f t="shared" si="1"/>
        <v>2056</v>
      </c>
      <c r="AP25">
        <f t="shared" si="1"/>
        <v>2057</v>
      </c>
      <c r="AQ25">
        <f t="shared" si="1"/>
        <v>2058</v>
      </c>
      <c r="AR25">
        <f t="shared" si="1"/>
        <v>2059</v>
      </c>
      <c r="AS25">
        <f t="shared" si="1"/>
        <v>2060</v>
      </c>
      <c r="AT25">
        <f t="shared" si="1"/>
        <v>2061</v>
      </c>
      <c r="AU25">
        <f t="shared" si="1"/>
        <v>2062</v>
      </c>
      <c r="AV25">
        <f t="shared" si="1"/>
        <v>2063</v>
      </c>
      <c r="AW25">
        <f t="shared" si="1"/>
        <v>2064</v>
      </c>
      <c r="AX25">
        <f t="shared" si="1"/>
        <v>2065</v>
      </c>
      <c r="AY25">
        <f t="shared" si="1"/>
        <v>2066</v>
      </c>
      <c r="AZ25">
        <f t="shared" si="1"/>
        <v>2067</v>
      </c>
      <c r="BA25">
        <f t="shared" si="1"/>
        <v>2068</v>
      </c>
      <c r="BB25">
        <f t="shared" si="1"/>
        <v>2069</v>
      </c>
      <c r="BC25">
        <f t="shared" si="1"/>
        <v>2070</v>
      </c>
    </row>
    <row r="26" spans="1:55" ht="14.25" customHeight="1">
      <c r="A26" s="5" t="s">
        <v>55</v>
      </c>
      <c r="B26">
        <f>B11</f>
        <v>1119.47</v>
      </c>
      <c r="C26">
        <f>B12</f>
        <v>1495.89</v>
      </c>
      <c r="D26">
        <f>B13</f>
        <v>1682.12</v>
      </c>
      <c r="E26">
        <f>_xlfn.FORECAST.ETS(E25,$B$26:$D$26,$B$25:$D$25)</f>
        <v>1988.0174529050023</v>
      </c>
      <c r="F26">
        <f t="shared" ref="F26:BC26" si="2">_xlfn.FORECAST.ETS(F25,$B$26:$D$26,$B$25:$D$25)</f>
        <v>2276.8833913100029</v>
      </c>
      <c r="G26">
        <f t="shared" si="2"/>
        <v>2565.749329715004</v>
      </c>
      <c r="H26">
        <f t="shared" si="2"/>
        <v>2854.6152681200047</v>
      </c>
      <c r="I26">
        <f t="shared" si="2"/>
        <v>3143.4812065250053</v>
      </c>
      <c r="J26">
        <f t="shared" si="2"/>
        <v>3432.3471449300059</v>
      </c>
      <c r="K26">
        <f t="shared" si="2"/>
        <v>3721.2130833350066</v>
      </c>
      <c r="L26">
        <f t="shared" si="2"/>
        <v>4010.0790217400072</v>
      </c>
      <c r="M26">
        <f t="shared" si="2"/>
        <v>4298.9449601450078</v>
      </c>
      <c r="N26">
        <f t="shared" si="2"/>
        <v>4587.8108985500085</v>
      </c>
      <c r="O26">
        <f t="shared" si="2"/>
        <v>4876.6768369550091</v>
      </c>
      <c r="P26">
        <f t="shared" si="2"/>
        <v>5165.5427753600106</v>
      </c>
      <c r="Q26">
        <f t="shared" si="2"/>
        <v>5454.4087137650113</v>
      </c>
      <c r="R26">
        <f t="shared" si="2"/>
        <v>5743.2746521700119</v>
      </c>
      <c r="S26">
        <f t="shared" si="2"/>
        <v>6032.1405905750125</v>
      </c>
      <c r="T26">
        <f t="shared" si="2"/>
        <v>6321.0065289800132</v>
      </c>
      <c r="U26">
        <f t="shared" si="2"/>
        <v>6609.8724673850138</v>
      </c>
      <c r="V26">
        <f t="shared" si="2"/>
        <v>6898.7384057900144</v>
      </c>
      <c r="W26">
        <f t="shared" si="2"/>
        <v>7187.6043441950151</v>
      </c>
      <c r="X26">
        <f t="shared" si="2"/>
        <v>7476.4702826000157</v>
      </c>
      <c r="Y26">
        <f t="shared" si="2"/>
        <v>7765.3362210050163</v>
      </c>
      <c r="Z26">
        <f t="shared" si="2"/>
        <v>8054.202159410017</v>
      </c>
      <c r="AA26">
        <f t="shared" si="2"/>
        <v>8343.0680978150176</v>
      </c>
      <c r="AB26">
        <f t="shared" si="2"/>
        <v>8631.9340362200182</v>
      </c>
      <c r="AC26">
        <f t="shared" si="2"/>
        <v>8920.7999746250189</v>
      </c>
      <c r="AD26">
        <f t="shared" si="2"/>
        <v>9209.6659130300195</v>
      </c>
      <c r="AE26">
        <f t="shared" si="2"/>
        <v>9498.5318514350201</v>
      </c>
      <c r="AF26">
        <f t="shared" si="2"/>
        <v>9787.3977898400208</v>
      </c>
      <c r="AG26">
        <f t="shared" si="2"/>
        <v>10076.263728245021</v>
      </c>
      <c r="AH26">
        <f t="shared" si="2"/>
        <v>10365.129666650022</v>
      </c>
      <c r="AI26">
        <f t="shared" si="2"/>
        <v>10653.995605055023</v>
      </c>
      <c r="AJ26">
        <f t="shared" si="2"/>
        <v>10942.861543460023</v>
      </c>
      <c r="AK26">
        <f t="shared" si="2"/>
        <v>11231.727481865024</v>
      </c>
      <c r="AL26">
        <f t="shared" si="2"/>
        <v>11520.593420270025</v>
      </c>
      <c r="AM26">
        <f t="shared" si="2"/>
        <v>11809.459358675025</v>
      </c>
      <c r="AN26">
        <f t="shared" si="2"/>
        <v>12098.325297080026</v>
      </c>
      <c r="AO26">
        <f t="shared" si="2"/>
        <v>12387.191235485026</v>
      </c>
      <c r="AP26">
        <f t="shared" si="2"/>
        <v>12676.057173890027</v>
      </c>
      <c r="AQ26">
        <f t="shared" si="2"/>
        <v>12964.923112295028</v>
      </c>
      <c r="AR26">
        <f t="shared" si="2"/>
        <v>13253.789050700028</v>
      </c>
      <c r="AS26">
        <f t="shared" si="2"/>
        <v>13542.654989105029</v>
      </c>
      <c r="AT26">
        <f t="shared" si="2"/>
        <v>13831.52092751003</v>
      </c>
      <c r="AU26">
        <f t="shared" si="2"/>
        <v>14120.38686591503</v>
      </c>
      <c r="AV26">
        <f t="shared" si="2"/>
        <v>14409.252804320031</v>
      </c>
      <c r="AW26">
        <f t="shared" si="2"/>
        <v>14698.118742725032</v>
      </c>
      <c r="AX26">
        <f t="shared" si="2"/>
        <v>14986.984681130032</v>
      </c>
      <c r="AY26">
        <f t="shared" si="2"/>
        <v>15275.850619535033</v>
      </c>
      <c r="AZ26">
        <f t="shared" si="2"/>
        <v>15564.716557940035</v>
      </c>
      <c r="BA26">
        <f t="shared" si="2"/>
        <v>15853.582496345036</v>
      </c>
      <c r="BB26">
        <f t="shared" si="2"/>
        <v>16142.448434750037</v>
      </c>
      <c r="BC26">
        <f t="shared" si="2"/>
        <v>16431.314373155037</v>
      </c>
    </row>
    <row r="27" spans="1:55" ht="14.25" customHeight="1"/>
    <row r="28" spans="1:55" ht="14.25" customHeight="1"/>
    <row r="29" spans="1:55" ht="14.25" customHeight="1"/>
    <row r="30" spans="1:55" ht="14.25" customHeight="1"/>
    <row r="31" spans="1:55" ht="14.25" customHeight="1"/>
    <row r="32" spans="1:5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8:G32"/>
  <sheetViews>
    <sheetView workbookViewId="0"/>
  </sheetViews>
  <sheetFormatPr baseColWidth="10" defaultColWidth="14.5" defaultRowHeight="15" customHeight="1"/>
  <sheetData>
    <row r="28" spans="1:7">
      <c r="E28" s="5" t="s">
        <v>26</v>
      </c>
      <c r="F28" s="5" t="s">
        <v>27</v>
      </c>
      <c r="G28" s="5" t="s">
        <v>28</v>
      </c>
    </row>
    <row r="29" spans="1:7">
      <c r="A29" s="5" t="s">
        <v>26</v>
      </c>
      <c r="B29" s="5" t="s">
        <v>29</v>
      </c>
      <c r="C29" s="5" t="s">
        <v>30</v>
      </c>
      <c r="D29" s="5" t="s">
        <v>31</v>
      </c>
      <c r="E29" s="5" t="s">
        <v>32</v>
      </c>
      <c r="F29" s="5" t="s">
        <v>32</v>
      </c>
      <c r="G29" s="5" t="s">
        <v>32</v>
      </c>
    </row>
    <row r="30" spans="1:7">
      <c r="A30" s="5">
        <v>2019</v>
      </c>
      <c r="B30" s="14">
        <v>129</v>
      </c>
      <c r="C30" s="14">
        <v>129</v>
      </c>
      <c r="D30" s="14">
        <v>148</v>
      </c>
      <c r="E30" s="14">
        <f t="shared" ref="E30:E32" si="0">AVERAGE(B30:D30)</f>
        <v>135.33333333333334</v>
      </c>
      <c r="F30" s="14">
        <f>E30*About!$B$21</f>
        <v>114.62733333333334</v>
      </c>
      <c r="G30" s="14">
        <f>F30*About!$B$20</f>
        <v>194.79883654000002</v>
      </c>
    </row>
    <row r="31" spans="1:7">
      <c r="A31" s="5">
        <v>2020</v>
      </c>
      <c r="B31" s="14">
        <v>115</v>
      </c>
      <c r="C31" s="14">
        <v>126</v>
      </c>
      <c r="D31" s="14">
        <v>143</v>
      </c>
      <c r="E31" s="14">
        <f t="shared" si="0"/>
        <v>128</v>
      </c>
      <c r="F31" s="14">
        <f>E31*About!$B$21</f>
        <v>108.416</v>
      </c>
      <c r="G31" s="14">
        <f>F31*About!$B$20</f>
        <v>184.24323455999999</v>
      </c>
    </row>
    <row r="32" spans="1:7">
      <c r="A32" s="5">
        <v>2021</v>
      </c>
      <c r="B32" s="14">
        <v>117</v>
      </c>
      <c r="C32" s="14">
        <v>124</v>
      </c>
      <c r="D32" s="14">
        <v>141</v>
      </c>
      <c r="E32" s="14">
        <f t="shared" si="0"/>
        <v>127.33333333333333</v>
      </c>
      <c r="F32" s="14">
        <f>E32*About!$B$21</f>
        <v>107.85133333333333</v>
      </c>
      <c r="G32" s="14">
        <f>F32*About!$B$20</f>
        <v>183.28363438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AG1000"/>
  <sheetViews>
    <sheetView workbookViewId="0">
      <selection activeCell="B5" sqref="B5:AG5"/>
    </sheetView>
  </sheetViews>
  <sheetFormatPr baseColWidth="10" defaultColWidth="14.5" defaultRowHeight="15" customHeight="1"/>
  <cols>
    <col min="1" max="1" width="16" customWidth="1"/>
    <col min="2" max="33" width="8.6640625" customWidth="1"/>
  </cols>
  <sheetData>
    <row r="1" spans="1:33" ht="14.25" customHeight="1">
      <c r="A1" t="s">
        <v>33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4.25" customHeight="1">
      <c r="A2" t="s">
        <v>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t="14.25" customHeight="1">
      <c r="A3" t="s">
        <v>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 ht="14.25" customHeight="1">
      <c r="A4" t="s">
        <v>36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 ht="14.25" customHeight="1">
      <c r="A5" t="s">
        <v>37</v>
      </c>
      <c r="B5">
        <f>'Electricity import'!D26*1000</f>
        <v>1682120</v>
      </c>
      <c r="C5">
        <f>'Electricity import'!E26*1000</f>
        <v>1988017.4529050023</v>
      </c>
      <c r="D5">
        <f>'Electricity import'!F26*1000</f>
        <v>2276883.3913100031</v>
      </c>
      <c r="E5">
        <f>'Electricity import'!G26*1000</f>
        <v>2565749.3297150042</v>
      </c>
      <c r="F5">
        <f>'Electricity import'!H26*1000</f>
        <v>2854615.2681200048</v>
      </c>
      <c r="G5">
        <f>'Electricity import'!I26*1000</f>
        <v>3143481.2065250054</v>
      </c>
      <c r="H5">
        <f>'Electricity import'!J26*1000</f>
        <v>3432347.144930006</v>
      </c>
      <c r="I5">
        <f>'Electricity import'!K26*1000</f>
        <v>3721213.0833350066</v>
      </c>
      <c r="J5">
        <f>'Electricity import'!L26*1000</f>
        <v>4010079.0217400072</v>
      </c>
      <c r="K5">
        <f>'Electricity import'!M26*1000</f>
        <v>4298944.9601450078</v>
      </c>
      <c r="L5">
        <f>'Electricity import'!N26*1000</f>
        <v>4587810.8985500084</v>
      </c>
      <c r="M5">
        <f>'Electricity import'!O26*1000</f>
        <v>4876676.836955009</v>
      </c>
      <c r="N5">
        <f>'Electricity import'!P26*1000</f>
        <v>5165542.7753600106</v>
      </c>
      <c r="O5">
        <f>'Electricity import'!Q26*1000</f>
        <v>5454408.7137650112</v>
      </c>
      <c r="P5">
        <f>'Electricity import'!R26*1000</f>
        <v>5743274.6521700118</v>
      </c>
      <c r="Q5">
        <f>'Electricity import'!S26*1000</f>
        <v>6032140.5905750124</v>
      </c>
      <c r="R5">
        <f>'Electricity import'!T26*1000</f>
        <v>6321006.528980013</v>
      </c>
      <c r="S5">
        <f>'Electricity import'!U26*1000</f>
        <v>6609872.4673850136</v>
      </c>
      <c r="T5">
        <f>'Electricity import'!V26*1000</f>
        <v>6898738.4057900142</v>
      </c>
      <c r="U5">
        <f>'Electricity import'!W26*1000</f>
        <v>7187604.3441950148</v>
      </c>
      <c r="V5">
        <f>'Electricity import'!X26*1000</f>
        <v>7476470.2826000154</v>
      </c>
      <c r="W5">
        <f>'Electricity import'!Y26*1000</f>
        <v>7765336.221005016</v>
      </c>
      <c r="X5">
        <f>'Electricity import'!Z26*1000</f>
        <v>8054202.1594100166</v>
      </c>
      <c r="Y5">
        <f>'Electricity import'!AA26*1000</f>
        <v>8343068.0978150172</v>
      </c>
      <c r="Z5">
        <f>'Electricity import'!AB26*1000</f>
        <v>8631934.0362200178</v>
      </c>
      <c r="AA5">
        <f>'Electricity import'!AC26*1000</f>
        <v>8920799.9746250194</v>
      </c>
      <c r="AB5">
        <f>'Electricity import'!AD26*1000</f>
        <v>9209665.913030019</v>
      </c>
      <c r="AC5">
        <f>'Electricity import'!AE26*1000</f>
        <v>9498531.8514350206</v>
      </c>
      <c r="AD5">
        <f>'Electricity import'!AF26*1000</f>
        <v>9787397.7898400202</v>
      </c>
      <c r="AE5">
        <f>'Electricity import'!AG26*1000</f>
        <v>10076263.728245022</v>
      </c>
      <c r="AF5">
        <f>'Electricity import'!AH26*1000</f>
        <v>10365129.666650021</v>
      </c>
      <c r="AG5">
        <f>'Electricity import'!AI26*1000</f>
        <v>10653995.605055023</v>
      </c>
    </row>
    <row r="6" spans="1:33" ht="14.25" customHeight="1">
      <c r="A6" t="s">
        <v>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3" ht="14.25" customHeight="1">
      <c r="A7" t="s">
        <v>39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33" ht="14.25" customHeight="1">
      <c r="A8" t="s">
        <v>40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1:33" ht="14.25" customHeight="1">
      <c r="A9" t="s">
        <v>41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1:33" ht="14.25" customHeight="1">
      <c r="A10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1:33" ht="14.25" customHeight="1">
      <c r="A11" t="s">
        <v>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 ht="14.25" customHeight="1">
      <c r="A12" t="s">
        <v>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1:33" ht="14.25" customHeight="1">
      <c r="A13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 ht="14.25" customHeight="1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 ht="14.25" customHeight="1">
      <c r="A15" t="s">
        <v>47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 ht="14.25" customHeight="1">
      <c r="A16" t="s">
        <v>48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1:33" ht="14.25" customHeight="1">
      <c r="A17" t="s">
        <v>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1:33" ht="14.25" customHeight="1"/>
    <row r="19" spans="1:33" ht="14.25" customHeight="1"/>
    <row r="20" spans="1:33" ht="14.25" customHeight="1"/>
    <row r="21" spans="1:33" ht="14.25" customHeight="1"/>
    <row r="22" spans="1:33" ht="14.25" customHeight="1"/>
    <row r="23" spans="1:33" ht="14.25" customHeight="1"/>
    <row r="24" spans="1:33" ht="14.25" customHeight="1"/>
    <row r="25" spans="1:33" ht="14.25" customHeight="1"/>
    <row r="26" spans="1:33" ht="14.25" customHeight="1"/>
    <row r="27" spans="1:33" ht="14.25" customHeight="1"/>
    <row r="28" spans="1:33" ht="14.25" customHeight="1"/>
    <row r="29" spans="1:33" ht="14.25" customHeight="1"/>
    <row r="30" spans="1:33" ht="14.25" customHeight="1"/>
    <row r="31" spans="1:33" ht="14.25" customHeight="1"/>
    <row r="32" spans="1:33" ht="14.25" customHeight="1"/>
    <row r="33" customFormat="1" ht="14.25" customHeight="1"/>
    <row r="34" customFormat="1" ht="14.25" customHeight="1"/>
    <row r="35" customFormat="1" ht="14.25" customHeight="1"/>
    <row r="36" customFormat="1" ht="14.25" customHeight="1"/>
    <row r="37" customFormat="1" ht="14.25" customHeight="1"/>
    <row r="38" customFormat="1" ht="14.25" customHeight="1"/>
    <row r="39" customFormat="1" ht="14.25" customHeight="1"/>
    <row r="40" customFormat="1" ht="14.25" customHeight="1"/>
    <row r="41" customFormat="1" ht="14.25" customHeight="1"/>
    <row r="42" customFormat="1" ht="14.25" customHeight="1"/>
    <row r="43" customFormat="1" ht="14.25" customHeight="1"/>
    <row r="44" customFormat="1" ht="14.25" customHeight="1"/>
    <row r="45" customFormat="1" ht="14.25" customHeight="1"/>
    <row r="46" customFormat="1" ht="14.25" customHeight="1"/>
    <row r="47" customFormat="1" ht="14.25" customHeight="1"/>
    <row r="48" customFormat="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  <row r="991" customFormat="1" ht="14.25" customHeight="1"/>
    <row r="992" customFormat="1" ht="14.25" customHeight="1"/>
    <row r="993" customFormat="1" ht="14.25" customHeight="1"/>
    <row r="994" customFormat="1" ht="14.25" customHeight="1"/>
    <row r="995" customFormat="1" ht="14.25" customHeight="1"/>
    <row r="996" customFormat="1" ht="14.25" customHeight="1"/>
    <row r="997" customFormat="1" ht="14.25" customHeight="1"/>
    <row r="998" customFormat="1" ht="14.25" customHeight="1"/>
    <row r="999" customFormat="1" ht="14.25" customHeight="1"/>
    <row r="1000" customFormat="1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AG1000"/>
  <sheetViews>
    <sheetView workbookViewId="0">
      <selection activeCell="AG1" sqref="AG1"/>
    </sheetView>
  </sheetViews>
  <sheetFormatPr baseColWidth="10" defaultColWidth="14.5" defaultRowHeight="15" customHeight="1"/>
  <cols>
    <col min="1" max="1" width="16" customWidth="1"/>
    <col min="2" max="33" width="8.6640625" customWidth="1"/>
  </cols>
  <sheetData>
    <row r="1" spans="1:33" ht="14.25" customHeight="1">
      <c r="A1" t="s">
        <v>50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ht="14.25" customHeight="1">
      <c r="A2" t="s">
        <v>51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ht="14.25" customHeight="1"/>
    <row r="4" spans="1:33" ht="14.25" customHeight="1"/>
    <row r="5" spans="1:33" ht="14.25" customHeight="1"/>
    <row r="6" spans="1:33" ht="14.25" customHeight="1"/>
    <row r="7" spans="1:33" ht="14.25" customHeight="1"/>
    <row r="8" spans="1:33" ht="14.25" customHeight="1"/>
    <row r="9" spans="1:33" ht="14.25" customHeight="1"/>
    <row r="10" spans="1:33" ht="14.25" customHeight="1"/>
    <row r="11" spans="1:33" ht="14.25" customHeight="1"/>
    <row r="12" spans="1:33" ht="14.25" customHeight="1"/>
    <row r="13" spans="1:33" ht="14.25" customHeight="1"/>
    <row r="14" spans="1:33" ht="14.25" customHeight="1"/>
    <row r="15" spans="1:33" ht="14.25" customHeight="1"/>
    <row r="16" spans="1:33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  <row r="26" customFormat="1" ht="14.25" customHeight="1"/>
    <row r="27" customFormat="1" ht="14.25" customHeight="1"/>
    <row r="28" customFormat="1" ht="14.25" customHeight="1"/>
    <row r="29" customFormat="1" ht="14.25" customHeight="1"/>
    <row r="30" customFormat="1" ht="14.25" customHeight="1"/>
    <row r="31" customFormat="1" ht="14.25" customHeight="1"/>
    <row r="32" customFormat="1" ht="14.25" customHeight="1"/>
    <row r="33" customFormat="1" ht="14.25" customHeight="1"/>
    <row r="34" customFormat="1" ht="14.25" customHeight="1"/>
    <row r="35" customFormat="1" ht="14.25" customHeight="1"/>
    <row r="36" customFormat="1" ht="14.25" customHeight="1"/>
    <row r="37" customFormat="1" ht="14.25" customHeight="1"/>
    <row r="38" customFormat="1" ht="14.25" customHeight="1"/>
    <row r="39" customFormat="1" ht="14.25" customHeight="1"/>
    <row r="40" customFormat="1" ht="14.25" customHeight="1"/>
    <row r="41" customFormat="1" ht="14.25" customHeight="1"/>
    <row r="42" customFormat="1" ht="14.25" customHeight="1"/>
    <row r="43" customFormat="1" ht="14.25" customHeight="1"/>
    <row r="44" customFormat="1" ht="14.25" customHeight="1"/>
    <row r="45" customFormat="1" ht="14.25" customHeight="1"/>
    <row r="46" customFormat="1" ht="14.25" customHeight="1"/>
    <row r="47" customFormat="1" ht="14.25" customHeight="1"/>
    <row r="48" customFormat="1" ht="14.25" customHeight="1"/>
    <row r="49" customFormat="1" ht="14.25" customHeight="1"/>
    <row r="50" customFormat="1" ht="14.25" customHeight="1"/>
    <row r="51" customFormat="1" ht="14.25" customHeight="1"/>
    <row r="52" customFormat="1" ht="14.25" customHeight="1"/>
    <row r="53" customFormat="1" ht="14.25" customHeight="1"/>
    <row r="54" customFormat="1" ht="14.25" customHeight="1"/>
    <row r="55" customFormat="1" ht="14.25" customHeight="1"/>
    <row r="56" customFormat="1" ht="14.25" customHeight="1"/>
    <row r="57" customFormat="1" ht="14.25" customHeight="1"/>
    <row r="58" customFormat="1" ht="14.25" customHeight="1"/>
    <row r="59" customFormat="1" ht="14.25" customHeight="1"/>
    <row r="60" customFormat="1" ht="14.25" customHeight="1"/>
    <row r="61" customFormat="1" ht="14.25" customHeight="1"/>
    <row r="62" customFormat="1" ht="14.25" customHeight="1"/>
    <row r="63" customFormat="1" ht="14.25" customHeight="1"/>
    <row r="64" customFormat="1" ht="14.25" customHeight="1"/>
    <row r="65" customFormat="1" ht="14.25" customHeight="1"/>
    <row r="66" customFormat="1" ht="14.25" customHeight="1"/>
    <row r="67" customFormat="1" ht="14.25" customHeight="1"/>
    <row r="68" customFormat="1" ht="14.25" customHeight="1"/>
    <row r="69" customFormat="1" ht="14.25" customHeight="1"/>
    <row r="70" customFormat="1" ht="14.25" customHeight="1"/>
    <row r="71" customFormat="1" ht="14.25" customHeight="1"/>
    <row r="72" customFormat="1" ht="14.25" customHeight="1"/>
    <row r="73" customFormat="1" ht="14.25" customHeight="1"/>
    <row r="74" customFormat="1" ht="14.25" customHeight="1"/>
    <row r="75" customFormat="1" ht="14.25" customHeight="1"/>
    <row r="76" customFormat="1" ht="14.25" customHeight="1"/>
    <row r="77" customFormat="1" ht="14.25" customHeight="1"/>
    <row r="78" customFormat="1" ht="14.25" customHeight="1"/>
    <row r="79" customFormat="1" ht="14.25" customHeight="1"/>
    <row r="80" customFormat="1" ht="14.25" customHeight="1"/>
    <row r="81" customFormat="1" ht="14.25" customHeight="1"/>
    <row r="82" customFormat="1" ht="14.25" customHeight="1"/>
    <row r="83" customFormat="1" ht="14.25" customHeight="1"/>
    <row r="84" customFormat="1" ht="14.25" customHeight="1"/>
    <row r="85" customFormat="1" ht="14.25" customHeight="1"/>
    <row r="86" customFormat="1" ht="14.25" customHeight="1"/>
    <row r="87" customFormat="1" ht="14.25" customHeight="1"/>
    <row r="88" customFormat="1" ht="14.25" customHeight="1"/>
    <row r="89" customFormat="1" ht="14.25" customHeight="1"/>
    <row r="90" customFormat="1" ht="14.25" customHeight="1"/>
    <row r="91" customFormat="1" ht="14.25" customHeight="1"/>
    <row r="92" customFormat="1" ht="14.25" customHeight="1"/>
    <row r="93" customFormat="1" ht="14.25" customHeight="1"/>
    <row r="94" customFormat="1" ht="14.25" customHeight="1"/>
    <row r="95" customFormat="1" ht="14.25" customHeight="1"/>
    <row r="96" customFormat="1" ht="14.25" customHeight="1"/>
    <row r="97" customFormat="1" ht="14.25" customHeight="1"/>
    <row r="98" customFormat="1" ht="14.25" customHeight="1"/>
    <row r="99" customFormat="1" ht="14.25" customHeight="1"/>
    <row r="100" customFormat="1" ht="14.25" customHeight="1"/>
    <row r="101" customFormat="1" ht="14.25" customHeight="1"/>
    <row r="102" customFormat="1" ht="14.25" customHeight="1"/>
    <row r="103" customFormat="1" ht="14.25" customHeight="1"/>
    <row r="104" customFormat="1" ht="14.25" customHeight="1"/>
    <row r="105" customFormat="1" ht="14.25" customHeight="1"/>
    <row r="106" customFormat="1" ht="14.25" customHeight="1"/>
    <row r="107" customFormat="1" ht="14.25" customHeight="1"/>
    <row r="108" customFormat="1" ht="14.25" customHeight="1"/>
    <row r="109" customFormat="1" ht="14.25" customHeight="1"/>
    <row r="110" customFormat="1" ht="14.25" customHeight="1"/>
    <row r="111" customFormat="1" ht="14.25" customHeight="1"/>
    <row r="112" customFormat="1" ht="14.25" customHeight="1"/>
    <row r="113" customFormat="1" ht="14.25" customHeight="1"/>
    <row r="114" customFormat="1" ht="14.25" customHeight="1"/>
    <row r="115" customFormat="1" ht="14.25" customHeight="1"/>
    <row r="116" customFormat="1" ht="14.25" customHeight="1"/>
    <row r="117" customFormat="1" ht="14.25" customHeight="1"/>
    <row r="118" customFormat="1" ht="14.25" customHeight="1"/>
    <row r="119" customFormat="1" ht="14.25" customHeight="1"/>
    <row r="120" customFormat="1" ht="14.25" customHeight="1"/>
    <row r="121" customFormat="1" ht="14.25" customHeight="1"/>
    <row r="122" customFormat="1" ht="14.25" customHeight="1"/>
    <row r="123" customFormat="1" ht="14.25" customHeight="1"/>
    <row r="124" customFormat="1" ht="14.25" customHeight="1"/>
    <row r="125" customFormat="1" ht="14.25" customHeight="1"/>
    <row r="126" customFormat="1" ht="14.25" customHeight="1"/>
    <row r="127" customFormat="1" ht="14.25" customHeight="1"/>
    <row r="128" customFormat="1" ht="14.25" customHeight="1"/>
    <row r="129" customFormat="1" ht="14.25" customHeight="1"/>
    <row r="130" customFormat="1" ht="14.25" customHeight="1"/>
    <row r="131" customFormat="1" ht="14.25" customHeight="1"/>
    <row r="132" customFormat="1" ht="14.25" customHeight="1"/>
    <row r="133" customFormat="1" ht="14.25" customHeight="1"/>
    <row r="134" customFormat="1" ht="14.25" customHeight="1"/>
    <row r="135" customFormat="1" ht="14.25" customHeight="1"/>
    <row r="136" customFormat="1" ht="14.25" customHeight="1"/>
    <row r="137" customFormat="1" ht="14.25" customHeight="1"/>
    <row r="138" customFormat="1" ht="14.25" customHeight="1"/>
    <row r="139" customFormat="1" ht="14.25" customHeight="1"/>
    <row r="140" customFormat="1" ht="14.25" customHeight="1"/>
    <row r="141" customFormat="1" ht="14.25" customHeight="1"/>
    <row r="142" customFormat="1" ht="14.25" customHeight="1"/>
    <row r="143" customFormat="1" ht="14.25" customHeight="1"/>
    <row r="144" customFormat="1" ht="14.25" customHeight="1"/>
    <row r="145" customFormat="1" ht="14.25" customHeight="1"/>
    <row r="146" customFormat="1" ht="14.25" customHeight="1"/>
    <row r="147" customFormat="1" ht="14.25" customHeight="1"/>
    <row r="148" customFormat="1" ht="14.25" customHeight="1"/>
    <row r="149" customFormat="1" ht="14.25" customHeight="1"/>
    <row r="150" customFormat="1" ht="14.25" customHeight="1"/>
    <row r="151" customFormat="1" ht="14.25" customHeight="1"/>
    <row r="152" customFormat="1" ht="14.25" customHeight="1"/>
    <row r="153" customFormat="1" ht="14.25" customHeight="1"/>
    <row r="154" customFormat="1" ht="14.25" customHeight="1"/>
    <row r="155" customFormat="1" ht="14.25" customHeight="1"/>
    <row r="156" customFormat="1" ht="14.25" customHeight="1"/>
    <row r="157" customFormat="1" ht="14.25" customHeight="1"/>
    <row r="158" customFormat="1" ht="14.25" customHeight="1"/>
    <row r="159" customFormat="1" ht="14.25" customHeight="1"/>
    <row r="160" customFormat="1" ht="14.25" customHeight="1"/>
    <row r="161" customFormat="1" ht="14.25" customHeight="1"/>
    <row r="162" customFormat="1" ht="14.25" customHeight="1"/>
    <row r="163" customFormat="1" ht="14.25" customHeight="1"/>
    <row r="164" customFormat="1" ht="14.25" customHeight="1"/>
    <row r="165" customFormat="1" ht="14.25" customHeight="1"/>
    <row r="166" customFormat="1" ht="14.25" customHeight="1"/>
    <row r="167" customFormat="1" ht="14.25" customHeight="1"/>
    <row r="168" customFormat="1" ht="14.25" customHeight="1"/>
    <row r="169" customFormat="1" ht="14.25" customHeight="1"/>
    <row r="170" customFormat="1" ht="14.25" customHeight="1"/>
    <row r="171" customFormat="1" ht="14.25" customHeight="1"/>
    <row r="172" customFormat="1" ht="14.25" customHeight="1"/>
    <row r="173" customFormat="1" ht="14.25" customHeight="1"/>
    <row r="174" customFormat="1" ht="14.25" customHeight="1"/>
    <row r="175" customFormat="1" ht="14.25" customHeight="1"/>
    <row r="176" customFormat="1" ht="14.25" customHeight="1"/>
    <row r="177" customFormat="1" ht="14.25" customHeight="1"/>
    <row r="178" customFormat="1" ht="14.25" customHeight="1"/>
    <row r="179" customFormat="1" ht="14.25" customHeight="1"/>
    <row r="180" customFormat="1" ht="14.25" customHeight="1"/>
    <row r="181" customFormat="1" ht="14.25" customHeight="1"/>
    <row r="182" customFormat="1" ht="14.25" customHeight="1"/>
    <row r="183" customFormat="1" ht="14.25" customHeight="1"/>
    <row r="184" customFormat="1" ht="14.25" customHeight="1"/>
    <row r="185" customFormat="1" ht="14.25" customHeight="1"/>
    <row r="186" customFormat="1" ht="14.25" customHeight="1"/>
    <row r="187" customFormat="1" ht="14.25" customHeight="1"/>
    <row r="188" customFormat="1" ht="14.25" customHeight="1"/>
    <row r="189" customFormat="1" ht="14.25" customHeight="1"/>
    <row r="190" customFormat="1" ht="14.25" customHeight="1"/>
    <row r="191" customFormat="1" ht="14.25" customHeight="1"/>
    <row r="192" customFormat="1" ht="14.25" customHeight="1"/>
    <row r="193" customFormat="1" ht="14.25" customHeight="1"/>
    <row r="194" customFormat="1" ht="14.25" customHeight="1"/>
    <row r="195" customFormat="1" ht="14.25" customHeight="1"/>
    <row r="196" customFormat="1" ht="14.25" customHeight="1"/>
    <row r="197" customFormat="1" ht="14.25" customHeight="1"/>
    <row r="198" customFormat="1" ht="14.25" customHeight="1"/>
    <row r="199" customFormat="1" ht="14.25" customHeight="1"/>
    <row r="200" customFormat="1" ht="14.25" customHeight="1"/>
    <row r="201" customFormat="1" ht="14.25" customHeight="1"/>
    <row r="202" customFormat="1" ht="14.25" customHeight="1"/>
    <row r="203" customFormat="1" ht="14.25" customHeight="1"/>
    <row r="204" customFormat="1" ht="14.25" customHeight="1"/>
    <row r="205" customFormat="1" ht="14.25" customHeight="1"/>
    <row r="206" customFormat="1" ht="14.25" customHeight="1"/>
    <row r="207" customFormat="1" ht="14.25" customHeight="1"/>
    <row r="208" customFormat="1" ht="14.25" customHeight="1"/>
    <row r="209" customFormat="1" ht="14.25" customHeight="1"/>
    <row r="210" customFormat="1" ht="14.25" customHeight="1"/>
    <row r="211" customFormat="1" ht="14.25" customHeight="1"/>
    <row r="212" customFormat="1" ht="14.25" customHeight="1"/>
    <row r="213" customFormat="1" ht="14.25" customHeight="1"/>
    <row r="214" customFormat="1" ht="14.25" customHeight="1"/>
    <row r="215" customFormat="1" ht="14.25" customHeight="1"/>
    <row r="216" customFormat="1" ht="14.25" customHeight="1"/>
    <row r="217" customFormat="1" ht="14.25" customHeight="1"/>
    <row r="218" customFormat="1" ht="14.25" customHeight="1"/>
    <row r="219" customFormat="1" ht="14.25" customHeight="1"/>
    <row r="220" customFormat="1" ht="14.25" customHeight="1"/>
    <row r="221" customFormat="1" ht="14.25" customHeight="1"/>
    <row r="222" customFormat="1" ht="14.25" customHeight="1"/>
    <row r="223" customFormat="1" ht="14.25" customHeight="1"/>
    <row r="224" customFormat="1" ht="14.25" customHeight="1"/>
    <row r="225" customFormat="1" ht="14.25" customHeight="1"/>
    <row r="226" customFormat="1" ht="14.25" customHeight="1"/>
    <row r="227" customFormat="1" ht="14.25" customHeight="1"/>
    <row r="228" customFormat="1" ht="14.25" customHeight="1"/>
    <row r="229" customFormat="1" ht="14.25" customHeight="1"/>
    <row r="230" customFormat="1" ht="14.25" customHeight="1"/>
    <row r="231" customFormat="1" ht="14.25" customHeight="1"/>
    <row r="232" customFormat="1" ht="14.25" customHeight="1"/>
    <row r="233" customFormat="1" ht="14.25" customHeight="1"/>
    <row r="234" customFormat="1" ht="14.25" customHeight="1"/>
    <row r="235" customFormat="1" ht="14.25" customHeight="1"/>
    <row r="236" customFormat="1" ht="14.25" customHeight="1"/>
    <row r="237" customFormat="1" ht="14.25" customHeight="1"/>
    <row r="238" customFormat="1" ht="14.25" customHeight="1"/>
    <row r="239" customFormat="1" ht="14.25" customHeight="1"/>
    <row r="240" customFormat="1" ht="14.25" customHeight="1"/>
    <row r="241" customFormat="1" ht="14.25" customHeight="1"/>
    <row r="242" customFormat="1" ht="14.25" customHeight="1"/>
    <row r="243" customFormat="1" ht="14.25" customHeight="1"/>
    <row r="244" customFormat="1" ht="14.25" customHeight="1"/>
    <row r="245" customFormat="1" ht="14.25" customHeight="1"/>
    <row r="246" customFormat="1" ht="14.25" customHeight="1"/>
    <row r="247" customFormat="1" ht="14.25" customHeight="1"/>
    <row r="248" customFormat="1" ht="14.25" customHeight="1"/>
    <row r="249" customFormat="1" ht="14.25" customHeight="1"/>
    <row r="250" customFormat="1" ht="14.25" customHeight="1"/>
    <row r="251" customFormat="1" ht="14.25" customHeight="1"/>
    <row r="252" customFormat="1" ht="14.25" customHeight="1"/>
    <row r="253" customFormat="1" ht="14.25" customHeight="1"/>
    <row r="254" customFormat="1" ht="14.25" customHeight="1"/>
    <row r="255" customFormat="1" ht="14.25" customHeight="1"/>
    <row r="256" customFormat="1" ht="14.25" customHeight="1"/>
    <row r="257" customFormat="1" ht="14.25" customHeight="1"/>
    <row r="258" customFormat="1" ht="14.25" customHeight="1"/>
    <row r="259" customFormat="1" ht="14.25" customHeight="1"/>
    <row r="260" customFormat="1" ht="14.25" customHeight="1"/>
    <row r="261" customFormat="1" ht="14.25" customHeight="1"/>
    <row r="262" customFormat="1" ht="14.25" customHeight="1"/>
    <row r="263" customFormat="1" ht="14.25" customHeight="1"/>
    <row r="264" customFormat="1" ht="14.25" customHeight="1"/>
    <row r="265" customFormat="1" ht="14.25" customHeight="1"/>
    <row r="266" customFormat="1" ht="14.25" customHeight="1"/>
    <row r="267" customFormat="1" ht="14.25" customHeight="1"/>
    <row r="268" customFormat="1" ht="14.25" customHeight="1"/>
    <row r="269" customFormat="1" ht="14.25" customHeight="1"/>
    <row r="270" customFormat="1" ht="14.25" customHeight="1"/>
    <row r="271" customFormat="1" ht="14.25" customHeight="1"/>
    <row r="272" customFormat="1" ht="14.25" customHeight="1"/>
    <row r="273" customFormat="1" ht="14.25" customHeight="1"/>
    <row r="274" customFormat="1" ht="14.25" customHeight="1"/>
    <row r="275" customFormat="1" ht="14.25" customHeight="1"/>
    <row r="276" customFormat="1" ht="14.25" customHeight="1"/>
    <row r="277" customFormat="1" ht="14.25" customHeight="1"/>
    <row r="278" customFormat="1" ht="14.25" customHeight="1"/>
    <row r="279" customFormat="1" ht="14.25" customHeight="1"/>
    <row r="280" customFormat="1" ht="14.25" customHeight="1"/>
    <row r="281" customFormat="1" ht="14.25" customHeight="1"/>
    <row r="282" customFormat="1" ht="14.25" customHeight="1"/>
    <row r="283" customFormat="1" ht="14.25" customHeight="1"/>
    <row r="284" customFormat="1" ht="14.25" customHeight="1"/>
    <row r="285" customFormat="1" ht="14.25" customHeight="1"/>
    <row r="286" customFormat="1" ht="14.25" customHeight="1"/>
    <row r="287" customFormat="1" ht="14.25" customHeight="1"/>
    <row r="288" customFormat="1" ht="14.25" customHeight="1"/>
    <row r="289" customFormat="1" ht="14.25" customHeight="1"/>
    <row r="290" customFormat="1" ht="14.25" customHeight="1"/>
    <row r="291" customFormat="1" ht="14.25" customHeight="1"/>
    <row r="292" customFormat="1" ht="14.25" customHeight="1"/>
    <row r="293" customFormat="1" ht="14.25" customHeight="1"/>
    <row r="294" customFormat="1" ht="14.25" customHeight="1"/>
    <row r="295" customFormat="1" ht="14.25" customHeight="1"/>
    <row r="296" customFormat="1" ht="14.25" customHeight="1"/>
    <row r="297" customFormat="1" ht="14.25" customHeight="1"/>
    <row r="298" customFormat="1" ht="14.25" customHeight="1"/>
    <row r="299" customFormat="1" ht="14.25" customHeight="1"/>
    <row r="300" customFormat="1" ht="14.25" customHeight="1"/>
    <row r="301" customFormat="1" ht="14.25" customHeight="1"/>
    <row r="302" customFormat="1" ht="14.25" customHeight="1"/>
    <row r="303" customFormat="1" ht="14.25" customHeight="1"/>
    <row r="304" customFormat="1" ht="14.25" customHeight="1"/>
    <row r="305" customFormat="1" ht="14.25" customHeight="1"/>
    <row r="306" customFormat="1" ht="14.25" customHeight="1"/>
    <row r="307" customFormat="1" ht="14.25" customHeight="1"/>
    <row r="308" customFormat="1" ht="14.25" customHeight="1"/>
    <row r="309" customFormat="1" ht="14.25" customHeight="1"/>
    <row r="310" customFormat="1" ht="14.25" customHeight="1"/>
    <row r="311" customFormat="1" ht="14.25" customHeight="1"/>
    <row r="312" customFormat="1" ht="14.25" customHeight="1"/>
    <row r="313" customFormat="1" ht="14.25" customHeight="1"/>
    <row r="314" customFormat="1" ht="14.25" customHeight="1"/>
    <row r="315" customFormat="1" ht="14.25" customHeight="1"/>
    <row r="316" customFormat="1" ht="14.25" customHeight="1"/>
    <row r="317" customFormat="1" ht="14.25" customHeight="1"/>
    <row r="318" customFormat="1" ht="14.25" customHeight="1"/>
    <row r="319" customFormat="1" ht="14.25" customHeight="1"/>
    <row r="320" customFormat="1" ht="14.25" customHeight="1"/>
    <row r="321" customFormat="1" ht="14.25" customHeight="1"/>
    <row r="322" customFormat="1" ht="14.25" customHeight="1"/>
    <row r="323" customFormat="1" ht="14.25" customHeight="1"/>
    <row r="324" customFormat="1" ht="14.25" customHeight="1"/>
    <row r="325" customFormat="1" ht="14.25" customHeight="1"/>
    <row r="326" customFormat="1" ht="14.25" customHeight="1"/>
    <row r="327" customFormat="1" ht="14.25" customHeight="1"/>
    <row r="328" customFormat="1" ht="14.25" customHeight="1"/>
    <row r="329" customFormat="1" ht="14.25" customHeight="1"/>
    <row r="330" customFormat="1" ht="14.25" customHeight="1"/>
    <row r="331" customFormat="1" ht="14.25" customHeight="1"/>
    <row r="332" customFormat="1" ht="14.25" customHeight="1"/>
    <row r="333" customFormat="1" ht="14.25" customHeight="1"/>
    <row r="334" customFormat="1" ht="14.25" customHeight="1"/>
    <row r="335" customFormat="1" ht="14.25" customHeight="1"/>
    <row r="336" customFormat="1" ht="14.25" customHeight="1"/>
    <row r="337" customFormat="1" ht="14.25" customHeight="1"/>
    <row r="338" customFormat="1" ht="14.25" customHeight="1"/>
    <row r="339" customFormat="1" ht="14.25" customHeight="1"/>
    <row r="340" customFormat="1" ht="14.25" customHeight="1"/>
    <row r="341" customFormat="1" ht="14.25" customHeight="1"/>
    <row r="342" customFormat="1" ht="14.25" customHeight="1"/>
    <row r="343" customFormat="1" ht="14.25" customHeight="1"/>
    <row r="344" customFormat="1" ht="14.25" customHeight="1"/>
    <row r="345" customFormat="1" ht="14.25" customHeight="1"/>
    <row r="346" customFormat="1" ht="14.25" customHeight="1"/>
    <row r="347" customFormat="1" ht="14.25" customHeight="1"/>
    <row r="348" customFormat="1" ht="14.25" customHeight="1"/>
    <row r="349" customFormat="1" ht="14.25" customHeight="1"/>
    <row r="350" customFormat="1" ht="14.25" customHeight="1"/>
    <row r="351" customFormat="1" ht="14.25" customHeight="1"/>
    <row r="352" customFormat="1" ht="14.25" customHeight="1"/>
    <row r="353" customFormat="1" ht="14.25" customHeight="1"/>
    <row r="354" customFormat="1" ht="14.25" customHeight="1"/>
    <row r="355" customFormat="1" ht="14.25" customHeight="1"/>
    <row r="356" customFormat="1" ht="14.25" customHeight="1"/>
    <row r="357" customFormat="1" ht="14.25" customHeight="1"/>
    <row r="358" customFormat="1" ht="14.25" customHeight="1"/>
    <row r="359" customFormat="1" ht="14.25" customHeight="1"/>
    <row r="360" customFormat="1" ht="14.25" customHeight="1"/>
    <row r="361" customFormat="1" ht="14.25" customHeight="1"/>
    <row r="362" customFormat="1" ht="14.25" customHeight="1"/>
    <row r="363" customFormat="1" ht="14.25" customHeight="1"/>
    <row r="364" customFormat="1" ht="14.25" customHeight="1"/>
    <row r="365" customFormat="1" ht="14.25" customHeight="1"/>
    <row r="366" customFormat="1" ht="14.25" customHeight="1"/>
    <row r="367" customFormat="1" ht="14.25" customHeight="1"/>
    <row r="368" customFormat="1" ht="14.25" customHeight="1"/>
    <row r="369" customFormat="1" ht="14.25" customHeight="1"/>
    <row r="370" customFormat="1" ht="14.25" customHeight="1"/>
    <row r="371" customFormat="1" ht="14.25" customHeight="1"/>
    <row r="372" customFormat="1" ht="14.25" customHeight="1"/>
    <row r="373" customFormat="1" ht="14.25" customHeight="1"/>
    <row r="374" customFormat="1" ht="14.25" customHeight="1"/>
    <row r="375" customFormat="1" ht="14.25" customHeight="1"/>
    <row r="376" customFormat="1" ht="14.25" customHeight="1"/>
    <row r="377" customFormat="1" ht="14.25" customHeight="1"/>
    <row r="378" customFormat="1" ht="14.25" customHeight="1"/>
    <row r="379" customFormat="1" ht="14.25" customHeight="1"/>
    <row r="380" customFormat="1" ht="14.25" customHeight="1"/>
    <row r="381" customFormat="1" ht="14.25" customHeight="1"/>
    <row r="382" customFormat="1" ht="14.25" customHeight="1"/>
    <row r="383" customFormat="1" ht="14.25" customHeight="1"/>
    <row r="384" customFormat="1" ht="14.25" customHeight="1"/>
    <row r="385" customFormat="1" ht="14.25" customHeight="1"/>
    <row r="386" customFormat="1" ht="14.25" customHeight="1"/>
    <row r="387" customFormat="1" ht="14.25" customHeight="1"/>
    <row r="388" customFormat="1" ht="14.25" customHeight="1"/>
    <row r="389" customFormat="1" ht="14.25" customHeight="1"/>
    <row r="390" customFormat="1" ht="14.25" customHeight="1"/>
    <row r="391" customFormat="1" ht="14.25" customHeight="1"/>
    <row r="392" customFormat="1" ht="14.25" customHeight="1"/>
    <row r="393" customFormat="1" ht="14.25" customHeight="1"/>
    <row r="394" customFormat="1" ht="14.25" customHeight="1"/>
    <row r="395" customFormat="1" ht="14.25" customHeight="1"/>
    <row r="396" customFormat="1" ht="14.25" customHeight="1"/>
    <row r="397" customFormat="1" ht="14.25" customHeight="1"/>
    <row r="398" customFormat="1" ht="14.25" customHeight="1"/>
    <row r="399" customFormat="1" ht="14.25" customHeight="1"/>
    <row r="400" customFormat="1" ht="14.25" customHeight="1"/>
    <row r="401" customFormat="1" ht="14.25" customHeight="1"/>
    <row r="402" customFormat="1" ht="14.25" customHeight="1"/>
    <row r="403" customFormat="1" ht="14.25" customHeight="1"/>
    <row r="404" customFormat="1" ht="14.25" customHeight="1"/>
    <row r="405" customFormat="1" ht="14.25" customHeight="1"/>
    <row r="406" customFormat="1" ht="14.25" customHeight="1"/>
    <row r="407" customFormat="1" ht="14.25" customHeight="1"/>
    <row r="408" customFormat="1" ht="14.25" customHeight="1"/>
    <row r="409" customFormat="1" ht="14.25" customHeight="1"/>
    <row r="410" customFormat="1" ht="14.25" customHeight="1"/>
    <row r="411" customFormat="1" ht="14.25" customHeight="1"/>
    <row r="412" customFormat="1" ht="14.25" customHeight="1"/>
    <row r="413" customFormat="1" ht="14.25" customHeight="1"/>
    <row r="414" customFormat="1" ht="14.25" customHeight="1"/>
    <row r="415" customFormat="1" ht="14.25" customHeight="1"/>
    <row r="416" customFormat="1" ht="14.25" customHeight="1"/>
    <row r="417" customFormat="1" ht="14.25" customHeight="1"/>
    <row r="418" customFormat="1" ht="14.25" customHeight="1"/>
    <row r="419" customFormat="1" ht="14.25" customHeight="1"/>
    <row r="420" customFormat="1" ht="14.25" customHeight="1"/>
    <row r="421" customFormat="1" ht="14.25" customHeight="1"/>
    <row r="422" customFormat="1" ht="14.25" customHeight="1"/>
    <row r="423" customFormat="1" ht="14.25" customHeight="1"/>
    <row r="424" customFormat="1" ht="14.25" customHeight="1"/>
    <row r="425" customFormat="1" ht="14.25" customHeight="1"/>
    <row r="426" customFormat="1" ht="14.25" customHeight="1"/>
    <row r="427" customFormat="1" ht="14.25" customHeight="1"/>
    <row r="428" customFormat="1" ht="14.25" customHeight="1"/>
    <row r="429" customFormat="1" ht="14.25" customHeight="1"/>
    <row r="430" customFormat="1" ht="14.25" customHeight="1"/>
    <row r="431" customFormat="1" ht="14.25" customHeight="1"/>
    <row r="432" customFormat="1" ht="14.25" customHeight="1"/>
    <row r="433" customFormat="1" ht="14.25" customHeight="1"/>
    <row r="434" customFormat="1" ht="14.25" customHeight="1"/>
    <row r="435" customFormat="1" ht="14.25" customHeight="1"/>
    <row r="436" customFormat="1" ht="14.25" customHeight="1"/>
    <row r="437" customFormat="1" ht="14.25" customHeight="1"/>
    <row r="438" customFormat="1" ht="14.25" customHeight="1"/>
    <row r="439" customFormat="1" ht="14.25" customHeight="1"/>
    <row r="440" customFormat="1" ht="14.25" customHeight="1"/>
    <row r="441" customFormat="1" ht="14.25" customHeight="1"/>
    <row r="442" customFormat="1" ht="14.25" customHeight="1"/>
    <row r="443" customFormat="1" ht="14.25" customHeight="1"/>
    <row r="444" customFormat="1" ht="14.25" customHeight="1"/>
    <row r="445" customFormat="1" ht="14.25" customHeight="1"/>
    <row r="446" customFormat="1" ht="14.25" customHeight="1"/>
    <row r="447" customFormat="1" ht="14.25" customHeight="1"/>
    <row r="448" customFormat="1" ht="14.25" customHeight="1"/>
    <row r="449" customFormat="1" ht="14.25" customHeight="1"/>
    <row r="450" customFormat="1" ht="14.25" customHeight="1"/>
    <row r="451" customFormat="1" ht="14.25" customHeight="1"/>
    <row r="452" customFormat="1" ht="14.25" customHeight="1"/>
    <row r="453" customFormat="1" ht="14.25" customHeight="1"/>
    <row r="454" customFormat="1" ht="14.25" customHeight="1"/>
    <row r="455" customFormat="1" ht="14.25" customHeight="1"/>
    <row r="456" customFormat="1" ht="14.25" customHeight="1"/>
    <row r="457" customFormat="1" ht="14.25" customHeight="1"/>
    <row r="458" customFormat="1" ht="14.25" customHeight="1"/>
    <row r="459" customFormat="1" ht="14.25" customHeight="1"/>
    <row r="460" customFormat="1" ht="14.25" customHeight="1"/>
    <row r="461" customFormat="1" ht="14.25" customHeight="1"/>
    <row r="462" customFormat="1" ht="14.25" customHeight="1"/>
    <row r="463" customFormat="1" ht="14.25" customHeight="1"/>
    <row r="464" customFormat="1" ht="14.25" customHeight="1"/>
    <row r="465" customFormat="1" ht="14.25" customHeight="1"/>
    <row r="466" customFormat="1" ht="14.25" customHeight="1"/>
    <row r="467" customFormat="1" ht="14.25" customHeight="1"/>
    <row r="468" customFormat="1" ht="14.25" customHeight="1"/>
    <row r="469" customFormat="1" ht="14.25" customHeight="1"/>
    <row r="470" customFormat="1" ht="14.25" customHeight="1"/>
    <row r="471" customFormat="1" ht="14.25" customHeight="1"/>
    <row r="472" customFormat="1" ht="14.25" customHeight="1"/>
    <row r="473" customFormat="1" ht="14.25" customHeight="1"/>
    <row r="474" customFormat="1" ht="14.25" customHeight="1"/>
    <row r="475" customFormat="1" ht="14.25" customHeight="1"/>
    <row r="476" customFormat="1" ht="14.25" customHeight="1"/>
    <row r="477" customFormat="1" ht="14.25" customHeight="1"/>
    <row r="478" customFormat="1" ht="14.25" customHeight="1"/>
    <row r="479" customFormat="1" ht="14.25" customHeight="1"/>
    <row r="480" customFormat="1" ht="14.25" customHeight="1"/>
    <row r="481" customFormat="1" ht="14.25" customHeight="1"/>
    <row r="482" customFormat="1" ht="14.25" customHeight="1"/>
    <row r="483" customFormat="1" ht="14.25" customHeight="1"/>
    <row r="484" customFormat="1" ht="14.25" customHeight="1"/>
    <row r="485" customFormat="1" ht="14.25" customHeight="1"/>
    <row r="486" customFormat="1" ht="14.25" customHeight="1"/>
    <row r="487" customFormat="1" ht="14.25" customHeight="1"/>
    <row r="488" customFormat="1" ht="14.25" customHeight="1"/>
    <row r="489" customFormat="1" ht="14.25" customHeight="1"/>
    <row r="490" customFormat="1" ht="14.25" customHeight="1"/>
    <row r="491" customFormat="1" ht="14.25" customHeight="1"/>
    <row r="492" customFormat="1" ht="14.25" customHeight="1"/>
    <row r="493" customFormat="1" ht="14.25" customHeight="1"/>
    <row r="494" customFormat="1" ht="14.25" customHeight="1"/>
    <row r="495" customFormat="1" ht="14.25" customHeight="1"/>
    <row r="496" customFormat="1" ht="14.25" customHeight="1"/>
    <row r="497" customFormat="1" ht="14.25" customHeight="1"/>
    <row r="498" customFormat="1" ht="14.25" customHeight="1"/>
    <row r="499" customFormat="1" ht="14.25" customHeight="1"/>
    <row r="500" customFormat="1" ht="14.25" customHeight="1"/>
    <row r="501" customFormat="1" ht="14.25" customHeight="1"/>
    <row r="502" customFormat="1" ht="14.25" customHeight="1"/>
    <row r="503" customFormat="1" ht="14.25" customHeight="1"/>
    <row r="504" customFormat="1" ht="14.25" customHeight="1"/>
    <row r="505" customFormat="1" ht="14.25" customHeight="1"/>
    <row r="506" customFormat="1" ht="14.25" customHeight="1"/>
    <row r="507" customFormat="1" ht="14.25" customHeight="1"/>
    <row r="508" customFormat="1" ht="14.25" customHeight="1"/>
    <row r="509" customFormat="1" ht="14.25" customHeight="1"/>
    <row r="510" customFormat="1" ht="14.25" customHeight="1"/>
    <row r="511" customFormat="1" ht="14.25" customHeight="1"/>
    <row r="512" customFormat="1" ht="14.25" customHeight="1"/>
    <row r="513" customFormat="1" ht="14.25" customHeight="1"/>
    <row r="514" customFormat="1" ht="14.25" customHeight="1"/>
    <row r="515" customFormat="1" ht="14.25" customHeight="1"/>
    <row r="516" customFormat="1" ht="14.25" customHeight="1"/>
    <row r="517" customFormat="1" ht="14.25" customHeight="1"/>
    <row r="518" customFormat="1" ht="14.25" customHeight="1"/>
    <row r="519" customFormat="1" ht="14.25" customHeight="1"/>
    <row r="520" customFormat="1" ht="14.25" customHeight="1"/>
    <row r="521" customFormat="1" ht="14.25" customHeight="1"/>
    <row r="522" customFormat="1" ht="14.25" customHeight="1"/>
    <row r="523" customFormat="1" ht="14.25" customHeight="1"/>
    <row r="524" customFormat="1" ht="14.25" customHeight="1"/>
    <row r="525" customFormat="1" ht="14.25" customHeight="1"/>
    <row r="526" customFormat="1" ht="14.25" customHeight="1"/>
    <row r="527" customFormat="1" ht="14.25" customHeight="1"/>
    <row r="528" customFormat="1" ht="14.25" customHeight="1"/>
    <row r="529" customFormat="1" ht="14.25" customHeight="1"/>
    <row r="530" customFormat="1" ht="14.25" customHeight="1"/>
    <row r="531" customFormat="1" ht="14.25" customHeight="1"/>
    <row r="532" customFormat="1" ht="14.25" customHeight="1"/>
    <row r="533" customFormat="1" ht="14.25" customHeight="1"/>
    <row r="534" customFormat="1" ht="14.25" customHeight="1"/>
    <row r="535" customFormat="1" ht="14.25" customHeight="1"/>
    <row r="536" customFormat="1" ht="14.25" customHeight="1"/>
    <row r="537" customFormat="1" ht="14.25" customHeight="1"/>
    <row r="538" customFormat="1" ht="14.25" customHeight="1"/>
    <row r="539" customFormat="1" ht="14.25" customHeight="1"/>
    <row r="540" customFormat="1" ht="14.25" customHeight="1"/>
    <row r="541" customFormat="1" ht="14.25" customHeight="1"/>
    <row r="542" customFormat="1" ht="14.25" customHeight="1"/>
    <row r="543" customFormat="1" ht="14.25" customHeight="1"/>
    <row r="544" customFormat="1" ht="14.25" customHeight="1"/>
    <row r="545" customFormat="1" ht="14.25" customHeight="1"/>
    <row r="546" customFormat="1" ht="14.25" customHeight="1"/>
    <row r="547" customFormat="1" ht="14.25" customHeight="1"/>
    <row r="548" customFormat="1" ht="14.25" customHeight="1"/>
    <row r="549" customFormat="1" ht="14.25" customHeight="1"/>
    <row r="550" customFormat="1" ht="14.25" customHeight="1"/>
    <row r="551" customFormat="1" ht="14.25" customHeight="1"/>
    <row r="552" customFormat="1" ht="14.25" customHeight="1"/>
    <row r="553" customFormat="1" ht="14.25" customHeight="1"/>
    <row r="554" customFormat="1" ht="14.25" customHeight="1"/>
    <row r="555" customFormat="1" ht="14.25" customHeight="1"/>
    <row r="556" customFormat="1" ht="14.25" customHeight="1"/>
    <row r="557" customFormat="1" ht="14.25" customHeight="1"/>
    <row r="558" customFormat="1" ht="14.25" customHeight="1"/>
    <row r="559" customFormat="1" ht="14.25" customHeight="1"/>
    <row r="560" customFormat="1" ht="14.25" customHeight="1"/>
    <row r="561" customFormat="1" ht="14.25" customHeight="1"/>
    <row r="562" customFormat="1" ht="14.25" customHeight="1"/>
    <row r="563" customFormat="1" ht="14.25" customHeight="1"/>
    <row r="564" customFormat="1" ht="14.25" customHeight="1"/>
    <row r="565" customFormat="1" ht="14.25" customHeight="1"/>
    <row r="566" customFormat="1" ht="14.25" customHeight="1"/>
    <row r="567" customFormat="1" ht="14.25" customHeight="1"/>
    <row r="568" customFormat="1" ht="14.25" customHeight="1"/>
    <row r="569" customFormat="1" ht="14.25" customHeight="1"/>
    <row r="570" customFormat="1" ht="14.25" customHeight="1"/>
    <row r="571" customFormat="1" ht="14.25" customHeight="1"/>
    <row r="572" customFormat="1" ht="14.25" customHeight="1"/>
    <row r="573" customFormat="1" ht="14.25" customHeight="1"/>
    <row r="574" customFormat="1" ht="14.25" customHeight="1"/>
    <row r="575" customFormat="1" ht="14.25" customHeight="1"/>
    <row r="576" customFormat="1" ht="14.25" customHeight="1"/>
    <row r="577" customFormat="1" ht="14.25" customHeight="1"/>
    <row r="578" customFormat="1" ht="14.25" customHeight="1"/>
    <row r="579" customFormat="1" ht="14.25" customHeight="1"/>
    <row r="580" customFormat="1" ht="14.25" customHeight="1"/>
    <row r="581" customFormat="1" ht="14.25" customHeight="1"/>
    <row r="582" customFormat="1" ht="14.25" customHeight="1"/>
    <row r="583" customFormat="1" ht="14.25" customHeight="1"/>
    <row r="584" customFormat="1" ht="14.25" customHeight="1"/>
    <row r="585" customFormat="1" ht="14.25" customHeight="1"/>
    <row r="586" customFormat="1" ht="14.25" customHeight="1"/>
    <row r="587" customFormat="1" ht="14.25" customHeight="1"/>
    <row r="588" customFormat="1" ht="14.25" customHeight="1"/>
    <row r="589" customFormat="1" ht="14.25" customHeight="1"/>
    <row r="590" customFormat="1" ht="14.25" customHeight="1"/>
    <row r="591" customFormat="1" ht="14.25" customHeight="1"/>
    <row r="592" customFormat="1" ht="14.25" customHeight="1"/>
    <row r="593" customFormat="1" ht="14.25" customHeight="1"/>
    <row r="594" customFormat="1" ht="14.25" customHeight="1"/>
    <row r="595" customFormat="1" ht="14.25" customHeight="1"/>
    <row r="596" customFormat="1" ht="14.25" customHeight="1"/>
    <row r="597" customFormat="1" ht="14.25" customHeight="1"/>
    <row r="598" customFormat="1" ht="14.25" customHeight="1"/>
    <row r="599" customFormat="1" ht="14.25" customHeight="1"/>
    <row r="600" customFormat="1" ht="14.25" customHeight="1"/>
    <row r="601" customFormat="1" ht="14.25" customHeight="1"/>
    <row r="602" customFormat="1" ht="14.25" customHeight="1"/>
    <row r="603" customFormat="1" ht="14.25" customHeight="1"/>
    <row r="604" customFormat="1" ht="14.25" customHeight="1"/>
    <row r="605" customFormat="1" ht="14.25" customHeight="1"/>
    <row r="606" customFormat="1" ht="14.25" customHeight="1"/>
    <row r="607" customFormat="1" ht="14.25" customHeight="1"/>
    <row r="608" customFormat="1" ht="14.25" customHeight="1"/>
    <row r="609" customFormat="1" ht="14.25" customHeight="1"/>
    <row r="610" customFormat="1" ht="14.25" customHeight="1"/>
    <row r="611" customFormat="1" ht="14.25" customHeight="1"/>
    <row r="612" customFormat="1" ht="14.25" customHeight="1"/>
    <row r="613" customFormat="1" ht="14.25" customHeight="1"/>
    <row r="614" customFormat="1" ht="14.25" customHeight="1"/>
    <row r="615" customFormat="1" ht="14.25" customHeight="1"/>
    <row r="616" customFormat="1" ht="14.25" customHeight="1"/>
    <row r="617" customFormat="1" ht="14.25" customHeight="1"/>
    <row r="618" customFormat="1" ht="14.25" customHeight="1"/>
    <row r="619" customFormat="1" ht="14.25" customHeight="1"/>
    <row r="620" customFormat="1" ht="14.25" customHeight="1"/>
    <row r="621" customFormat="1" ht="14.25" customHeight="1"/>
    <row r="622" customFormat="1" ht="14.25" customHeight="1"/>
    <row r="623" customFormat="1" ht="14.25" customHeight="1"/>
    <row r="624" customFormat="1" ht="14.25" customHeight="1"/>
    <row r="625" customFormat="1" ht="14.25" customHeight="1"/>
    <row r="626" customFormat="1" ht="14.25" customHeight="1"/>
    <row r="627" customFormat="1" ht="14.25" customHeight="1"/>
    <row r="628" customFormat="1" ht="14.25" customHeight="1"/>
    <row r="629" customFormat="1" ht="14.25" customHeight="1"/>
    <row r="630" customFormat="1" ht="14.25" customHeight="1"/>
    <row r="631" customFormat="1" ht="14.25" customHeight="1"/>
    <row r="632" customFormat="1" ht="14.25" customHeight="1"/>
    <row r="633" customFormat="1" ht="14.25" customHeight="1"/>
    <row r="634" customFormat="1" ht="14.25" customHeight="1"/>
    <row r="635" customFormat="1" ht="14.25" customHeight="1"/>
    <row r="636" customFormat="1" ht="14.25" customHeight="1"/>
    <row r="637" customFormat="1" ht="14.25" customHeight="1"/>
    <row r="638" customFormat="1" ht="14.25" customHeight="1"/>
    <row r="639" customFormat="1" ht="14.25" customHeight="1"/>
    <row r="640" customFormat="1" ht="14.25" customHeight="1"/>
    <row r="641" customFormat="1" ht="14.25" customHeight="1"/>
    <row r="642" customFormat="1" ht="14.25" customHeight="1"/>
    <row r="643" customFormat="1" ht="14.25" customHeight="1"/>
    <row r="644" customFormat="1" ht="14.25" customHeight="1"/>
    <row r="645" customFormat="1" ht="14.25" customHeight="1"/>
    <row r="646" customFormat="1" ht="14.25" customHeight="1"/>
    <row r="647" customFormat="1" ht="14.25" customHeight="1"/>
    <row r="648" customFormat="1" ht="14.25" customHeight="1"/>
    <row r="649" customFormat="1" ht="14.25" customHeight="1"/>
    <row r="650" customFormat="1" ht="14.25" customHeight="1"/>
    <row r="651" customFormat="1" ht="14.25" customHeight="1"/>
    <row r="652" customFormat="1" ht="14.25" customHeight="1"/>
    <row r="653" customFormat="1" ht="14.25" customHeight="1"/>
    <row r="654" customFormat="1" ht="14.25" customHeight="1"/>
    <row r="655" customFormat="1" ht="14.25" customHeight="1"/>
    <row r="656" customFormat="1" ht="14.25" customHeight="1"/>
    <row r="657" customFormat="1" ht="14.25" customHeight="1"/>
    <row r="658" customFormat="1" ht="14.25" customHeight="1"/>
    <row r="659" customFormat="1" ht="14.25" customHeight="1"/>
    <row r="660" customFormat="1" ht="14.25" customHeight="1"/>
    <row r="661" customFormat="1" ht="14.25" customHeight="1"/>
    <row r="662" customFormat="1" ht="14.25" customHeight="1"/>
    <row r="663" customFormat="1" ht="14.25" customHeight="1"/>
    <row r="664" customFormat="1" ht="14.25" customHeight="1"/>
    <row r="665" customFormat="1" ht="14.25" customHeight="1"/>
    <row r="666" customFormat="1" ht="14.25" customHeight="1"/>
    <row r="667" customFormat="1" ht="14.25" customHeight="1"/>
    <row r="668" customFormat="1" ht="14.25" customHeight="1"/>
    <row r="669" customFormat="1" ht="14.25" customHeight="1"/>
    <row r="670" customFormat="1" ht="14.25" customHeight="1"/>
    <row r="671" customFormat="1" ht="14.25" customHeight="1"/>
    <row r="672" customFormat="1" ht="14.25" customHeight="1"/>
    <row r="673" customFormat="1" ht="14.25" customHeight="1"/>
    <row r="674" customFormat="1" ht="14.25" customHeight="1"/>
    <row r="675" customFormat="1" ht="14.25" customHeight="1"/>
    <row r="676" customFormat="1" ht="14.25" customHeight="1"/>
    <row r="677" customFormat="1" ht="14.25" customHeight="1"/>
    <row r="678" customFormat="1" ht="14.25" customHeight="1"/>
    <row r="679" customFormat="1" ht="14.25" customHeight="1"/>
    <row r="680" customFormat="1" ht="14.25" customHeight="1"/>
    <row r="681" customFormat="1" ht="14.25" customHeight="1"/>
    <row r="682" customFormat="1" ht="14.25" customHeight="1"/>
    <row r="683" customFormat="1" ht="14.25" customHeight="1"/>
    <row r="684" customFormat="1" ht="14.25" customHeight="1"/>
    <row r="685" customFormat="1" ht="14.25" customHeight="1"/>
    <row r="686" customFormat="1" ht="14.25" customHeight="1"/>
    <row r="687" customFormat="1" ht="14.25" customHeight="1"/>
    <row r="688" customFormat="1" ht="14.25" customHeight="1"/>
    <row r="689" customFormat="1" ht="14.25" customHeight="1"/>
    <row r="690" customFormat="1" ht="14.25" customHeight="1"/>
    <row r="691" customFormat="1" ht="14.25" customHeight="1"/>
    <row r="692" customFormat="1" ht="14.25" customHeight="1"/>
    <row r="693" customFormat="1" ht="14.25" customHeight="1"/>
    <row r="694" customFormat="1" ht="14.25" customHeight="1"/>
    <row r="695" customFormat="1" ht="14.25" customHeight="1"/>
    <row r="696" customFormat="1" ht="14.25" customHeight="1"/>
    <row r="697" customFormat="1" ht="14.25" customHeight="1"/>
    <row r="698" customFormat="1" ht="14.25" customHeight="1"/>
    <row r="699" customFormat="1" ht="14.25" customHeight="1"/>
    <row r="700" customFormat="1" ht="14.25" customHeight="1"/>
    <row r="701" customFormat="1" ht="14.25" customHeight="1"/>
    <row r="702" customFormat="1" ht="14.25" customHeight="1"/>
    <row r="703" customFormat="1" ht="14.25" customHeight="1"/>
    <row r="704" customFormat="1" ht="14.25" customHeight="1"/>
    <row r="705" customFormat="1" ht="14.25" customHeight="1"/>
    <row r="706" customFormat="1" ht="14.25" customHeight="1"/>
    <row r="707" customFormat="1" ht="14.25" customHeight="1"/>
    <row r="708" customFormat="1" ht="14.25" customHeight="1"/>
    <row r="709" customFormat="1" ht="14.25" customHeight="1"/>
    <row r="710" customFormat="1" ht="14.25" customHeight="1"/>
    <row r="711" customFormat="1" ht="14.25" customHeight="1"/>
    <row r="712" customFormat="1" ht="14.25" customHeight="1"/>
    <row r="713" customFormat="1" ht="14.25" customHeight="1"/>
    <row r="714" customFormat="1" ht="14.25" customHeight="1"/>
    <row r="715" customFormat="1" ht="14.25" customHeight="1"/>
    <row r="716" customFormat="1" ht="14.25" customHeight="1"/>
    <row r="717" customFormat="1" ht="14.25" customHeight="1"/>
    <row r="718" customFormat="1" ht="14.25" customHeight="1"/>
    <row r="719" customFormat="1" ht="14.25" customHeight="1"/>
    <row r="720" customFormat="1" ht="14.25" customHeight="1"/>
    <row r="721" customFormat="1" ht="14.25" customHeight="1"/>
    <row r="722" customFormat="1" ht="14.25" customHeight="1"/>
    <row r="723" customFormat="1" ht="14.25" customHeight="1"/>
    <row r="724" customFormat="1" ht="14.25" customHeight="1"/>
    <row r="725" customFormat="1" ht="14.25" customHeight="1"/>
    <row r="726" customFormat="1" ht="14.25" customHeight="1"/>
    <row r="727" customFormat="1" ht="14.25" customHeight="1"/>
    <row r="728" customFormat="1" ht="14.25" customHeight="1"/>
    <row r="729" customFormat="1" ht="14.25" customHeight="1"/>
    <row r="730" customFormat="1" ht="14.25" customHeight="1"/>
    <row r="731" customFormat="1" ht="14.25" customHeight="1"/>
    <row r="732" customFormat="1" ht="14.25" customHeight="1"/>
    <row r="733" customFormat="1" ht="14.25" customHeight="1"/>
    <row r="734" customFormat="1" ht="14.25" customHeight="1"/>
    <row r="735" customFormat="1" ht="14.25" customHeight="1"/>
    <row r="736" customFormat="1" ht="14.25" customHeight="1"/>
    <row r="737" customFormat="1" ht="14.25" customHeight="1"/>
    <row r="738" customFormat="1" ht="14.25" customHeight="1"/>
    <row r="739" customFormat="1" ht="14.25" customHeight="1"/>
    <row r="740" customFormat="1" ht="14.25" customHeight="1"/>
    <row r="741" customFormat="1" ht="14.25" customHeight="1"/>
    <row r="742" customFormat="1" ht="14.25" customHeight="1"/>
    <row r="743" customFormat="1" ht="14.25" customHeight="1"/>
    <row r="744" customFormat="1" ht="14.25" customHeight="1"/>
    <row r="745" customFormat="1" ht="14.25" customHeight="1"/>
    <row r="746" customFormat="1" ht="14.25" customHeight="1"/>
    <row r="747" customFormat="1" ht="14.25" customHeight="1"/>
    <row r="748" customFormat="1" ht="14.25" customHeight="1"/>
    <row r="749" customFormat="1" ht="14.25" customHeight="1"/>
    <row r="750" customFormat="1" ht="14.25" customHeight="1"/>
    <row r="751" customFormat="1" ht="14.25" customHeight="1"/>
    <row r="752" customFormat="1" ht="14.25" customHeight="1"/>
    <row r="753" customFormat="1" ht="14.25" customHeight="1"/>
    <row r="754" customFormat="1" ht="14.25" customHeight="1"/>
    <row r="755" customFormat="1" ht="14.25" customHeight="1"/>
    <row r="756" customFormat="1" ht="14.25" customHeight="1"/>
    <row r="757" customFormat="1" ht="14.25" customHeight="1"/>
    <row r="758" customFormat="1" ht="14.25" customHeight="1"/>
    <row r="759" customFormat="1" ht="14.25" customHeight="1"/>
    <row r="760" customFormat="1" ht="14.25" customHeight="1"/>
    <row r="761" customFormat="1" ht="14.25" customHeight="1"/>
    <row r="762" customFormat="1" ht="14.25" customHeight="1"/>
    <row r="763" customFormat="1" ht="14.25" customHeight="1"/>
    <row r="764" customFormat="1" ht="14.25" customHeight="1"/>
    <row r="765" customFormat="1" ht="14.25" customHeight="1"/>
    <row r="766" customFormat="1" ht="14.25" customHeight="1"/>
    <row r="767" customFormat="1" ht="14.25" customHeight="1"/>
    <row r="768" customFormat="1" ht="14.25" customHeight="1"/>
    <row r="769" customFormat="1" ht="14.25" customHeight="1"/>
    <row r="770" customFormat="1" ht="14.25" customHeight="1"/>
    <row r="771" customFormat="1" ht="14.25" customHeight="1"/>
    <row r="772" customFormat="1" ht="14.25" customHeight="1"/>
    <row r="773" customFormat="1" ht="14.25" customHeight="1"/>
    <row r="774" customFormat="1" ht="14.25" customHeight="1"/>
    <row r="775" customFormat="1" ht="14.25" customHeight="1"/>
    <row r="776" customFormat="1" ht="14.25" customHeight="1"/>
    <row r="777" customFormat="1" ht="14.25" customHeight="1"/>
    <row r="778" customFormat="1" ht="14.25" customHeight="1"/>
    <row r="779" customFormat="1" ht="14.25" customHeight="1"/>
    <row r="780" customFormat="1" ht="14.25" customHeight="1"/>
    <row r="781" customFormat="1" ht="14.25" customHeight="1"/>
    <row r="782" customFormat="1" ht="14.25" customHeight="1"/>
    <row r="783" customFormat="1" ht="14.25" customHeight="1"/>
    <row r="784" customFormat="1" ht="14.25" customHeight="1"/>
    <row r="785" customFormat="1" ht="14.25" customHeight="1"/>
    <row r="786" customFormat="1" ht="14.25" customHeight="1"/>
    <row r="787" customFormat="1" ht="14.25" customHeight="1"/>
    <row r="788" customFormat="1" ht="14.25" customHeight="1"/>
    <row r="789" customFormat="1" ht="14.25" customHeight="1"/>
    <row r="790" customFormat="1" ht="14.25" customHeight="1"/>
    <row r="791" customFormat="1" ht="14.25" customHeight="1"/>
    <row r="792" customFormat="1" ht="14.25" customHeight="1"/>
    <row r="793" customFormat="1" ht="14.25" customHeight="1"/>
    <row r="794" customFormat="1" ht="14.25" customHeight="1"/>
    <row r="795" customFormat="1" ht="14.25" customHeight="1"/>
    <row r="796" customFormat="1" ht="14.25" customHeight="1"/>
    <row r="797" customFormat="1" ht="14.25" customHeight="1"/>
    <row r="798" customFormat="1" ht="14.25" customHeight="1"/>
    <row r="799" customFormat="1" ht="14.25" customHeight="1"/>
    <row r="800" customFormat="1" ht="14.25" customHeight="1"/>
    <row r="801" customFormat="1" ht="14.25" customHeight="1"/>
    <row r="802" customFormat="1" ht="14.25" customHeight="1"/>
    <row r="803" customFormat="1" ht="14.25" customHeight="1"/>
    <row r="804" customFormat="1" ht="14.25" customHeight="1"/>
    <row r="805" customFormat="1" ht="14.25" customHeight="1"/>
    <row r="806" customFormat="1" ht="14.25" customHeight="1"/>
    <row r="807" customFormat="1" ht="14.25" customHeight="1"/>
    <row r="808" customFormat="1" ht="14.25" customHeight="1"/>
    <row r="809" customFormat="1" ht="14.25" customHeight="1"/>
    <row r="810" customFormat="1" ht="14.25" customHeight="1"/>
    <row r="811" customFormat="1" ht="14.25" customHeight="1"/>
    <row r="812" customFormat="1" ht="14.25" customHeight="1"/>
    <row r="813" customFormat="1" ht="14.25" customHeight="1"/>
    <row r="814" customFormat="1" ht="14.25" customHeight="1"/>
    <row r="815" customFormat="1" ht="14.25" customHeight="1"/>
    <row r="816" customFormat="1" ht="14.25" customHeight="1"/>
    <row r="817" customFormat="1" ht="14.25" customHeight="1"/>
    <row r="818" customFormat="1" ht="14.25" customHeight="1"/>
    <row r="819" customFormat="1" ht="14.25" customHeight="1"/>
    <row r="820" customFormat="1" ht="14.25" customHeight="1"/>
    <row r="821" customFormat="1" ht="14.25" customHeight="1"/>
    <row r="822" customFormat="1" ht="14.25" customHeight="1"/>
    <row r="823" customFormat="1" ht="14.25" customHeight="1"/>
    <row r="824" customFormat="1" ht="14.25" customHeight="1"/>
    <row r="825" customFormat="1" ht="14.25" customHeight="1"/>
    <row r="826" customFormat="1" ht="14.25" customHeight="1"/>
    <row r="827" customFormat="1" ht="14.25" customHeight="1"/>
    <row r="828" customFormat="1" ht="14.25" customHeight="1"/>
    <row r="829" customFormat="1" ht="14.25" customHeight="1"/>
    <row r="830" customFormat="1" ht="14.25" customHeight="1"/>
    <row r="831" customFormat="1" ht="14.25" customHeight="1"/>
    <row r="832" customFormat="1" ht="14.25" customHeight="1"/>
    <row r="833" customFormat="1" ht="14.25" customHeight="1"/>
    <row r="834" customFormat="1" ht="14.25" customHeight="1"/>
    <row r="835" customFormat="1" ht="14.25" customHeight="1"/>
    <row r="836" customFormat="1" ht="14.25" customHeight="1"/>
    <row r="837" customFormat="1" ht="14.25" customHeight="1"/>
    <row r="838" customFormat="1" ht="14.25" customHeight="1"/>
    <row r="839" customFormat="1" ht="14.25" customHeight="1"/>
    <row r="840" customFormat="1" ht="14.25" customHeight="1"/>
    <row r="841" customFormat="1" ht="14.25" customHeight="1"/>
    <row r="842" customFormat="1" ht="14.25" customHeight="1"/>
    <row r="843" customFormat="1" ht="14.25" customHeight="1"/>
    <row r="844" customFormat="1" ht="14.25" customHeight="1"/>
    <row r="845" customFormat="1" ht="14.25" customHeight="1"/>
    <row r="846" customFormat="1" ht="14.25" customHeight="1"/>
    <row r="847" customFormat="1" ht="14.25" customHeight="1"/>
    <row r="848" customFormat="1" ht="14.25" customHeight="1"/>
    <row r="849" customFormat="1" ht="14.25" customHeight="1"/>
    <row r="850" customFormat="1" ht="14.25" customHeight="1"/>
    <row r="851" customFormat="1" ht="14.25" customHeight="1"/>
    <row r="852" customFormat="1" ht="14.25" customHeight="1"/>
    <row r="853" customFormat="1" ht="14.25" customHeight="1"/>
    <row r="854" customFormat="1" ht="14.25" customHeight="1"/>
    <row r="855" customFormat="1" ht="14.25" customHeight="1"/>
    <row r="856" customFormat="1" ht="14.25" customHeight="1"/>
    <row r="857" customFormat="1" ht="14.25" customHeight="1"/>
    <row r="858" customFormat="1" ht="14.25" customHeight="1"/>
    <row r="859" customFormat="1" ht="14.25" customHeight="1"/>
    <row r="860" customFormat="1" ht="14.25" customHeight="1"/>
    <row r="861" customFormat="1" ht="14.25" customHeight="1"/>
    <row r="862" customFormat="1" ht="14.25" customHeight="1"/>
    <row r="863" customFormat="1" ht="14.25" customHeight="1"/>
    <row r="864" customFormat="1" ht="14.25" customHeight="1"/>
    <row r="865" customFormat="1" ht="14.25" customHeight="1"/>
    <row r="866" customFormat="1" ht="14.25" customHeight="1"/>
    <row r="867" customFormat="1" ht="14.25" customHeight="1"/>
    <row r="868" customFormat="1" ht="14.25" customHeight="1"/>
    <row r="869" customFormat="1" ht="14.25" customHeight="1"/>
    <row r="870" customFormat="1" ht="14.25" customHeight="1"/>
    <row r="871" customFormat="1" ht="14.25" customHeight="1"/>
    <row r="872" customFormat="1" ht="14.25" customHeight="1"/>
    <row r="873" customFormat="1" ht="14.25" customHeight="1"/>
    <row r="874" customFormat="1" ht="14.25" customHeight="1"/>
    <row r="875" customFormat="1" ht="14.25" customHeight="1"/>
    <row r="876" customFormat="1" ht="14.25" customHeight="1"/>
    <row r="877" customFormat="1" ht="14.25" customHeight="1"/>
    <row r="878" customFormat="1" ht="14.25" customHeight="1"/>
    <row r="879" customFormat="1" ht="14.25" customHeight="1"/>
    <row r="880" customFormat="1" ht="14.25" customHeight="1"/>
    <row r="881" customFormat="1" ht="14.25" customHeight="1"/>
    <row r="882" customFormat="1" ht="14.25" customHeight="1"/>
    <row r="883" customFormat="1" ht="14.25" customHeight="1"/>
    <row r="884" customFormat="1" ht="14.25" customHeight="1"/>
    <row r="885" customFormat="1" ht="14.25" customHeight="1"/>
    <row r="886" customFormat="1" ht="14.25" customHeight="1"/>
    <row r="887" customFormat="1" ht="14.25" customHeight="1"/>
    <row r="888" customFormat="1" ht="14.25" customHeight="1"/>
    <row r="889" customFormat="1" ht="14.25" customHeight="1"/>
    <row r="890" customFormat="1" ht="14.25" customHeight="1"/>
    <row r="891" customFormat="1" ht="14.25" customHeight="1"/>
    <row r="892" customFormat="1" ht="14.25" customHeight="1"/>
    <row r="893" customFormat="1" ht="14.25" customHeight="1"/>
    <row r="894" customFormat="1" ht="14.25" customHeight="1"/>
    <row r="895" customFormat="1" ht="14.25" customHeight="1"/>
    <row r="896" customFormat="1" ht="14.25" customHeight="1"/>
    <row r="897" customFormat="1" ht="14.25" customHeight="1"/>
    <row r="898" customFormat="1" ht="14.25" customHeight="1"/>
    <row r="899" customFormat="1" ht="14.25" customHeight="1"/>
    <row r="900" customFormat="1" ht="14.25" customHeight="1"/>
    <row r="901" customFormat="1" ht="14.25" customHeight="1"/>
    <row r="902" customFormat="1" ht="14.25" customHeight="1"/>
    <row r="903" customFormat="1" ht="14.25" customHeight="1"/>
    <row r="904" customFormat="1" ht="14.25" customHeight="1"/>
    <row r="905" customFormat="1" ht="14.25" customHeight="1"/>
    <row r="906" customFormat="1" ht="14.25" customHeight="1"/>
    <row r="907" customFormat="1" ht="14.25" customHeight="1"/>
    <row r="908" customFormat="1" ht="14.25" customHeight="1"/>
    <row r="909" customFormat="1" ht="14.25" customHeight="1"/>
    <row r="910" customFormat="1" ht="14.25" customHeight="1"/>
    <row r="911" customFormat="1" ht="14.25" customHeight="1"/>
    <row r="912" customFormat="1" ht="14.25" customHeight="1"/>
    <row r="913" customFormat="1" ht="14.25" customHeight="1"/>
    <row r="914" customFormat="1" ht="14.25" customHeight="1"/>
    <row r="915" customFormat="1" ht="14.25" customHeight="1"/>
    <row r="916" customFormat="1" ht="14.25" customHeight="1"/>
    <row r="917" customFormat="1" ht="14.25" customHeight="1"/>
    <row r="918" customFormat="1" ht="14.25" customHeight="1"/>
    <row r="919" customFormat="1" ht="14.25" customHeight="1"/>
    <row r="920" customFormat="1" ht="14.25" customHeight="1"/>
    <row r="921" customFormat="1" ht="14.25" customHeight="1"/>
    <row r="922" customFormat="1" ht="14.25" customHeight="1"/>
    <row r="923" customFormat="1" ht="14.25" customHeight="1"/>
    <row r="924" customFormat="1" ht="14.25" customHeight="1"/>
    <row r="925" customFormat="1" ht="14.25" customHeight="1"/>
    <row r="926" customFormat="1" ht="14.25" customHeight="1"/>
    <row r="927" customFormat="1" ht="14.25" customHeight="1"/>
    <row r="928" customFormat="1" ht="14.25" customHeight="1"/>
    <row r="929" customFormat="1" ht="14.25" customHeight="1"/>
    <row r="930" customFormat="1" ht="14.25" customHeight="1"/>
    <row r="931" customFormat="1" ht="14.25" customHeight="1"/>
    <row r="932" customFormat="1" ht="14.25" customHeight="1"/>
    <row r="933" customFormat="1" ht="14.25" customHeight="1"/>
    <row r="934" customFormat="1" ht="14.25" customHeight="1"/>
    <row r="935" customFormat="1" ht="14.25" customHeight="1"/>
    <row r="936" customFormat="1" ht="14.25" customHeight="1"/>
    <row r="937" customFormat="1" ht="14.25" customHeight="1"/>
    <row r="938" customFormat="1" ht="14.25" customHeight="1"/>
    <row r="939" customFormat="1" ht="14.25" customHeight="1"/>
    <row r="940" customFormat="1" ht="14.25" customHeight="1"/>
    <row r="941" customFormat="1" ht="14.25" customHeight="1"/>
    <row r="942" customFormat="1" ht="14.25" customHeight="1"/>
    <row r="943" customFormat="1" ht="14.25" customHeight="1"/>
    <row r="944" customFormat="1" ht="14.25" customHeight="1"/>
    <row r="945" customFormat="1" ht="14.25" customHeight="1"/>
    <row r="946" customFormat="1" ht="14.25" customHeight="1"/>
    <row r="947" customFormat="1" ht="14.25" customHeight="1"/>
    <row r="948" customFormat="1" ht="14.25" customHeight="1"/>
    <row r="949" customFormat="1" ht="14.25" customHeight="1"/>
    <row r="950" customFormat="1" ht="14.25" customHeight="1"/>
    <row r="951" customFormat="1" ht="14.25" customHeight="1"/>
    <row r="952" customFormat="1" ht="14.25" customHeight="1"/>
    <row r="953" customFormat="1" ht="14.25" customHeight="1"/>
    <row r="954" customFormat="1" ht="14.25" customHeight="1"/>
    <row r="955" customFormat="1" ht="14.25" customHeight="1"/>
    <row r="956" customFormat="1" ht="14.25" customHeight="1"/>
    <row r="957" customFormat="1" ht="14.25" customHeight="1"/>
    <row r="958" customFormat="1" ht="14.25" customHeight="1"/>
    <row r="959" customFormat="1" ht="14.25" customHeight="1"/>
    <row r="960" customFormat="1" ht="14.25" customHeight="1"/>
    <row r="961" customFormat="1" ht="14.25" customHeight="1"/>
    <row r="962" customFormat="1" ht="14.25" customHeight="1"/>
    <row r="963" customFormat="1" ht="14.25" customHeight="1"/>
    <row r="964" customFormat="1" ht="14.25" customHeight="1"/>
    <row r="965" customFormat="1" ht="14.25" customHeight="1"/>
    <row r="966" customFormat="1" ht="14.25" customHeight="1"/>
    <row r="967" customFormat="1" ht="14.25" customHeight="1"/>
    <row r="968" customFormat="1" ht="14.25" customHeight="1"/>
    <row r="969" customFormat="1" ht="14.25" customHeight="1"/>
    <row r="970" customFormat="1" ht="14.25" customHeight="1"/>
    <row r="971" customFormat="1" ht="14.25" customHeight="1"/>
    <row r="972" customFormat="1" ht="14.25" customHeight="1"/>
    <row r="973" customFormat="1" ht="14.25" customHeight="1"/>
    <row r="974" customFormat="1" ht="14.25" customHeight="1"/>
    <row r="975" customFormat="1" ht="14.25" customHeight="1"/>
    <row r="976" customFormat="1" ht="14.25" customHeight="1"/>
    <row r="977" customFormat="1" ht="14.25" customHeight="1"/>
    <row r="978" customFormat="1" ht="14.25" customHeight="1"/>
    <row r="979" customFormat="1" ht="14.25" customHeight="1"/>
    <row r="980" customFormat="1" ht="14.25" customHeight="1"/>
    <row r="981" customFormat="1" ht="14.25" customHeight="1"/>
    <row r="982" customFormat="1" ht="14.25" customHeight="1"/>
    <row r="983" customFormat="1" ht="14.25" customHeight="1"/>
    <row r="984" customFormat="1" ht="14.25" customHeight="1"/>
    <row r="985" customFormat="1" ht="14.25" customHeight="1"/>
    <row r="986" customFormat="1" ht="14.25" customHeight="1"/>
    <row r="987" customFormat="1" ht="14.25" customHeight="1"/>
    <row r="988" customFormat="1" ht="14.25" customHeight="1"/>
    <row r="989" customFormat="1" ht="14.25" customHeight="1"/>
    <row r="990" customFormat="1" ht="14.25" customHeight="1"/>
    <row r="991" customFormat="1" ht="14.25" customHeight="1"/>
    <row r="992" customFormat="1" ht="14.25" customHeight="1"/>
    <row r="993" customFormat="1" ht="14.25" customHeight="1"/>
    <row r="994" customFormat="1" ht="14.25" customHeight="1"/>
    <row r="995" customFormat="1" ht="14.25" customHeight="1"/>
    <row r="996" customFormat="1" ht="14.25" customHeight="1"/>
    <row r="997" customFormat="1" ht="14.25" customHeight="1"/>
    <row r="998" customFormat="1" ht="14.25" customHeight="1"/>
    <row r="999" customFormat="1" ht="14.25" customHeight="1"/>
    <row r="1000" customFormat="1" ht="14.2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  <outlinePr summaryBelow="0" summaryRight="0"/>
  </sheetPr>
  <dimension ref="A1:AG2"/>
  <sheetViews>
    <sheetView topLeftCell="K1" workbookViewId="0">
      <selection activeCell="B2" sqref="B2"/>
    </sheetView>
  </sheetViews>
  <sheetFormatPr baseColWidth="10" defaultColWidth="14.5" defaultRowHeight="15" customHeight="1"/>
  <cols>
    <col min="1" max="1" width="24" customWidth="1"/>
  </cols>
  <sheetData>
    <row r="1" spans="1:33">
      <c r="A1" t="s">
        <v>52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53</v>
      </c>
      <c r="B2">
        <f>'Electricity price'!G30</f>
        <v>194.79883654000002</v>
      </c>
      <c r="C2">
        <f>'Electricity price'!G31</f>
        <v>184.24323455999999</v>
      </c>
      <c r="D2">
        <f>'Electricity price'!$G$32</f>
        <v>183.28363438</v>
      </c>
      <c r="E2">
        <f>'Electricity price'!$G$32</f>
        <v>183.28363438</v>
      </c>
      <c r="F2">
        <f>'Electricity price'!$G$32</f>
        <v>183.28363438</v>
      </c>
      <c r="G2">
        <f>'Electricity price'!$G$32</f>
        <v>183.28363438</v>
      </c>
      <c r="H2">
        <f>'Electricity price'!$G$32</f>
        <v>183.28363438</v>
      </c>
      <c r="I2">
        <f>'Electricity price'!$G$32</f>
        <v>183.28363438</v>
      </c>
      <c r="J2">
        <f>'Electricity price'!$G$32</f>
        <v>183.28363438</v>
      </c>
      <c r="K2">
        <f>'Electricity price'!$G$32</f>
        <v>183.28363438</v>
      </c>
      <c r="L2">
        <f>'Electricity price'!$G$32</f>
        <v>183.28363438</v>
      </c>
      <c r="M2">
        <f>'Electricity price'!$G$32</f>
        <v>183.28363438</v>
      </c>
      <c r="N2">
        <f>'Electricity price'!$G$32</f>
        <v>183.28363438</v>
      </c>
      <c r="O2">
        <f>'Electricity price'!$G$32</f>
        <v>183.28363438</v>
      </c>
      <c r="P2">
        <f>'Electricity price'!$G$32</f>
        <v>183.28363438</v>
      </c>
      <c r="Q2">
        <f>'Electricity price'!$G$32</f>
        <v>183.28363438</v>
      </c>
      <c r="R2">
        <f>'Electricity price'!$G$32</f>
        <v>183.28363438</v>
      </c>
      <c r="S2">
        <f>'Electricity price'!$G$32</f>
        <v>183.28363438</v>
      </c>
      <c r="T2">
        <f>'Electricity price'!$G$32</f>
        <v>183.28363438</v>
      </c>
      <c r="U2">
        <f>'Electricity price'!$G$32</f>
        <v>183.28363438</v>
      </c>
      <c r="V2">
        <f>'Electricity price'!$G$32</f>
        <v>183.28363438</v>
      </c>
      <c r="W2">
        <f>'Electricity price'!$G$32</f>
        <v>183.28363438</v>
      </c>
      <c r="X2">
        <f>'Electricity price'!$G$32</f>
        <v>183.28363438</v>
      </c>
      <c r="Y2">
        <f>'Electricity price'!$G$32</f>
        <v>183.28363438</v>
      </c>
      <c r="Z2">
        <f>'Electricity price'!$G$32</f>
        <v>183.28363438</v>
      </c>
      <c r="AA2">
        <f>'Electricity price'!$G$32</f>
        <v>183.28363438</v>
      </c>
      <c r="AB2">
        <f>'Electricity price'!$G$32</f>
        <v>183.28363438</v>
      </c>
      <c r="AC2">
        <f>'Electricity price'!$G$32</f>
        <v>183.28363438</v>
      </c>
      <c r="AD2">
        <f>'Electricity price'!$G$32</f>
        <v>183.28363438</v>
      </c>
      <c r="AE2">
        <f>'Electricity price'!$G$32</f>
        <v>183.28363438</v>
      </c>
      <c r="AF2">
        <f>'Electricity price'!$G$32</f>
        <v>183.28363438</v>
      </c>
      <c r="AG2">
        <f>'Electricity price'!$G$32</f>
        <v>183.28363438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  <outlinePr summaryBelow="0" summaryRight="0"/>
  </sheetPr>
  <dimension ref="A1:AG2"/>
  <sheetViews>
    <sheetView tabSelected="1" workbookViewId="0">
      <selection activeCell="D8" sqref="D8"/>
    </sheetView>
  </sheetViews>
  <sheetFormatPr baseColWidth="10" defaultColWidth="14.5" defaultRowHeight="15" customHeight="1"/>
  <cols>
    <col min="1" max="1" width="24" customWidth="1"/>
  </cols>
  <sheetData>
    <row r="1" spans="1:33">
      <c r="A1" t="s">
        <v>52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54</v>
      </c>
      <c r="B2">
        <f>'Electricity price'!G30</f>
        <v>194.79883654000002</v>
      </c>
      <c r="C2">
        <f>'Electricity price'!G31</f>
        <v>184.24323455999999</v>
      </c>
      <c r="D2">
        <f>'Electricity price'!$G$32</f>
        <v>183.28363438</v>
      </c>
      <c r="E2">
        <f>'Electricity price'!$G$32</f>
        <v>183.28363438</v>
      </c>
      <c r="F2">
        <f>'Electricity price'!$G$32</f>
        <v>183.28363438</v>
      </c>
      <c r="G2">
        <f>'Electricity price'!$G$32</f>
        <v>183.28363438</v>
      </c>
      <c r="H2">
        <f>'Electricity price'!$G$32</f>
        <v>183.28363438</v>
      </c>
      <c r="I2">
        <f>'Electricity price'!$G$32</f>
        <v>183.28363438</v>
      </c>
      <c r="J2">
        <f>'Electricity price'!$G$32</f>
        <v>183.28363438</v>
      </c>
      <c r="K2">
        <f>'Electricity price'!$G$32</f>
        <v>183.28363438</v>
      </c>
      <c r="L2">
        <f>'Electricity price'!$G$32</f>
        <v>183.28363438</v>
      </c>
      <c r="M2">
        <f>'Electricity price'!$G$32</f>
        <v>183.28363438</v>
      </c>
      <c r="N2">
        <f>'Electricity price'!$G$32</f>
        <v>183.28363438</v>
      </c>
      <c r="O2">
        <f>'Electricity price'!$G$32</f>
        <v>183.28363438</v>
      </c>
      <c r="P2">
        <f>'Electricity price'!$G$32</f>
        <v>183.28363438</v>
      </c>
      <c r="Q2">
        <f>'Electricity price'!$G$32</f>
        <v>183.28363438</v>
      </c>
      <c r="R2">
        <f>'Electricity price'!$G$32</f>
        <v>183.28363438</v>
      </c>
      <c r="S2">
        <f>'Electricity price'!$G$32</f>
        <v>183.28363438</v>
      </c>
      <c r="T2">
        <f>'Electricity price'!$G$32</f>
        <v>183.28363438</v>
      </c>
      <c r="U2">
        <f>'Electricity price'!$G$32</f>
        <v>183.28363438</v>
      </c>
      <c r="V2">
        <f>'Electricity price'!$G$32</f>
        <v>183.28363438</v>
      </c>
      <c r="W2">
        <f>'Electricity price'!$G$32</f>
        <v>183.28363438</v>
      </c>
      <c r="X2">
        <f>'Electricity price'!$G$32</f>
        <v>183.28363438</v>
      </c>
      <c r="Y2">
        <f>'Electricity price'!$G$32</f>
        <v>183.28363438</v>
      </c>
      <c r="Z2">
        <f>'Electricity price'!$G$32</f>
        <v>183.28363438</v>
      </c>
      <c r="AA2">
        <f>'Electricity price'!$G$32</f>
        <v>183.28363438</v>
      </c>
      <c r="AB2">
        <f>'Electricity price'!$G$32</f>
        <v>183.28363438</v>
      </c>
      <c r="AC2">
        <f>'Electricity price'!$G$32</f>
        <v>183.28363438</v>
      </c>
      <c r="AD2">
        <f>'Electricity price'!$G$32</f>
        <v>183.28363438</v>
      </c>
      <c r="AE2">
        <f>'Electricity price'!$G$32</f>
        <v>183.28363438</v>
      </c>
      <c r="AF2">
        <f>'Electricity price'!$G$32</f>
        <v>183.28363438</v>
      </c>
      <c r="AG2">
        <f>'Electricity price'!$G$32</f>
        <v>183.28363438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Electricity import</vt:lpstr>
      <vt:lpstr>Electricity price</vt:lpstr>
      <vt:lpstr>EIaE-BIE</vt:lpstr>
      <vt:lpstr>EIaE-BEE</vt:lpstr>
      <vt:lpstr>EIaE-IEP</vt:lpstr>
      <vt:lpstr>EIaE-BEEP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</dc:creator>
  <cp:lastModifiedBy>Sy, Saidou Abdoulaye</cp:lastModifiedBy>
  <dcterms:created xsi:type="dcterms:W3CDTF">2021-03-03T17:32:07Z</dcterms:created>
  <dcterms:modified xsi:type="dcterms:W3CDTF">2025-03-09T07:06:08Z</dcterms:modified>
</cp:coreProperties>
</file>