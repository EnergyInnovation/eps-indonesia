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BCRbQ/"/>
    </mc:Choice>
  </mc:AlternateContent>
  <xr:revisionPtr revIDLastSave="0" documentId="13_ncr:1_{8D60CC50-7280-3E47-BB25-89FDB285D75B}" xr6:coauthVersionLast="47" xr6:coauthVersionMax="47" xr10:uidLastSave="{00000000-0000-0000-0000-000000000000}"/>
  <bookViews>
    <workbookView xWindow="0" yWindow="780" windowWidth="34200" windowHeight="21360" activeTab="2" xr2:uid="{00000000-000D-0000-FFFF-FFFF00000000}"/>
  </bookViews>
  <sheets>
    <sheet name="About" sheetId="1" r:id="rId1"/>
    <sheet name="coal retirement" sheetId="2" r:id="rId2"/>
    <sheet name="BCRbQ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fIHddFfJb1b0QQ52QGICZs2MuYHQ416XNgEnaK8Ewo="/>
    </ext>
  </extLst>
</workbook>
</file>

<file path=xl/calcChain.xml><?xml version="1.0" encoding="utf-8"?>
<calcChain xmlns="http://schemas.openxmlformats.org/spreadsheetml/2006/main">
  <c r="M2" i="3" l="1"/>
  <c r="H2" i="3"/>
  <c r="AB9" i="2"/>
  <c r="AC9" i="2"/>
  <c r="AD9" i="2"/>
  <c r="AE9" i="2"/>
  <c r="AF9" i="2"/>
  <c r="AG9" i="2"/>
  <c r="AH9" i="2"/>
  <c r="AI9" i="2"/>
  <c r="AJ9" i="2"/>
  <c r="AK9" i="2"/>
  <c r="AL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B9" i="2"/>
  <c r="AM9" i="2"/>
  <c r="AI5" i="2"/>
  <c r="AN9" i="2" l="1"/>
  <c r="AO9" i="2" l="1"/>
  <c r="AP9" i="2" l="1"/>
  <c r="AQ9" i="2" l="1"/>
  <c r="AR9" i="2" l="1"/>
  <c r="AS9" i="2" l="1"/>
  <c r="AT9" i="2" l="1"/>
  <c r="AU9" i="2" l="1"/>
  <c r="AV9" i="2" l="1"/>
  <c r="AW9" i="2" l="1"/>
  <c r="AX9" i="2" l="1"/>
  <c r="AY9" i="2" l="1"/>
  <c r="BA9" i="2" l="1"/>
  <c r="AZ9" i="2"/>
</calcChain>
</file>

<file path=xl/sharedStrings.xml><?xml version="1.0" encoding="utf-8"?>
<sst xmlns="http://schemas.openxmlformats.org/spreadsheetml/2006/main" count="42" uniqueCount="42">
  <si>
    <t>BCRbQ BAU Capacity Retirements before Quantization</t>
  </si>
  <si>
    <t>Sources:</t>
  </si>
  <si>
    <t>Coal power plant retirement</t>
  </si>
  <si>
    <t>PLN</t>
  </si>
  <si>
    <t>Transformasi Batubara Menuju EBT, Strategi PLN Menuju Carbon Neutral 2060</t>
  </si>
  <si>
    <t>Paparan Dirut PLN (saved by IESR, not available online)</t>
  </si>
  <si>
    <t>page 3</t>
  </si>
  <si>
    <t>Notes</t>
  </si>
  <si>
    <t>Retirement schedule is only available for coal power plant.</t>
  </si>
  <si>
    <t>coal power plant retirement schedule</t>
  </si>
  <si>
    <t>interpolated (2046 to 2050)</t>
  </si>
  <si>
    <t>year</t>
  </si>
  <si>
    <t>capacity (MW)</t>
  </si>
  <si>
    <t>known:</t>
  </si>
  <si>
    <t>BAU Capacity Retirements (MW)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</si>
  <si>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</si>
  <si>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</si>
  <si>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</si>
  <si>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</si>
  <si>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</si>
  <si>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</si>
  <si>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</si>
  <si>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</si>
  <si>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</si>
  <si>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</si>
  <si>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</si>
  <si>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biogas</t>
  </si>
  <si>
    <t>lignite</t>
  </si>
  <si>
    <t>offshore wind</t>
  </si>
  <si>
    <t>crude oil</t>
  </si>
  <si>
    <t>heavy or residual fuel oil</t>
  </si>
  <si>
    <t>municipal solid waste</t>
  </si>
  <si>
    <t>Growth rate</t>
  </si>
  <si>
    <t>capacity (GW)</t>
  </si>
  <si>
    <t>GW to MW</t>
  </si>
  <si>
    <t>coal</t>
  </si>
  <si>
    <t>Capacity retirements (MW)</t>
  </si>
  <si>
    <t>2020-2025</t>
  </si>
  <si>
    <t>2026-2030</t>
  </si>
  <si>
    <t>2031-2035</t>
  </si>
  <si>
    <t>2036-2040</t>
  </si>
  <si>
    <t>2041-2045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</si>
</sst>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1" fontId="1" fillId="0" borderId="0" xfId="0" applyNumberFormat="1" applyFont="1" applyAlignment="1">
      <alignment wrapText="1"/>
    </xf>
    <xf numFmtId="1" fontId="1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22224</xdr:rowOff>
    </xdr:from>
    <xdr:ext cx="7912100" cy="4054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333624"/>
          <a:ext cx="7912100" cy="40544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419100</xdr:colOff>
      <xdr:row>37</xdr:row>
      <xdr:rowOff>101600</xdr:rowOff>
    </xdr:from>
    <xdr:to>
      <xdr:col>28</xdr:col>
      <xdr:colOff>381000</xdr:colOff>
      <xdr:row>70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E7F1FC-B333-8796-9C14-49992B89A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7000" y="6680200"/>
          <a:ext cx="9867900" cy="590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8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64.6640625" customWidth="1"/>
    <col min="3" max="26" width="8.6640625" customWidth="1"/>
  </cols>
  <sheetData>
    <row r="1" spans="1:2" ht="14.25" customHeight="1" x14ac:dyDescent="0.2">
      <c r="A1" s="1" t="s">
        <v>0</v>
      </c>
    </row>
    <row r="2" spans="1:2" ht="14.25" customHeight="1" x14ac:dyDescent="0.2"/>
    <row r="3" spans="1:2" ht="14.25" customHeight="1" x14ac:dyDescent="0.2">
      <c r="A3" s="1" t="s">
        <v>1</v>
      </c>
      <c r="B3" s="2" t="s">
        <v>2</v>
      </c>
    </row>
    <row r="4" spans="1:2" ht="14.25" customHeight="1" x14ac:dyDescent="0.2">
      <c r="B4" t="s">
        <v>3</v>
      </c>
    </row>
    <row r="5" spans="1:2" ht="14.25" customHeight="1" x14ac:dyDescent="0.2">
      <c r="B5" s="3" t="s">
        <v>4</v>
      </c>
    </row>
    <row r="6" spans="1:2" ht="14.25" customHeight="1" x14ac:dyDescent="0.2">
      <c r="B6" t="s">
        <v>5</v>
      </c>
    </row>
    <row r="7" spans="1:2" ht="14.25" customHeight="1" x14ac:dyDescent="0.2">
      <c r="B7" t="s">
        <v>6</v>
      </c>
    </row>
    <row r="8" spans="1:2" ht="14.25" customHeight="1" x14ac:dyDescent="0.2"/>
    <row r="9" spans="1:2" ht="14.25" customHeight="1" x14ac:dyDescent="0.2"/>
    <row r="10" spans="1:2" ht="14.25" customHeight="1" x14ac:dyDescent="0.2">
      <c r="A10" s="1" t="s">
        <v>7</v>
      </c>
      <c r="B10" s="4" t="s">
        <v>8</v>
      </c>
    </row>
    <row r="11" spans="1:2" ht="14.25" customHeight="1" x14ac:dyDescent="0.2">
      <c r="B11" s="4"/>
    </row>
    <row r="12" spans="1:2" ht="14.25" customHeight="1" x14ac:dyDescent="0.2">
      <c r="B12" s="4"/>
    </row>
    <row r="13" spans="1:2" ht="14.25" customHeight="1" x14ac:dyDescent="0.2">
      <c r="B13" s="4"/>
    </row>
    <row r="14" spans="1:2" ht="14.25" customHeight="1" x14ac:dyDescent="0.2">
      <c r="B14" s="4"/>
    </row>
    <row r="15" spans="1:2" ht="14.25" customHeight="1" x14ac:dyDescent="0.2">
      <c r="B15" s="4"/>
    </row>
    <row r="16" spans="1:2" ht="14.25" customHeight="1" x14ac:dyDescent="0.2">
      <c r="B16" s="4"/>
    </row>
    <row r="17" spans="2:2" ht="14.25" customHeight="1" x14ac:dyDescent="0.2">
      <c r="B17" s="4"/>
    </row>
    <row r="18" spans="2:2" ht="14.25" customHeight="1" x14ac:dyDescent="0.2"/>
    <row r="19" spans="2:2" ht="14.25" customHeight="1" x14ac:dyDescent="0.2"/>
    <row r="20" spans="2:2" ht="14.25" customHeight="1" x14ac:dyDescent="0.2"/>
    <row r="21" spans="2:2" ht="14.25" customHeight="1" x14ac:dyDescent="0.2"/>
    <row r="22" spans="2:2" ht="14.25" customHeight="1" x14ac:dyDescent="0.2"/>
    <row r="23" spans="2:2" ht="14.25" customHeight="1" x14ac:dyDescent="0.2"/>
    <row r="24" spans="2:2" ht="14.25" customHeight="1" x14ac:dyDescent="0.2"/>
    <row r="25" spans="2:2" ht="14.25" customHeight="1" x14ac:dyDescent="0.2"/>
    <row r="26" spans="2:2" ht="14.25" customHeight="1" x14ac:dyDescent="0.2"/>
    <row r="27" spans="2:2" ht="14.25" customHeight="1" x14ac:dyDescent="0.2"/>
    <row r="28" spans="2:2" ht="14.25" customHeight="1" x14ac:dyDescent="0.2"/>
    <row r="29" spans="2:2" ht="14.25" customHeight="1" x14ac:dyDescent="0.2"/>
    <row r="30" spans="2:2" ht="14.25" customHeight="1" x14ac:dyDescent="0.2"/>
    <row r="31" spans="2:2" ht="14.25" customHeight="1" x14ac:dyDescent="0.2"/>
    <row r="32" spans="2: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000"/>
  <sheetViews>
    <sheetView topLeftCell="A15" workbookViewId="0">
      <selection activeCell="H44" sqref="H44"/>
    </sheetView>
  </sheetViews>
  <sheetFormatPr baseColWidth="10" defaultColWidth="14.5" defaultRowHeight="15" customHeight="1" x14ac:dyDescent="0.2"/>
  <cols>
    <col min="1" max="1" width="8.83203125" customWidth="1"/>
    <col min="2" max="38" width="8.6640625" customWidth="1"/>
  </cols>
  <sheetData>
    <row r="1" spans="1:53" ht="14.25" customHeight="1" x14ac:dyDescent="0.2">
      <c r="B1" s="1" t="s">
        <v>9</v>
      </c>
      <c r="AC1" s="5" t="s">
        <v>10</v>
      </c>
    </row>
    <row r="2" spans="1:53" ht="14.25" customHeight="1" x14ac:dyDescent="0.2">
      <c r="A2" s="1" t="s">
        <v>11</v>
      </c>
      <c r="B2" s="1">
        <v>2019</v>
      </c>
      <c r="C2" s="1">
        <v>2020</v>
      </c>
      <c r="D2" s="1">
        <v>2021</v>
      </c>
      <c r="E2" s="1">
        <v>2022</v>
      </c>
      <c r="F2" s="1">
        <v>2023</v>
      </c>
      <c r="G2" s="1">
        <v>2024</v>
      </c>
      <c r="H2" s="1">
        <v>2025</v>
      </c>
      <c r="I2" s="1">
        <v>2026</v>
      </c>
      <c r="J2" s="1">
        <v>2027</v>
      </c>
      <c r="K2" s="1">
        <v>2028</v>
      </c>
      <c r="L2" s="1">
        <v>2029</v>
      </c>
      <c r="M2" s="1">
        <v>2030</v>
      </c>
      <c r="N2" s="1">
        <v>2031</v>
      </c>
      <c r="O2" s="1">
        <v>2032</v>
      </c>
      <c r="P2" s="1">
        <v>2033</v>
      </c>
      <c r="Q2" s="1">
        <v>2034</v>
      </c>
      <c r="R2" s="1">
        <v>2035</v>
      </c>
      <c r="S2" s="1">
        <v>2036</v>
      </c>
      <c r="T2" s="1">
        <v>2037</v>
      </c>
      <c r="U2" s="1">
        <v>2038</v>
      </c>
      <c r="V2" s="1">
        <v>2039</v>
      </c>
      <c r="W2" s="1">
        <v>2040</v>
      </c>
      <c r="X2" s="1">
        <v>2041</v>
      </c>
      <c r="Y2" s="1">
        <v>2042</v>
      </c>
      <c r="Z2" s="1">
        <v>2043</v>
      </c>
      <c r="AA2" s="1">
        <v>2044</v>
      </c>
      <c r="AB2" s="1">
        <v>2045</v>
      </c>
      <c r="AC2" s="1">
        <v>2046</v>
      </c>
      <c r="AD2" s="1">
        <v>2047</v>
      </c>
      <c r="AE2" s="1">
        <v>2048</v>
      </c>
      <c r="AF2" s="1">
        <v>2049</v>
      </c>
      <c r="AG2" s="1">
        <v>2050</v>
      </c>
      <c r="AH2" s="1">
        <v>2051</v>
      </c>
      <c r="AI2" s="1">
        <v>2052</v>
      </c>
      <c r="AJ2" s="1">
        <v>2053</v>
      </c>
      <c r="AK2" s="1">
        <v>2054</v>
      </c>
      <c r="AL2" s="1">
        <v>2055</v>
      </c>
      <c r="AM2" s="7">
        <v>2056</v>
      </c>
      <c r="AN2" s="7">
        <v>2057</v>
      </c>
      <c r="AO2" s="7">
        <v>2058</v>
      </c>
      <c r="AP2" s="7">
        <v>2059</v>
      </c>
      <c r="AQ2" s="7">
        <v>2060</v>
      </c>
      <c r="AR2" s="7">
        <v>2061</v>
      </c>
      <c r="AS2" s="7">
        <v>2062</v>
      </c>
      <c r="AT2" s="7">
        <v>2063</v>
      </c>
      <c r="AU2" s="7">
        <v>2064</v>
      </c>
      <c r="AV2" s="7">
        <v>2065</v>
      </c>
      <c r="AW2" s="7">
        <v>2066</v>
      </c>
      <c r="AX2" s="7">
        <v>2067</v>
      </c>
      <c r="AY2" s="7">
        <v>2068</v>
      </c>
      <c r="AZ2" s="7">
        <v>2069</v>
      </c>
      <c r="BA2" s="7">
        <v>2070</v>
      </c>
    </row>
    <row r="3" spans="1:53" ht="14.25" customHeight="1" x14ac:dyDescent="0.2">
      <c r="A3" s="1" t="s">
        <v>33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1.1000000000000001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10</v>
      </c>
      <c r="X3" s="5">
        <v>0</v>
      </c>
      <c r="Y3" s="5">
        <v>0</v>
      </c>
      <c r="Z3" s="5">
        <v>0</v>
      </c>
      <c r="AA3" s="5">
        <v>0</v>
      </c>
      <c r="AB3" s="5">
        <v>24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5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</row>
    <row r="4" spans="1:53" ht="14.25" customHeight="1" x14ac:dyDescent="0.2"/>
    <row r="5" spans="1:53" ht="14.25" customHeight="1" x14ac:dyDescent="0.2">
      <c r="A5" s="5" t="s">
        <v>34</v>
      </c>
      <c r="B5">
        <v>1000</v>
      </c>
      <c r="AB5" s="5" t="s">
        <v>13</v>
      </c>
      <c r="AH5" s="5" t="s">
        <v>32</v>
      </c>
      <c r="AI5" t="e">
        <f>(AL3-AK3)/AK3</f>
        <v>#DIV/0!</v>
      </c>
    </row>
    <row r="6" spans="1:53" ht="14.25" customHeight="1" x14ac:dyDescent="0.2">
      <c r="AB6" s="1">
        <v>2045</v>
      </c>
      <c r="AC6" s="1">
        <v>2055</v>
      </c>
    </row>
    <row r="7" spans="1:53" ht="14.25" customHeight="1" x14ac:dyDescent="0.2">
      <c r="AB7">
        <v>24</v>
      </c>
      <c r="AC7">
        <v>5</v>
      </c>
    </row>
    <row r="8" spans="1:53" ht="14.25" customHeight="1" x14ac:dyDescent="0.2"/>
    <row r="9" spans="1:53" ht="14.25" customHeight="1" x14ac:dyDescent="0.2">
      <c r="A9" s="11" t="s">
        <v>12</v>
      </c>
      <c r="B9" s="10">
        <f t="shared" ref="B9:AB9" si="0">B3*$B$5</f>
        <v>0</v>
      </c>
      <c r="C9" s="10">
        <f t="shared" si="0"/>
        <v>0</v>
      </c>
      <c r="D9" s="10">
        <f t="shared" si="0"/>
        <v>0</v>
      </c>
      <c r="E9" s="10">
        <f t="shared" si="0"/>
        <v>0</v>
      </c>
      <c r="F9" s="10">
        <f t="shared" si="0"/>
        <v>0</v>
      </c>
      <c r="G9" s="10">
        <f t="shared" si="0"/>
        <v>0</v>
      </c>
      <c r="H9" s="10">
        <f t="shared" si="0"/>
        <v>1100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1000</v>
      </c>
      <c r="N9" s="10">
        <f t="shared" si="0"/>
        <v>0</v>
      </c>
      <c r="O9" s="10">
        <f t="shared" si="0"/>
        <v>0</v>
      </c>
      <c r="P9" s="10">
        <f t="shared" si="0"/>
        <v>0</v>
      </c>
      <c r="Q9" s="10">
        <f t="shared" si="0"/>
        <v>0</v>
      </c>
      <c r="R9" s="10">
        <f t="shared" si="0"/>
        <v>0</v>
      </c>
      <c r="S9" s="10">
        <f t="shared" si="0"/>
        <v>0</v>
      </c>
      <c r="T9" s="10">
        <f t="shared" si="0"/>
        <v>0</v>
      </c>
      <c r="U9" s="10">
        <f t="shared" si="0"/>
        <v>0</v>
      </c>
      <c r="V9" s="10">
        <f t="shared" si="0"/>
        <v>0</v>
      </c>
      <c r="W9" s="10">
        <f t="shared" si="0"/>
        <v>10000</v>
      </c>
      <c r="X9" s="10">
        <f t="shared" si="0"/>
        <v>0</v>
      </c>
      <c r="Y9" s="10">
        <f t="shared" si="0"/>
        <v>0</v>
      </c>
      <c r="Z9" s="10">
        <f t="shared" si="0"/>
        <v>0</v>
      </c>
      <c r="AA9" s="10">
        <f t="shared" si="0"/>
        <v>0</v>
      </c>
      <c r="AB9" s="10">
        <f t="shared" si="0"/>
        <v>24000</v>
      </c>
      <c r="AC9" s="10">
        <f t="shared" ref="AC9:BA9" si="1">AC3*$B$5</f>
        <v>0</v>
      </c>
      <c r="AD9" s="10">
        <f t="shared" si="1"/>
        <v>0</v>
      </c>
      <c r="AE9" s="10">
        <f t="shared" si="1"/>
        <v>0</v>
      </c>
      <c r="AF9" s="10">
        <f t="shared" si="1"/>
        <v>0</v>
      </c>
      <c r="AG9" s="10">
        <f t="shared" si="1"/>
        <v>0</v>
      </c>
      <c r="AH9" s="10">
        <f t="shared" si="1"/>
        <v>0</v>
      </c>
      <c r="AI9" s="10">
        <f t="shared" si="1"/>
        <v>0</v>
      </c>
      <c r="AJ9" s="10">
        <f t="shared" si="1"/>
        <v>0</v>
      </c>
      <c r="AK9" s="10">
        <f t="shared" si="1"/>
        <v>0</v>
      </c>
      <c r="AL9" s="10">
        <f t="shared" si="1"/>
        <v>5000</v>
      </c>
      <c r="AM9" s="10">
        <f t="shared" si="1"/>
        <v>0</v>
      </c>
      <c r="AN9" s="10">
        <f t="shared" si="1"/>
        <v>0</v>
      </c>
      <c r="AO9" s="10">
        <f t="shared" si="1"/>
        <v>0</v>
      </c>
      <c r="AP9" s="10">
        <f t="shared" si="1"/>
        <v>0</v>
      </c>
      <c r="AQ9" s="10">
        <f t="shared" si="1"/>
        <v>0</v>
      </c>
      <c r="AR9" s="10">
        <f t="shared" si="1"/>
        <v>0</v>
      </c>
      <c r="AS9" s="10">
        <f t="shared" si="1"/>
        <v>0</v>
      </c>
      <c r="AT9" s="10">
        <f t="shared" si="1"/>
        <v>0</v>
      </c>
      <c r="AU9" s="10">
        <f t="shared" si="1"/>
        <v>0</v>
      </c>
      <c r="AV9" s="10">
        <f t="shared" si="1"/>
        <v>0</v>
      </c>
      <c r="AW9" s="10">
        <f t="shared" si="1"/>
        <v>0</v>
      </c>
      <c r="AX9" s="10">
        <f t="shared" si="1"/>
        <v>0</v>
      </c>
      <c r="AY9" s="10">
        <f t="shared" si="1"/>
        <v>0</v>
      </c>
      <c r="AZ9" s="10">
        <f t="shared" si="1"/>
        <v>0</v>
      </c>
      <c r="BA9" s="10">
        <f t="shared" si="1"/>
        <v>0</v>
      </c>
    </row>
    <row r="10" spans="1:53" ht="14.25" customHeight="1" x14ac:dyDescent="0.2"/>
    <row r="11" spans="1:53" ht="14.25" customHeight="1" x14ac:dyDescent="0.2"/>
    <row r="12" spans="1:53" ht="14.25" customHeight="1" x14ac:dyDescent="0.2"/>
    <row r="13" spans="1:53" ht="14.25" customHeight="1" x14ac:dyDescent="0.2"/>
    <row r="14" spans="1:53" ht="14.25" customHeight="1" x14ac:dyDescent="0.2"/>
    <row r="15" spans="1:53" ht="14.25" customHeight="1" x14ac:dyDescent="0.2"/>
    <row r="16" spans="1:5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spans="1:7" ht="14.25" customHeight="1" x14ac:dyDescent="0.2"/>
    <row r="34" spans="1:7" ht="14.25" customHeight="1" x14ac:dyDescent="0.2"/>
    <row r="35" spans="1:7" ht="14.25" customHeight="1" x14ac:dyDescent="0.2"/>
    <row r="36" spans="1:7" ht="14.25" customHeight="1" x14ac:dyDescent="0.2"/>
    <row r="37" spans="1:7" ht="14.25" customHeight="1" x14ac:dyDescent="0.2"/>
    <row r="38" spans="1:7" ht="14.25" customHeight="1" x14ac:dyDescent="0.2"/>
    <row r="39" spans="1:7" ht="14.25" customHeight="1" x14ac:dyDescent="0.2"/>
    <row r="40" spans="1:7" ht="14.25" customHeight="1" x14ac:dyDescent="0.2"/>
    <row r="41" spans="1:7" ht="14.25" customHeight="1" x14ac:dyDescent="0.2">
      <c r="A41" s="5" t="s">
        <v>36</v>
      </c>
      <c r="C41" s="5" t="s">
        <v>37</v>
      </c>
      <c r="D41" s="5" t="s">
        <v>38</v>
      </c>
      <c r="E41" s="5" t="s">
        <v>39</v>
      </c>
      <c r="F41" s="5" t="s">
        <v>40</v>
      </c>
      <c r="G41" s="5" t="s">
        <v>41</v>
      </c>
    </row>
    <row r="42" spans="1:7" ht="14.25" customHeight="1" x14ac:dyDescent="0.2">
      <c r="A42" s="5" t="s">
        <v>35</v>
      </c>
      <c r="C42">
        <v>4200</v>
      </c>
      <c r="D42">
        <v>1900</v>
      </c>
      <c r="E42">
        <v>8000</v>
      </c>
      <c r="F42">
        <v>6100</v>
      </c>
      <c r="G42">
        <v>27700</v>
      </c>
    </row>
    <row r="43" spans="1:7" ht="14.25" customHeight="1" x14ac:dyDescent="0.2"/>
    <row r="44" spans="1:7" ht="14.25" customHeight="1" x14ac:dyDescent="0.2"/>
    <row r="45" spans="1:7" ht="14.25" customHeight="1" x14ac:dyDescent="0.2"/>
    <row r="46" spans="1:7" ht="14.25" customHeight="1" x14ac:dyDescent="0.2"/>
    <row r="47" spans="1:7" ht="14.25" customHeight="1" x14ac:dyDescent="0.2"/>
    <row r="48" spans="1:7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4E79"/>
  </sheetPr>
  <dimension ref="A1:BA1001"/>
  <sheetViews>
    <sheetView tabSelected="1" workbookViewId="0">
      <pane xSplit="1" topLeftCell="B1" activePane="topRight" state="frozen"/>
      <selection pane="topRight" activeCell="R2" sqref="R2:BA2"/>
    </sheetView>
  </sheetViews>
  <sheetFormatPr baseColWidth="10" defaultColWidth="14.5" defaultRowHeight="15" customHeight="1" x14ac:dyDescent="0.2"/>
  <cols>
    <col min="1" max="1" width="25.5" customWidth="1"/>
    <col min="2" max="23" width="9.33203125" customWidth="1"/>
    <col min="24" max="33" width="8.83203125" customWidth="1"/>
  </cols>
  <sheetData>
    <row r="1" spans="1:53" ht="14.25" customHeight="1" x14ac:dyDescent="0.2">
      <c r="A1" s="6" t="s">
        <v>14</v>
      </c>
      <c r="B1" s="7">
        <v>2019</v>
      </c>
      <c r="C1" s="7">
        <v>2020</v>
      </c>
      <c r="D1" s="7">
        <v>2021</v>
      </c>
      <c r="E1" s="7">
        <v>2022</v>
      </c>
      <c r="F1" s="7">
        <v>2023</v>
      </c>
      <c r="G1" s="7">
        <v>2024</v>
      </c>
      <c r="H1" s="7">
        <v>2025</v>
      </c>
      <c r="I1" s="7">
        <v>2026</v>
      </c>
      <c r="J1" s="7">
        <v>2027</v>
      </c>
      <c r="K1" s="7">
        <v>2028</v>
      </c>
      <c r="L1" s="7">
        <v>2029</v>
      </c>
      <c r="M1" s="7">
        <v>2030</v>
      </c>
      <c r="N1" s="7">
        <v>2031</v>
      </c>
      <c r="O1" s="7">
        <v>2032</v>
      </c>
      <c r="P1" s="7">
        <v>2033</v>
      </c>
      <c r="Q1" s="7">
        <v>2034</v>
      </c>
      <c r="R1" s="7">
        <v>2035</v>
      </c>
      <c r="S1" s="7">
        <v>2036</v>
      </c>
      <c r="T1" s="7">
        <v>2037</v>
      </c>
      <c r="U1" s="7">
        <v>2038</v>
      </c>
      <c r="V1" s="7">
        <v>2039</v>
      </c>
      <c r="W1" s="7">
        <v>2040</v>
      </c>
      <c r="X1" s="7">
        <v>2041</v>
      </c>
      <c r="Y1" s="7">
        <v>2042</v>
      </c>
      <c r="Z1" s="7">
        <v>2043</v>
      </c>
      <c r="AA1" s="7">
        <v>2044</v>
      </c>
      <c r="AB1" s="7">
        <v>2045</v>
      </c>
      <c r="AC1" s="7">
        <v>2046</v>
      </c>
      <c r="AD1" s="7">
        <v>2047</v>
      </c>
      <c r="AE1" s="7">
        <v>2048</v>
      </c>
      <c r="AF1" s="7">
        <v>2049</v>
      </c>
      <c r="AG1" s="7">
        <v>2050</v>
      </c>
      <c r="AH1" s="8">
        <v>2051</v>
      </c>
      <c r="AI1" s="8">
        <v>2052</v>
      </c>
      <c r="AJ1" s="8">
        <v>2053</v>
      </c>
      <c r="AK1" s="8">
        <v>2054</v>
      </c>
      <c r="AL1" s="8">
        <v>2055</v>
      </c>
      <c r="AM1" s="8">
        <v>2056</v>
      </c>
      <c r="AN1" s="8">
        <v>2057</v>
      </c>
      <c r="AO1" s="8">
        <v>2058</v>
      </c>
      <c r="AP1" s="8">
        <v>2059</v>
      </c>
      <c r="AQ1" s="8">
        <v>2060</v>
      </c>
      <c r="AR1" s="8">
        <v>2061</v>
      </c>
      <c r="AS1" s="8">
        <v>2062</v>
      </c>
      <c r="AT1" s="8">
        <v>2063</v>
      </c>
      <c r="AU1" s="8">
        <v>2064</v>
      </c>
      <c r="AV1" s="8">
        <v>2065</v>
      </c>
      <c r="AW1" s="8">
        <v>2066</v>
      </c>
      <c r="AX1" s="8">
        <v>2067</v>
      </c>
      <c r="AY1" s="8">
        <v>2068</v>
      </c>
      <c r="AZ1" s="8">
        <v>2069</v>
      </c>
      <c r="BA1" s="8">
        <v>2070</v>
      </c>
    </row>
    <row r="2" spans="1:53" ht="14.25" customHeight="1" x14ac:dyDescent="0.2">
      <c r="A2" s="7" t="s">
        <v>15</v>
      </c>
      <c r="B2" s="10">
        <v>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f>'coal retirement'!C42</f>
        <v>4200</v>
      </c>
      <c r="I2" s="10">
        <v>0</v>
      </c>
      <c r="J2" s="10">
        <v>0</v>
      </c>
      <c r="K2" s="10">
        <v>0</v>
      </c>
      <c r="L2" s="10">
        <v>0</v>
      </c>
      <c r="M2" s="10">
        <f>'coal retirement'!D42</f>
        <v>1900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</row>
    <row r="3" spans="1:53" ht="14.25" customHeight="1" x14ac:dyDescent="0.2">
      <c r="A3" s="7" t="s">
        <v>16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</row>
    <row r="4" spans="1:53" ht="14.25" customHeight="1" x14ac:dyDescent="0.2">
      <c r="A4" s="7" t="s">
        <v>17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</row>
    <row r="5" spans="1:53" ht="14.25" customHeight="1" x14ac:dyDescent="0.2">
      <c r="A5" s="7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</row>
    <row r="6" spans="1:53" ht="14.25" customHeight="1" x14ac:dyDescent="0.2">
      <c r="A6" s="7" t="s">
        <v>19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</row>
    <row r="7" spans="1:53" ht="14.25" customHeight="1" x14ac:dyDescent="0.2">
      <c r="A7" s="7" t="s">
        <v>20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</row>
    <row r="8" spans="1:53" ht="14.25" customHeight="1" x14ac:dyDescent="0.2">
      <c r="A8" s="7" t="s">
        <v>21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</row>
    <row r="9" spans="1:53" ht="14.25" customHeight="1" x14ac:dyDescent="0.2">
      <c r="A9" s="7" t="s">
        <v>22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</row>
    <row r="10" spans="1:53" ht="14.25" customHeight="1" x14ac:dyDescent="0.2">
      <c r="A10" s="7" t="s">
        <v>23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</row>
    <row r="11" spans="1:53" ht="14.25" customHeight="1" x14ac:dyDescent="0.2">
      <c r="A11" s="7" t="s">
        <v>24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</row>
    <row r="12" spans="1:53" ht="14.25" customHeight="1" x14ac:dyDescent="0.2">
      <c r="A12" s="7" t="s">
        <v>25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</row>
    <row r="13" spans="1:53" ht="14.25" customHeight="1" x14ac:dyDescent="0.2">
      <c r="A13" s="9" t="s">
        <v>26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</row>
    <row r="14" spans="1:53" ht="14.25" customHeight="1" x14ac:dyDescent="0.2">
      <c r="A14" s="7" t="s">
        <v>27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</row>
    <row r="15" spans="1:53" ht="14.25" customHeight="1" x14ac:dyDescent="0.2">
      <c r="A15" s="7" t="s">
        <v>28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</row>
    <row r="16" spans="1:53" ht="14.25" customHeight="1" x14ac:dyDescent="0.2">
      <c r="A16" s="7" t="s">
        <v>29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</row>
    <row r="17" spans="1:53" ht="14.25" customHeight="1" x14ac:dyDescent="0.2">
      <c r="A17" s="7" t="s">
        <v>30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</row>
    <row r="18" spans="1:53" ht="14.25" customHeight="1" x14ac:dyDescent="0.2">
      <c r="A18" s="7" t="s">
        <v>31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</row>
    <row r="19" spans="1:53" ht="14.25" customHeight="1" x14ac:dyDescent="0.2"/>
    <row r="20" spans="1:53" ht="14.25" customHeight="1" x14ac:dyDescent="0.2"/>
    <row r="21" spans="1:53" ht="14.25" customHeight="1" x14ac:dyDescent="0.2"/>
    <row r="22" spans="1:53" ht="14.25" customHeight="1" x14ac:dyDescent="0.2"/>
    <row r="23" spans="1:53" ht="14.25" customHeight="1" x14ac:dyDescent="0.2"/>
    <row r="24" spans="1:53" ht="14.25" customHeight="1" x14ac:dyDescent="0.2"/>
    <row r="25" spans="1:53" ht="14.25" customHeight="1" x14ac:dyDescent="0.2"/>
    <row r="26" spans="1:53" ht="14.25" customHeight="1" x14ac:dyDescent="0.2"/>
    <row r="27" spans="1:53" ht="14.25" customHeight="1" x14ac:dyDescent="0.2"/>
    <row r="28" spans="1:53" ht="14.25" customHeight="1" x14ac:dyDescent="0.2"/>
    <row r="29" spans="1:53" ht="14.25" customHeight="1" x14ac:dyDescent="0.2"/>
    <row r="30" spans="1:53" ht="14.25" customHeight="1" x14ac:dyDescent="0.2"/>
    <row r="31" spans="1:53" ht="14.25" customHeight="1" x14ac:dyDescent="0.2"/>
    <row r="32" spans="1:5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coal retirement</vt:lpstr>
      <vt:lpstr>BCRbQ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Zefania Sutrisno</dc:creator>
  <cp:lastModifiedBy>Sy, Saidou Abdoulaye</cp:lastModifiedBy>
  <dcterms:created xsi:type="dcterms:W3CDTF">2015-06-05T18:17:20Z</dcterms:created>
  <dcterms:modified xsi:type="dcterms:W3CDTF">2025-02-05T19:08:20Z</dcterms:modified>
</cp:coreProperties>
</file>