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elec/BCRbQ/"/>
    </mc:Choice>
  </mc:AlternateContent>
  <xr:revisionPtr revIDLastSave="0" documentId="13_ncr:1_{EFC1D879-A8BD-6940-95F8-60FD319F4D93}" xr6:coauthVersionLast="47" xr6:coauthVersionMax="47" xr10:uidLastSave="{00000000-0000-0000-0000-000000000000}"/>
  <bookViews>
    <workbookView xWindow="0" yWindow="780" windowWidth="34200" windowHeight="21360" activeTab="2" xr2:uid="{00000000-000D-0000-FFFF-FFFF00000000}"/>
  </bookViews>
  <sheets>
    <sheet name="About" sheetId="1" r:id="rId1"/>
    <sheet name="coal retirement" sheetId="2" r:id="rId2"/>
    <sheet name="BCRbQ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rfIHddFfJb1b0QQ52QGICZs2MuYHQ416XNgEnaK8Ewo="/>
    </ext>
  </extLst>
</workbook>
</file>

<file path=xl/calcChain.xml><?xml version="1.0" encoding="utf-8"?>
<calcChain xmlns="http://schemas.openxmlformats.org/spreadsheetml/2006/main">
  <c r="AB9" i="2" l="1"/>
  <c r="AB2" i="3" s="1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C2" i="3"/>
  <c r="AD2" i="3"/>
  <c r="AE2" i="3"/>
  <c r="AF2" i="3"/>
  <c r="AG2" i="3"/>
  <c r="AH2" i="3"/>
  <c r="AI2" i="3"/>
  <c r="AJ2" i="3"/>
  <c r="AK2" i="3"/>
  <c r="AL2" i="3"/>
  <c r="AM2" i="3"/>
  <c r="AN2" i="3"/>
  <c r="AO2" i="3"/>
  <c r="AP2" i="3"/>
  <c r="AQ2" i="3"/>
  <c r="AR2" i="3"/>
  <c r="AS2" i="3"/>
  <c r="AT2" i="3"/>
  <c r="AU2" i="3"/>
  <c r="AV2" i="3"/>
  <c r="AW2" i="3"/>
  <c r="AX2" i="3"/>
  <c r="AY2" i="3"/>
  <c r="AZ2" i="3"/>
  <c r="BA2" i="3"/>
  <c r="C2" i="3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B9" i="2"/>
  <c r="AN3" i="2"/>
  <c r="AO3" i="2" s="1"/>
  <c r="AP3" i="2" s="1"/>
  <c r="AQ3" i="2" s="1"/>
  <c r="AR3" i="2" s="1"/>
  <c r="AS3" i="2" s="1"/>
  <c r="AT3" i="2" s="1"/>
  <c r="AU3" i="2" s="1"/>
  <c r="AV3" i="2" s="1"/>
  <c r="AW3" i="2" s="1"/>
  <c r="AX3" i="2" s="1"/>
  <c r="AY3" i="2" s="1"/>
  <c r="AZ3" i="2" s="1"/>
  <c r="BA3" i="2" s="1"/>
  <c r="AM3" i="2"/>
  <c r="AI5" i="2"/>
  <c r="B2" i="3"/>
  <c r="AK3" i="2"/>
  <c r="AJ3" i="2"/>
  <c r="AI3" i="2"/>
  <c r="AH3" i="2"/>
  <c r="AG3" i="2"/>
  <c r="AF3" i="2"/>
  <c r="AE3" i="2"/>
  <c r="AD3" i="2"/>
  <c r="AC3" i="2"/>
</calcChain>
</file>

<file path=xl/sharedStrings.xml><?xml version="1.0" encoding="utf-8"?>
<sst xmlns="http://schemas.openxmlformats.org/spreadsheetml/2006/main" count="35" uniqueCount="35">
  <si>
    <t>BCRbQ BAU Capacity Retirements before Quantization</t>
  </si>
  <si>
    <t>Sources:</t>
  </si>
  <si>
    <t>Coal power plant retirement</t>
  </si>
  <si>
    <t>PLN</t>
  </si>
  <si>
    <t>Transformasi Batubara Menuju EBT, Strategi PLN Menuju Carbon Neutral 2060</t>
  </si>
  <si>
    <t>Paparan Dirut PLN (saved by IESR, not available online)</t>
  </si>
  <si>
    <t>page 3</t>
  </si>
  <si>
    <t>Notes</t>
  </si>
  <si>
    <t>Retirement schedule is only available for coal power plant.</t>
  </si>
  <si>
    <t>coal power plant retirement schedule</t>
  </si>
  <si>
    <t>interpolated (2046 to 2050)</t>
  </si>
  <si>
    <t>year</t>
  </si>
  <si>
    <t>capacity (MW)</t>
  </si>
  <si>
    <t>known:</t>
  </si>
  <si>
    <t>BAU Capacity Retirements (MW)</t>
  </si>
  <si>
    <t>hard coal</t>
  </si>
  <si>
    <t>natural gas nonpeaker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</si>
  <si>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</si>
  <si>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</si>
  <si>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</si>
  <si>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</si>
  <si>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</si>
  <si>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</si>
  <si>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</si>
  <si>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</si>
  <si>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</si>
  <si>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biogas</t>
  </si>
  <si>
    <t>lignite</t>
  </si>
  <si>
    <t>offshore wind</t>
  </si>
  <si>
    <t>crude oil</t>
  </si>
  <si>
    <t>heavy or residual fuel oil</t>
  </si>
  <si>
    <t>municipal solid waste</t>
  </si>
  <si>
    <t>Growth rate</t>
  </si>
  <si>
    <t>capacity (GW)</t>
  </si>
  <si>
    <t>GW to 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</si>
</sst>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0" fillId="0" borderId="0" xfId="0" applyAlignment="1">
      <alignment horizontal="left" wrapText="1"/>
    </xf>
    <xf numFmtId="0" fontId="0" fillId="0" borderId="0" xfId="0" applyAlignment="1">
      <alignment horizontal="left" vertical="top" wrapText="1"/>
    </xf>
    <xf numFmtId="0" fontId="2" fillId="0" borderId="0" xfId="0" applyFont="1"/>
    <xf numFmtId="1" fontId="1" fillId="0" borderId="0" xfId="0" applyNumberFormat="1" applyFont="1" applyAlignment="1">
      <alignment wrapText="1"/>
    </xf>
    <xf numFmtId="1" fontId="1" fillId="0" borderId="0" xfId="0" applyNumberFormat="1" applyFont="1"/>
    <xf numFmtId="1" fontId="0" fillId="0" borderId="0" xfId="0" applyNumberFormat="1"/>
    <xf numFmtId="1" fontId="3" fillId="0" borderId="0" xfId="0" applyNumberFormat="1" applyFont="1"/>
    <xf numFmtId="11" fontId="0" fillId="0" borderId="0" xfId="0" applyNumberFormat="1"/>
    <xf numFmtId="1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13</xdr:row>
      <xdr:rowOff>22224</xdr:rowOff>
    </xdr:from>
    <xdr:ext cx="7912100" cy="40544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2333624"/>
          <a:ext cx="7912100" cy="405447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88"/>
  <sheetViews>
    <sheetView workbookViewId="0"/>
  </sheetViews>
  <sheetFormatPr baseColWidth="10" defaultColWidth="14.5" defaultRowHeight="15" customHeight="1" x14ac:dyDescent="0.2"/>
  <cols>
    <col min="1" max="1" width="8.6640625" customWidth="1"/>
    <col min="2" max="2" width="64.6640625" customWidth="1"/>
    <col min="3" max="26" width="8.6640625" customWidth="1"/>
  </cols>
  <sheetData>
    <row r="1" spans="1:2" ht="14.25" customHeight="1" x14ac:dyDescent="0.2">
      <c r="A1" s="1" t="s">
        <v>0</v>
      </c>
    </row>
    <row r="2" spans="1:2" ht="14.25" customHeight="1" x14ac:dyDescent="0.2"/>
    <row r="3" spans="1:2" ht="14.25" customHeight="1" x14ac:dyDescent="0.2">
      <c r="A3" s="1" t="s">
        <v>1</v>
      </c>
      <c r="B3" s="2" t="s">
        <v>2</v>
      </c>
    </row>
    <row r="4" spans="1:2" ht="14.25" customHeight="1" x14ac:dyDescent="0.2">
      <c r="B4" t="s">
        <v>3</v>
      </c>
    </row>
    <row r="5" spans="1:2" ht="14.25" customHeight="1" x14ac:dyDescent="0.2">
      <c r="B5" s="3" t="s">
        <v>4</v>
      </c>
    </row>
    <row r="6" spans="1:2" ht="14.25" customHeight="1" x14ac:dyDescent="0.2">
      <c r="B6" t="s">
        <v>5</v>
      </c>
    </row>
    <row r="7" spans="1:2" ht="14.25" customHeight="1" x14ac:dyDescent="0.2">
      <c r="B7" t="s">
        <v>6</v>
      </c>
    </row>
    <row r="8" spans="1:2" ht="14.25" customHeight="1" x14ac:dyDescent="0.2"/>
    <row r="9" spans="1:2" ht="14.25" customHeight="1" x14ac:dyDescent="0.2"/>
    <row r="10" spans="1:2" ht="14.25" customHeight="1" x14ac:dyDescent="0.2">
      <c r="A10" s="1" t="s">
        <v>7</v>
      </c>
      <c r="B10" s="4" t="s">
        <v>8</v>
      </c>
    </row>
    <row r="11" spans="1:2" ht="14.25" customHeight="1" x14ac:dyDescent="0.2">
      <c r="B11" s="4"/>
    </row>
    <row r="12" spans="1:2" ht="14.25" customHeight="1" x14ac:dyDescent="0.2">
      <c r="B12" s="4"/>
    </row>
    <row r="13" spans="1:2" ht="14.25" customHeight="1" x14ac:dyDescent="0.2">
      <c r="B13" s="4"/>
    </row>
    <row r="14" spans="1:2" ht="14.25" customHeight="1" x14ac:dyDescent="0.2">
      <c r="B14" s="4"/>
    </row>
    <row r="15" spans="1:2" ht="14.25" customHeight="1" x14ac:dyDescent="0.2">
      <c r="B15" s="4"/>
    </row>
    <row r="16" spans="1:2" ht="14.25" customHeight="1" x14ac:dyDescent="0.2">
      <c r="B16" s="4"/>
    </row>
    <row r="17" spans="2:2" ht="14.25" customHeight="1" x14ac:dyDescent="0.2">
      <c r="B17" s="4"/>
    </row>
    <row r="18" spans="2:2" ht="14.25" customHeight="1" x14ac:dyDescent="0.2"/>
    <row r="19" spans="2:2" ht="14.25" customHeight="1" x14ac:dyDescent="0.2"/>
    <row r="20" spans="2:2" ht="14.25" customHeight="1" x14ac:dyDescent="0.2"/>
    <row r="21" spans="2:2" ht="14.25" customHeight="1" x14ac:dyDescent="0.2"/>
    <row r="22" spans="2:2" ht="14.25" customHeight="1" x14ac:dyDescent="0.2"/>
    <row r="23" spans="2:2" ht="14.25" customHeight="1" x14ac:dyDescent="0.2"/>
    <row r="24" spans="2:2" ht="14.25" customHeight="1" x14ac:dyDescent="0.2"/>
    <row r="25" spans="2:2" ht="14.25" customHeight="1" x14ac:dyDescent="0.2"/>
    <row r="26" spans="2:2" ht="14.25" customHeight="1" x14ac:dyDescent="0.2"/>
    <row r="27" spans="2:2" ht="14.25" customHeight="1" x14ac:dyDescent="0.2"/>
    <row r="28" spans="2:2" ht="14.25" customHeight="1" x14ac:dyDescent="0.2"/>
    <row r="29" spans="2:2" ht="14.25" customHeight="1" x14ac:dyDescent="0.2"/>
    <row r="30" spans="2:2" ht="14.25" customHeight="1" x14ac:dyDescent="0.2"/>
    <row r="31" spans="2:2" ht="14.25" customHeight="1" x14ac:dyDescent="0.2"/>
    <row r="32" spans="2:2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A1000"/>
  <sheetViews>
    <sheetView topLeftCell="G1" workbookViewId="0">
      <selection activeCell="Y23" sqref="Y23"/>
    </sheetView>
  </sheetViews>
  <sheetFormatPr baseColWidth="10" defaultColWidth="14.5" defaultRowHeight="15" customHeight="1" x14ac:dyDescent="0.2"/>
  <cols>
    <col min="1" max="1" width="8.83203125" customWidth="1"/>
    <col min="2" max="38" width="8.6640625" customWidth="1"/>
  </cols>
  <sheetData>
    <row r="1" spans="1:53" ht="14.25" customHeight="1" x14ac:dyDescent="0.2">
      <c r="B1" s="1" t="s">
        <v>9</v>
      </c>
      <c r="AC1" s="5" t="s">
        <v>10</v>
      </c>
    </row>
    <row r="2" spans="1:53" ht="14.25" customHeight="1" x14ac:dyDescent="0.2">
      <c r="A2" s="1" t="s">
        <v>11</v>
      </c>
      <c r="B2" s="1">
        <v>2019</v>
      </c>
      <c r="C2" s="1">
        <v>2020</v>
      </c>
      <c r="D2" s="1">
        <v>2021</v>
      </c>
      <c r="E2" s="1">
        <v>2022</v>
      </c>
      <c r="F2" s="1">
        <v>2023</v>
      </c>
      <c r="G2" s="1">
        <v>2024</v>
      </c>
      <c r="H2" s="1">
        <v>2025</v>
      </c>
      <c r="I2" s="1">
        <v>2026</v>
      </c>
      <c r="J2" s="1">
        <v>2027</v>
      </c>
      <c r="K2" s="1">
        <v>2028</v>
      </c>
      <c r="L2" s="1">
        <v>2029</v>
      </c>
      <c r="M2" s="1">
        <v>2030</v>
      </c>
      <c r="N2" s="1">
        <v>2031</v>
      </c>
      <c r="O2" s="1">
        <v>2032</v>
      </c>
      <c r="P2" s="1">
        <v>2033</v>
      </c>
      <c r="Q2" s="1">
        <v>2034</v>
      </c>
      <c r="R2" s="1">
        <v>2035</v>
      </c>
      <c r="S2" s="1">
        <v>2036</v>
      </c>
      <c r="T2" s="1">
        <v>2037</v>
      </c>
      <c r="U2" s="1">
        <v>2038</v>
      </c>
      <c r="V2" s="1">
        <v>2039</v>
      </c>
      <c r="W2" s="1">
        <v>2040</v>
      </c>
      <c r="X2" s="1">
        <v>2041</v>
      </c>
      <c r="Y2" s="1">
        <v>2042</v>
      </c>
      <c r="Z2" s="1">
        <v>2043</v>
      </c>
      <c r="AA2" s="1">
        <v>2044</v>
      </c>
      <c r="AB2" s="1">
        <v>2045</v>
      </c>
      <c r="AC2" s="1">
        <v>2046</v>
      </c>
      <c r="AD2" s="1">
        <v>2047</v>
      </c>
      <c r="AE2" s="1">
        <v>2048</v>
      </c>
      <c r="AF2" s="1">
        <v>2049</v>
      </c>
      <c r="AG2" s="1">
        <v>2050</v>
      </c>
      <c r="AH2" s="1">
        <v>2051</v>
      </c>
      <c r="AI2" s="1">
        <v>2052</v>
      </c>
      <c r="AJ2" s="1">
        <v>2053</v>
      </c>
      <c r="AK2" s="1">
        <v>2054</v>
      </c>
      <c r="AL2" s="1">
        <v>2055</v>
      </c>
      <c r="AM2" s="7">
        <v>2056</v>
      </c>
      <c r="AN2" s="7">
        <v>2057</v>
      </c>
      <c r="AO2" s="7">
        <v>2058</v>
      </c>
      <c r="AP2" s="7">
        <v>2059</v>
      </c>
      <c r="AQ2" s="7">
        <v>2060</v>
      </c>
      <c r="AR2" s="7">
        <v>2061</v>
      </c>
      <c r="AS2" s="7">
        <v>2062</v>
      </c>
      <c r="AT2" s="7">
        <v>2063</v>
      </c>
      <c r="AU2" s="7">
        <v>2064</v>
      </c>
      <c r="AV2" s="7">
        <v>2065</v>
      </c>
      <c r="AW2" s="7">
        <v>2066</v>
      </c>
      <c r="AX2" s="7">
        <v>2067</v>
      </c>
      <c r="AY2" s="7">
        <v>2068</v>
      </c>
      <c r="AZ2" s="7">
        <v>2069</v>
      </c>
      <c r="BA2" s="7">
        <v>2070</v>
      </c>
    </row>
    <row r="3" spans="1:53" ht="14.25" customHeight="1" x14ac:dyDescent="0.2">
      <c r="A3" s="1" t="s">
        <v>33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1.1000000000000001</v>
      </c>
      <c r="I3" s="5">
        <v>0</v>
      </c>
      <c r="J3" s="5">
        <v>0</v>
      </c>
      <c r="K3" s="5">
        <v>0</v>
      </c>
      <c r="L3" s="5">
        <v>0</v>
      </c>
      <c r="M3" s="5">
        <v>1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10</v>
      </c>
      <c r="X3" s="5">
        <v>0</v>
      </c>
      <c r="Y3" s="5">
        <v>0</v>
      </c>
      <c r="Z3" s="5">
        <v>0</v>
      </c>
      <c r="AA3" s="5">
        <v>0</v>
      </c>
      <c r="AB3" s="5">
        <v>24</v>
      </c>
      <c r="AC3" s="5">
        <f t="shared" ref="AC3:AK3" si="0">TREND($AB$7:$AC$7,$AB$6:$AC$6,AC2)</f>
        <v>22.100000000000364</v>
      </c>
      <c r="AD3">
        <f t="shared" si="0"/>
        <v>20.200000000000273</v>
      </c>
      <c r="AE3">
        <f t="shared" si="0"/>
        <v>18.300000000000182</v>
      </c>
      <c r="AF3">
        <f t="shared" si="0"/>
        <v>16.400000000000091</v>
      </c>
      <c r="AG3">
        <f t="shared" si="0"/>
        <v>14.5</v>
      </c>
      <c r="AH3">
        <f t="shared" si="0"/>
        <v>12.600000000000364</v>
      </c>
      <c r="AI3">
        <f t="shared" si="0"/>
        <v>10.700000000000273</v>
      </c>
      <c r="AJ3">
        <f t="shared" si="0"/>
        <v>8.8000000000001819</v>
      </c>
      <c r="AK3">
        <f t="shared" si="0"/>
        <v>6.9000000000000909</v>
      </c>
      <c r="AL3" s="5">
        <v>5</v>
      </c>
      <c r="AM3" s="5">
        <f>(AL3+AL3*$AI$5)</f>
        <v>3.6231884057970536</v>
      </c>
      <c r="AN3" s="5">
        <f t="shared" ref="AN3:BA3" si="1">(AM3+AM3*$AI$5)</f>
        <v>2.6254988447804388</v>
      </c>
      <c r="AO3" s="5">
        <f t="shared" si="1"/>
        <v>1.9025353947684089</v>
      </c>
      <c r="AP3" s="5">
        <f t="shared" si="1"/>
        <v>1.378648836788684</v>
      </c>
      <c r="AQ3" s="5">
        <f t="shared" si="1"/>
        <v>0.99902089622367085</v>
      </c>
      <c r="AR3" s="5">
        <f t="shared" si="1"/>
        <v>0.72392818566931716</v>
      </c>
      <c r="AS3" s="5">
        <f t="shared" si="1"/>
        <v>0.5245856417893533</v>
      </c>
      <c r="AT3" s="5">
        <f t="shared" si="1"/>
        <v>0.38013452303575823</v>
      </c>
      <c r="AU3" s="5">
        <f t="shared" si="1"/>
        <v>0.27545979930127046</v>
      </c>
      <c r="AV3" s="5">
        <f t="shared" si="1"/>
        <v>0.19960855021830931</v>
      </c>
      <c r="AW3" s="5">
        <f t="shared" si="1"/>
        <v>0.14464387696978745</v>
      </c>
      <c r="AX3" s="5">
        <f t="shared" si="1"/>
        <v>0.10481440360129388</v>
      </c>
      <c r="AY3" s="5">
        <f t="shared" si="1"/>
        <v>7.595246637774819E-2</v>
      </c>
      <c r="AZ3" s="5">
        <f t="shared" si="1"/>
        <v>5.5038019114309555E-2</v>
      </c>
      <c r="BA3" s="5">
        <f t="shared" si="1"/>
        <v>3.9882622546600605E-2</v>
      </c>
    </row>
    <row r="4" spans="1:53" ht="14.25" customHeight="1" x14ac:dyDescent="0.2"/>
    <row r="5" spans="1:53" ht="14.25" customHeight="1" x14ac:dyDescent="0.2">
      <c r="A5" s="5" t="s">
        <v>34</v>
      </c>
      <c r="B5">
        <v>1000</v>
      </c>
      <c r="AB5" s="5" t="s">
        <v>13</v>
      </c>
      <c r="AH5" s="5" t="s">
        <v>32</v>
      </c>
      <c r="AI5">
        <f>(AL3-AK3)/AK3</f>
        <v>-0.27536231884058926</v>
      </c>
    </row>
    <row r="6" spans="1:53" ht="14.25" customHeight="1" x14ac:dyDescent="0.2">
      <c r="AB6" s="1">
        <v>2045</v>
      </c>
      <c r="AC6" s="1">
        <v>2055</v>
      </c>
    </row>
    <row r="7" spans="1:53" ht="14.25" customHeight="1" x14ac:dyDescent="0.2">
      <c r="AB7">
        <v>24</v>
      </c>
      <c r="AC7">
        <v>5</v>
      </c>
    </row>
    <row r="8" spans="1:53" ht="14.25" customHeight="1" x14ac:dyDescent="0.2"/>
    <row r="9" spans="1:53" ht="14.25" customHeight="1" x14ac:dyDescent="0.2">
      <c r="A9" s="11" t="s">
        <v>12</v>
      </c>
      <c r="B9" s="10">
        <f t="shared" ref="B9:AB9" si="2">B3*$B$5</f>
        <v>0</v>
      </c>
      <c r="C9" s="10">
        <f t="shared" si="2"/>
        <v>0</v>
      </c>
      <c r="D9" s="10">
        <f t="shared" si="2"/>
        <v>0</v>
      </c>
      <c r="E9" s="10">
        <f t="shared" si="2"/>
        <v>0</v>
      </c>
      <c r="F9" s="10">
        <f t="shared" si="2"/>
        <v>0</v>
      </c>
      <c r="G9" s="10">
        <f t="shared" si="2"/>
        <v>0</v>
      </c>
      <c r="H9" s="10">
        <f t="shared" si="2"/>
        <v>1100</v>
      </c>
      <c r="I9" s="10">
        <f t="shared" si="2"/>
        <v>0</v>
      </c>
      <c r="J9" s="10">
        <f t="shared" si="2"/>
        <v>0</v>
      </c>
      <c r="K9" s="10">
        <f t="shared" si="2"/>
        <v>0</v>
      </c>
      <c r="L9" s="10">
        <f t="shared" si="2"/>
        <v>0</v>
      </c>
      <c r="M9" s="10">
        <f t="shared" si="2"/>
        <v>1000</v>
      </c>
      <c r="N9" s="10">
        <f t="shared" si="2"/>
        <v>0</v>
      </c>
      <c r="O9" s="10">
        <f t="shared" si="2"/>
        <v>0</v>
      </c>
      <c r="P9" s="10">
        <f t="shared" si="2"/>
        <v>0</v>
      </c>
      <c r="Q9" s="10">
        <f t="shared" si="2"/>
        <v>0</v>
      </c>
      <c r="R9" s="10">
        <f t="shared" si="2"/>
        <v>0</v>
      </c>
      <c r="S9" s="10">
        <f t="shared" si="2"/>
        <v>0</v>
      </c>
      <c r="T9" s="10">
        <f t="shared" si="2"/>
        <v>0</v>
      </c>
      <c r="U9" s="10">
        <f t="shared" si="2"/>
        <v>0</v>
      </c>
      <c r="V9" s="10">
        <f t="shared" si="2"/>
        <v>0</v>
      </c>
      <c r="W9" s="10">
        <f t="shared" si="2"/>
        <v>10000</v>
      </c>
      <c r="X9" s="10">
        <f t="shared" si="2"/>
        <v>0</v>
      </c>
      <c r="Y9" s="10">
        <f t="shared" si="2"/>
        <v>0</v>
      </c>
      <c r="Z9" s="10">
        <f t="shared" si="2"/>
        <v>0</v>
      </c>
      <c r="AA9" s="10">
        <f t="shared" si="2"/>
        <v>0</v>
      </c>
      <c r="AB9" s="10">
        <f t="shared" si="2"/>
        <v>24000</v>
      </c>
      <c r="AC9" s="10">
        <f t="shared" ref="AC9:BA9" si="3">AC3*$B$5</f>
        <v>22100.000000000364</v>
      </c>
      <c r="AD9" s="10">
        <f t="shared" si="3"/>
        <v>20200.000000000273</v>
      </c>
      <c r="AE9" s="10">
        <f t="shared" si="3"/>
        <v>18300.000000000182</v>
      </c>
      <c r="AF9" s="10">
        <f t="shared" si="3"/>
        <v>16400.000000000091</v>
      </c>
      <c r="AG9" s="10">
        <f t="shared" si="3"/>
        <v>14500</v>
      </c>
      <c r="AH9" s="10">
        <f t="shared" si="3"/>
        <v>12600.000000000364</v>
      </c>
      <c r="AI9" s="10">
        <f t="shared" si="3"/>
        <v>10700.000000000273</v>
      </c>
      <c r="AJ9" s="10">
        <f t="shared" si="3"/>
        <v>8800.0000000001819</v>
      </c>
      <c r="AK9" s="10">
        <f t="shared" si="3"/>
        <v>6900.0000000000909</v>
      </c>
      <c r="AL9" s="10">
        <f t="shared" si="3"/>
        <v>5000</v>
      </c>
      <c r="AM9" s="10">
        <f t="shared" si="3"/>
        <v>3623.1884057970537</v>
      </c>
      <c r="AN9" s="10">
        <f t="shared" si="3"/>
        <v>2625.498844780439</v>
      </c>
      <c r="AO9" s="10">
        <f t="shared" si="3"/>
        <v>1902.5353947684089</v>
      </c>
      <c r="AP9" s="10">
        <f t="shared" si="3"/>
        <v>1378.6488367886841</v>
      </c>
      <c r="AQ9" s="10">
        <f t="shared" si="3"/>
        <v>999.02089622367089</v>
      </c>
      <c r="AR9" s="10">
        <f t="shared" si="3"/>
        <v>723.92818566931714</v>
      </c>
      <c r="AS9" s="10">
        <f t="shared" si="3"/>
        <v>524.5856417893533</v>
      </c>
      <c r="AT9" s="10">
        <f t="shared" si="3"/>
        <v>380.13452303575821</v>
      </c>
      <c r="AU9" s="10">
        <f t="shared" si="3"/>
        <v>275.45979930127044</v>
      </c>
      <c r="AV9" s="10">
        <f t="shared" si="3"/>
        <v>199.60855021830932</v>
      </c>
      <c r="AW9" s="10">
        <f t="shared" si="3"/>
        <v>144.64387696978744</v>
      </c>
      <c r="AX9" s="10">
        <f t="shared" si="3"/>
        <v>104.81440360129388</v>
      </c>
      <c r="AY9" s="10">
        <f t="shared" si="3"/>
        <v>75.952466377748195</v>
      </c>
      <c r="AZ9" s="10">
        <f t="shared" si="3"/>
        <v>55.038019114309556</v>
      </c>
      <c r="BA9" s="10">
        <f t="shared" si="3"/>
        <v>39.882622546600608</v>
      </c>
    </row>
    <row r="10" spans="1:53" ht="14.25" customHeight="1" x14ac:dyDescent="0.2"/>
    <row r="11" spans="1:53" ht="14.25" customHeight="1" x14ac:dyDescent="0.2"/>
    <row r="12" spans="1:53" ht="14.25" customHeight="1" x14ac:dyDescent="0.2"/>
    <row r="13" spans="1:53" ht="14.25" customHeight="1" x14ac:dyDescent="0.2"/>
    <row r="14" spans="1:53" ht="14.25" customHeight="1" x14ac:dyDescent="0.2"/>
    <row r="15" spans="1:53" ht="14.25" customHeight="1" x14ac:dyDescent="0.2"/>
    <row r="16" spans="1:53" ht="14.25" customHeight="1" x14ac:dyDescent="0.2"/>
    <row r="17" ht="14.25" customHeight="1" x14ac:dyDescent="0.2"/>
    <row r="18" ht="14.25" customHeight="1" x14ac:dyDescent="0.2"/>
    <row r="19" ht="14.25" customHeight="1" x14ac:dyDescent="0.2"/>
    <row r="20" ht="14.25" customHeight="1" x14ac:dyDescent="0.2"/>
    <row r="21" ht="14.25" customHeight="1" x14ac:dyDescent="0.2"/>
    <row r="22" ht="14.25" customHeight="1" x14ac:dyDescent="0.2"/>
    <row r="23" ht="14.25" customHeight="1" x14ac:dyDescent="0.2"/>
    <row r="24" ht="14.25" customHeight="1" x14ac:dyDescent="0.2"/>
    <row r="25" ht="14.25" customHeight="1" x14ac:dyDescent="0.2"/>
    <row r="26" ht="14.25" customHeight="1" x14ac:dyDescent="0.2"/>
    <row r="27" ht="14.25" customHeight="1" x14ac:dyDescent="0.2"/>
    <row r="28" ht="14.25" customHeight="1" x14ac:dyDescent="0.2"/>
    <row r="29" ht="14.25" customHeight="1" x14ac:dyDescent="0.2"/>
    <row r="30" ht="14.25" customHeight="1" x14ac:dyDescent="0.2"/>
    <row r="31" ht="14.25" customHeight="1" x14ac:dyDescent="0.2"/>
    <row r="32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pageMargins left="0.7" right="0.7" top="0.75" bottom="0.75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E4E79"/>
  </sheetPr>
  <dimension ref="A1:BA1001"/>
  <sheetViews>
    <sheetView tabSelected="1" workbookViewId="0">
      <pane xSplit="1" topLeftCell="B1" activePane="topRight" state="frozen"/>
      <selection pane="topRight" activeCell="B2" sqref="B2:BA18"/>
    </sheetView>
  </sheetViews>
  <sheetFormatPr baseColWidth="10" defaultColWidth="14.5" defaultRowHeight="15" customHeight="1" x14ac:dyDescent="0.2"/>
  <cols>
    <col min="1" max="1" width="25.5" customWidth="1"/>
    <col min="2" max="23" width="9.33203125" customWidth="1"/>
    <col min="24" max="33" width="8.83203125" customWidth="1"/>
  </cols>
  <sheetData>
    <row r="1" spans="1:53" ht="14.25" customHeight="1" x14ac:dyDescent="0.2">
      <c r="A1" s="6" t="s">
        <v>14</v>
      </c>
      <c r="B1" s="7">
        <v>2019</v>
      </c>
      <c r="C1" s="7">
        <v>2020</v>
      </c>
      <c r="D1" s="7">
        <v>2021</v>
      </c>
      <c r="E1" s="7">
        <v>2022</v>
      </c>
      <c r="F1" s="7">
        <v>2023</v>
      </c>
      <c r="G1" s="7">
        <v>2024</v>
      </c>
      <c r="H1" s="7">
        <v>2025</v>
      </c>
      <c r="I1" s="7">
        <v>2026</v>
      </c>
      <c r="J1" s="7">
        <v>2027</v>
      </c>
      <c r="K1" s="7">
        <v>2028</v>
      </c>
      <c r="L1" s="7">
        <v>2029</v>
      </c>
      <c r="M1" s="7">
        <v>2030</v>
      </c>
      <c r="N1" s="7">
        <v>2031</v>
      </c>
      <c r="O1" s="7">
        <v>2032</v>
      </c>
      <c r="P1" s="7">
        <v>2033</v>
      </c>
      <c r="Q1" s="7">
        <v>2034</v>
      </c>
      <c r="R1" s="7">
        <v>2035</v>
      </c>
      <c r="S1" s="7">
        <v>2036</v>
      </c>
      <c r="T1" s="7">
        <v>2037</v>
      </c>
      <c r="U1" s="7">
        <v>2038</v>
      </c>
      <c r="V1" s="7">
        <v>2039</v>
      </c>
      <c r="W1" s="7">
        <v>2040</v>
      </c>
      <c r="X1" s="7">
        <v>2041</v>
      </c>
      <c r="Y1" s="7">
        <v>2042</v>
      </c>
      <c r="Z1" s="7">
        <v>2043</v>
      </c>
      <c r="AA1" s="7">
        <v>2044</v>
      </c>
      <c r="AB1" s="7">
        <v>2045</v>
      </c>
      <c r="AC1" s="7">
        <v>2046</v>
      </c>
      <c r="AD1" s="7">
        <v>2047</v>
      </c>
      <c r="AE1" s="7">
        <v>2048</v>
      </c>
      <c r="AF1" s="7">
        <v>2049</v>
      </c>
      <c r="AG1" s="7">
        <v>2050</v>
      </c>
      <c r="AH1" s="8">
        <v>2051</v>
      </c>
      <c r="AI1" s="8">
        <v>2052</v>
      </c>
      <c r="AJ1" s="8">
        <v>2053</v>
      </c>
      <c r="AK1" s="8">
        <v>2054</v>
      </c>
      <c r="AL1" s="8">
        <v>2055</v>
      </c>
      <c r="AM1" s="8">
        <v>2056</v>
      </c>
      <c r="AN1" s="8">
        <v>2057</v>
      </c>
      <c r="AO1" s="8">
        <v>2058</v>
      </c>
      <c r="AP1" s="8">
        <v>2059</v>
      </c>
      <c r="AQ1" s="8">
        <v>2060</v>
      </c>
      <c r="AR1" s="8">
        <v>2061</v>
      </c>
      <c r="AS1" s="8">
        <v>2062</v>
      </c>
      <c r="AT1" s="8">
        <v>2063</v>
      </c>
      <c r="AU1" s="8">
        <v>2064</v>
      </c>
      <c r="AV1" s="8">
        <v>2065</v>
      </c>
      <c r="AW1" s="8">
        <v>2066</v>
      </c>
      <c r="AX1" s="8">
        <v>2067</v>
      </c>
      <c r="AY1" s="8">
        <v>2068</v>
      </c>
      <c r="AZ1" s="8">
        <v>2069</v>
      </c>
      <c r="BA1" s="8">
        <v>2070</v>
      </c>
    </row>
    <row r="2" spans="1:53" ht="14.25" customHeight="1" x14ac:dyDescent="0.2">
      <c r="A2" s="7" t="s">
        <v>15</v>
      </c>
      <c r="B2" s="10">
        <f>'coal retirement'!B3</f>
        <v>0</v>
      </c>
      <c r="C2" s="10">
        <f>'coal retirement'!C9</f>
        <v>0</v>
      </c>
      <c r="D2" s="10">
        <f>'coal retirement'!D9</f>
        <v>0</v>
      </c>
      <c r="E2" s="10">
        <f>'coal retirement'!E9</f>
        <v>0</v>
      </c>
      <c r="F2" s="10">
        <f>'coal retirement'!F9</f>
        <v>0</v>
      </c>
      <c r="G2" s="10">
        <f>'coal retirement'!G9</f>
        <v>0</v>
      </c>
      <c r="H2" s="10">
        <f>'coal retirement'!H9</f>
        <v>1100</v>
      </c>
      <c r="I2" s="10">
        <f>'coal retirement'!I9</f>
        <v>0</v>
      </c>
      <c r="J2" s="10">
        <f>'coal retirement'!J9</f>
        <v>0</v>
      </c>
      <c r="K2" s="10">
        <f>'coal retirement'!K9</f>
        <v>0</v>
      </c>
      <c r="L2" s="10">
        <f>'coal retirement'!L9</f>
        <v>0</v>
      </c>
      <c r="M2" s="10">
        <f>'coal retirement'!M9</f>
        <v>1000</v>
      </c>
      <c r="N2" s="10">
        <f>'coal retirement'!N9</f>
        <v>0</v>
      </c>
      <c r="O2" s="10">
        <f>'coal retirement'!O9</f>
        <v>0</v>
      </c>
      <c r="P2" s="10">
        <f>'coal retirement'!P9</f>
        <v>0</v>
      </c>
      <c r="Q2" s="10">
        <f>'coal retirement'!Q9</f>
        <v>0</v>
      </c>
      <c r="R2" s="10">
        <f>'coal retirement'!R9</f>
        <v>0</v>
      </c>
      <c r="S2" s="10">
        <f>'coal retirement'!S9</f>
        <v>0</v>
      </c>
      <c r="T2" s="10">
        <f>'coal retirement'!T9</f>
        <v>0</v>
      </c>
      <c r="U2" s="10">
        <f>'coal retirement'!U9</f>
        <v>0</v>
      </c>
      <c r="V2" s="10">
        <f>'coal retirement'!V9</f>
        <v>0</v>
      </c>
      <c r="W2" s="10">
        <f>'coal retirement'!W9</f>
        <v>10000</v>
      </c>
      <c r="X2" s="10">
        <f>'coal retirement'!X9</f>
        <v>0</v>
      </c>
      <c r="Y2" s="10">
        <f>'coal retirement'!Y9</f>
        <v>0</v>
      </c>
      <c r="Z2" s="10">
        <f>'coal retirement'!Z9</f>
        <v>0</v>
      </c>
      <c r="AA2" s="10">
        <f>'coal retirement'!AA9</f>
        <v>0</v>
      </c>
      <c r="AB2" s="10">
        <f>'coal retirement'!AB9</f>
        <v>24000</v>
      </c>
      <c r="AC2" s="10">
        <f>'coal retirement'!AC9</f>
        <v>22100.000000000364</v>
      </c>
      <c r="AD2" s="10">
        <f>'coal retirement'!AD9</f>
        <v>20200.000000000273</v>
      </c>
      <c r="AE2" s="10">
        <f>'coal retirement'!AE9</f>
        <v>18300.000000000182</v>
      </c>
      <c r="AF2" s="10">
        <f>'coal retirement'!AF9</f>
        <v>16400.000000000091</v>
      </c>
      <c r="AG2" s="10">
        <f>'coal retirement'!AG9</f>
        <v>14500</v>
      </c>
      <c r="AH2" s="10">
        <f>'coal retirement'!AH9</f>
        <v>12600.000000000364</v>
      </c>
      <c r="AI2" s="10">
        <f>'coal retirement'!AI9</f>
        <v>10700.000000000273</v>
      </c>
      <c r="AJ2" s="10">
        <f>'coal retirement'!AJ9</f>
        <v>8800.0000000001819</v>
      </c>
      <c r="AK2" s="10">
        <f>'coal retirement'!AK9</f>
        <v>6900.0000000000909</v>
      </c>
      <c r="AL2" s="10">
        <f>'coal retirement'!AL9</f>
        <v>5000</v>
      </c>
      <c r="AM2" s="10">
        <f>'coal retirement'!AM9</f>
        <v>3623.1884057970537</v>
      </c>
      <c r="AN2" s="10">
        <f>'coal retirement'!AN9</f>
        <v>2625.498844780439</v>
      </c>
      <c r="AO2" s="10">
        <f>'coal retirement'!AO9</f>
        <v>1902.5353947684089</v>
      </c>
      <c r="AP2" s="10">
        <f>'coal retirement'!AP9</f>
        <v>1378.6488367886841</v>
      </c>
      <c r="AQ2" s="10">
        <f>'coal retirement'!AQ9</f>
        <v>999.02089622367089</v>
      </c>
      <c r="AR2" s="10">
        <f>'coal retirement'!AR9</f>
        <v>723.92818566931714</v>
      </c>
      <c r="AS2" s="10">
        <f>'coal retirement'!AS9</f>
        <v>524.5856417893533</v>
      </c>
      <c r="AT2" s="10">
        <f>'coal retirement'!AT9</f>
        <v>380.13452303575821</v>
      </c>
      <c r="AU2" s="10">
        <f>'coal retirement'!AU9</f>
        <v>275.45979930127044</v>
      </c>
      <c r="AV2" s="10">
        <f>'coal retirement'!AV9</f>
        <v>199.60855021830932</v>
      </c>
      <c r="AW2" s="10">
        <f>'coal retirement'!AW9</f>
        <v>144.64387696978744</v>
      </c>
      <c r="AX2" s="10">
        <f>'coal retirement'!AX9</f>
        <v>104.81440360129388</v>
      </c>
      <c r="AY2" s="10">
        <f>'coal retirement'!AY9</f>
        <v>75.952466377748195</v>
      </c>
      <c r="AZ2" s="10">
        <f>'coal retirement'!AZ9</f>
        <v>55.038019114309556</v>
      </c>
      <c r="BA2" s="10">
        <f>'coal retirement'!BA9</f>
        <v>39.882622546600608</v>
      </c>
    </row>
    <row r="3" spans="1:53" ht="14.25" customHeight="1" x14ac:dyDescent="0.2">
      <c r="A3" s="7" t="s">
        <v>16</v>
      </c>
      <c r="B3" s="10">
        <v>0</v>
      </c>
      <c r="C3" s="10">
        <v>0</v>
      </c>
      <c r="D3" s="10">
        <v>0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  <c r="L3" s="10">
        <v>0</v>
      </c>
      <c r="M3" s="10">
        <v>0</v>
      </c>
      <c r="N3" s="10">
        <v>0</v>
      </c>
      <c r="O3" s="10">
        <v>0</v>
      </c>
      <c r="P3" s="10">
        <v>0</v>
      </c>
      <c r="Q3" s="10">
        <v>0</v>
      </c>
      <c r="R3" s="10">
        <v>0</v>
      </c>
      <c r="S3" s="10">
        <v>0</v>
      </c>
      <c r="T3" s="10">
        <v>0</v>
      </c>
      <c r="U3" s="10">
        <v>0</v>
      </c>
      <c r="V3" s="10">
        <v>0</v>
      </c>
      <c r="W3" s="10">
        <v>0</v>
      </c>
      <c r="X3" s="10">
        <v>0</v>
      </c>
      <c r="Y3" s="10">
        <v>0</v>
      </c>
      <c r="Z3" s="10">
        <v>0</v>
      </c>
      <c r="AA3" s="10">
        <v>0</v>
      </c>
      <c r="AB3" s="10">
        <v>0</v>
      </c>
      <c r="AC3" s="10">
        <v>0</v>
      </c>
      <c r="AD3" s="10">
        <v>0</v>
      </c>
      <c r="AE3" s="10">
        <v>0</v>
      </c>
      <c r="AF3" s="10">
        <v>0</v>
      </c>
      <c r="AG3" s="10">
        <v>0</v>
      </c>
      <c r="AH3" s="10">
        <v>0</v>
      </c>
      <c r="AI3" s="10">
        <v>0</v>
      </c>
      <c r="AJ3" s="10">
        <v>0</v>
      </c>
      <c r="AK3" s="10">
        <v>0</v>
      </c>
      <c r="AL3" s="10">
        <v>0</v>
      </c>
      <c r="AM3" s="10">
        <v>0</v>
      </c>
      <c r="AN3" s="10">
        <v>0</v>
      </c>
      <c r="AO3" s="10">
        <v>0</v>
      </c>
      <c r="AP3" s="10">
        <v>0</v>
      </c>
      <c r="AQ3" s="10">
        <v>0</v>
      </c>
      <c r="AR3" s="10">
        <v>0</v>
      </c>
      <c r="AS3" s="10">
        <v>0</v>
      </c>
      <c r="AT3" s="10">
        <v>0</v>
      </c>
      <c r="AU3" s="10">
        <v>0</v>
      </c>
      <c r="AV3" s="10">
        <v>0</v>
      </c>
      <c r="AW3" s="10">
        <v>0</v>
      </c>
      <c r="AX3" s="10">
        <v>0</v>
      </c>
      <c r="AY3" s="10">
        <v>0</v>
      </c>
      <c r="AZ3" s="10">
        <v>0</v>
      </c>
      <c r="BA3" s="10">
        <v>0</v>
      </c>
    </row>
    <row r="4" spans="1:53" ht="14.25" customHeight="1" x14ac:dyDescent="0.2">
      <c r="A4" s="7" t="s">
        <v>17</v>
      </c>
      <c r="B4" s="10">
        <v>0</v>
      </c>
      <c r="C4" s="10">
        <v>0</v>
      </c>
      <c r="D4" s="10">
        <v>0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  <c r="L4" s="10">
        <v>0</v>
      </c>
      <c r="M4" s="10">
        <v>0</v>
      </c>
      <c r="N4" s="10">
        <v>0</v>
      </c>
      <c r="O4" s="10">
        <v>0</v>
      </c>
      <c r="P4" s="10">
        <v>0</v>
      </c>
      <c r="Q4" s="10">
        <v>0</v>
      </c>
      <c r="R4" s="10">
        <v>0</v>
      </c>
      <c r="S4" s="10">
        <v>0</v>
      </c>
      <c r="T4" s="10">
        <v>0</v>
      </c>
      <c r="U4" s="10">
        <v>0</v>
      </c>
      <c r="V4" s="10">
        <v>0</v>
      </c>
      <c r="W4" s="10">
        <v>0</v>
      </c>
      <c r="X4" s="10">
        <v>0</v>
      </c>
      <c r="Y4" s="10">
        <v>0</v>
      </c>
      <c r="Z4" s="10">
        <v>0</v>
      </c>
      <c r="AA4" s="10">
        <v>0</v>
      </c>
      <c r="AB4" s="10">
        <v>0</v>
      </c>
      <c r="AC4" s="10">
        <v>0</v>
      </c>
      <c r="AD4" s="10">
        <v>0</v>
      </c>
      <c r="AE4" s="10">
        <v>0</v>
      </c>
      <c r="AF4" s="10">
        <v>0</v>
      </c>
      <c r="AG4" s="10">
        <v>0</v>
      </c>
      <c r="AH4" s="10">
        <v>0</v>
      </c>
      <c r="AI4" s="10">
        <v>0</v>
      </c>
      <c r="AJ4" s="10">
        <v>0</v>
      </c>
      <c r="AK4" s="10">
        <v>0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10">
        <v>0</v>
      </c>
      <c r="AT4" s="10">
        <v>0</v>
      </c>
      <c r="AU4" s="10">
        <v>0</v>
      </c>
      <c r="AV4" s="10">
        <v>0</v>
      </c>
      <c r="AW4" s="10">
        <v>0</v>
      </c>
      <c r="AX4" s="10">
        <v>0</v>
      </c>
      <c r="AY4" s="10">
        <v>0</v>
      </c>
      <c r="AZ4" s="10">
        <v>0</v>
      </c>
      <c r="BA4" s="10">
        <v>0</v>
      </c>
    </row>
    <row r="5" spans="1:53" ht="14.25" customHeight="1" x14ac:dyDescent="0.2">
      <c r="A5" s="7" t="s">
        <v>18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0</v>
      </c>
      <c r="P5" s="10">
        <v>0</v>
      </c>
      <c r="Q5" s="10">
        <v>0</v>
      </c>
      <c r="R5" s="10">
        <v>0</v>
      </c>
      <c r="S5" s="10">
        <v>0</v>
      </c>
      <c r="T5" s="10">
        <v>0</v>
      </c>
      <c r="U5" s="10">
        <v>0</v>
      </c>
      <c r="V5" s="10">
        <v>0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0</v>
      </c>
      <c r="AE5" s="10">
        <v>0</v>
      </c>
      <c r="AF5" s="10">
        <v>0</v>
      </c>
      <c r="AG5" s="10">
        <v>0</v>
      </c>
      <c r="AH5" s="10">
        <v>0</v>
      </c>
      <c r="AI5" s="10">
        <v>0</v>
      </c>
      <c r="AJ5" s="10">
        <v>0</v>
      </c>
      <c r="AK5" s="10">
        <v>0</v>
      </c>
      <c r="AL5" s="10">
        <v>0</v>
      </c>
      <c r="AM5" s="10">
        <v>0</v>
      </c>
      <c r="AN5" s="10">
        <v>0</v>
      </c>
      <c r="AO5" s="10">
        <v>0</v>
      </c>
      <c r="AP5" s="10">
        <v>0</v>
      </c>
      <c r="AQ5" s="10">
        <v>0</v>
      </c>
      <c r="AR5" s="10">
        <v>0</v>
      </c>
      <c r="AS5" s="10">
        <v>0</v>
      </c>
      <c r="AT5" s="10">
        <v>0</v>
      </c>
      <c r="AU5" s="10">
        <v>0</v>
      </c>
      <c r="AV5" s="10">
        <v>0</v>
      </c>
      <c r="AW5" s="10">
        <v>0</v>
      </c>
      <c r="AX5" s="10">
        <v>0</v>
      </c>
      <c r="AY5" s="10">
        <v>0</v>
      </c>
      <c r="AZ5" s="10">
        <v>0</v>
      </c>
      <c r="BA5" s="10">
        <v>0</v>
      </c>
    </row>
    <row r="6" spans="1:53" ht="14.25" customHeight="1" x14ac:dyDescent="0.2">
      <c r="A6" s="7" t="s">
        <v>19</v>
      </c>
      <c r="B6" s="10">
        <v>0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0</v>
      </c>
      <c r="AL6" s="10">
        <v>0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0</v>
      </c>
      <c r="AS6" s="10">
        <v>0</v>
      </c>
      <c r="AT6" s="10">
        <v>0</v>
      </c>
      <c r="AU6" s="10">
        <v>0</v>
      </c>
      <c r="AV6" s="10">
        <v>0</v>
      </c>
      <c r="AW6" s="10">
        <v>0</v>
      </c>
      <c r="AX6" s="10">
        <v>0</v>
      </c>
      <c r="AY6" s="10">
        <v>0</v>
      </c>
      <c r="AZ6" s="10">
        <v>0</v>
      </c>
      <c r="BA6" s="10">
        <v>0</v>
      </c>
    </row>
    <row r="7" spans="1:53" ht="14.25" customHeight="1" x14ac:dyDescent="0.2">
      <c r="A7" s="7" t="s">
        <v>20</v>
      </c>
      <c r="B7" s="10">
        <v>0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>
        <v>0</v>
      </c>
      <c r="W7" s="10">
        <v>0</v>
      </c>
      <c r="X7" s="10">
        <v>0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  <c r="AH7" s="10">
        <v>0</v>
      </c>
      <c r="AI7" s="10">
        <v>0</v>
      </c>
      <c r="AJ7" s="10">
        <v>0</v>
      </c>
      <c r="AK7" s="10">
        <v>0</v>
      </c>
      <c r="AL7" s="10">
        <v>0</v>
      </c>
      <c r="AM7" s="10">
        <v>0</v>
      </c>
      <c r="AN7" s="10">
        <v>0</v>
      </c>
      <c r="AO7" s="10">
        <v>0</v>
      </c>
      <c r="AP7" s="10">
        <v>0</v>
      </c>
      <c r="AQ7" s="10">
        <v>0</v>
      </c>
      <c r="AR7" s="10">
        <v>0</v>
      </c>
      <c r="AS7" s="10">
        <v>0</v>
      </c>
      <c r="AT7" s="10">
        <v>0</v>
      </c>
      <c r="AU7" s="10">
        <v>0</v>
      </c>
      <c r="AV7" s="10">
        <v>0</v>
      </c>
      <c r="AW7" s="10">
        <v>0</v>
      </c>
      <c r="AX7" s="10">
        <v>0</v>
      </c>
      <c r="AY7" s="10">
        <v>0</v>
      </c>
      <c r="AZ7" s="10">
        <v>0</v>
      </c>
      <c r="BA7" s="10">
        <v>0</v>
      </c>
    </row>
    <row r="8" spans="1:53" ht="14.25" customHeight="1" x14ac:dyDescent="0.2">
      <c r="A8" s="7" t="s">
        <v>21</v>
      </c>
      <c r="B8" s="10">
        <v>0</v>
      </c>
      <c r="C8" s="10">
        <v>0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0</v>
      </c>
      <c r="AJ8" s="10">
        <v>0</v>
      </c>
      <c r="AK8" s="10"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  <c r="AT8" s="10">
        <v>0</v>
      </c>
      <c r="AU8" s="10">
        <v>0</v>
      </c>
      <c r="AV8" s="10">
        <v>0</v>
      </c>
      <c r="AW8" s="10">
        <v>0</v>
      </c>
      <c r="AX8" s="10">
        <v>0</v>
      </c>
      <c r="AY8" s="10">
        <v>0</v>
      </c>
      <c r="AZ8" s="10">
        <v>0</v>
      </c>
      <c r="BA8" s="10">
        <v>0</v>
      </c>
    </row>
    <row r="9" spans="1:53" ht="14.25" customHeight="1" x14ac:dyDescent="0.2">
      <c r="A9" s="7" t="s">
        <v>22</v>
      </c>
      <c r="B9" s="10">
        <v>0</v>
      </c>
      <c r="C9" s="10">
        <v>0</v>
      </c>
      <c r="D9" s="10">
        <v>0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0</v>
      </c>
      <c r="S9" s="10">
        <v>0</v>
      </c>
      <c r="T9" s="10">
        <v>0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>
        <v>0</v>
      </c>
      <c r="AM9" s="10">
        <v>0</v>
      </c>
      <c r="AN9" s="10">
        <v>0</v>
      </c>
      <c r="AO9" s="10">
        <v>0</v>
      </c>
      <c r="AP9" s="10">
        <v>0</v>
      </c>
      <c r="AQ9" s="10">
        <v>0</v>
      </c>
      <c r="AR9" s="10">
        <v>0</v>
      </c>
      <c r="AS9" s="10">
        <v>0</v>
      </c>
      <c r="AT9" s="10">
        <v>0</v>
      </c>
      <c r="AU9" s="10">
        <v>0</v>
      </c>
      <c r="AV9" s="10">
        <v>0</v>
      </c>
      <c r="AW9" s="10">
        <v>0</v>
      </c>
      <c r="AX9" s="10">
        <v>0</v>
      </c>
      <c r="AY9" s="10">
        <v>0</v>
      </c>
      <c r="AZ9" s="10">
        <v>0</v>
      </c>
      <c r="BA9" s="10">
        <v>0</v>
      </c>
    </row>
    <row r="10" spans="1:53" ht="14.25" customHeight="1" x14ac:dyDescent="0.2">
      <c r="A10" s="7" t="s">
        <v>23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0">
        <v>0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0</v>
      </c>
      <c r="AL10" s="10">
        <v>0</v>
      </c>
      <c r="AM10" s="10">
        <v>0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</v>
      </c>
      <c r="AT10" s="10">
        <v>0</v>
      </c>
      <c r="AU10" s="10">
        <v>0</v>
      </c>
      <c r="AV10" s="10">
        <v>0</v>
      </c>
      <c r="AW10" s="10">
        <v>0</v>
      </c>
      <c r="AX10" s="10">
        <v>0</v>
      </c>
      <c r="AY10" s="10">
        <v>0</v>
      </c>
      <c r="AZ10" s="10">
        <v>0</v>
      </c>
      <c r="BA10" s="10">
        <v>0</v>
      </c>
    </row>
    <row r="11" spans="1:53" ht="14.25" customHeight="1" x14ac:dyDescent="0.2">
      <c r="A11" s="7" t="s">
        <v>24</v>
      </c>
      <c r="B11" s="10">
        <v>0</v>
      </c>
      <c r="C11" s="10">
        <v>0</v>
      </c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  <c r="AH11" s="10">
        <v>0</v>
      </c>
      <c r="AI11" s="10">
        <v>0</v>
      </c>
      <c r="AJ11" s="10">
        <v>0</v>
      </c>
      <c r="AK11" s="10">
        <v>0</v>
      </c>
      <c r="AL11" s="10">
        <v>0</v>
      </c>
      <c r="AM11" s="10">
        <v>0</v>
      </c>
      <c r="AN11" s="10">
        <v>0</v>
      </c>
      <c r="AO11" s="10">
        <v>0</v>
      </c>
      <c r="AP11" s="10">
        <v>0</v>
      </c>
      <c r="AQ11" s="10">
        <v>0</v>
      </c>
      <c r="AR11" s="10">
        <v>0</v>
      </c>
      <c r="AS11" s="10">
        <v>0</v>
      </c>
      <c r="AT11" s="10">
        <v>0</v>
      </c>
      <c r="AU11" s="10">
        <v>0</v>
      </c>
      <c r="AV11" s="10">
        <v>0</v>
      </c>
      <c r="AW11" s="10">
        <v>0</v>
      </c>
      <c r="AX11" s="10">
        <v>0</v>
      </c>
      <c r="AY11" s="10">
        <v>0</v>
      </c>
      <c r="AZ11" s="10">
        <v>0</v>
      </c>
      <c r="BA11" s="10">
        <v>0</v>
      </c>
    </row>
    <row r="12" spans="1:53" ht="14.25" customHeight="1" x14ac:dyDescent="0.2">
      <c r="A12" s="7" t="s">
        <v>25</v>
      </c>
      <c r="B12" s="10">
        <v>0</v>
      </c>
      <c r="C12" s="10">
        <v>0</v>
      </c>
      <c r="D12" s="10">
        <v>0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  <c r="N12" s="10">
        <v>0</v>
      </c>
      <c r="O12" s="10">
        <v>0</v>
      </c>
      <c r="P12" s="10">
        <v>0</v>
      </c>
      <c r="Q12" s="10">
        <v>0</v>
      </c>
      <c r="R12" s="10">
        <v>0</v>
      </c>
      <c r="S12" s="10">
        <v>0</v>
      </c>
      <c r="T12" s="10">
        <v>0</v>
      </c>
      <c r="U12" s="10">
        <v>0</v>
      </c>
      <c r="V12" s="10">
        <v>0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0</v>
      </c>
      <c r="AJ12" s="10">
        <v>0</v>
      </c>
      <c r="AK12" s="10">
        <v>0</v>
      </c>
      <c r="AL12" s="10">
        <v>0</v>
      </c>
      <c r="AM12" s="10">
        <v>0</v>
      </c>
      <c r="AN12" s="10">
        <v>0</v>
      </c>
      <c r="AO12" s="10">
        <v>0</v>
      </c>
      <c r="AP12" s="10">
        <v>0</v>
      </c>
      <c r="AQ12" s="10">
        <v>0</v>
      </c>
      <c r="AR12" s="10">
        <v>0</v>
      </c>
      <c r="AS12" s="10">
        <v>0</v>
      </c>
      <c r="AT12" s="10">
        <v>0</v>
      </c>
      <c r="AU12" s="10">
        <v>0</v>
      </c>
      <c r="AV12" s="10">
        <v>0</v>
      </c>
      <c r="AW12" s="10">
        <v>0</v>
      </c>
      <c r="AX12" s="10">
        <v>0</v>
      </c>
      <c r="AY12" s="10">
        <v>0</v>
      </c>
      <c r="AZ12" s="10">
        <v>0</v>
      </c>
      <c r="BA12" s="10">
        <v>0</v>
      </c>
    </row>
    <row r="13" spans="1:53" ht="14.25" customHeight="1" x14ac:dyDescent="0.2">
      <c r="A13" s="9" t="s">
        <v>26</v>
      </c>
      <c r="B13" s="10">
        <v>0</v>
      </c>
      <c r="C13" s="10">
        <v>0</v>
      </c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  <c r="N13" s="10">
        <v>0</v>
      </c>
      <c r="O13" s="10">
        <v>0</v>
      </c>
      <c r="P13" s="10">
        <v>0</v>
      </c>
      <c r="Q13" s="10">
        <v>0</v>
      </c>
      <c r="R13" s="10">
        <v>0</v>
      </c>
      <c r="S13" s="10">
        <v>0</v>
      </c>
      <c r="T13" s="10">
        <v>0</v>
      </c>
      <c r="U13" s="10">
        <v>0</v>
      </c>
      <c r="V13" s="10">
        <v>0</v>
      </c>
      <c r="W13" s="10">
        <v>0</v>
      </c>
      <c r="X13" s="10">
        <v>0</v>
      </c>
      <c r="Y13" s="10">
        <v>0</v>
      </c>
      <c r="Z13" s="10">
        <v>0</v>
      </c>
      <c r="AA13" s="10">
        <v>0</v>
      </c>
      <c r="AB13" s="10">
        <v>0</v>
      </c>
      <c r="AC13" s="10">
        <v>0</v>
      </c>
      <c r="AD13" s="10">
        <v>0</v>
      </c>
      <c r="AE13" s="10">
        <v>0</v>
      </c>
      <c r="AF13" s="10">
        <v>0</v>
      </c>
      <c r="AG13" s="10">
        <v>0</v>
      </c>
      <c r="AH13" s="10">
        <v>0</v>
      </c>
      <c r="AI13" s="10">
        <v>0</v>
      </c>
      <c r="AJ13" s="10">
        <v>0</v>
      </c>
      <c r="AK13" s="10">
        <v>0</v>
      </c>
      <c r="AL13" s="10">
        <v>0</v>
      </c>
      <c r="AM13" s="10">
        <v>0</v>
      </c>
      <c r="AN13" s="10">
        <v>0</v>
      </c>
      <c r="AO13" s="10">
        <v>0</v>
      </c>
      <c r="AP13" s="10">
        <v>0</v>
      </c>
      <c r="AQ13" s="10">
        <v>0</v>
      </c>
      <c r="AR13" s="10">
        <v>0</v>
      </c>
      <c r="AS13" s="10">
        <v>0</v>
      </c>
      <c r="AT13" s="10">
        <v>0</v>
      </c>
      <c r="AU13" s="10">
        <v>0</v>
      </c>
      <c r="AV13" s="10">
        <v>0</v>
      </c>
      <c r="AW13" s="10">
        <v>0</v>
      </c>
      <c r="AX13" s="10">
        <v>0</v>
      </c>
      <c r="AY13" s="10">
        <v>0</v>
      </c>
      <c r="AZ13" s="10">
        <v>0</v>
      </c>
      <c r="BA13" s="10">
        <v>0</v>
      </c>
    </row>
    <row r="14" spans="1:53" ht="14.25" customHeight="1" x14ac:dyDescent="0.2">
      <c r="A14" s="7" t="s">
        <v>27</v>
      </c>
      <c r="B14" s="10">
        <v>0</v>
      </c>
      <c r="C14" s="10">
        <v>0</v>
      </c>
      <c r="D14" s="10">
        <v>0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  <c r="L14" s="10">
        <v>0</v>
      </c>
      <c r="M14" s="10">
        <v>0</v>
      </c>
      <c r="N14" s="10">
        <v>0</v>
      </c>
      <c r="O14" s="10">
        <v>0</v>
      </c>
      <c r="P14" s="10">
        <v>0</v>
      </c>
      <c r="Q14" s="10">
        <v>0</v>
      </c>
      <c r="R14" s="10">
        <v>0</v>
      </c>
      <c r="S14" s="10">
        <v>0</v>
      </c>
      <c r="T14" s="10">
        <v>0</v>
      </c>
      <c r="U14" s="10">
        <v>0</v>
      </c>
      <c r="V14" s="10">
        <v>0</v>
      </c>
      <c r="W14" s="10">
        <v>0</v>
      </c>
      <c r="X14" s="10">
        <v>0</v>
      </c>
      <c r="Y14" s="10">
        <v>0</v>
      </c>
      <c r="Z14" s="10">
        <v>0</v>
      </c>
      <c r="AA14" s="10">
        <v>0</v>
      </c>
      <c r="AB14" s="10">
        <v>0</v>
      </c>
      <c r="AC14" s="10">
        <v>0</v>
      </c>
      <c r="AD14" s="10">
        <v>0</v>
      </c>
      <c r="AE14" s="10">
        <v>0</v>
      </c>
      <c r="AF14" s="10">
        <v>0</v>
      </c>
      <c r="AG14" s="10">
        <v>0</v>
      </c>
      <c r="AH14" s="10">
        <v>0</v>
      </c>
      <c r="AI14" s="10">
        <v>0</v>
      </c>
      <c r="AJ14" s="10">
        <v>0</v>
      </c>
      <c r="AK14" s="10">
        <v>0</v>
      </c>
      <c r="AL14" s="10">
        <v>0</v>
      </c>
      <c r="AM14" s="10">
        <v>0</v>
      </c>
      <c r="AN14" s="10">
        <v>0</v>
      </c>
      <c r="AO14" s="10">
        <v>0</v>
      </c>
      <c r="AP14" s="10">
        <v>0</v>
      </c>
      <c r="AQ14" s="10">
        <v>0</v>
      </c>
      <c r="AR14" s="10">
        <v>0</v>
      </c>
      <c r="AS14" s="10">
        <v>0</v>
      </c>
      <c r="AT14" s="10">
        <v>0</v>
      </c>
      <c r="AU14" s="10">
        <v>0</v>
      </c>
      <c r="AV14" s="10">
        <v>0</v>
      </c>
      <c r="AW14" s="10">
        <v>0</v>
      </c>
      <c r="AX14" s="10">
        <v>0</v>
      </c>
      <c r="AY14" s="10">
        <v>0</v>
      </c>
      <c r="AZ14" s="10">
        <v>0</v>
      </c>
      <c r="BA14" s="10">
        <v>0</v>
      </c>
    </row>
    <row r="15" spans="1:53" ht="14.25" customHeight="1" x14ac:dyDescent="0.2">
      <c r="A15" s="7" t="s">
        <v>28</v>
      </c>
      <c r="B15" s="10">
        <v>0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0</v>
      </c>
      <c r="T15" s="10">
        <v>0</v>
      </c>
      <c r="U15" s="10">
        <v>0</v>
      </c>
      <c r="V15" s="10">
        <v>0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  <c r="AH15" s="10">
        <v>0</v>
      </c>
      <c r="AI15" s="10">
        <v>0</v>
      </c>
      <c r="AJ15" s="10">
        <v>0</v>
      </c>
      <c r="AK15" s="10">
        <v>0</v>
      </c>
      <c r="AL15" s="10">
        <v>0</v>
      </c>
      <c r="AM15" s="10">
        <v>0</v>
      </c>
      <c r="AN15" s="10">
        <v>0</v>
      </c>
      <c r="AO15" s="10">
        <v>0</v>
      </c>
      <c r="AP15" s="10">
        <v>0</v>
      </c>
      <c r="AQ15" s="10">
        <v>0</v>
      </c>
      <c r="AR15" s="10">
        <v>0</v>
      </c>
      <c r="AS15" s="10">
        <v>0</v>
      </c>
      <c r="AT15" s="10">
        <v>0</v>
      </c>
      <c r="AU15" s="10">
        <v>0</v>
      </c>
      <c r="AV15" s="10">
        <v>0</v>
      </c>
      <c r="AW15" s="10">
        <v>0</v>
      </c>
      <c r="AX15" s="10">
        <v>0</v>
      </c>
      <c r="AY15" s="10">
        <v>0</v>
      </c>
      <c r="AZ15" s="10">
        <v>0</v>
      </c>
      <c r="BA15" s="10">
        <v>0</v>
      </c>
    </row>
    <row r="16" spans="1:53" ht="14.25" customHeight="1" x14ac:dyDescent="0.2">
      <c r="A16" s="7" t="s">
        <v>29</v>
      </c>
      <c r="B16" s="10">
        <v>0</v>
      </c>
      <c r="C16" s="10">
        <v>0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  <c r="N16" s="10">
        <v>0</v>
      </c>
      <c r="O16" s="10">
        <v>0</v>
      </c>
      <c r="P16" s="10">
        <v>0</v>
      </c>
      <c r="Q16" s="10">
        <v>0</v>
      </c>
      <c r="R16" s="10">
        <v>0</v>
      </c>
      <c r="S16" s="10">
        <v>0</v>
      </c>
      <c r="T16" s="10">
        <v>0</v>
      </c>
      <c r="U16" s="10">
        <v>0</v>
      </c>
      <c r="V16" s="10">
        <v>0</v>
      </c>
      <c r="W16" s="10">
        <v>0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  <c r="AF16" s="10">
        <v>0</v>
      </c>
      <c r="AG16" s="10">
        <v>0</v>
      </c>
      <c r="AH16" s="10">
        <v>0</v>
      </c>
      <c r="AI16" s="10">
        <v>0</v>
      </c>
      <c r="AJ16" s="10">
        <v>0</v>
      </c>
      <c r="AK16" s="10">
        <v>0</v>
      </c>
      <c r="AL16" s="10">
        <v>0</v>
      </c>
      <c r="AM16" s="10">
        <v>0</v>
      </c>
      <c r="AN16" s="10">
        <v>0</v>
      </c>
      <c r="AO16" s="10">
        <v>0</v>
      </c>
      <c r="AP16" s="10">
        <v>0</v>
      </c>
      <c r="AQ16" s="10">
        <v>0</v>
      </c>
      <c r="AR16" s="10">
        <v>0</v>
      </c>
      <c r="AS16" s="10">
        <v>0</v>
      </c>
      <c r="AT16" s="10">
        <v>0</v>
      </c>
      <c r="AU16" s="10">
        <v>0</v>
      </c>
      <c r="AV16" s="10">
        <v>0</v>
      </c>
      <c r="AW16" s="10">
        <v>0</v>
      </c>
      <c r="AX16" s="10">
        <v>0</v>
      </c>
      <c r="AY16" s="10">
        <v>0</v>
      </c>
      <c r="AZ16" s="10">
        <v>0</v>
      </c>
      <c r="BA16" s="10">
        <v>0</v>
      </c>
    </row>
    <row r="17" spans="1:53" ht="14.25" customHeight="1" x14ac:dyDescent="0.2">
      <c r="A17" s="7" t="s">
        <v>30</v>
      </c>
      <c r="B17" s="10">
        <v>0</v>
      </c>
      <c r="C17" s="10">
        <v>0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0</v>
      </c>
      <c r="P17" s="10">
        <v>0</v>
      </c>
      <c r="Q17" s="10">
        <v>0</v>
      </c>
      <c r="R17" s="10">
        <v>0</v>
      </c>
      <c r="S17" s="10">
        <v>0</v>
      </c>
      <c r="T17" s="10">
        <v>0</v>
      </c>
      <c r="U17" s="10">
        <v>0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0</v>
      </c>
      <c r="AL17" s="10">
        <v>0</v>
      </c>
      <c r="AM17" s="10">
        <v>0</v>
      </c>
      <c r="AN17" s="10">
        <v>0</v>
      </c>
      <c r="AO17" s="10">
        <v>0</v>
      </c>
      <c r="AP17" s="10">
        <v>0</v>
      </c>
      <c r="AQ17" s="10">
        <v>0</v>
      </c>
      <c r="AR17" s="10">
        <v>0</v>
      </c>
      <c r="AS17" s="10">
        <v>0</v>
      </c>
      <c r="AT17" s="10">
        <v>0</v>
      </c>
      <c r="AU17" s="10">
        <v>0</v>
      </c>
      <c r="AV17" s="10">
        <v>0</v>
      </c>
      <c r="AW17" s="10">
        <v>0</v>
      </c>
      <c r="AX17" s="10">
        <v>0</v>
      </c>
      <c r="AY17" s="10">
        <v>0</v>
      </c>
      <c r="AZ17" s="10">
        <v>0</v>
      </c>
      <c r="BA17" s="10">
        <v>0</v>
      </c>
    </row>
    <row r="18" spans="1:53" ht="14.25" customHeight="1" x14ac:dyDescent="0.2">
      <c r="A18" s="7" t="s">
        <v>31</v>
      </c>
      <c r="B18" s="10">
        <v>0</v>
      </c>
      <c r="C18" s="10">
        <v>0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  <c r="N18" s="10">
        <v>0</v>
      </c>
      <c r="O18" s="10">
        <v>0</v>
      </c>
      <c r="P18" s="10">
        <v>0</v>
      </c>
      <c r="Q18" s="10">
        <v>0</v>
      </c>
      <c r="R18" s="10">
        <v>0</v>
      </c>
      <c r="S18" s="10">
        <v>0</v>
      </c>
      <c r="T18" s="10">
        <v>0</v>
      </c>
      <c r="U18" s="10">
        <v>0</v>
      </c>
      <c r="V18" s="10">
        <v>0</v>
      </c>
      <c r="W18" s="10">
        <v>0</v>
      </c>
      <c r="X18" s="10">
        <v>0</v>
      </c>
      <c r="Y18" s="10">
        <v>0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0</v>
      </c>
      <c r="AF18" s="10">
        <v>0</v>
      </c>
      <c r="AG18" s="10">
        <v>0</v>
      </c>
      <c r="AH18" s="10">
        <v>0</v>
      </c>
      <c r="AI18" s="10">
        <v>0</v>
      </c>
      <c r="AJ18" s="10">
        <v>0</v>
      </c>
      <c r="AK18" s="10">
        <v>0</v>
      </c>
      <c r="AL18" s="10">
        <v>0</v>
      </c>
      <c r="AM18" s="10">
        <v>0</v>
      </c>
      <c r="AN18" s="10">
        <v>0</v>
      </c>
      <c r="AO18" s="10">
        <v>0</v>
      </c>
      <c r="AP18" s="10">
        <v>0</v>
      </c>
      <c r="AQ18" s="10">
        <v>0</v>
      </c>
      <c r="AR18" s="10">
        <v>0</v>
      </c>
      <c r="AS18" s="10">
        <v>0</v>
      </c>
      <c r="AT18" s="10">
        <v>0</v>
      </c>
      <c r="AU18" s="10">
        <v>0</v>
      </c>
      <c r="AV18" s="10">
        <v>0</v>
      </c>
      <c r="AW18" s="10">
        <v>0</v>
      </c>
      <c r="AX18" s="10">
        <v>0</v>
      </c>
      <c r="AY18" s="10">
        <v>0</v>
      </c>
      <c r="AZ18" s="10">
        <v>0</v>
      </c>
      <c r="BA18" s="10">
        <v>0</v>
      </c>
    </row>
    <row r="19" spans="1:53" ht="14.25" customHeight="1" x14ac:dyDescent="0.2"/>
    <row r="20" spans="1:53" ht="14.25" customHeight="1" x14ac:dyDescent="0.2"/>
    <row r="21" spans="1:53" ht="14.25" customHeight="1" x14ac:dyDescent="0.2"/>
    <row r="22" spans="1:53" ht="14.25" customHeight="1" x14ac:dyDescent="0.2"/>
    <row r="23" spans="1:53" ht="14.25" customHeight="1" x14ac:dyDescent="0.2"/>
    <row r="24" spans="1:53" ht="14.25" customHeight="1" x14ac:dyDescent="0.2"/>
    <row r="25" spans="1:53" ht="14.25" customHeight="1" x14ac:dyDescent="0.2"/>
    <row r="26" spans="1:53" ht="14.25" customHeight="1" x14ac:dyDescent="0.2"/>
    <row r="27" spans="1:53" ht="14.25" customHeight="1" x14ac:dyDescent="0.2"/>
    <row r="28" spans="1:53" ht="14.25" customHeight="1" x14ac:dyDescent="0.2"/>
    <row r="29" spans="1:53" ht="14.25" customHeight="1" x14ac:dyDescent="0.2"/>
    <row r="30" spans="1:53" ht="14.25" customHeight="1" x14ac:dyDescent="0.2"/>
    <row r="31" spans="1:53" ht="14.25" customHeight="1" x14ac:dyDescent="0.2"/>
    <row r="32" spans="1:53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  <row r="1001" ht="14.25" customHeight="1" x14ac:dyDescent="0.2"/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coal retirement</vt:lpstr>
      <vt:lpstr>BCRbQ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Zefania Sutrisno</dc:creator>
  <cp:lastModifiedBy>Sy, Saidou Abdoulaye</cp:lastModifiedBy>
  <dcterms:created xsi:type="dcterms:W3CDTF">2015-06-05T18:17:20Z</dcterms:created>
  <dcterms:modified xsi:type="dcterms:W3CDTF">2025-01-29T20:15:27Z</dcterms:modified>
</cp:coreProperties>
</file>