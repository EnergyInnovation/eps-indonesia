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elec/BCRbQ/"/>
    </mc:Choice>
  </mc:AlternateContent>
  <xr:revisionPtr revIDLastSave="0" documentId="13_ncr:1_{0B75B75E-3EC5-C94B-8289-46E0840638AA}" xr6:coauthVersionLast="47" xr6:coauthVersionMax="47" xr10:uidLastSave="{00000000-0000-0000-0000-000000000000}"/>
  <bookViews>
    <workbookView xWindow="0" yWindow="760" windowWidth="34200" windowHeight="21380" activeTab="3" xr2:uid="{00000000-000D-0000-FFFF-FFFF00000000}"/>
  </bookViews>
  <sheets>
    <sheet name="About" sheetId="1" r:id="rId1"/>
    <sheet name="coal retirement" sheetId="2" r:id="rId2"/>
    <sheet name="Computation" sheetId="4" r:id="rId3"/>
    <sheet name="BCRbQ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rfIHddFfJb1b0QQ52QGICZs2MuYHQ416XNgEnaK8Ewo="/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B2" i="3"/>
  <c r="Z2" i="4"/>
  <c r="AA2" i="4" s="1"/>
  <c r="Y2" i="4"/>
  <c r="X2" i="4"/>
  <c r="U2" i="4"/>
  <c r="V2" i="4" s="1"/>
  <c r="W2" i="4" s="1"/>
  <c r="T2" i="4"/>
  <c r="S2" i="4"/>
  <c r="N2" i="4"/>
  <c r="O2" i="4" s="1"/>
  <c r="P2" i="4" s="1"/>
  <c r="I2" i="4"/>
  <c r="D2" i="4"/>
  <c r="E2" i="4" s="1"/>
  <c r="C2" i="4"/>
  <c r="B2" i="4"/>
  <c r="AB9" i="2"/>
  <c r="AC9" i="2"/>
  <c r="AD9" i="2"/>
  <c r="AE9" i="2"/>
  <c r="AF9" i="2"/>
  <c r="AG9" i="2"/>
  <c r="AH9" i="2"/>
  <c r="AI9" i="2"/>
  <c r="AJ9" i="2"/>
  <c r="AK9" i="2"/>
  <c r="AL9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B9" i="2"/>
  <c r="AM9" i="2"/>
  <c r="AI5" i="2"/>
  <c r="AB2" i="4" l="1"/>
  <c r="AC2" i="4" s="1"/>
  <c r="AD2" i="4" s="1"/>
  <c r="Q2" i="4"/>
  <c r="R2" i="4" s="1"/>
  <c r="F2" i="4"/>
  <c r="AN9" i="2"/>
  <c r="AE2" i="4" l="1"/>
  <c r="G2" i="4"/>
  <c r="AO9" i="2"/>
  <c r="AF2" i="4" l="1"/>
  <c r="H2" i="4"/>
  <c r="AP9" i="2"/>
  <c r="AG2" i="4" l="1"/>
  <c r="AQ9" i="2"/>
  <c r="AH2" i="4" l="1"/>
  <c r="AR9" i="2"/>
  <c r="AI2" i="4" l="1"/>
  <c r="AS9" i="2"/>
  <c r="AJ2" i="4" l="1"/>
  <c r="AT9" i="2"/>
  <c r="AK2" i="4" l="1"/>
  <c r="AU9" i="2"/>
  <c r="AL2" i="4" l="1"/>
  <c r="AV9" i="2"/>
  <c r="AW9" i="2" l="1"/>
  <c r="AX9" i="2" l="1"/>
  <c r="AY9" i="2" l="1"/>
  <c r="BA9" i="2" l="1"/>
  <c r="AZ9" i="2"/>
  <c r="J2" i="4" l="1"/>
  <c r="K2" i="4"/>
  <c r="L2" i="4" l="1"/>
  <c r="M2" i="4" l="1"/>
</calcChain>
</file>

<file path=xl/sharedStrings.xml><?xml version="1.0" encoding="utf-8"?>
<sst xmlns="http://schemas.openxmlformats.org/spreadsheetml/2006/main" count="46" uniqueCount="42">
  <si>
    <t>BCRbQ BAU Capacity Retirements before Quantization</t>
  </si>
  <si>
    <t>Sources:</t>
  </si>
  <si>
    <t>Coal power plant retirement</t>
  </si>
  <si>
    <t>PLN</t>
  </si>
  <si>
    <t>Transformasi Batubara Menuju EBT, Strategi PLN Menuju Carbon Neutral 2060</t>
  </si>
  <si>
    <t>Paparan Dirut PLN (saved by IESR, not available online)</t>
  </si>
  <si>
    <t>page 3</t>
  </si>
  <si>
    <t>Notes</t>
  </si>
  <si>
    <t>Retirement schedule is only available for coal power plant.</t>
  </si>
  <si>
    <t>coal power plant retirement schedule</t>
  </si>
  <si>
    <t>interpolated (2046 to 2050)</t>
  </si>
  <si>
    <t>year</t>
  </si>
  <si>
    <t>capacity (MW)</t>
  </si>
  <si>
    <t>known:</t>
  </si>
  <si>
    <t>BAU Capacity Retirements (MW)</t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</si>
  <si>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</si>
  <si>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</si>
  <si>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</si>
  <si>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</si>
  <si>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</si>
  <si>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</si>
  <si>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</si>
  <si>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</si>
  <si>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</si>
  <si>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</si>
  <si>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</si>
  <si>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biogas</t>
  </si>
  <si>
    <t>lignite</t>
  </si>
  <si>
    <t>offshore wind</t>
  </si>
  <si>
    <t>crude oil</t>
  </si>
  <si>
    <t>heavy or residual fuel oil</t>
  </si>
  <si>
    <t>municipal solid waste</t>
  </si>
  <si>
    <t>Growth rate</t>
  </si>
  <si>
    <t>capacity (GW)</t>
  </si>
  <si>
    <t>GW to MW</t>
  </si>
  <si>
    <t>coal</t>
  </si>
  <si>
    <t>Capacity retirements (MW)</t>
  </si>
  <si>
    <t>2020-2025</t>
  </si>
  <si>
    <t>2026-2030</t>
  </si>
  <si>
    <t>2031-2035</t>
  </si>
  <si>
    <t>2036-2040</t>
  </si>
  <si>
    <t>2041-2045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</si>
</sst>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0" fontId="2" fillId="0" borderId="0" xfId="0" applyFont="1"/>
    <xf numFmtId="1" fontId="1" fillId="0" borderId="0" xfId="0" applyNumberFormat="1" applyFont="1" applyAlignment="1">
      <alignment wrapText="1"/>
    </xf>
    <xf numFmtId="1" fontId="1" fillId="0" borderId="0" xfId="0" applyNumberFormat="1" applyFont="1"/>
    <xf numFmtId="1" fontId="0" fillId="0" borderId="0" xfId="0" applyNumberFormat="1"/>
    <xf numFmtId="1" fontId="3" fillId="0" borderId="0" xfId="0" applyNumberFormat="1" applyFont="1"/>
    <xf numFmtId="11" fontId="0" fillId="0" borderId="0" xfId="0" applyNumberFormat="1"/>
    <xf numFmtId="1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13</xdr:row>
      <xdr:rowOff>22224</xdr:rowOff>
    </xdr:from>
    <xdr:ext cx="7912100" cy="40544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2333624"/>
          <a:ext cx="7912100" cy="4054475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13</xdr:col>
      <xdr:colOff>419100</xdr:colOff>
      <xdr:row>37</xdr:row>
      <xdr:rowOff>101600</xdr:rowOff>
    </xdr:from>
    <xdr:to>
      <xdr:col>28</xdr:col>
      <xdr:colOff>381000</xdr:colOff>
      <xdr:row>70</xdr:row>
      <xdr:rowOff>139700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5E7F1FC-B333-8796-9C14-49992B89A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017000" y="6680200"/>
          <a:ext cx="9867900" cy="5905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88"/>
  <sheetViews>
    <sheetView workbookViewId="0"/>
  </sheetViews>
  <sheetFormatPr baseColWidth="10" defaultColWidth="14.5" defaultRowHeight="15" customHeight="1" x14ac:dyDescent="0.2"/>
  <cols>
    <col min="1" max="1" width="8.6640625" customWidth="1"/>
    <col min="2" max="2" width="64.6640625" customWidth="1"/>
    <col min="3" max="26" width="8.6640625" customWidth="1"/>
  </cols>
  <sheetData>
    <row r="1" spans="1:2" ht="14.25" customHeight="1" x14ac:dyDescent="0.2">
      <c r="A1" s="1" t="s">
        <v>0</v>
      </c>
    </row>
    <row r="2" spans="1:2" ht="14.25" customHeight="1" x14ac:dyDescent="0.2"/>
    <row r="3" spans="1:2" ht="14.25" customHeight="1" x14ac:dyDescent="0.2">
      <c r="A3" s="1" t="s">
        <v>1</v>
      </c>
      <c r="B3" s="2" t="s">
        <v>2</v>
      </c>
    </row>
    <row r="4" spans="1:2" ht="14.25" customHeight="1" x14ac:dyDescent="0.2">
      <c r="B4" t="s">
        <v>3</v>
      </c>
    </row>
    <row r="5" spans="1:2" ht="14.25" customHeight="1" x14ac:dyDescent="0.2">
      <c r="B5" s="3" t="s">
        <v>4</v>
      </c>
    </row>
    <row r="6" spans="1:2" ht="14.25" customHeight="1" x14ac:dyDescent="0.2">
      <c r="B6" t="s">
        <v>5</v>
      </c>
    </row>
    <row r="7" spans="1:2" ht="14.25" customHeight="1" x14ac:dyDescent="0.2">
      <c r="B7" t="s">
        <v>6</v>
      </c>
    </row>
    <row r="8" spans="1:2" ht="14.25" customHeight="1" x14ac:dyDescent="0.2"/>
    <row r="9" spans="1:2" ht="14.25" customHeight="1" x14ac:dyDescent="0.2"/>
    <row r="10" spans="1:2" ht="14.25" customHeight="1" x14ac:dyDescent="0.2">
      <c r="A10" s="1" t="s">
        <v>7</v>
      </c>
      <c r="B10" s="4" t="s">
        <v>8</v>
      </c>
    </row>
    <row r="11" spans="1:2" ht="14.25" customHeight="1" x14ac:dyDescent="0.2">
      <c r="B11" s="4"/>
    </row>
    <row r="12" spans="1:2" ht="14.25" customHeight="1" x14ac:dyDescent="0.2">
      <c r="B12" s="4"/>
    </row>
    <row r="13" spans="1:2" ht="14.25" customHeight="1" x14ac:dyDescent="0.2">
      <c r="B13" s="4"/>
    </row>
    <row r="14" spans="1:2" ht="14.25" customHeight="1" x14ac:dyDescent="0.2">
      <c r="B14" s="4"/>
    </row>
    <row r="15" spans="1:2" ht="14.25" customHeight="1" x14ac:dyDescent="0.2">
      <c r="B15" s="4"/>
    </row>
    <row r="16" spans="1:2" ht="14.25" customHeight="1" x14ac:dyDescent="0.2">
      <c r="B16" s="4"/>
    </row>
    <row r="17" spans="2:2" ht="14.25" customHeight="1" x14ac:dyDescent="0.2">
      <c r="B17" s="4"/>
    </row>
    <row r="18" spans="2:2" ht="14.25" customHeight="1" x14ac:dyDescent="0.2"/>
    <row r="19" spans="2:2" ht="14.25" customHeight="1" x14ac:dyDescent="0.2"/>
    <row r="20" spans="2:2" ht="14.25" customHeight="1" x14ac:dyDescent="0.2"/>
    <row r="21" spans="2:2" ht="14.25" customHeight="1" x14ac:dyDescent="0.2"/>
    <row r="22" spans="2:2" ht="14.25" customHeight="1" x14ac:dyDescent="0.2"/>
    <row r="23" spans="2:2" ht="14.25" customHeight="1" x14ac:dyDescent="0.2"/>
    <row r="24" spans="2:2" ht="14.25" customHeight="1" x14ac:dyDescent="0.2"/>
    <row r="25" spans="2:2" ht="14.25" customHeight="1" x14ac:dyDescent="0.2"/>
    <row r="26" spans="2:2" ht="14.25" customHeight="1" x14ac:dyDescent="0.2"/>
    <row r="27" spans="2:2" ht="14.25" customHeight="1" x14ac:dyDescent="0.2"/>
    <row r="28" spans="2:2" ht="14.25" customHeight="1" x14ac:dyDescent="0.2"/>
    <row r="29" spans="2:2" ht="14.25" customHeight="1" x14ac:dyDescent="0.2"/>
    <row r="30" spans="2:2" ht="14.25" customHeight="1" x14ac:dyDescent="0.2"/>
    <row r="31" spans="2:2" ht="14.25" customHeight="1" x14ac:dyDescent="0.2"/>
    <row r="32" spans="2:2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1000"/>
  <sheetViews>
    <sheetView topLeftCell="A8" workbookViewId="0">
      <selection activeCell="C42" sqref="C42:F42"/>
    </sheetView>
  </sheetViews>
  <sheetFormatPr baseColWidth="10" defaultColWidth="14.5" defaultRowHeight="15" customHeight="1" x14ac:dyDescent="0.2"/>
  <cols>
    <col min="1" max="1" width="8.83203125" customWidth="1"/>
    <col min="2" max="38" width="8.6640625" customWidth="1"/>
  </cols>
  <sheetData>
    <row r="1" spans="1:53" ht="14.25" customHeight="1" x14ac:dyDescent="0.2">
      <c r="B1" s="1" t="s">
        <v>9</v>
      </c>
      <c r="AC1" s="5" t="s">
        <v>10</v>
      </c>
    </row>
    <row r="2" spans="1:53" ht="14.25" customHeight="1" x14ac:dyDescent="0.2">
      <c r="A2" s="1" t="s">
        <v>11</v>
      </c>
      <c r="B2" s="1">
        <v>2019</v>
      </c>
      <c r="C2" s="1">
        <v>2020</v>
      </c>
      <c r="D2" s="1">
        <v>2021</v>
      </c>
      <c r="E2" s="1">
        <v>2022</v>
      </c>
      <c r="F2" s="1">
        <v>2023</v>
      </c>
      <c r="G2" s="1">
        <v>2024</v>
      </c>
      <c r="H2" s="1">
        <v>2025</v>
      </c>
      <c r="I2" s="1">
        <v>2026</v>
      </c>
      <c r="J2" s="1">
        <v>2027</v>
      </c>
      <c r="K2" s="1">
        <v>2028</v>
      </c>
      <c r="L2" s="1">
        <v>2029</v>
      </c>
      <c r="M2" s="1">
        <v>2030</v>
      </c>
      <c r="N2" s="1">
        <v>2031</v>
      </c>
      <c r="O2" s="1">
        <v>2032</v>
      </c>
      <c r="P2" s="1">
        <v>2033</v>
      </c>
      <c r="Q2" s="1">
        <v>2034</v>
      </c>
      <c r="R2" s="1">
        <v>2035</v>
      </c>
      <c r="S2" s="1">
        <v>2036</v>
      </c>
      <c r="T2" s="1">
        <v>2037</v>
      </c>
      <c r="U2" s="1">
        <v>2038</v>
      </c>
      <c r="V2" s="1">
        <v>2039</v>
      </c>
      <c r="W2" s="1">
        <v>2040</v>
      </c>
      <c r="X2" s="1">
        <v>2041</v>
      </c>
      <c r="Y2" s="1">
        <v>2042</v>
      </c>
      <c r="Z2" s="1">
        <v>2043</v>
      </c>
      <c r="AA2" s="1">
        <v>2044</v>
      </c>
      <c r="AB2" s="1">
        <v>2045</v>
      </c>
      <c r="AC2" s="1">
        <v>2046</v>
      </c>
      <c r="AD2" s="1">
        <v>2047</v>
      </c>
      <c r="AE2" s="1">
        <v>2048</v>
      </c>
      <c r="AF2" s="1">
        <v>2049</v>
      </c>
      <c r="AG2" s="1">
        <v>2050</v>
      </c>
      <c r="AH2" s="1">
        <v>2051</v>
      </c>
      <c r="AI2" s="1">
        <v>2052</v>
      </c>
      <c r="AJ2" s="1">
        <v>2053</v>
      </c>
      <c r="AK2" s="1">
        <v>2054</v>
      </c>
      <c r="AL2" s="1">
        <v>2055</v>
      </c>
      <c r="AM2" s="7">
        <v>2056</v>
      </c>
      <c r="AN2" s="7">
        <v>2057</v>
      </c>
      <c r="AO2" s="7">
        <v>2058</v>
      </c>
      <c r="AP2" s="7">
        <v>2059</v>
      </c>
      <c r="AQ2" s="7">
        <v>2060</v>
      </c>
      <c r="AR2" s="7">
        <v>2061</v>
      </c>
      <c r="AS2" s="7">
        <v>2062</v>
      </c>
      <c r="AT2" s="7">
        <v>2063</v>
      </c>
      <c r="AU2" s="7">
        <v>2064</v>
      </c>
      <c r="AV2" s="7">
        <v>2065</v>
      </c>
      <c r="AW2" s="7">
        <v>2066</v>
      </c>
      <c r="AX2" s="7">
        <v>2067</v>
      </c>
      <c r="AY2" s="7">
        <v>2068</v>
      </c>
      <c r="AZ2" s="7">
        <v>2069</v>
      </c>
      <c r="BA2" s="7">
        <v>2070</v>
      </c>
    </row>
    <row r="3" spans="1:53" ht="14.25" customHeight="1" x14ac:dyDescent="0.2">
      <c r="A3" s="1" t="s">
        <v>33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1.1000000000000001</v>
      </c>
      <c r="I3" s="5">
        <v>0</v>
      </c>
      <c r="J3" s="5">
        <v>0</v>
      </c>
      <c r="K3" s="5">
        <v>0</v>
      </c>
      <c r="L3" s="5">
        <v>0</v>
      </c>
      <c r="M3" s="5">
        <v>1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10</v>
      </c>
      <c r="X3" s="5">
        <v>0</v>
      </c>
      <c r="Y3" s="5">
        <v>0</v>
      </c>
      <c r="Z3" s="5">
        <v>0</v>
      </c>
      <c r="AA3" s="5">
        <v>0</v>
      </c>
      <c r="AB3" s="5">
        <v>24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  <c r="AH3" s="5">
        <v>0</v>
      </c>
      <c r="AI3" s="5">
        <v>0</v>
      </c>
      <c r="AJ3" s="5">
        <v>0</v>
      </c>
      <c r="AK3" s="5">
        <v>0</v>
      </c>
      <c r="AL3" s="5">
        <v>5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5">
        <v>0</v>
      </c>
      <c r="AW3" s="5">
        <v>0</v>
      </c>
      <c r="AX3" s="5">
        <v>0</v>
      </c>
      <c r="AY3" s="5">
        <v>0</v>
      </c>
      <c r="AZ3" s="5">
        <v>0</v>
      </c>
      <c r="BA3" s="5">
        <v>0</v>
      </c>
    </row>
    <row r="4" spans="1:53" ht="14.25" customHeight="1" x14ac:dyDescent="0.2"/>
    <row r="5" spans="1:53" ht="14.25" customHeight="1" x14ac:dyDescent="0.2">
      <c r="A5" s="5" t="s">
        <v>34</v>
      </c>
      <c r="B5">
        <v>1000</v>
      </c>
      <c r="AB5" s="5" t="s">
        <v>13</v>
      </c>
      <c r="AH5" s="5" t="s">
        <v>32</v>
      </c>
      <c r="AI5" t="e">
        <f>(AL3-AK3)/AK3</f>
        <v>#DIV/0!</v>
      </c>
    </row>
    <row r="6" spans="1:53" ht="14.25" customHeight="1" x14ac:dyDescent="0.2">
      <c r="AB6" s="1">
        <v>2045</v>
      </c>
      <c r="AC6" s="1">
        <v>2055</v>
      </c>
    </row>
    <row r="7" spans="1:53" ht="14.25" customHeight="1" x14ac:dyDescent="0.2">
      <c r="AB7">
        <v>24</v>
      </c>
      <c r="AC7">
        <v>5</v>
      </c>
    </row>
    <row r="8" spans="1:53" ht="14.25" customHeight="1" x14ac:dyDescent="0.2"/>
    <row r="9" spans="1:53" ht="14.25" customHeight="1" x14ac:dyDescent="0.2">
      <c r="A9" s="11" t="s">
        <v>12</v>
      </c>
      <c r="B9" s="10">
        <f t="shared" ref="B9:AB9" si="0">B3*$B$5</f>
        <v>0</v>
      </c>
      <c r="C9" s="10">
        <f t="shared" si="0"/>
        <v>0</v>
      </c>
      <c r="D9" s="10">
        <f t="shared" si="0"/>
        <v>0</v>
      </c>
      <c r="E9" s="10">
        <f t="shared" si="0"/>
        <v>0</v>
      </c>
      <c r="F9" s="10">
        <f t="shared" si="0"/>
        <v>0</v>
      </c>
      <c r="G9" s="10">
        <f t="shared" si="0"/>
        <v>0</v>
      </c>
      <c r="H9" s="10">
        <f t="shared" si="0"/>
        <v>1100</v>
      </c>
      <c r="I9" s="10">
        <f t="shared" si="0"/>
        <v>0</v>
      </c>
      <c r="J9" s="10">
        <f t="shared" si="0"/>
        <v>0</v>
      </c>
      <c r="K9" s="10">
        <f t="shared" si="0"/>
        <v>0</v>
      </c>
      <c r="L9" s="10">
        <f t="shared" si="0"/>
        <v>0</v>
      </c>
      <c r="M9" s="10">
        <f t="shared" si="0"/>
        <v>1000</v>
      </c>
      <c r="N9" s="10">
        <f t="shared" si="0"/>
        <v>0</v>
      </c>
      <c r="O9" s="10">
        <f t="shared" si="0"/>
        <v>0</v>
      </c>
      <c r="P9" s="10">
        <f t="shared" si="0"/>
        <v>0</v>
      </c>
      <c r="Q9" s="10">
        <f t="shared" si="0"/>
        <v>0</v>
      </c>
      <c r="R9" s="10">
        <f t="shared" si="0"/>
        <v>0</v>
      </c>
      <c r="S9" s="10">
        <f t="shared" si="0"/>
        <v>0</v>
      </c>
      <c r="T9" s="10">
        <f t="shared" si="0"/>
        <v>0</v>
      </c>
      <c r="U9" s="10">
        <f t="shared" si="0"/>
        <v>0</v>
      </c>
      <c r="V9" s="10">
        <f t="shared" si="0"/>
        <v>0</v>
      </c>
      <c r="W9" s="10">
        <f t="shared" si="0"/>
        <v>10000</v>
      </c>
      <c r="X9" s="10">
        <f t="shared" si="0"/>
        <v>0</v>
      </c>
      <c r="Y9" s="10">
        <f t="shared" si="0"/>
        <v>0</v>
      </c>
      <c r="Z9" s="10">
        <f t="shared" si="0"/>
        <v>0</v>
      </c>
      <c r="AA9" s="10">
        <f t="shared" si="0"/>
        <v>0</v>
      </c>
      <c r="AB9" s="10">
        <f t="shared" si="0"/>
        <v>24000</v>
      </c>
      <c r="AC9" s="10">
        <f t="shared" ref="AC9:BA9" si="1">AC3*$B$5</f>
        <v>0</v>
      </c>
      <c r="AD9" s="10">
        <f t="shared" si="1"/>
        <v>0</v>
      </c>
      <c r="AE9" s="10">
        <f t="shared" si="1"/>
        <v>0</v>
      </c>
      <c r="AF9" s="10">
        <f t="shared" si="1"/>
        <v>0</v>
      </c>
      <c r="AG9" s="10">
        <f t="shared" si="1"/>
        <v>0</v>
      </c>
      <c r="AH9" s="10">
        <f t="shared" si="1"/>
        <v>0</v>
      </c>
      <c r="AI9" s="10">
        <f t="shared" si="1"/>
        <v>0</v>
      </c>
      <c r="AJ9" s="10">
        <f t="shared" si="1"/>
        <v>0</v>
      </c>
      <c r="AK9" s="10">
        <f t="shared" si="1"/>
        <v>0</v>
      </c>
      <c r="AL9" s="10">
        <f t="shared" si="1"/>
        <v>5000</v>
      </c>
      <c r="AM9" s="10">
        <f t="shared" si="1"/>
        <v>0</v>
      </c>
      <c r="AN9" s="10">
        <f t="shared" si="1"/>
        <v>0</v>
      </c>
      <c r="AO9" s="10">
        <f t="shared" si="1"/>
        <v>0</v>
      </c>
      <c r="AP9" s="10">
        <f t="shared" si="1"/>
        <v>0</v>
      </c>
      <c r="AQ9" s="10">
        <f t="shared" si="1"/>
        <v>0</v>
      </c>
      <c r="AR9" s="10">
        <f t="shared" si="1"/>
        <v>0</v>
      </c>
      <c r="AS9" s="10">
        <f t="shared" si="1"/>
        <v>0</v>
      </c>
      <c r="AT9" s="10">
        <f t="shared" si="1"/>
        <v>0</v>
      </c>
      <c r="AU9" s="10">
        <f t="shared" si="1"/>
        <v>0</v>
      </c>
      <c r="AV9" s="10">
        <f t="shared" si="1"/>
        <v>0</v>
      </c>
      <c r="AW9" s="10">
        <f t="shared" si="1"/>
        <v>0</v>
      </c>
      <c r="AX9" s="10">
        <f t="shared" si="1"/>
        <v>0</v>
      </c>
      <c r="AY9" s="10">
        <f t="shared" si="1"/>
        <v>0</v>
      </c>
      <c r="AZ9" s="10">
        <f t="shared" si="1"/>
        <v>0</v>
      </c>
      <c r="BA9" s="10">
        <f t="shared" si="1"/>
        <v>0</v>
      </c>
    </row>
    <row r="10" spans="1:53" ht="14.25" customHeight="1" x14ac:dyDescent="0.2"/>
    <row r="11" spans="1:53" ht="14.25" customHeight="1" x14ac:dyDescent="0.2"/>
    <row r="12" spans="1:53" ht="14.25" customHeight="1" x14ac:dyDescent="0.2"/>
    <row r="13" spans="1:53" ht="14.25" customHeight="1" x14ac:dyDescent="0.2"/>
    <row r="14" spans="1:53" ht="14.25" customHeight="1" x14ac:dyDescent="0.2"/>
    <row r="15" spans="1:53" ht="14.25" customHeight="1" x14ac:dyDescent="0.2"/>
    <row r="16" spans="1:53" ht="14.25" customHeight="1" x14ac:dyDescent="0.2"/>
    <row r="17" ht="14.25" customHeight="1" x14ac:dyDescent="0.2"/>
    <row r="18" ht="14.25" customHeight="1" x14ac:dyDescent="0.2"/>
    <row r="19" ht="14.25" customHeight="1" x14ac:dyDescent="0.2"/>
    <row r="20" ht="14.25" customHeight="1" x14ac:dyDescent="0.2"/>
    <row r="21" ht="14.25" customHeight="1" x14ac:dyDescent="0.2"/>
    <row r="22" ht="14.25" customHeight="1" x14ac:dyDescent="0.2"/>
    <row r="23" ht="14.25" customHeight="1" x14ac:dyDescent="0.2"/>
    <row r="24" ht="14.25" customHeight="1" x14ac:dyDescent="0.2"/>
    <row r="25" ht="14.25" customHeight="1" x14ac:dyDescent="0.2"/>
    <row r="26" ht="14.25" customHeight="1" x14ac:dyDescent="0.2"/>
    <row r="27" ht="14.25" customHeight="1" x14ac:dyDescent="0.2"/>
    <row r="28" ht="14.25" customHeight="1" x14ac:dyDescent="0.2"/>
    <row r="29" ht="14.25" customHeight="1" x14ac:dyDescent="0.2"/>
    <row r="30" ht="14.25" customHeight="1" x14ac:dyDescent="0.2"/>
    <row r="31" ht="14.25" customHeight="1" x14ac:dyDescent="0.2"/>
    <row r="32" ht="14.25" customHeight="1" x14ac:dyDescent="0.2"/>
    <row r="33" spans="1:7" ht="14.25" customHeight="1" x14ac:dyDescent="0.2"/>
    <row r="34" spans="1:7" ht="14.25" customHeight="1" x14ac:dyDescent="0.2"/>
    <row r="35" spans="1:7" ht="14.25" customHeight="1" x14ac:dyDescent="0.2"/>
    <row r="36" spans="1:7" ht="14.25" customHeight="1" x14ac:dyDescent="0.2"/>
    <row r="37" spans="1:7" ht="14.25" customHeight="1" x14ac:dyDescent="0.2"/>
    <row r="38" spans="1:7" ht="14.25" customHeight="1" x14ac:dyDescent="0.2"/>
    <row r="39" spans="1:7" ht="14.25" customHeight="1" x14ac:dyDescent="0.2"/>
    <row r="40" spans="1:7" ht="14.25" customHeight="1" x14ac:dyDescent="0.2"/>
    <row r="41" spans="1:7" ht="14.25" customHeight="1" x14ac:dyDescent="0.2">
      <c r="A41" s="5" t="s">
        <v>36</v>
      </c>
      <c r="C41" s="5" t="s">
        <v>37</v>
      </c>
      <c r="D41" s="5" t="s">
        <v>38</v>
      </c>
      <c r="E41" s="5" t="s">
        <v>39</v>
      </c>
      <c r="F41" s="5" t="s">
        <v>40</v>
      </c>
      <c r="G41" s="5" t="s">
        <v>41</v>
      </c>
    </row>
    <row r="42" spans="1:7" ht="14.25" customHeight="1" x14ac:dyDescent="0.2">
      <c r="A42" s="5" t="s">
        <v>35</v>
      </c>
      <c r="C42">
        <v>4200</v>
      </c>
      <c r="D42">
        <v>1900</v>
      </c>
      <c r="E42">
        <v>8000</v>
      </c>
      <c r="F42">
        <v>6100</v>
      </c>
      <c r="G42">
        <v>27700</v>
      </c>
    </row>
    <row r="43" spans="1:7" ht="14.25" customHeight="1" x14ac:dyDescent="0.2"/>
    <row r="44" spans="1:7" ht="14.25" customHeight="1" x14ac:dyDescent="0.2"/>
    <row r="45" spans="1:7" ht="14.25" customHeight="1" x14ac:dyDescent="0.2"/>
    <row r="46" spans="1:7" ht="14.25" customHeight="1" x14ac:dyDescent="0.2"/>
    <row r="47" spans="1:7" ht="14.25" customHeight="1" x14ac:dyDescent="0.2"/>
    <row r="48" spans="1:7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85BC8-7BD0-D94C-AAB8-BCEB0307B5FB}">
  <dimension ref="A1:BA8"/>
  <sheetViews>
    <sheetView workbookViewId="0">
      <selection activeCell="AM2" sqref="AM2:BA2"/>
    </sheetView>
  </sheetViews>
  <sheetFormatPr baseColWidth="10" defaultRowHeight="15" x14ac:dyDescent="0.2"/>
  <cols>
    <col min="1" max="1" width="29.83203125" customWidth="1"/>
  </cols>
  <sheetData>
    <row r="1" spans="1:53" x14ac:dyDescent="0.2">
      <c r="A1" s="7" t="s">
        <v>14</v>
      </c>
      <c r="B1" s="7">
        <v>2019</v>
      </c>
      <c r="C1" s="7">
        <v>2020</v>
      </c>
      <c r="D1" s="7">
        <v>2021</v>
      </c>
      <c r="E1" s="7">
        <v>2022</v>
      </c>
      <c r="F1" s="7">
        <v>2023</v>
      </c>
      <c r="G1" s="7">
        <v>2024</v>
      </c>
      <c r="H1" s="7">
        <v>2025</v>
      </c>
      <c r="I1" s="7">
        <v>2026</v>
      </c>
      <c r="J1" s="7">
        <v>2027</v>
      </c>
      <c r="K1" s="7">
        <v>2028</v>
      </c>
      <c r="L1" s="7">
        <v>2029</v>
      </c>
      <c r="M1" s="7">
        <v>2030</v>
      </c>
      <c r="N1" s="7">
        <v>2031</v>
      </c>
      <c r="O1" s="7">
        <v>2032</v>
      </c>
      <c r="P1" s="7">
        <v>2033</v>
      </c>
      <c r="Q1" s="7">
        <v>2034</v>
      </c>
      <c r="R1" s="7">
        <v>2035</v>
      </c>
      <c r="S1" s="7">
        <v>2036</v>
      </c>
      <c r="T1" s="7">
        <v>2037</v>
      </c>
      <c r="U1" s="7">
        <v>2038</v>
      </c>
      <c r="V1" s="7">
        <v>2039</v>
      </c>
      <c r="W1" s="7">
        <v>2040</v>
      </c>
      <c r="X1" s="7">
        <v>2041</v>
      </c>
      <c r="Y1" s="7">
        <v>2042</v>
      </c>
      <c r="Z1" s="7">
        <v>2043</v>
      </c>
      <c r="AA1" s="7">
        <v>2044</v>
      </c>
      <c r="AB1" s="7">
        <v>2045</v>
      </c>
      <c r="AC1" s="7">
        <v>2046</v>
      </c>
      <c r="AD1" s="7">
        <v>2047</v>
      </c>
      <c r="AE1" s="7">
        <v>2048</v>
      </c>
      <c r="AF1" s="7">
        <v>2049</v>
      </c>
      <c r="AG1" s="7">
        <v>2050</v>
      </c>
      <c r="AH1" s="7">
        <v>2051</v>
      </c>
      <c r="AI1" s="7">
        <v>2052</v>
      </c>
      <c r="AJ1" s="7">
        <v>2053</v>
      </c>
      <c r="AK1" s="7">
        <v>2054</v>
      </c>
      <c r="AL1" s="7">
        <v>2055</v>
      </c>
      <c r="AM1" s="7">
        <v>2056</v>
      </c>
      <c r="AN1" s="7">
        <v>2057</v>
      </c>
      <c r="AO1" s="7">
        <v>2058</v>
      </c>
      <c r="AP1" s="7">
        <v>2059</v>
      </c>
      <c r="AQ1" s="7">
        <v>2060</v>
      </c>
      <c r="AR1" s="7">
        <v>2061</v>
      </c>
      <c r="AS1" s="7">
        <v>2062</v>
      </c>
      <c r="AT1" s="7">
        <v>2063</v>
      </c>
      <c r="AU1" s="7">
        <v>2064</v>
      </c>
      <c r="AV1" s="7">
        <v>2065</v>
      </c>
      <c r="AW1" s="7">
        <v>2066</v>
      </c>
      <c r="AX1" s="7">
        <v>2067</v>
      </c>
      <c r="AY1" s="7">
        <v>2068</v>
      </c>
      <c r="AZ1" s="7">
        <v>2069</v>
      </c>
      <c r="BA1" s="7">
        <v>2070</v>
      </c>
    </row>
    <row r="2" spans="1:53" x14ac:dyDescent="0.2">
      <c r="A2" s="7" t="s">
        <v>15</v>
      </c>
      <c r="B2" s="10">
        <f>C7/7</f>
        <v>157.14285714285714</v>
      </c>
      <c r="C2" s="10">
        <f>B2</f>
        <v>157.14285714285714</v>
      </c>
      <c r="D2" s="10">
        <f t="shared" ref="D2:H2" si="0">C2</f>
        <v>157.14285714285714</v>
      </c>
      <c r="E2" s="10">
        <f t="shared" si="0"/>
        <v>157.14285714285714</v>
      </c>
      <c r="F2" s="10">
        <f t="shared" si="0"/>
        <v>157.14285714285714</v>
      </c>
      <c r="G2" s="10">
        <f t="shared" si="0"/>
        <v>157.14285714285714</v>
      </c>
      <c r="H2" s="10">
        <f t="shared" si="0"/>
        <v>157.14285714285714</v>
      </c>
      <c r="I2" s="10">
        <f>D7/5</f>
        <v>200</v>
      </c>
      <c r="J2" s="10">
        <f t="shared" ref="J2:L2" si="1">I2</f>
        <v>200</v>
      </c>
      <c r="K2" s="10">
        <f t="shared" si="1"/>
        <v>200</v>
      </c>
      <c r="L2" s="10">
        <f t="shared" si="1"/>
        <v>200</v>
      </c>
      <c r="M2" s="10">
        <f>L2</f>
        <v>200</v>
      </c>
      <c r="N2" s="10">
        <f>E7/5</f>
        <v>1800</v>
      </c>
      <c r="O2" s="10">
        <f>N2</f>
        <v>1800</v>
      </c>
      <c r="P2" s="10">
        <f t="shared" ref="P2:R2" si="2">O2</f>
        <v>1800</v>
      </c>
      <c r="Q2" s="10">
        <f t="shared" si="2"/>
        <v>1800</v>
      </c>
      <c r="R2" s="10">
        <f t="shared" si="2"/>
        <v>1800</v>
      </c>
      <c r="S2" s="10">
        <f>F7/5</f>
        <v>4800</v>
      </c>
      <c r="T2" s="10">
        <f>S2</f>
        <v>4800</v>
      </c>
      <c r="U2" s="10">
        <f t="shared" ref="U2:W2" si="3">T2</f>
        <v>4800</v>
      </c>
      <c r="V2" s="10">
        <f t="shared" si="3"/>
        <v>4800</v>
      </c>
      <c r="W2" s="10">
        <f t="shared" si="3"/>
        <v>4800</v>
      </c>
      <c r="X2" s="10">
        <f>G7/15</f>
        <v>333.33333333333331</v>
      </c>
      <c r="Y2" s="10">
        <f>X2</f>
        <v>333.33333333333331</v>
      </c>
      <c r="Z2" s="10">
        <f t="shared" ref="Z2:AL2" si="4">Y2</f>
        <v>333.33333333333331</v>
      </c>
      <c r="AA2" s="10">
        <f t="shared" si="4"/>
        <v>333.33333333333331</v>
      </c>
      <c r="AB2" s="10">
        <f t="shared" si="4"/>
        <v>333.33333333333331</v>
      </c>
      <c r="AC2" s="10">
        <f t="shared" si="4"/>
        <v>333.33333333333331</v>
      </c>
      <c r="AD2" s="10">
        <f t="shared" si="4"/>
        <v>333.33333333333331</v>
      </c>
      <c r="AE2" s="10">
        <f t="shared" si="4"/>
        <v>333.33333333333331</v>
      </c>
      <c r="AF2" s="10">
        <f t="shared" si="4"/>
        <v>333.33333333333331</v>
      </c>
      <c r="AG2" s="10">
        <f t="shared" si="4"/>
        <v>333.33333333333331</v>
      </c>
      <c r="AH2" s="10">
        <f t="shared" si="4"/>
        <v>333.33333333333331</v>
      </c>
      <c r="AI2" s="10">
        <f t="shared" si="4"/>
        <v>333.33333333333331</v>
      </c>
      <c r="AJ2" s="10">
        <f t="shared" si="4"/>
        <v>333.33333333333331</v>
      </c>
      <c r="AK2" s="10">
        <f t="shared" si="4"/>
        <v>333.33333333333331</v>
      </c>
      <c r="AL2" s="10">
        <f t="shared" si="4"/>
        <v>333.33333333333331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10">
        <v>0</v>
      </c>
      <c r="AS2" s="10">
        <v>0</v>
      </c>
      <c r="AT2" s="10">
        <v>0</v>
      </c>
      <c r="AU2" s="10">
        <v>0</v>
      </c>
      <c r="AV2" s="10">
        <v>0</v>
      </c>
      <c r="AW2" s="10">
        <v>0</v>
      </c>
      <c r="AX2" s="10">
        <v>0</v>
      </c>
      <c r="AY2" s="10">
        <v>0</v>
      </c>
      <c r="AZ2" s="10">
        <v>0</v>
      </c>
      <c r="BA2" s="10">
        <v>0</v>
      </c>
    </row>
    <row r="6" spans="1:53" x14ac:dyDescent="0.2">
      <c r="A6" s="5" t="s">
        <v>36</v>
      </c>
      <c r="C6" s="5">
        <v>2025</v>
      </c>
      <c r="D6" s="5">
        <v>2030</v>
      </c>
      <c r="E6" s="5">
        <v>2035</v>
      </c>
      <c r="F6" s="5">
        <v>2040</v>
      </c>
      <c r="G6" s="5">
        <v>2055</v>
      </c>
    </row>
    <row r="7" spans="1:53" x14ac:dyDescent="0.2">
      <c r="A7" s="5" t="s">
        <v>35</v>
      </c>
      <c r="C7">
        <v>1100</v>
      </c>
      <c r="D7">
        <v>1000</v>
      </c>
      <c r="E7">
        <v>9000</v>
      </c>
      <c r="F7">
        <v>24000</v>
      </c>
      <c r="G7">
        <v>5000</v>
      </c>
    </row>
    <row r="8" spans="1:53" x14ac:dyDescent="0.2">
      <c r="A8" s="5"/>
    </row>
  </sheetData>
  <pageMargins left="0.7" right="0.7" top="0.75" bottom="0.75" header="0.3" footer="0.3"/>
  <ignoredErrors>
    <ignoredError sqref="I2 N2 S2 X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E4E79"/>
  </sheetPr>
  <dimension ref="A1:BA1001"/>
  <sheetViews>
    <sheetView tabSelected="1" workbookViewId="0">
      <pane xSplit="1" topLeftCell="B1" activePane="topRight" state="frozen"/>
      <selection pane="topRight" activeCell="B2" sqref="B2:M2"/>
    </sheetView>
  </sheetViews>
  <sheetFormatPr baseColWidth="10" defaultColWidth="14.5" defaultRowHeight="15" customHeight="1" x14ac:dyDescent="0.2"/>
  <cols>
    <col min="1" max="1" width="25.5" customWidth="1"/>
    <col min="2" max="23" width="9.33203125" customWidth="1"/>
    <col min="24" max="33" width="8.83203125" customWidth="1"/>
  </cols>
  <sheetData>
    <row r="1" spans="1:53" ht="14.25" customHeight="1" x14ac:dyDescent="0.2">
      <c r="A1" s="6" t="s">
        <v>14</v>
      </c>
      <c r="B1" s="7">
        <v>2019</v>
      </c>
      <c r="C1" s="7">
        <v>2020</v>
      </c>
      <c r="D1" s="7">
        <v>2021</v>
      </c>
      <c r="E1" s="7">
        <v>2022</v>
      </c>
      <c r="F1" s="7">
        <v>2023</v>
      </c>
      <c r="G1" s="7">
        <v>2024</v>
      </c>
      <c r="H1" s="7">
        <v>2025</v>
      </c>
      <c r="I1" s="7">
        <v>2026</v>
      </c>
      <c r="J1" s="7">
        <v>2027</v>
      </c>
      <c r="K1" s="7">
        <v>2028</v>
      </c>
      <c r="L1" s="7">
        <v>2029</v>
      </c>
      <c r="M1" s="7">
        <v>2030</v>
      </c>
      <c r="N1" s="7">
        <v>2031</v>
      </c>
      <c r="O1" s="7">
        <v>2032</v>
      </c>
      <c r="P1" s="7">
        <v>2033</v>
      </c>
      <c r="Q1" s="7">
        <v>2034</v>
      </c>
      <c r="R1" s="7">
        <v>2035</v>
      </c>
      <c r="S1" s="7">
        <v>2036</v>
      </c>
      <c r="T1" s="7">
        <v>2037</v>
      </c>
      <c r="U1" s="7">
        <v>2038</v>
      </c>
      <c r="V1" s="7">
        <v>2039</v>
      </c>
      <c r="W1" s="7">
        <v>2040</v>
      </c>
      <c r="X1" s="7">
        <v>2041</v>
      </c>
      <c r="Y1" s="7">
        <v>2042</v>
      </c>
      <c r="Z1" s="7">
        <v>2043</v>
      </c>
      <c r="AA1" s="7">
        <v>2044</v>
      </c>
      <c r="AB1" s="7">
        <v>2045</v>
      </c>
      <c r="AC1" s="7">
        <v>2046</v>
      </c>
      <c r="AD1" s="7">
        <v>2047</v>
      </c>
      <c r="AE1" s="7">
        <v>2048</v>
      </c>
      <c r="AF1" s="7">
        <v>2049</v>
      </c>
      <c r="AG1" s="7">
        <v>2050</v>
      </c>
      <c r="AH1" s="8">
        <v>2051</v>
      </c>
      <c r="AI1" s="8">
        <v>2052</v>
      </c>
      <c r="AJ1" s="8">
        <v>2053</v>
      </c>
      <c r="AK1" s="8">
        <v>2054</v>
      </c>
      <c r="AL1" s="8">
        <v>2055</v>
      </c>
      <c r="AM1" s="8">
        <v>2056</v>
      </c>
      <c r="AN1" s="8">
        <v>2057</v>
      </c>
      <c r="AO1" s="8">
        <v>2058</v>
      </c>
      <c r="AP1" s="8">
        <v>2059</v>
      </c>
      <c r="AQ1" s="8">
        <v>2060</v>
      </c>
      <c r="AR1" s="8">
        <v>2061</v>
      </c>
      <c r="AS1" s="8">
        <v>2062</v>
      </c>
      <c r="AT1" s="8">
        <v>2063</v>
      </c>
      <c r="AU1" s="8">
        <v>2064</v>
      </c>
      <c r="AV1" s="8">
        <v>2065</v>
      </c>
      <c r="AW1" s="8">
        <v>2066</v>
      </c>
      <c r="AX1" s="8">
        <v>2067</v>
      </c>
      <c r="AY1" s="8">
        <v>2068</v>
      </c>
      <c r="AZ1" s="8">
        <v>2069</v>
      </c>
      <c r="BA1" s="8">
        <v>2070</v>
      </c>
    </row>
    <row r="2" spans="1:53" ht="14.25" customHeight="1" x14ac:dyDescent="0.2">
      <c r="A2" s="7" t="s">
        <v>15</v>
      </c>
      <c r="B2" s="10">
        <f>Computation!B2</f>
        <v>157.14285714285714</v>
      </c>
      <c r="C2" s="10">
        <f>Computation!C2</f>
        <v>157.14285714285714</v>
      </c>
      <c r="D2" s="10">
        <f>Computation!D2</f>
        <v>157.14285714285714</v>
      </c>
      <c r="E2" s="10">
        <f>Computation!E2</f>
        <v>157.14285714285714</v>
      </c>
      <c r="F2" s="10">
        <f>Computation!F2</f>
        <v>157.14285714285714</v>
      </c>
      <c r="G2" s="10">
        <f>Computation!G2</f>
        <v>157.14285714285714</v>
      </c>
      <c r="H2" s="10">
        <f>Computation!H2</f>
        <v>157.14285714285714</v>
      </c>
      <c r="I2" s="10">
        <f>Computation!I2</f>
        <v>200</v>
      </c>
      <c r="J2" s="10">
        <f>Computation!J2</f>
        <v>200</v>
      </c>
      <c r="K2" s="10">
        <f>Computation!K2</f>
        <v>200</v>
      </c>
      <c r="L2" s="10">
        <f>Computation!L2</f>
        <v>200</v>
      </c>
      <c r="M2" s="10">
        <f>Computation!M2</f>
        <v>200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0">
        <v>0</v>
      </c>
      <c r="W2" s="10">
        <v>0</v>
      </c>
      <c r="X2" s="10">
        <v>0</v>
      </c>
      <c r="Y2" s="10">
        <v>0</v>
      </c>
      <c r="Z2" s="10">
        <v>0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0</v>
      </c>
      <c r="AJ2" s="10">
        <v>0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10">
        <v>0</v>
      </c>
      <c r="AS2" s="10">
        <v>0</v>
      </c>
      <c r="AT2" s="10">
        <v>0</v>
      </c>
      <c r="AU2" s="10">
        <v>0</v>
      </c>
      <c r="AV2" s="10">
        <v>0</v>
      </c>
      <c r="AW2" s="10">
        <v>0</v>
      </c>
      <c r="AX2" s="10">
        <v>0</v>
      </c>
      <c r="AY2" s="10">
        <v>0</v>
      </c>
      <c r="AZ2" s="10">
        <v>0</v>
      </c>
      <c r="BA2" s="10">
        <v>0</v>
      </c>
    </row>
    <row r="3" spans="1:53" ht="14.25" customHeight="1" x14ac:dyDescent="0.2">
      <c r="A3" s="7" t="s">
        <v>16</v>
      </c>
      <c r="B3" s="10">
        <v>0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0">
        <v>0</v>
      </c>
      <c r="AK3" s="10">
        <v>0</v>
      </c>
      <c r="AL3" s="10">
        <v>0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0</v>
      </c>
      <c r="AS3" s="10">
        <v>0</v>
      </c>
      <c r="AT3" s="10">
        <v>0</v>
      </c>
      <c r="AU3" s="10">
        <v>0</v>
      </c>
      <c r="AV3" s="10">
        <v>0</v>
      </c>
      <c r="AW3" s="10">
        <v>0</v>
      </c>
      <c r="AX3" s="10">
        <v>0</v>
      </c>
      <c r="AY3" s="10">
        <v>0</v>
      </c>
      <c r="AZ3" s="10">
        <v>0</v>
      </c>
      <c r="BA3" s="10">
        <v>0</v>
      </c>
    </row>
    <row r="4" spans="1:53" ht="14.25" customHeight="1" x14ac:dyDescent="0.2">
      <c r="A4" s="7" t="s">
        <v>17</v>
      </c>
      <c r="B4" s="10">
        <v>0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</v>
      </c>
      <c r="R4" s="10">
        <v>0</v>
      </c>
      <c r="S4" s="10">
        <v>0</v>
      </c>
      <c r="T4" s="10">
        <v>0</v>
      </c>
      <c r="U4" s="10">
        <v>0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0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10">
        <v>0</v>
      </c>
      <c r="AT4" s="10">
        <v>0</v>
      </c>
      <c r="AU4" s="10">
        <v>0</v>
      </c>
      <c r="AV4" s="10">
        <v>0</v>
      </c>
      <c r="AW4" s="10">
        <v>0</v>
      </c>
      <c r="AX4" s="10">
        <v>0</v>
      </c>
      <c r="AY4" s="10">
        <v>0</v>
      </c>
      <c r="AZ4" s="10">
        <v>0</v>
      </c>
      <c r="BA4" s="10">
        <v>0</v>
      </c>
    </row>
    <row r="5" spans="1:53" ht="14.25" customHeight="1" x14ac:dyDescent="0.2">
      <c r="A5" s="7" t="s">
        <v>18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0</v>
      </c>
      <c r="AT5" s="10">
        <v>0</v>
      </c>
      <c r="AU5" s="10">
        <v>0</v>
      </c>
      <c r="AV5" s="10">
        <v>0</v>
      </c>
      <c r="AW5" s="10">
        <v>0</v>
      </c>
      <c r="AX5" s="10">
        <v>0</v>
      </c>
      <c r="AY5" s="10">
        <v>0</v>
      </c>
      <c r="AZ5" s="10">
        <v>0</v>
      </c>
      <c r="BA5" s="10">
        <v>0</v>
      </c>
    </row>
    <row r="6" spans="1:53" ht="14.25" customHeight="1" x14ac:dyDescent="0.2">
      <c r="A6" s="7" t="s">
        <v>19</v>
      </c>
      <c r="B6" s="10">
        <v>0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</v>
      </c>
      <c r="BA6" s="10">
        <v>0</v>
      </c>
    </row>
    <row r="7" spans="1:53" ht="14.25" customHeight="1" x14ac:dyDescent="0.2">
      <c r="A7" s="7" t="s">
        <v>20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>
        <v>0</v>
      </c>
    </row>
    <row r="8" spans="1:53" ht="14.25" customHeight="1" x14ac:dyDescent="0.2">
      <c r="A8" s="7" t="s">
        <v>21</v>
      </c>
      <c r="B8" s="10">
        <v>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0</v>
      </c>
    </row>
    <row r="9" spans="1:53" ht="14.25" customHeight="1" x14ac:dyDescent="0.2">
      <c r="A9" s="7" t="s">
        <v>22</v>
      </c>
      <c r="B9" s="10">
        <v>0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0</v>
      </c>
      <c r="AV9" s="10">
        <v>0</v>
      </c>
      <c r="AW9" s="10">
        <v>0</v>
      </c>
      <c r="AX9" s="10">
        <v>0</v>
      </c>
      <c r="AY9" s="10">
        <v>0</v>
      </c>
      <c r="AZ9" s="10">
        <v>0</v>
      </c>
      <c r="BA9" s="10">
        <v>0</v>
      </c>
    </row>
    <row r="10" spans="1:53" ht="14.25" customHeight="1" x14ac:dyDescent="0.2">
      <c r="A10" s="7" t="s">
        <v>23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0</v>
      </c>
      <c r="AV10" s="10">
        <v>0</v>
      </c>
      <c r="AW10" s="10">
        <v>0</v>
      </c>
      <c r="AX10" s="10">
        <v>0</v>
      </c>
      <c r="AY10" s="10">
        <v>0</v>
      </c>
      <c r="AZ10" s="10">
        <v>0</v>
      </c>
      <c r="BA10" s="10">
        <v>0</v>
      </c>
    </row>
    <row r="11" spans="1:53" ht="14.25" customHeight="1" x14ac:dyDescent="0.2">
      <c r="A11" s="7" t="s">
        <v>24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0</v>
      </c>
      <c r="AT11" s="10">
        <v>0</v>
      </c>
      <c r="AU11" s="10">
        <v>0</v>
      </c>
      <c r="AV11" s="10">
        <v>0</v>
      </c>
      <c r="AW11" s="10">
        <v>0</v>
      </c>
      <c r="AX11" s="10">
        <v>0</v>
      </c>
      <c r="AY11" s="10">
        <v>0</v>
      </c>
      <c r="AZ11" s="10">
        <v>0</v>
      </c>
      <c r="BA11" s="10">
        <v>0</v>
      </c>
    </row>
    <row r="12" spans="1:53" ht="14.25" customHeight="1" x14ac:dyDescent="0.2">
      <c r="A12" s="7" t="s">
        <v>25</v>
      </c>
      <c r="B12" s="10">
        <v>0</v>
      </c>
      <c r="C12" s="10">
        <v>0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0</v>
      </c>
      <c r="AT12" s="10">
        <v>0</v>
      </c>
      <c r="AU12" s="10">
        <v>0</v>
      </c>
      <c r="AV12" s="10">
        <v>0</v>
      </c>
      <c r="AW12" s="10">
        <v>0</v>
      </c>
      <c r="AX12" s="10">
        <v>0</v>
      </c>
      <c r="AY12" s="10">
        <v>0</v>
      </c>
      <c r="AZ12" s="10">
        <v>0</v>
      </c>
      <c r="BA12" s="10">
        <v>0</v>
      </c>
    </row>
    <row r="13" spans="1:53" ht="14.25" customHeight="1" x14ac:dyDescent="0.2">
      <c r="A13" s="9" t="s">
        <v>26</v>
      </c>
      <c r="B13" s="10">
        <v>0</v>
      </c>
      <c r="C13" s="10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  <c r="V13" s="10">
        <v>0</v>
      </c>
      <c r="W13" s="10">
        <v>0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10">
        <v>0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0</v>
      </c>
      <c r="AS13" s="10">
        <v>0</v>
      </c>
      <c r="AT13" s="10">
        <v>0</v>
      </c>
      <c r="AU13" s="10">
        <v>0</v>
      </c>
      <c r="AV13" s="10">
        <v>0</v>
      </c>
      <c r="AW13" s="10">
        <v>0</v>
      </c>
      <c r="AX13" s="10">
        <v>0</v>
      </c>
      <c r="AY13" s="10">
        <v>0</v>
      </c>
      <c r="AZ13" s="10">
        <v>0</v>
      </c>
      <c r="BA13" s="10">
        <v>0</v>
      </c>
    </row>
    <row r="14" spans="1:53" ht="14.25" customHeight="1" x14ac:dyDescent="0.2">
      <c r="A14" s="7" t="s">
        <v>27</v>
      </c>
      <c r="B14" s="10">
        <v>0</v>
      </c>
      <c r="C14" s="10">
        <v>0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0</v>
      </c>
      <c r="AS14" s="10">
        <v>0</v>
      </c>
      <c r="AT14" s="10">
        <v>0</v>
      </c>
      <c r="AU14" s="10">
        <v>0</v>
      </c>
      <c r="AV14" s="10">
        <v>0</v>
      </c>
      <c r="AW14" s="10">
        <v>0</v>
      </c>
      <c r="AX14" s="10">
        <v>0</v>
      </c>
      <c r="AY14" s="10">
        <v>0</v>
      </c>
      <c r="AZ14" s="10">
        <v>0</v>
      </c>
      <c r="BA14" s="10">
        <v>0</v>
      </c>
    </row>
    <row r="15" spans="1:53" ht="14.25" customHeight="1" x14ac:dyDescent="0.2">
      <c r="A15" s="7" t="s">
        <v>28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0</v>
      </c>
      <c r="AT15" s="10">
        <v>0</v>
      </c>
      <c r="AU15" s="10">
        <v>0</v>
      </c>
      <c r="AV15" s="10">
        <v>0</v>
      </c>
      <c r="AW15" s="10">
        <v>0</v>
      </c>
      <c r="AX15" s="10">
        <v>0</v>
      </c>
      <c r="AY15" s="10">
        <v>0</v>
      </c>
      <c r="AZ15" s="10">
        <v>0</v>
      </c>
      <c r="BA15" s="10">
        <v>0</v>
      </c>
    </row>
    <row r="16" spans="1:53" ht="14.25" customHeight="1" x14ac:dyDescent="0.2">
      <c r="A16" s="7" t="s">
        <v>29</v>
      </c>
      <c r="B16" s="10">
        <v>0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0</v>
      </c>
      <c r="AS16" s="10">
        <v>0</v>
      </c>
      <c r="AT16" s="10">
        <v>0</v>
      </c>
      <c r="AU16" s="10">
        <v>0</v>
      </c>
      <c r="AV16" s="10">
        <v>0</v>
      </c>
      <c r="AW16" s="10">
        <v>0</v>
      </c>
      <c r="AX16" s="10">
        <v>0</v>
      </c>
      <c r="AY16" s="10">
        <v>0</v>
      </c>
      <c r="AZ16" s="10">
        <v>0</v>
      </c>
      <c r="BA16" s="10">
        <v>0</v>
      </c>
    </row>
    <row r="17" spans="1:53" ht="14.25" customHeight="1" x14ac:dyDescent="0.2">
      <c r="A17" s="7" t="s">
        <v>30</v>
      </c>
      <c r="B17" s="10">
        <v>0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</row>
    <row r="18" spans="1:53" ht="14.25" customHeight="1" x14ac:dyDescent="0.2">
      <c r="A18" s="7" t="s">
        <v>31</v>
      </c>
      <c r="B18" s="10">
        <v>0</v>
      </c>
      <c r="C18" s="10">
        <v>0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0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0</v>
      </c>
      <c r="AV18" s="10">
        <v>0</v>
      </c>
      <c r="AW18" s="10">
        <v>0</v>
      </c>
      <c r="AX18" s="10">
        <v>0</v>
      </c>
      <c r="AY18" s="10">
        <v>0</v>
      </c>
      <c r="AZ18" s="10">
        <v>0</v>
      </c>
      <c r="BA18" s="10">
        <v>0</v>
      </c>
    </row>
    <row r="19" spans="1:53" ht="14.25" customHeight="1" x14ac:dyDescent="0.2"/>
    <row r="20" spans="1:53" ht="14.25" customHeight="1" x14ac:dyDescent="0.2"/>
    <row r="21" spans="1:53" ht="14.25" customHeight="1" x14ac:dyDescent="0.2"/>
    <row r="22" spans="1:53" ht="14.25" customHeight="1" x14ac:dyDescent="0.2"/>
    <row r="23" spans="1:53" ht="14.25" customHeight="1" x14ac:dyDescent="0.2"/>
    <row r="24" spans="1:53" ht="14.25" customHeight="1" x14ac:dyDescent="0.2"/>
    <row r="25" spans="1:53" ht="14.25" customHeight="1" x14ac:dyDescent="0.2"/>
    <row r="26" spans="1:53" ht="14.25" customHeight="1" x14ac:dyDescent="0.2"/>
    <row r="27" spans="1:53" ht="14.25" customHeight="1" x14ac:dyDescent="0.2"/>
    <row r="28" spans="1:53" ht="14.25" customHeight="1" x14ac:dyDescent="0.2"/>
    <row r="29" spans="1:53" ht="14.25" customHeight="1" x14ac:dyDescent="0.2"/>
    <row r="30" spans="1:53" ht="14.25" customHeight="1" x14ac:dyDescent="0.2"/>
    <row r="31" spans="1:53" ht="14.25" customHeight="1" x14ac:dyDescent="0.2"/>
    <row r="32" spans="1:53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coal retirement</vt:lpstr>
      <vt:lpstr>Computation</vt:lpstr>
      <vt:lpstr>BCRbQ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Zefania Sutrisno</dc:creator>
  <cp:lastModifiedBy>Sy, Saidou Abdoulaye</cp:lastModifiedBy>
  <dcterms:created xsi:type="dcterms:W3CDTF">2015-06-05T18:17:20Z</dcterms:created>
  <dcterms:modified xsi:type="dcterms:W3CDTF">2025-03-09T07:28:00Z</dcterms:modified>
</cp:coreProperties>
</file>