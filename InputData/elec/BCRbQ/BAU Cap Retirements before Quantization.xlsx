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energyinnovation.sharepoint.com/sites/IndonesiaEPS/Shared Documents/Updated Indonesia InputData files/elec/BCRbQ/"/>
    </mc:Choice>
  </mc:AlternateContent>
  <xr:revisionPtr revIDLastSave="9" documentId="11_A392E049080473E43FA789DA9AA05805EBE6A550" xr6:coauthVersionLast="47" xr6:coauthVersionMax="47" xr10:uidLastSave="{8FEB4271-2CAB-4E63-9BD0-1AAF827447C0}"/>
  <bookViews>
    <workbookView xWindow="-19305" yWindow="-5760" windowWidth="19410" windowHeight="20985" activeTab="3" xr2:uid="{00000000-000D-0000-FFFF-FFFF00000000}"/>
  </bookViews>
  <sheets>
    <sheet name="About" sheetId="1" r:id="rId1"/>
    <sheet name="coal retirement" sheetId="2" r:id="rId2"/>
    <sheet name="Computation" sheetId="4" r:id="rId3"/>
    <sheet name="BCRbQ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rfIHddFfJb1b0QQ52QGICZs2MuYHQ416XNgEnaK8Ewo="/>
    </ext>
  </extLst>
</workbook>
</file>

<file path=xl/calcChain.xml><?xml version="1.0" encoding="utf-8"?>
<calcChain xmlns="http://schemas.openxmlformats.org/spreadsheetml/2006/main">
  <c r="C2" i="3" l="1"/>
  <c r="D2" i="3"/>
  <c r="E2" i="3"/>
  <c r="F2" i="3"/>
  <c r="G2" i="3"/>
  <c r="H2" i="3"/>
  <c r="I2" i="3"/>
  <c r="J2" i="3"/>
  <c r="K2" i="3"/>
  <c r="L2" i="3"/>
  <c r="M2" i="3"/>
  <c r="B2" i="3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I5" i="2"/>
  <c r="X2" i="4"/>
  <c r="Y2" i="4" s="1"/>
  <c r="Z2" i="4" s="1"/>
  <c r="AA2" i="4" s="1"/>
  <c r="AB2" i="4" s="1"/>
  <c r="AC2" i="4" s="1"/>
  <c r="AD2" i="4" s="1"/>
  <c r="AE2" i="4" s="1"/>
  <c r="AF2" i="4" s="1"/>
  <c r="AG2" i="4" s="1"/>
  <c r="AH2" i="4" s="1"/>
  <c r="AI2" i="4" s="1"/>
  <c r="AJ2" i="4" s="1"/>
  <c r="AK2" i="4" s="1"/>
  <c r="AL2" i="4" s="1"/>
  <c r="S2" i="4"/>
  <c r="T2" i="4" s="1"/>
  <c r="U2" i="4" s="1"/>
  <c r="V2" i="4" s="1"/>
  <c r="W2" i="4" s="1"/>
  <c r="O2" i="4"/>
  <c r="P2" i="4" s="1"/>
  <c r="Q2" i="4" s="1"/>
  <c r="R2" i="4" s="1"/>
  <c r="N2" i="4"/>
  <c r="I2" i="4"/>
  <c r="J2" i="4" s="1"/>
  <c r="K2" i="4" s="1"/>
  <c r="L2" i="4" s="1"/>
  <c r="M2" i="4" s="1"/>
  <c r="B2" i="4"/>
  <c r="C2" i="4" s="1"/>
  <c r="D2" i="4" s="1"/>
  <c r="E2" i="4" s="1"/>
  <c r="F2" i="4" s="1"/>
  <c r="G2" i="4" s="1"/>
  <c r="H2" i="4" s="1"/>
  <c r="AA2" i="3" l="1"/>
  <c r="Z2" i="3"/>
  <c r="Y2" i="3"/>
  <c r="X2" i="3"/>
  <c r="V2" i="3"/>
  <c r="U2" i="3"/>
  <c r="T2" i="3"/>
  <c r="S2" i="3"/>
  <c r="R2" i="3"/>
  <c r="Q2" i="3"/>
  <c r="P2" i="3"/>
  <c r="O2" i="3"/>
  <c r="N2" i="3"/>
  <c r="AG2" i="3"/>
  <c r="AF2" i="3"/>
  <c r="AE2" i="3"/>
  <c r="AD2" i="3"/>
  <c r="AC2" i="3"/>
</calcChain>
</file>

<file path=xl/sharedStrings.xml><?xml version="1.0" encoding="utf-8"?>
<sst xmlns="http://schemas.openxmlformats.org/spreadsheetml/2006/main" count="53" uniqueCount="49">
  <si>
    <t>BCRbQ BAU Capacity Retirements before Quantization</t>
  </si>
  <si>
    <t>Sources:</t>
  </si>
  <si>
    <t>Coal power plant retirement</t>
  </si>
  <si>
    <t>PLN</t>
  </si>
  <si>
    <t>Transformasi Batubara Menuju EBT, Strategi PLN Menuju Carbon Neutral 2060</t>
  </si>
  <si>
    <t>Paparan Dirut PLN (saved by IESR, not available online)</t>
  </si>
  <si>
    <t>page 3</t>
  </si>
  <si>
    <t>Notes</t>
  </si>
  <si>
    <t>Retirement schedule is only available for coal power plant.</t>
  </si>
  <si>
    <t>coal power plant retirement schedule</t>
  </si>
  <si>
    <t>interpolated (2046 to 2050)</t>
  </si>
  <si>
    <t>year</t>
  </si>
  <si>
    <t>capacity (MW)</t>
  </si>
  <si>
    <t>known:</t>
  </si>
  <si>
    <t>BAU Capacity Retirements (MW)</t>
  </si>
  <si>
    <t>hard coal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</si>
  <si>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</si>
  <si>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</si>
  <si>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</si>
  <si>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</si>
  <si>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</si>
  <si>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</si>
  <si>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</si>
  <si>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</si>
  <si>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</si>
  <si>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</si>
  <si>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</si>
  <si>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</si>
  <si>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</si>
  <si>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</si>
  <si>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</si>
  <si>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</si>
  <si>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</si>
  <si>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</si>
  <si>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</si>
  <si>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</si>
  <si>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</si>
  <si>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</si>
  <si>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</si>
  <si>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Capacity retirements (MW)</t>
  </si>
  <si>
    <t>coal</t>
  </si>
  <si>
    <t>capacity (GW)</t>
  </si>
  <si>
    <t>GW to MW</t>
  </si>
  <si>
    <t>Growth rate</t>
  </si>
  <si>
    <t>2020-2025</t>
  </si>
  <si>
    <t>2026-2030</t>
  </si>
  <si>
    <t>2031-2035</t>
  </si>
  <si>
    <t>2036-2040</t>
  </si>
  <si>
    <t>2041-2045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</si>
</sst>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4" fillId="0" borderId="1"/>
  </cellStyleXfs>
  <cellXfs count="16">
    <xf numFmtId="0" fontId="0" fillId="0" borderId="0" xfId="0"/>
    <xf numFmtId="0" fontId="2" fillId="0" borderId="0" xfId="0" applyFont="1"/>
    <xf numFmtId="0" fontId="2" fillId="2" borderId="1" xfId="0" applyFont="1" applyFill="1" applyBorder="1"/>
    <xf numFmtId="0" fontId="0" fillId="0" borderId="0" xfId="0" applyAlignment="1">
      <alignment horizontal="left" wrapText="1"/>
    </xf>
    <xf numFmtId="0" fontId="0" fillId="0" borderId="0" xfId="0" applyAlignment="1">
      <alignment horizontal="left" vertical="top" wrapText="1"/>
    </xf>
    <xf numFmtId="1" fontId="2" fillId="0" borderId="0" xfId="0" applyNumberFormat="1" applyFont="1" applyAlignment="1">
      <alignment wrapText="1"/>
    </xf>
    <xf numFmtId="1" fontId="2" fillId="0" borderId="0" xfId="0" applyNumberFormat="1" applyFont="1"/>
    <xf numFmtId="1" fontId="0" fillId="0" borderId="0" xfId="0" applyNumberFormat="1"/>
    <xf numFmtId="0" fontId="3" fillId="0" borderId="0" xfId="0" applyFont="1" applyAlignment="1">
      <alignment vertical="center"/>
    </xf>
    <xf numFmtId="1" fontId="2" fillId="0" borderId="1" xfId="1" applyNumberFormat="1" applyFont="1"/>
    <xf numFmtId="0" fontId="4" fillId="0" borderId="1" xfId="1"/>
    <xf numFmtId="11" fontId="4" fillId="0" borderId="1" xfId="1" applyNumberFormat="1"/>
    <xf numFmtId="0" fontId="1" fillId="0" borderId="1" xfId="1" applyFont="1"/>
    <xf numFmtId="0" fontId="1" fillId="0" borderId="0" xfId="0" applyFont="1"/>
    <xf numFmtId="11" fontId="2" fillId="0" borderId="0" xfId="0" applyNumberFormat="1" applyFont="1"/>
    <xf numFmtId="11" fontId="0" fillId="0" borderId="0" xfId="0" applyNumberFormat="1"/>
  </cellXfs>
  <cellStyles count="2">
    <cellStyle name="Normal" xfId="0" builtinId="0"/>
    <cellStyle name="Normal 2" xfId="1" xr:uid="{52BE4C7B-706B-4CD6-8E0E-BA487AF72AE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13</xdr:row>
      <xdr:rowOff>22224</xdr:rowOff>
    </xdr:from>
    <xdr:ext cx="7912100" cy="4054475"/>
    <xdr:pic>
      <xdr:nvPicPr>
        <xdr:cNvPr id="3" name="image1.png">
          <a:extLst>
            <a:ext uri="{FF2B5EF4-FFF2-40B4-BE49-F238E27FC236}">
              <a16:creationId xmlns:a16="http://schemas.microsoft.com/office/drawing/2014/main" id="{14B7C8DF-CEB1-49EA-BBE7-61727A3B5E27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2374899"/>
          <a:ext cx="7912100" cy="4054475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13</xdr:col>
      <xdr:colOff>419100</xdr:colOff>
      <xdr:row>37</xdr:row>
      <xdr:rowOff>101600</xdr:rowOff>
    </xdr:from>
    <xdr:to>
      <xdr:col>28</xdr:col>
      <xdr:colOff>377825</xdr:colOff>
      <xdr:row>70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ED56732-5106-4D03-82DB-21A4E0E037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39125" y="6800850"/>
          <a:ext cx="8963025" cy="60102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88"/>
  <sheetViews>
    <sheetView workbookViewId="0">
      <selection activeCell="B29" sqref="B29"/>
    </sheetView>
  </sheetViews>
  <sheetFormatPr defaultColWidth="14.453125" defaultRowHeight="15" customHeight="1" x14ac:dyDescent="0.35"/>
  <cols>
    <col min="1" max="1" width="8.7265625" customWidth="1"/>
    <col min="2" max="2" width="64.7265625" customWidth="1"/>
    <col min="3" max="26" width="8.7265625" customWidth="1"/>
  </cols>
  <sheetData>
    <row r="1" spans="1:2" ht="14.25" customHeight="1" x14ac:dyDescent="0.35">
      <c r="A1" s="1" t="s">
        <v>0</v>
      </c>
    </row>
    <row r="2" spans="1:2" ht="14.25" customHeight="1" x14ac:dyDescent="0.35"/>
    <row r="3" spans="1:2" ht="14.25" customHeight="1" x14ac:dyDescent="0.35">
      <c r="A3" s="1" t="s">
        <v>1</v>
      </c>
      <c r="B3" s="2" t="s">
        <v>2</v>
      </c>
    </row>
    <row r="4" spans="1:2" ht="14.25" customHeight="1" x14ac:dyDescent="0.35">
      <c r="B4" t="s">
        <v>3</v>
      </c>
    </row>
    <row r="5" spans="1:2" ht="14.25" customHeight="1" x14ac:dyDescent="0.35">
      <c r="B5" s="3" t="s">
        <v>4</v>
      </c>
    </row>
    <row r="6" spans="1:2" ht="14.25" customHeight="1" x14ac:dyDescent="0.35">
      <c r="B6" t="s">
        <v>5</v>
      </c>
    </row>
    <row r="7" spans="1:2" ht="14.25" customHeight="1" x14ac:dyDescent="0.35">
      <c r="B7" t="s">
        <v>6</v>
      </c>
    </row>
    <row r="8" spans="1:2" ht="14.25" customHeight="1" x14ac:dyDescent="0.35"/>
    <row r="9" spans="1:2" ht="14.25" customHeight="1" x14ac:dyDescent="0.35"/>
    <row r="10" spans="1:2" ht="14.25" customHeight="1" x14ac:dyDescent="0.35">
      <c r="A10" s="1" t="s">
        <v>7</v>
      </c>
      <c r="B10" s="4" t="s">
        <v>8</v>
      </c>
    </row>
    <row r="11" spans="1:2" ht="14.25" customHeight="1" x14ac:dyDescent="0.35">
      <c r="B11" s="4"/>
    </row>
    <row r="12" spans="1:2" ht="14.25" customHeight="1" x14ac:dyDescent="0.35">
      <c r="B12" s="4"/>
    </row>
    <row r="13" spans="1:2" ht="14.25" customHeight="1" x14ac:dyDescent="0.35">
      <c r="B13" s="4"/>
    </row>
    <row r="14" spans="1:2" ht="14.25" customHeight="1" x14ac:dyDescent="0.35">
      <c r="B14" s="4"/>
    </row>
    <row r="15" spans="1:2" ht="14.25" customHeight="1" x14ac:dyDescent="0.35">
      <c r="B15" s="4"/>
    </row>
    <row r="16" spans="1:2" ht="14.25" customHeight="1" x14ac:dyDescent="0.35">
      <c r="B16" s="4"/>
    </row>
    <row r="17" spans="2:2" ht="14.25" customHeight="1" x14ac:dyDescent="0.35">
      <c r="B17" s="4"/>
    </row>
    <row r="18" spans="2:2" ht="14.25" customHeight="1" x14ac:dyDescent="0.35"/>
    <row r="19" spans="2:2" ht="14.25" customHeight="1" x14ac:dyDescent="0.35"/>
    <row r="20" spans="2:2" ht="14.25" customHeight="1" x14ac:dyDescent="0.35"/>
    <row r="21" spans="2:2" ht="14.25" customHeight="1" x14ac:dyDescent="0.35"/>
    <row r="22" spans="2:2" ht="14.25" customHeight="1" x14ac:dyDescent="0.35"/>
    <row r="23" spans="2:2" ht="14.25" customHeight="1" x14ac:dyDescent="0.35"/>
    <row r="24" spans="2:2" ht="14.25" customHeight="1" x14ac:dyDescent="0.35"/>
    <row r="25" spans="2:2" ht="14.25" customHeight="1" x14ac:dyDescent="0.35"/>
    <row r="26" spans="2:2" ht="14.25" customHeight="1" x14ac:dyDescent="0.35"/>
    <row r="27" spans="2:2" ht="14.25" customHeight="1" x14ac:dyDescent="0.35"/>
    <row r="28" spans="2:2" ht="14.25" customHeight="1" x14ac:dyDescent="0.35"/>
    <row r="29" spans="2:2" ht="14.25" customHeight="1" x14ac:dyDescent="0.35"/>
    <row r="30" spans="2:2" ht="14.25" customHeight="1" x14ac:dyDescent="0.35"/>
    <row r="31" spans="2:2" ht="14.25" customHeight="1" x14ac:dyDescent="0.35"/>
    <row r="32" spans="2: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A1000"/>
  <sheetViews>
    <sheetView workbookViewId="0">
      <selection activeCell="J46" sqref="J46"/>
    </sheetView>
  </sheetViews>
  <sheetFormatPr defaultColWidth="14.453125" defaultRowHeight="15" customHeight="1" x14ac:dyDescent="0.35"/>
  <cols>
    <col min="1" max="1" width="8.81640625" customWidth="1"/>
    <col min="2" max="38" width="8.6328125" customWidth="1"/>
  </cols>
  <sheetData>
    <row r="1" spans="1:53" ht="14.25" customHeight="1" x14ac:dyDescent="0.35">
      <c r="B1" s="1" t="s">
        <v>9</v>
      </c>
      <c r="AC1" s="13" t="s">
        <v>10</v>
      </c>
    </row>
    <row r="2" spans="1:53" ht="14.25" customHeight="1" x14ac:dyDescent="0.35">
      <c r="A2" s="1" t="s">
        <v>11</v>
      </c>
      <c r="B2" s="1">
        <v>2019</v>
      </c>
      <c r="C2" s="1">
        <v>2020</v>
      </c>
      <c r="D2" s="1">
        <v>2021</v>
      </c>
      <c r="E2" s="1">
        <v>2022</v>
      </c>
      <c r="F2" s="1">
        <v>2023</v>
      </c>
      <c r="G2" s="1">
        <v>2024</v>
      </c>
      <c r="H2" s="1">
        <v>2025</v>
      </c>
      <c r="I2" s="1">
        <v>2026</v>
      </c>
      <c r="J2" s="1">
        <v>2027</v>
      </c>
      <c r="K2" s="1">
        <v>2028</v>
      </c>
      <c r="L2" s="1">
        <v>2029</v>
      </c>
      <c r="M2" s="1">
        <v>2030</v>
      </c>
      <c r="N2" s="1">
        <v>2031</v>
      </c>
      <c r="O2" s="1">
        <v>2032</v>
      </c>
      <c r="P2" s="1">
        <v>2033</v>
      </c>
      <c r="Q2" s="1">
        <v>2034</v>
      </c>
      <c r="R2" s="1">
        <v>2035</v>
      </c>
      <c r="S2" s="1">
        <v>2036</v>
      </c>
      <c r="T2" s="1">
        <v>2037</v>
      </c>
      <c r="U2" s="1">
        <v>2038</v>
      </c>
      <c r="V2" s="1">
        <v>2039</v>
      </c>
      <c r="W2" s="1">
        <v>2040</v>
      </c>
      <c r="X2" s="1">
        <v>2041</v>
      </c>
      <c r="Y2" s="1">
        <v>2042</v>
      </c>
      <c r="Z2" s="1">
        <v>2043</v>
      </c>
      <c r="AA2" s="1">
        <v>2044</v>
      </c>
      <c r="AB2" s="1">
        <v>2045</v>
      </c>
      <c r="AC2" s="1">
        <v>2046</v>
      </c>
      <c r="AD2" s="1">
        <v>2047</v>
      </c>
      <c r="AE2" s="1">
        <v>2048</v>
      </c>
      <c r="AF2" s="1">
        <v>2049</v>
      </c>
      <c r="AG2" s="1">
        <v>2050</v>
      </c>
      <c r="AH2" s="1">
        <v>2051</v>
      </c>
      <c r="AI2" s="1">
        <v>2052</v>
      </c>
      <c r="AJ2" s="1">
        <v>2053</v>
      </c>
      <c r="AK2" s="1">
        <v>2054</v>
      </c>
      <c r="AL2" s="1">
        <v>2055</v>
      </c>
      <c r="AM2" s="6">
        <v>2056</v>
      </c>
      <c r="AN2" s="6">
        <v>2057</v>
      </c>
      <c r="AO2" s="6">
        <v>2058</v>
      </c>
      <c r="AP2" s="6">
        <v>2059</v>
      </c>
      <c r="AQ2" s="6">
        <v>2060</v>
      </c>
      <c r="AR2" s="6">
        <v>2061</v>
      </c>
      <c r="AS2" s="6">
        <v>2062</v>
      </c>
      <c r="AT2" s="6">
        <v>2063</v>
      </c>
      <c r="AU2" s="6">
        <v>2064</v>
      </c>
      <c r="AV2" s="6">
        <v>2065</v>
      </c>
      <c r="AW2" s="6">
        <v>2066</v>
      </c>
      <c r="AX2" s="6">
        <v>2067</v>
      </c>
      <c r="AY2" s="6">
        <v>2068</v>
      </c>
      <c r="AZ2" s="6">
        <v>2069</v>
      </c>
      <c r="BA2" s="6">
        <v>2070</v>
      </c>
    </row>
    <row r="3" spans="1:53" ht="14.25" customHeight="1" x14ac:dyDescent="0.35">
      <c r="A3" s="1" t="s">
        <v>41</v>
      </c>
      <c r="B3" s="13">
        <v>0</v>
      </c>
      <c r="C3" s="13">
        <v>0</v>
      </c>
      <c r="D3" s="13">
        <v>0</v>
      </c>
      <c r="E3" s="13">
        <v>0</v>
      </c>
      <c r="F3" s="13">
        <v>0</v>
      </c>
      <c r="G3" s="13">
        <v>0</v>
      </c>
      <c r="H3" s="13">
        <v>1.1000000000000001</v>
      </c>
      <c r="I3" s="13">
        <v>0</v>
      </c>
      <c r="J3" s="13">
        <v>0</v>
      </c>
      <c r="K3" s="13">
        <v>0</v>
      </c>
      <c r="L3" s="13">
        <v>0</v>
      </c>
      <c r="M3" s="13">
        <v>1</v>
      </c>
      <c r="N3" s="13">
        <v>0</v>
      </c>
      <c r="O3" s="13">
        <v>0</v>
      </c>
      <c r="P3" s="13">
        <v>0</v>
      </c>
      <c r="Q3" s="13">
        <v>0</v>
      </c>
      <c r="R3" s="13">
        <v>0</v>
      </c>
      <c r="S3" s="13">
        <v>0</v>
      </c>
      <c r="T3" s="13">
        <v>0</v>
      </c>
      <c r="U3" s="13">
        <v>0</v>
      </c>
      <c r="V3" s="13">
        <v>0</v>
      </c>
      <c r="W3" s="13">
        <v>10</v>
      </c>
      <c r="X3" s="13">
        <v>0</v>
      </c>
      <c r="Y3" s="13">
        <v>0</v>
      </c>
      <c r="Z3" s="13">
        <v>0</v>
      </c>
      <c r="AA3" s="13">
        <v>0</v>
      </c>
      <c r="AB3" s="13">
        <v>24</v>
      </c>
      <c r="AC3" s="13">
        <v>0</v>
      </c>
      <c r="AD3" s="13">
        <v>0</v>
      </c>
      <c r="AE3" s="13">
        <v>0</v>
      </c>
      <c r="AF3" s="13">
        <v>0</v>
      </c>
      <c r="AG3" s="13">
        <v>0</v>
      </c>
      <c r="AH3" s="13">
        <v>0</v>
      </c>
      <c r="AI3" s="13">
        <v>0</v>
      </c>
      <c r="AJ3" s="13">
        <v>0</v>
      </c>
      <c r="AK3" s="13">
        <v>0</v>
      </c>
      <c r="AL3" s="13">
        <v>5</v>
      </c>
      <c r="AM3" s="13">
        <v>0</v>
      </c>
      <c r="AN3" s="13">
        <v>0</v>
      </c>
      <c r="AO3" s="13">
        <v>0</v>
      </c>
      <c r="AP3" s="13">
        <v>0</v>
      </c>
      <c r="AQ3" s="13">
        <v>0</v>
      </c>
      <c r="AR3" s="13">
        <v>0</v>
      </c>
      <c r="AS3" s="13">
        <v>0</v>
      </c>
      <c r="AT3" s="13">
        <v>0</v>
      </c>
      <c r="AU3" s="13">
        <v>0</v>
      </c>
      <c r="AV3" s="13">
        <v>0</v>
      </c>
      <c r="AW3" s="13">
        <v>0</v>
      </c>
      <c r="AX3" s="13">
        <v>0</v>
      </c>
      <c r="AY3" s="13">
        <v>0</v>
      </c>
      <c r="AZ3" s="13">
        <v>0</v>
      </c>
      <c r="BA3" s="13">
        <v>0</v>
      </c>
    </row>
    <row r="4" spans="1:53" ht="14.25" customHeight="1" x14ac:dyDescent="0.35"/>
    <row r="5" spans="1:53" ht="14.25" customHeight="1" x14ac:dyDescent="0.35">
      <c r="A5" s="13" t="s">
        <v>42</v>
      </c>
      <c r="B5">
        <v>1000</v>
      </c>
      <c r="AB5" s="13" t="s">
        <v>13</v>
      </c>
      <c r="AH5" s="13" t="s">
        <v>43</v>
      </c>
      <c r="AI5" t="e">
        <f>(AL3-AK3)/AK3</f>
        <v>#DIV/0!</v>
      </c>
    </row>
    <row r="6" spans="1:53" ht="14.25" customHeight="1" x14ac:dyDescent="0.35">
      <c r="AB6" s="1">
        <v>2045</v>
      </c>
      <c r="AC6" s="1">
        <v>2055</v>
      </c>
    </row>
    <row r="7" spans="1:53" ht="14.25" customHeight="1" x14ac:dyDescent="0.35">
      <c r="AB7">
        <v>24</v>
      </c>
      <c r="AC7">
        <v>5</v>
      </c>
    </row>
    <row r="8" spans="1:53" ht="14.25" customHeight="1" x14ac:dyDescent="0.35"/>
    <row r="9" spans="1:53" ht="14.25" customHeight="1" x14ac:dyDescent="0.35">
      <c r="A9" s="14" t="s">
        <v>12</v>
      </c>
      <c r="B9" s="15">
        <f t="shared" ref="B9:BA9" si="0">B3*$B$5</f>
        <v>0</v>
      </c>
      <c r="C9" s="15">
        <f t="shared" si="0"/>
        <v>0</v>
      </c>
      <c r="D9" s="15">
        <f t="shared" si="0"/>
        <v>0</v>
      </c>
      <c r="E9" s="15">
        <f t="shared" si="0"/>
        <v>0</v>
      </c>
      <c r="F9" s="15">
        <f t="shared" si="0"/>
        <v>0</v>
      </c>
      <c r="G9" s="15">
        <f t="shared" si="0"/>
        <v>0</v>
      </c>
      <c r="H9" s="15">
        <f t="shared" si="0"/>
        <v>1100</v>
      </c>
      <c r="I9" s="15">
        <f t="shared" si="0"/>
        <v>0</v>
      </c>
      <c r="J9" s="15">
        <f t="shared" si="0"/>
        <v>0</v>
      </c>
      <c r="K9" s="15">
        <f t="shared" si="0"/>
        <v>0</v>
      </c>
      <c r="L9" s="15">
        <f t="shared" si="0"/>
        <v>0</v>
      </c>
      <c r="M9" s="15">
        <f t="shared" si="0"/>
        <v>1000</v>
      </c>
      <c r="N9" s="15">
        <f t="shared" si="0"/>
        <v>0</v>
      </c>
      <c r="O9" s="15">
        <f t="shared" si="0"/>
        <v>0</v>
      </c>
      <c r="P9" s="15">
        <f t="shared" si="0"/>
        <v>0</v>
      </c>
      <c r="Q9" s="15">
        <f t="shared" si="0"/>
        <v>0</v>
      </c>
      <c r="R9" s="15">
        <f t="shared" si="0"/>
        <v>0</v>
      </c>
      <c r="S9" s="15">
        <f t="shared" si="0"/>
        <v>0</v>
      </c>
      <c r="T9" s="15">
        <f t="shared" si="0"/>
        <v>0</v>
      </c>
      <c r="U9" s="15">
        <f t="shared" si="0"/>
        <v>0</v>
      </c>
      <c r="V9" s="15">
        <f t="shared" si="0"/>
        <v>0</v>
      </c>
      <c r="W9" s="15">
        <f t="shared" si="0"/>
        <v>10000</v>
      </c>
      <c r="X9" s="15">
        <f t="shared" si="0"/>
        <v>0</v>
      </c>
      <c r="Y9" s="15">
        <f t="shared" si="0"/>
        <v>0</v>
      </c>
      <c r="Z9" s="15">
        <f t="shared" si="0"/>
        <v>0</v>
      </c>
      <c r="AA9" s="15">
        <f t="shared" si="0"/>
        <v>0</v>
      </c>
      <c r="AB9" s="15">
        <f t="shared" si="0"/>
        <v>24000</v>
      </c>
      <c r="AC9" s="15">
        <f t="shared" si="0"/>
        <v>0</v>
      </c>
      <c r="AD9" s="15">
        <f t="shared" si="0"/>
        <v>0</v>
      </c>
      <c r="AE9" s="15">
        <f t="shared" si="0"/>
        <v>0</v>
      </c>
      <c r="AF9" s="15">
        <f t="shared" si="0"/>
        <v>0</v>
      </c>
      <c r="AG9" s="15">
        <f t="shared" si="0"/>
        <v>0</v>
      </c>
      <c r="AH9" s="15">
        <f t="shared" si="0"/>
        <v>0</v>
      </c>
      <c r="AI9" s="15">
        <f t="shared" si="0"/>
        <v>0</v>
      </c>
      <c r="AJ9" s="15">
        <f t="shared" si="0"/>
        <v>0</v>
      </c>
      <c r="AK9" s="15">
        <f t="shared" si="0"/>
        <v>0</v>
      </c>
      <c r="AL9" s="15">
        <f t="shared" si="0"/>
        <v>5000</v>
      </c>
      <c r="AM9" s="15">
        <f t="shared" si="0"/>
        <v>0</v>
      </c>
      <c r="AN9" s="15">
        <f t="shared" si="0"/>
        <v>0</v>
      </c>
      <c r="AO9" s="15">
        <f t="shared" si="0"/>
        <v>0</v>
      </c>
      <c r="AP9" s="15">
        <f t="shared" si="0"/>
        <v>0</v>
      </c>
      <c r="AQ9" s="15">
        <f t="shared" si="0"/>
        <v>0</v>
      </c>
      <c r="AR9" s="15">
        <f t="shared" si="0"/>
        <v>0</v>
      </c>
      <c r="AS9" s="15">
        <f t="shared" si="0"/>
        <v>0</v>
      </c>
      <c r="AT9" s="15">
        <f t="shared" si="0"/>
        <v>0</v>
      </c>
      <c r="AU9" s="15">
        <f t="shared" si="0"/>
        <v>0</v>
      </c>
      <c r="AV9" s="15">
        <f t="shared" si="0"/>
        <v>0</v>
      </c>
      <c r="AW9" s="15">
        <f t="shared" si="0"/>
        <v>0</v>
      </c>
      <c r="AX9" s="15">
        <f t="shared" si="0"/>
        <v>0</v>
      </c>
      <c r="AY9" s="15">
        <f t="shared" si="0"/>
        <v>0</v>
      </c>
      <c r="AZ9" s="15">
        <f t="shared" si="0"/>
        <v>0</v>
      </c>
      <c r="BA9" s="15">
        <f t="shared" si="0"/>
        <v>0</v>
      </c>
    </row>
    <row r="10" spans="1:53" ht="14.25" customHeight="1" x14ac:dyDescent="0.35"/>
    <row r="11" spans="1:53" ht="14.25" customHeight="1" x14ac:dyDescent="0.35"/>
    <row r="12" spans="1:53" ht="14.25" customHeight="1" x14ac:dyDescent="0.35"/>
    <row r="13" spans="1:53" ht="14.25" customHeight="1" x14ac:dyDescent="0.35"/>
    <row r="14" spans="1:53" ht="14.25" customHeight="1" x14ac:dyDescent="0.35"/>
    <row r="15" spans="1:53" ht="14.25" customHeight="1" x14ac:dyDescent="0.35"/>
    <row r="16" spans="1:53" ht="14.25" customHeight="1" x14ac:dyDescent="0.35"/>
    <row r="17" customFormat="1" ht="14.25" customHeight="1" x14ac:dyDescent="0.35"/>
    <row r="18" customFormat="1" ht="14.25" customHeight="1" x14ac:dyDescent="0.35"/>
    <row r="19" customFormat="1" ht="14.25" customHeight="1" x14ac:dyDescent="0.35"/>
    <row r="20" customFormat="1" ht="14.25" customHeight="1" x14ac:dyDescent="0.35"/>
    <row r="21" customFormat="1" ht="14.25" customHeight="1" x14ac:dyDescent="0.35"/>
    <row r="22" customFormat="1" ht="14.25" customHeight="1" x14ac:dyDescent="0.35"/>
    <row r="23" customFormat="1" ht="14.25" customHeight="1" x14ac:dyDescent="0.35"/>
    <row r="24" customFormat="1" ht="14.25" customHeight="1" x14ac:dyDescent="0.35"/>
    <row r="25" customFormat="1" ht="14.25" customHeight="1" x14ac:dyDescent="0.35"/>
    <row r="26" customFormat="1" ht="14.25" customHeight="1" x14ac:dyDescent="0.35"/>
    <row r="27" customFormat="1" ht="14.25" customHeight="1" x14ac:dyDescent="0.35"/>
    <row r="28" customFormat="1" ht="14.25" customHeight="1" x14ac:dyDescent="0.35"/>
    <row r="29" customFormat="1" ht="14.25" customHeight="1" x14ac:dyDescent="0.35"/>
    <row r="30" customFormat="1" ht="14.25" customHeight="1" x14ac:dyDescent="0.35"/>
    <row r="31" customFormat="1" ht="14.25" customHeight="1" x14ac:dyDescent="0.35"/>
    <row r="32" customFormat="1" ht="14.25" customHeight="1" x14ac:dyDescent="0.35"/>
    <row r="33" spans="1:7" ht="14.25" customHeight="1" x14ac:dyDescent="0.35"/>
    <row r="34" spans="1:7" ht="14.25" customHeight="1" x14ac:dyDescent="0.35"/>
    <row r="35" spans="1:7" ht="14.25" customHeight="1" x14ac:dyDescent="0.35"/>
    <row r="36" spans="1:7" ht="14.25" customHeight="1" x14ac:dyDescent="0.35"/>
    <row r="37" spans="1:7" ht="14.25" customHeight="1" x14ac:dyDescent="0.35"/>
    <row r="38" spans="1:7" ht="14.25" customHeight="1" x14ac:dyDescent="0.35"/>
    <row r="39" spans="1:7" ht="14.25" customHeight="1" x14ac:dyDescent="0.35"/>
    <row r="40" spans="1:7" ht="14.25" customHeight="1" x14ac:dyDescent="0.35"/>
    <row r="41" spans="1:7" ht="14.25" customHeight="1" x14ac:dyDescent="0.35">
      <c r="A41" s="13" t="s">
        <v>39</v>
      </c>
      <c r="C41" s="13" t="s">
        <v>44</v>
      </c>
      <c r="D41" s="13" t="s">
        <v>45</v>
      </c>
      <c r="E41" s="13" t="s">
        <v>46</v>
      </c>
      <c r="F41" s="13" t="s">
        <v>47</v>
      </c>
      <c r="G41" s="13" t="s">
        <v>48</v>
      </c>
    </row>
    <row r="42" spans="1:7" ht="14.25" customHeight="1" x14ac:dyDescent="0.35">
      <c r="A42" s="13" t="s">
        <v>40</v>
      </c>
      <c r="C42">
        <v>4200</v>
      </c>
      <c r="D42">
        <v>1900</v>
      </c>
      <c r="E42">
        <v>8000</v>
      </c>
      <c r="F42">
        <v>6100</v>
      </c>
      <c r="G42">
        <v>27700</v>
      </c>
    </row>
    <row r="43" spans="1:7" ht="14.25" customHeight="1" x14ac:dyDescent="0.35"/>
    <row r="44" spans="1:7" ht="14.25" customHeight="1" x14ac:dyDescent="0.35"/>
    <row r="45" spans="1:7" ht="14.25" customHeight="1" x14ac:dyDescent="0.35"/>
    <row r="46" spans="1:7" ht="14.25" customHeight="1" x14ac:dyDescent="0.35"/>
    <row r="47" spans="1:7" ht="14.25" customHeight="1" x14ac:dyDescent="0.35"/>
    <row r="48" spans="1:7" ht="14.25" customHeight="1" x14ac:dyDescent="0.35"/>
    <row r="49" customFormat="1" ht="14.25" customHeight="1" x14ac:dyDescent="0.35"/>
    <row r="50" customFormat="1" ht="14.25" customHeight="1" x14ac:dyDescent="0.35"/>
    <row r="51" customFormat="1" ht="14.25" customHeight="1" x14ac:dyDescent="0.35"/>
    <row r="52" customFormat="1" ht="14.25" customHeight="1" x14ac:dyDescent="0.35"/>
    <row r="53" customFormat="1" ht="14.25" customHeight="1" x14ac:dyDescent="0.35"/>
    <row r="54" customFormat="1" ht="14.25" customHeight="1" x14ac:dyDescent="0.35"/>
    <row r="55" customFormat="1" ht="14.25" customHeight="1" x14ac:dyDescent="0.35"/>
    <row r="56" customFormat="1" ht="14.25" customHeight="1" x14ac:dyDescent="0.35"/>
    <row r="57" customFormat="1" ht="14.25" customHeight="1" x14ac:dyDescent="0.35"/>
    <row r="58" customFormat="1" ht="14.25" customHeight="1" x14ac:dyDescent="0.35"/>
    <row r="59" customFormat="1" ht="14.25" customHeight="1" x14ac:dyDescent="0.35"/>
    <row r="60" customFormat="1" ht="14.25" customHeight="1" x14ac:dyDescent="0.35"/>
    <row r="61" customFormat="1" ht="14.25" customHeight="1" x14ac:dyDescent="0.35"/>
    <row r="62" customFormat="1" ht="14.25" customHeight="1" x14ac:dyDescent="0.35"/>
    <row r="63" customFormat="1" ht="14.25" customHeight="1" x14ac:dyDescent="0.35"/>
    <row r="64" customFormat="1" ht="14.25" customHeight="1" x14ac:dyDescent="0.35"/>
    <row r="65" customFormat="1" ht="14.25" customHeight="1" x14ac:dyDescent="0.35"/>
    <row r="66" customFormat="1" ht="14.25" customHeight="1" x14ac:dyDescent="0.35"/>
    <row r="67" customFormat="1" ht="14.25" customHeight="1" x14ac:dyDescent="0.35"/>
    <row r="68" customFormat="1" ht="14.25" customHeight="1" x14ac:dyDescent="0.35"/>
    <row r="69" customFormat="1" ht="14.25" customHeight="1" x14ac:dyDescent="0.35"/>
    <row r="70" customFormat="1" ht="14.25" customHeight="1" x14ac:dyDescent="0.35"/>
    <row r="71" customFormat="1" ht="14.25" customHeight="1" x14ac:dyDescent="0.35"/>
    <row r="72" customFormat="1" ht="14.25" customHeight="1" x14ac:dyDescent="0.35"/>
    <row r="73" customFormat="1" ht="14.25" customHeight="1" x14ac:dyDescent="0.35"/>
    <row r="74" customFormat="1" ht="14.25" customHeight="1" x14ac:dyDescent="0.35"/>
    <row r="75" customFormat="1" ht="14.25" customHeight="1" x14ac:dyDescent="0.35"/>
    <row r="76" customFormat="1" ht="14.25" customHeight="1" x14ac:dyDescent="0.35"/>
    <row r="77" customFormat="1" ht="14.25" customHeight="1" x14ac:dyDescent="0.35"/>
    <row r="78" customFormat="1" ht="14.25" customHeight="1" x14ac:dyDescent="0.35"/>
    <row r="79" customFormat="1" ht="14.25" customHeight="1" x14ac:dyDescent="0.35"/>
    <row r="80" customFormat="1" ht="14.25" customHeight="1" x14ac:dyDescent="0.35"/>
    <row r="81" customFormat="1" ht="14.25" customHeight="1" x14ac:dyDescent="0.35"/>
    <row r="82" customFormat="1" ht="14.25" customHeight="1" x14ac:dyDescent="0.35"/>
    <row r="83" customFormat="1" ht="14.25" customHeight="1" x14ac:dyDescent="0.35"/>
    <row r="84" customFormat="1" ht="14.25" customHeight="1" x14ac:dyDescent="0.35"/>
    <row r="85" customFormat="1" ht="14.25" customHeight="1" x14ac:dyDescent="0.35"/>
    <row r="86" customFormat="1" ht="14.25" customHeight="1" x14ac:dyDescent="0.35"/>
    <row r="87" customFormat="1" ht="14.25" customHeight="1" x14ac:dyDescent="0.35"/>
    <row r="88" customFormat="1" ht="14.25" customHeight="1" x14ac:dyDescent="0.35"/>
    <row r="89" customFormat="1" ht="14.25" customHeight="1" x14ac:dyDescent="0.35"/>
    <row r="90" customFormat="1" ht="14.25" customHeight="1" x14ac:dyDescent="0.35"/>
    <row r="91" customFormat="1" ht="14.25" customHeight="1" x14ac:dyDescent="0.35"/>
    <row r="92" customFormat="1" ht="14.25" customHeight="1" x14ac:dyDescent="0.35"/>
    <row r="93" customFormat="1" ht="14.25" customHeight="1" x14ac:dyDescent="0.35"/>
    <row r="94" customFormat="1" ht="14.25" customHeight="1" x14ac:dyDescent="0.35"/>
    <row r="95" customFormat="1" ht="14.25" customHeight="1" x14ac:dyDescent="0.35"/>
    <row r="96" customFormat="1" ht="14.25" customHeight="1" x14ac:dyDescent="0.35"/>
    <row r="97" customFormat="1" ht="14.25" customHeight="1" x14ac:dyDescent="0.35"/>
    <row r="98" customFormat="1" ht="14.25" customHeight="1" x14ac:dyDescent="0.35"/>
    <row r="99" customFormat="1" ht="14.25" customHeight="1" x14ac:dyDescent="0.35"/>
    <row r="100" customFormat="1" ht="14.25" customHeight="1" x14ac:dyDescent="0.35"/>
    <row r="101" customFormat="1" ht="14.25" customHeight="1" x14ac:dyDescent="0.35"/>
    <row r="102" customFormat="1" ht="14.25" customHeight="1" x14ac:dyDescent="0.35"/>
    <row r="103" customFormat="1" ht="14.25" customHeight="1" x14ac:dyDescent="0.35"/>
    <row r="104" customFormat="1" ht="14.25" customHeight="1" x14ac:dyDescent="0.35"/>
    <row r="105" customFormat="1" ht="14.25" customHeight="1" x14ac:dyDescent="0.35"/>
    <row r="106" customFormat="1" ht="14.25" customHeight="1" x14ac:dyDescent="0.35"/>
    <row r="107" customFormat="1" ht="14.25" customHeight="1" x14ac:dyDescent="0.35"/>
    <row r="108" customFormat="1" ht="14.25" customHeight="1" x14ac:dyDescent="0.35"/>
    <row r="109" customFormat="1" ht="14.25" customHeight="1" x14ac:dyDescent="0.35"/>
    <row r="110" customFormat="1" ht="14.25" customHeight="1" x14ac:dyDescent="0.35"/>
    <row r="111" customFormat="1" ht="14.25" customHeight="1" x14ac:dyDescent="0.35"/>
    <row r="112" customFormat="1" ht="14.25" customHeight="1" x14ac:dyDescent="0.35"/>
    <row r="113" customFormat="1" ht="14.25" customHeight="1" x14ac:dyDescent="0.35"/>
    <row r="114" customFormat="1" ht="14.25" customHeight="1" x14ac:dyDescent="0.35"/>
    <row r="115" customFormat="1" ht="14.25" customHeight="1" x14ac:dyDescent="0.35"/>
    <row r="116" customFormat="1" ht="14.25" customHeight="1" x14ac:dyDescent="0.35"/>
    <row r="117" customFormat="1" ht="14.25" customHeight="1" x14ac:dyDescent="0.35"/>
    <row r="118" customFormat="1" ht="14.25" customHeight="1" x14ac:dyDescent="0.35"/>
    <row r="119" customFormat="1" ht="14.25" customHeight="1" x14ac:dyDescent="0.35"/>
    <row r="120" customFormat="1" ht="14.25" customHeight="1" x14ac:dyDescent="0.35"/>
    <row r="121" customFormat="1" ht="14.25" customHeight="1" x14ac:dyDescent="0.35"/>
    <row r="122" customFormat="1" ht="14.25" customHeight="1" x14ac:dyDescent="0.35"/>
    <row r="123" customFormat="1" ht="14.25" customHeight="1" x14ac:dyDescent="0.35"/>
    <row r="124" customFormat="1" ht="14.25" customHeight="1" x14ac:dyDescent="0.35"/>
    <row r="125" customFormat="1" ht="14.25" customHeight="1" x14ac:dyDescent="0.35"/>
    <row r="126" customFormat="1" ht="14.25" customHeight="1" x14ac:dyDescent="0.35"/>
    <row r="127" customFormat="1" ht="14.25" customHeight="1" x14ac:dyDescent="0.35"/>
    <row r="128" customFormat="1" ht="14.25" customHeight="1" x14ac:dyDescent="0.35"/>
    <row r="129" customFormat="1" ht="14.25" customHeight="1" x14ac:dyDescent="0.35"/>
    <row r="130" customFormat="1" ht="14.25" customHeight="1" x14ac:dyDescent="0.35"/>
    <row r="131" customFormat="1" ht="14.25" customHeight="1" x14ac:dyDescent="0.35"/>
    <row r="132" customFormat="1" ht="14.25" customHeight="1" x14ac:dyDescent="0.35"/>
    <row r="133" customFormat="1" ht="14.25" customHeight="1" x14ac:dyDescent="0.35"/>
    <row r="134" customFormat="1" ht="14.25" customHeight="1" x14ac:dyDescent="0.35"/>
    <row r="135" customFormat="1" ht="14.25" customHeight="1" x14ac:dyDescent="0.35"/>
    <row r="136" customFormat="1" ht="14.25" customHeight="1" x14ac:dyDescent="0.35"/>
    <row r="137" customFormat="1" ht="14.25" customHeight="1" x14ac:dyDescent="0.35"/>
    <row r="138" customFormat="1" ht="14.25" customHeight="1" x14ac:dyDescent="0.35"/>
    <row r="139" customFormat="1" ht="14.25" customHeight="1" x14ac:dyDescent="0.35"/>
    <row r="140" customFormat="1" ht="14.25" customHeight="1" x14ac:dyDescent="0.35"/>
    <row r="141" customFormat="1" ht="14.25" customHeight="1" x14ac:dyDescent="0.35"/>
    <row r="142" customFormat="1" ht="14.25" customHeight="1" x14ac:dyDescent="0.35"/>
    <row r="143" customFormat="1" ht="14.25" customHeight="1" x14ac:dyDescent="0.35"/>
    <row r="144" customFormat="1" ht="14.25" customHeight="1" x14ac:dyDescent="0.35"/>
    <row r="145" customFormat="1" ht="14.25" customHeight="1" x14ac:dyDescent="0.35"/>
    <row r="146" customFormat="1" ht="14.25" customHeight="1" x14ac:dyDescent="0.35"/>
    <row r="147" customFormat="1" ht="14.25" customHeight="1" x14ac:dyDescent="0.35"/>
    <row r="148" customFormat="1" ht="14.25" customHeight="1" x14ac:dyDescent="0.35"/>
    <row r="149" customFormat="1" ht="14.25" customHeight="1" x14ac:dyDescent="0.35"/>
    <row r="150" customFormat="1" ht="14.25" customHeight="1" x14ac:dyDescent="0.35"/>
    <row r="151" customFormat="1" ht="14.25" customHeight="1" x14ac:dyDescent="0.35"/>
    <row r="152" customFormat="1" ht="14.25" customHeight="1" x14ac:dyDescent="0.35"/>
    <row r="153" customFormat="1" ht="14.25" customHeight="1" x14ac:dyDescent="0.35"/>
    <row r="154" customFormat="1" ht="14.25" customHeight="1" x14ac:dyDescent="0.35"/>
    <row r="155" customFormat="1" ht="14.25" customHeight="1" x14ac:dyDescent="0.35"/>
    <row r="156" customFormat="1" ht="14.25" customHeight="1" x14ac:dyDescent="0.35"/>
    <row r="157" customFormat="1" ht="14.25" customHeight="1" x14ac:dyDescent="0.35"/>
    <row r="158" customFormat="1" ht="14.25" customHeight="1" x14ac:dyDescent="0.35"/>
    <row r="159" customFormat="1" ht="14.25" customHeight="1" x14ac:dyDescent="0.35"/>
    <row r="160" customFormat="1" ht="14.25" customHeight="1" x14ac:dyDescent="0.35"/>
    <row r="161" customFormat="1" ht="14.25" customHeight="1" x14ac:dyDescent="0.35"/>
    <row r="162" customFormat="1" ht="14.25" customHeight="1" x14ac:dyDescent="0.35"/>
    <row r="163" customFormat="1" ht="14.25" customHeight="1" x14ac:dyDescent="0.35"/>
    <row r="164" customFormat="1" ht="14.25" customHeight="1" x14ac:dyDescent="0.35"/>
    <row r="165" customFormat="1" ht="14.25" customHeight="1" x14ac:dyDescent="0.35"/>
    <row r="166" customFormat="1" ht="14.25" customHeight="1" x14ac:dyDescent="0.35"/>
    <row r="167" customFormat="1" ht="14.25" customHeight="1" x14ac:dyDescent="0.35"/>
    <row r="168" customFormat="1" ht="14.25" customHeight="1" x14ac:dyDescent="0.35"/>
    <row r="169" customFormat="1" ht="14.25" customHeight="1" x14ac:dyDescent="0.35"/>
    <row r="170" customFormat="1" ht="14.25" customHeight="1" x14ac:dyDescent="0.35"/>
    <row r="171" customFormat="1" ht="14.25" customHeight="1" x14ac:dyDescent="0.35"/>
    <row r="172" customFormat="1" ht="14.25" customHeight="1" x14ac:dyDescent="0.35"/>
    <row r="173" customFormat="1" ht="14.25" customHeight="1" x14ac:dyDescent="0.35"/>
    <row r="174" customFormat="1" ht="14.25" customHeight="1" x14ac:dyDescent="0.35"/>
    <row r="175" customFormat="1" ht="14.25" customHeight="1" x14ac:dyDescent="0.35"/>
    <row r="176" customFormat="1" ht="14.25" customHeight="1" x14ac:dyDescent="0.35"/>
    <row r="177" customFormat="1" ht="14.25" customHeight="1" x14ac:dyDescent="0.35"/>
    <row r="178" customFormat="1" ht="14.25" customHeight="1" x14ac:dyDescent="0.35"/>
    <row r="179" customFormat="1" ht="14.25" customHeight="1" x14ac:dyDescent="0.35"/>
    <row r="180" customFormat="1" ht="14.25" customHeight="1" x14ac:dyDescent="0.35"/>
    <row r="181" customFormat="1" ht="14.25" customHeight="1" x14ac:dyDescent="0.35"/>
    <row r="182" customFormat="1" ht="14.25" customHeight="1" x14ac:dyDescent="0.35"/>
    <row r="183" customFormat="1" ht="14.25" customHeight="1" x14ac:dyDescent="0.35"/>
    <row r="184" customFormat="1" ht="14.25" customHeight="1" x14ac:dyDescent="0.35"/>
    <row r="185" customFormat="1" ht="14.25" customHeight="1" x14ac:dyDescent="0.35"/>
    <row r="186" customFormat="1" ht="14.25" customHeight="1" x14ac:dyDescent="0.35"/>
    <row r="187" customFormat="1" ht="14.25" customHeight="1" x14ac:dyDescent="0.35"/>
    <row r="188" customFormat="1" ht="14.25" customHeight="1" x14ac:dyDescent="0.35"/>
    <row r="189" customFormat="1" ht="14.25" customHeight="1" x14ac:dyDescent="0.35"/>
    <row r="190" customFormat="1" ht="14.25" customHeight="1" x14ac:dyDescent="0.35"/>
    <row r="191" customFormat="1" ht="14.25" customHeight="1" x14ac:dyDescent="0.35"/>
    <row r="192" customFormat="1" ht="14.25" customHeight="1" x14ac:dyDescent="0.35"/>
    <row r="193" customFormat="1" ht="14.25" customHeight="1" x14ac:dyDescent="0.35"/>
    <row r="194" customFormat="1" ht="14.25" customHeight="1" x14ac:dyDescent="0.35"/>
    <row r="195" customFormat="1" ht="14.25" customHeight="1" x14ac:dyDescent="0.35"/>
    <row r="196" customFormat="1" ht="14.25" customHeight="1" x14ac:dyDescent="0.35"/>
    <row r="197" customFormat="1" ht="14.25" customHeight="1" x14ac:dyDescent="0.35"/>
    <row r="198" customFormat="1" ht="14.25" customHeight="1" x14ac:dyDescent="0.35"/>
    <row r="199" customFormat="1" ht="14.25" customHeight="1" x14ac:dyDescent="0.35"/>
    <row r="200" customFormat="1" ht="14.25" customHeight="1" x14ac:dyDescent="0.35"/>
    <row r="201" customFormat="1" ht="14.25" customHeight="1" x14ac:dyDescent="0.35"/>
    <row r="202" customFormat="1" ht="14.25" customHeight="1" x14ac:dyDescent="0.35"/>
    <row r="203" customFormat="1" ht="14.25" customHeight="1" x14ac:dyDescent="0.35"/>
    <row r="204" customFormat="1" ht="14.25" customHeight="1" x14ac:dyDescent="0.35"/>
    <row r="205" customFormat="1" ht="14.25" customHeight="1" x14ac:dyDescent="0.35"/>
    <row r="206" customFormat="1" ht="14.25" customHeight="1" x14ac:dyDescent="0.35"/>
    <row r="207" customFormat="1" ht="14.25" customHeight="1" x14ac:dyDescent="0.35"/>
    <row r="208" customFormat="1" ht="14.25" customHeight="1" x14ac:dyDescent="0.35"/>
    <row r="209" customFormat="1" ht="14.25" customHeight="1" x14ac:dyDescent="0.35"/>
    <row r="210" customFormat="1" ht="14.25" customHeight="1" x14ac:dyDescent="0.35"/>
    <row r="211" customFormat="1" ht="14.25" customHeight="1" x14ac:dyDescent="0.35"/>
    <row r="212" customFormat="1" ht="14.25" customHeight="1" x14ac:dyDescent="0.35"/>
    <row r="213" customFormat="1" ht="14.25" customHeight="1" x14ac:dyDescent="0.35"/>
    <row r="214" customFormat="1" ht="14.25" customHeight="1" x14ac:dyDescent="0.35"/>
    <row r="215" customFormat="1" ht="14.25" customHeight="1" x14ac:dyDescent="0.35"/>
    <row r="216" customFormat="1" ht="14.25" customHeight="1" x14ac:dyDescent="0.35"/>
    <row r="217" customFormat="1" ht="14.25" customHeight="1" x14ac:dyDescent="0.35"/>
    <row r="218" customFormat="1" ht="14.25" customHeight="1" x14ac:dyDescent="0.35"/>
    <row r="219" customFormat="1" ht="14.25" customHeight="1" x14ac:dyDescent="0.35"/>
    <row r="220" customFormat="1" ht="14.25" customHeight="1" x14ac:dyDescent="0.35"/>
    <row r="221" customFormat="1" ht="14.25" customHeight="1" x14ac:dyDescent="0.35"/>
    <row r="222" customFormat="1" ht="14.25" customHeight="1" x14ac:dyDescent="0.35"/>
    <row r="223" customFormat="1" ht="14.25" customHeight="1" x14ac:dyDescent="0.35"/>
    <row r="224" customFormat="1" ht="14.25" customHeight="1" x14ac:dyDescent="0.35"/>
    <row r="225" customFormat="1" ht="14.25" customHeight="1" x14ac:dyDescent="0.35"/>
    <row r="226" customFormat="1" ht="14.25" customHeight="1" x14ac:dyDescent="0.35"/>
    <row r="227" customFormat="1" ht="14.25" customHeight="1" x14ac:dyDescent="0.35"/>
    <row r="228" customFormat="1" ht="14.25" customHeight="1" x14ac:dyDescent="0.35"/>
    <row r="229" customFormat="1" ht="14.25" customHeight="1" x14ac:dyDescent="0.35"/>
    <row r="230" customFormat="1" ht="14.25" customHeight="1" x14ac:dyDescent="0.35"/>
    <row r="231" customFormat="1" ht="14.25" customHeight="1" x14ac:dyDescent="0.35"/>
    <row r="232" customFormat="1" ht="14.25" customHeight="1" x14ac:dyDescent="0.35"/>
    <row r="233" customFormat="1" ht="14.25" customHeight="1" x14ac:dyDescent="0.35"/>
    <row r="234" customFormat="1" ht="14.25" customHeight="1" x14ac:dyDescent="0.35"/>
    <row r="235" customFormat="1" ht="14.25" customHeight="1" x14ac:dyDescent="0.35"/>
    <row r="236" customFormat="1" ht="14.25" customHeight="1" x14ac:dyDescent="0.35"/>
    <row r="237" customFormat="1" ht="14.25" customHeight="1" x14ac:dyDescent="0.35"/>
    <row r="238" customFormat="1" ht="14.25" customHeight="1" x14ac:dyDescent="0.35"/>
    <row r="239" customFormat="1" ht="14.25" customHeight="1" x14ac:dyDescent="0.35"/>
    <row r="240" customFormat="1" ht="14.25" customHeight="1" x14ac:dyDescent="0.35"/>
    <row r="241" customFormat="1" ht="14.25" customHeight="1" x14ac:dyDescent="0.35"/>
    <row r="242" customFormat="1" ht="14.25" customHeight="1" x14ac:dyDescent="0.35"/>
    <row r="243" customFormat="1" ht="14.25" customHeight="1" x14ac:dyDescent="0.35"/>
    <row r="244" customFormat="1" ht="14.25" customHeight="1" x14ac:dyDescent="0.35"/>
    <row r="245" customFormat="1" ht="14.25" customHeight="1" x14ac:dyDescent="0.35"/>
    <row r="246" customFormat="1" ht="14.25" customHeight="1" x14ac:dyDescent="0.35"/>
    <row r="247" customFormat="1" ht="14.25" customHeight="1" x14ac:dyDescent="0.35"/>
    <row r="248" customFormat="1" ht="14.25" customHeight="1" x14ac:dyDescent="0.35"/>
    <row r="249" customFormat="1" ht="14.25" customHeight="1" x14ac:dyDescent="0.35"/>
    <row r="250" customFormat="1" ht="14.25" customHeight="1" x14ac:dyDescent="0.35"/>
    <row r="251" customFormat="1" ht="14.25" customHeight="1" x14ac:dyDescent="0.35"/>
    <row r="252" customFormat="1" ht="14.25" customHeight="1" x14ac:dyDescent="0.35"/>
    <row r="253" customFormat="1" ht="14.25" customHeight="1" x14ac:dyDescent="0.35"/>
    <row r="254" customFormat="1" ht="14.25" customHeight="1" x14ac:dyDescent="0.35"/>
    <row r="255" customFormat="1" ht="14.25" customHeight="1" x14ac:dyDescent="0.35"/>
    <row r="256" customFormat="1" ht="14.25" customHeight="1" x14ac:dyDescent="0.35"/>
    <row r="257" customFormat="1" ht="14.25" customHeight="1" x14ac:dyDescent="0.35"/>
    <row r="258" customFormat="1" ht="14.25" customHeight="1" x14ac:dyDescent="0.35"/>
    <row r="259" customFormat="1" ht="14.25" customHeight="1" x14ac:dyDescent="0.35"/>
    <row r="260" customFormat="1" ht="14.25" customHeight="1" x14ac:dyDescent="0.35"/>
    <row r="261" customFormat="1" ht="14.25" customHeight="1" x14ac:dyDescent="0.35"/>
    <row r="262" customFormat="1" ht="14.25" customHeight="1" x14ac:dyDescent="0.35"/>
    <row r="263" customFormat="1" ht="14.25" customHeight="1" x14ac:dyDescent="0.35"/>
    <row r="264" customFormat="1" ht="14.25" customHeight="1" x14ac:dyDescent="0.35"/>
    <row r="265" customFormat="1" ht="14.25" customHeight="1" x14ac:dyDescent="0.35"/>
    <row r="266" customFormat="1" ht="14.25" customHeight="1" x14ac:dyDescent="0.35"/>
    <row r="267" customFormat="1" ht="14.25" customHeight="1" x14ac:dyDescent="0.35"/>
    <row r="268" customFormat="1" ht="14.25" customHeight="1" x14ac:dyDescent="0.35"/>
    <row r="269" customFormat="1" ht="14.25" customHeight="1" x14ac:dyDescent="0.35"/>
    <row r="270" customFormat="1" ht="14.25" customHeight="1" x14ac:dyDescent="0.35"/>
    <row r="271" customFormat="1" ht="14.25" customHeight="1" x14ac:dyDescent="0.35"/>
    <row r="272" customFormat="1" ht="14.25" customHeight="1" x14ac:dyDescent="0.35"/>
    <row r="273" customFormat="1" ht="14.25" customHeight="1" x14ac:dyDescent="0.35"/>
    <row r="274" customFormat="1" ht="14.25" customHeight="1" x14ac:dyDescent="0.35"/>
    <row r="275" customFormat="1" ht="14.25" customHeight="1" x14ac:dyDescent="0.35"/>
    <row r="276" customFormat="1" ht="14.25" customHeight="1" x14ac:dyDescent="0.35"/>
    <row r="277" customFormat="1" ht="14.25" customHeight="1" x14ac:dyDescent="0.35"/>
    <row r="278" customFormat="1" ht="14.25" customHeight="1" x14ac:dyDescent="0.35"/>
    <row r="279" customFormat="1" ht="14.25" customHeight="1" x14ac:dyDescent="0.35"/>
    <row r="280" customFormat="1" ht="14.25" customHeight="1" x14ac:dyDescent="0.35"/>
    <row r="281" customFormat="1" ht="14.25" customHeight="1" x14ac:dyDescent="0.35"/>
    <row r="282" customFormat="1" ht="14.25" customHeight="1" x14ac:dyDescent="0.35"/>
    <row r="283" customFormat="1" ht="14.25" customHeight="1" x14ac:dyDescent="0.35"/>
    <row r="284" customFormat="1" ht="14.25" customHeight="1" x14ac:dyDescent="0.35"/>
    <row r="285" customFormat="1" ht="14.25" customHeight="1" x14ac:dyDescent="0.35"/>
    <row r="286" customFormat="1" ht="14.25" customHeight="1" x14ac:dyDescent="0.35"/>
    <row r="287" customFormat="1" ht="14.25" customHeight="1" x14ac:dyDescent="0.35"/>
    <row r="288" customFormat="1" ht="14.25" customHeight="1" x14ac:dyDescent="0.35"/>
    <row r="289" customFormat="1" ht="14.25" customHeight="1" x14ac:dyDescent="0.35"/>
    <row r="290" customFormat="1" ht="14.25" customHeight="1" x14ac:dyDescent="0.35"/>
    <row r="291" customFormat="1" ht="14.25" customHeight="1" x14ac:dyDescent="0.35"/>
    <row r="292" customFormat="1" ht="14.25" customHeight="1" x14ac:dyDescent="0.35"/>
    <row r="293" customFormat="1" ht="14.25" customHeight="1" x14ac:dyDescent="0.35"/>
    <row r="294" customFormat="1" ht="14.25" customHeight="1" x14ac:dyDescent="0.35"/>
    <row r="295" customFormat="1" ht="14.25" customHeight="1" x14ac:dyDescent="0.35"/>
    <row r="296" customFormat="1" ht="14.25" customHeight="1" x14ac:dyDescent="0.35"/>
    <row r="297" customFormat="1" ht="14.25" customHeight="1" x14ac:dyDescent="0.35"/>
    <row r="298" customFormat="1" ht="14.25" customHeight="1" x14ac:dyDescent="0.35"/>
    <row r="299" customFormat="1" ht="14.25" customHeight="1" x14ac:dyDescent="0.35"/>
    <row r="300" customFormat="1" ht="14.25" customHeight="1" x14ac:dyDescent="0.35"/>
    <row r="301" customFormat="1" ht="14.25" customHeight="1" x14ac:dyDescent="0.35"/>
    <row r="302" customFormat="1" ht="14.25" customHeight="1" x14ac:dyDescent="0.35"/>
    <row r="303" customFormat="1" ht="14.25" customHeight="1" x14ac:dyDescent="0.35"/>
    <row r="304" customFormat="1" ht="14.25" customHeight="1" x14ac:dyDescent="0.35"/>
    <row r="305" customFormat="1" ht="14.25" customHeight="1" x14ac:dyDescent="0.35"/>
    <row r="306" customFormat="1" ht="14.25" customHeight="1" x14ac:dyDescent="0.35"/>
    <row r="307" customFormat="1" ht="14.25" customHeight="1" x14ac:dyDescent="0.35"/>
    <row r="308" customFormat="1" ht="14.25" customHeight="1" x14ac:dyDescent="0.35"/>
    <row r="309" customFormat="1" ht="14.25" customHeight="1" x14ac:dyDescent="0.35"/>
    <row r="310" customFormat="1" ht="14.25" customHeight="1" x14ac:dyDescent="0.35"/>
    <row r="311" customFormat="1" ht="14.25" customHeight="1" x14ac:dyDescent="0.35"/>
    <row r="312" customFormat="1" ht="14.25" customHeight="1" x14ac:dyDescent="0.35"/>
    <row r="313" customFormat="1" ht="14.25" customHeight="1" x14ac:dyDescent="0.35"/>
    <row r="314" customFormat="1" ht="14.25" customHeight="1" x14ac:dyDescent="0.35"/>
    <row r="315" customFormat="1" ht="14.25" customHeight="1" x14ac:dyDescent="0.35"/>
    <row r="316" customFormat="1" ht="14.25" customHeight="1" x14ac:dyDescent="0.35"/>
    <row r="317" customFormat="1" ht="14.25" customHeight="1" x14ac:dyDescent="0.35"/>
    <row r="318" customFormat="1" ht="14.25" customHeight="1" x14ac:dyDescent="0.35"/>
    <row r="319" customFormat="1" ht="14.25" customHeight="1" x14ac:dyDescent="0.35"/>
    <row r="320" customFormat="1" ht="14.25" customHeight="1" x14ac:dyDescent="0.35"/>
    <row r="321" customFormat="1" ht="14.25" customHeight="1" x14ac:dyDescent="0.35"/>
    <row r="322" customFormat="1" ht="14.25" customHeight="1" x14ac:dyDescent="0.35"/>
    <row r="323" customFormat="1" ht="14.25" customHeight="1" x14ac:dyDescent="0.35"/>
    <row r="324" customFormat="1" ht="14.25" customHeight="1" x14ac:dyDescent="0.35"/>
    <row r="325" customFormat="1" ht="14.25" customHeight="1" x14ac:dyDescent="0.35"/>
    <row r="326" customFormat="1" ht="14.25" customHeight="1" x14ac:dyDescent="0.35"/>
    <row r="327" customFormat="1" ht="14.25" customHeight="1" x14ac:dyDescent="0.35"/>
    <row r="328" customFormat="1" ht="14.25" customHeight="1" x14ac:dyDescent="0.35"/>
    <row r="329" customFormat="1" ht="14.25" customHeight="1" x14ac:dyDescent="0.35"/>
    <row r="330" customFormat="1" ht="14.25" customHeight="1" x14ac:dyDescent="0.35"/>
    <row r="331" customFormat="1" ht="14.25" customHeight="1" x14ac:dyDescent="0.35"/>
    <row r="332" customFormat="1" ht="14.25" customHeight="1" x14ac:dyDescent="0.35"/>
    <row r="333" customFormat="1" ht="14.25" customHeight="1" x14ac:dyDescent="0.35"/>
    <row r="334" customFormat="1" ht="14.25" customHeight="1" x14ac:dyDescent="0.35"/>
    <row r="335" customFormat="1" ht="14.25" customHeight="1" x14ac:dyDescent="0.35"/>
    <row r="336" customFormat="1" ht="14.25" customHeight="1" x14ac:dyDescent="0.35"/>
    <row r="337" customFormat="1" ht="14.25" customHeight="1" x14ac:dyDescent="0.35"/>
    <row r="338" customFormat="1" ht="14.25" customHeight="1" x14ac:dyDescent="0.35"/>
    <row r="339" customFormat="1" ht="14.25" customHeight="1" x14ac:dyDescent="0.35"/>
    <row r="340" customFormat="1" ht="14.25" customHeight="1" x14ac:dyDescent="0.35"/>
    <row r="341" customFormat="1" ht="14.25" customHeight="1" x14ac:dyDescent="0.35"/>
    <row r="342" customFormat="1" ht="14.25" customHeight="1" x14ac:dyDescent="0.35"/>
    <row r="343" customFormat="1" ht="14.25" customHeight="1" x14ac:dyDescent="0.35"/>
    <row r="344" customFormat="1" ht="14.25" customHeight="1" x14ac:dyDescent="0.35"/>
    <row r="345" customFormat="1" ht="14.25" customHeight="1" x14ac:dyDescent="0.35"/>
    <row r="346" customFormat="1" ht="14.25" customHeight="1" x14ac:dyDescent="0.35"/>
    <row r="347" customFormat="1" ht="14.25" customHeight="1" x14ac:dyDescent="0.35"/>
    <row r="348" customFormat="1" ht="14.25" customHeight="1" x14ac:dyDescent="0.35"/>
    <row r="349" customFormat="1" ht="14.25" customHeight="1" x14ac:dyDescent="0.35"/>
    <row r="350" customFormat="1" ht="14.25" customHeight="1" x14ac:dyDescent="0.35"/>
    <row r="351" customFormat="1" ht="14.25" customHeight="1" x14ac:dyDescent="0.35"/>
    <row r="352" customFormat="1" ht="14.25" customHeight="1" x14ac:dyDescent="0.35"/>
    <row r="353" customFormat="1" ht="14.25" customHeight="1" x14ac:dyDescent="0.35"/>
    <row r="354" customFormat="1" ht="14.25" customHeight="1" x14ac:dyDescent="0.35"/>
    <row r="355" customFormat="1" ht="14.25" customHeight="1" x14ac:dyDescent="0.35"/>
    <row r="356" customFormat="1" ht="14.25" customHeight="1" x14ac:dyDescent="0.35"/>
    <row r="357" customFormat="1" ht="14.25" customHeight="1" x14ac:dyDescent="0.35"/>
    <row r="358" customFormat="1" ht="14.25" customHeight="1" x14ac:dyDescent="0.35"/>
    <row r="359" customFormat="1" ht="14.25" customHeight="1" x14ac:dyDescent="0.35"/>
    <row r="360" customFormat="1" ht="14.25" customHeight="1" x14ac:dyDescent="0.35"/>
    <row r="361" customFormat="1" ht="14.25" customHeight="1" x14ac:dyDescent="0.35"/>
    <row r="362" customFormat="1" ht="14.25" customHeight="1" x14ac:dyDescent="0.35"/>
    <row r="363" customFormat="1" ht="14.25" customHeight="1" x14ac:dyDescent="0.35"/>
    <row r="364" customFormat="1" ht="14.25" customHeight="1" x14ac:dyDescent="0.35"/>
    <row r="365" customFormat="1" ht="14.25" customHeight="1" x14ac:dyDescent="0.35"/>
    <row r="366" customFormat="1" ht="14.25" customHeight="1" x14ac:dyDescent="0.35"/>
    <row r="367" customFormat="1" ht="14.25" customHeight="1" x14ac:dyDescent="0.35"/>
    <row r="368" customFormat="1" ht="14.25" customHeight="1" x14ac:dyDescent="0.35"/>
    <row r="369" customFormat="1" ht="14.25" customHeight="1" x14ac:dyDescent="0.35"/>
    <row r="370" customFormat="1" ht="14.25" customHeight="1" x14ac:dyDescent="0.35"/>
    <row r="371" customFormat="1" ht="14.25" customHeight="1" x14ac:dyDescent="0.35"/>
    <row r="372" customFormat="1" ht="14.25" customHeight="1" x14ac:dyDescent="0.35"/>
    <row r="373" customFormat="1" ht="14.25" customHeight="1" x14ac:dyDescent="0.35"/>
    <row r="374" customFormat="1" ht="14.25" customHeight="1" x14ac:dyDescent="0.35"/>
    <row r="375" customFormat="1" ht="14.25" customHeight="1" x14ac:dyDescent="0.35"/>
    <row r="376" customFormat="1" ht="14.25" customHeight="1" x14ac:dyDescent="0.35"/>
    <row r="377" customFormat="1" ht="14.25" customHeight="1" x14ac:dyDescent="0.35"/>
    <row r="378" customFormat="1" ht="14.25" customHeight="1" x14ac:dyDescent="0.35"/>
    <row r="379" customFormat="1" ht="14.25" customHeight="1" x14ac:dyDescent="0.35"/>
    <row r="380" customFormat="1" ht="14.25" customHeight="1" x14ac:dyDescent="0.35"/>
    <row r="381" customFormat="1" ht="14.25" customHeight="1" x14ac:dyDescent="0.35"/>
    <row r="382" customFormat="1" ht="14.25" customHeight="1" x14ac:dyDescent="0.35"/>
    <row r="383" customFormat="1" ht="14.25" customHeight="1" x14ac:dyDescent="0.35"/>
    <row r="384" customFormat="1" ht="14.25" customHeight="1" x14ac:dyDescent="0.35"/>
    <row r="385" customFormat="1" ht="14.25" customHeight="1" x14ac:dyDescent="0.35"/>
    <row r="386" customFormat="1" ht="14.25" customHeight="1" x14ac:dyDescent="0.35"/>
    <row r="387" customFormat="1" ht="14.25" customHeight="1" x14ac:dyDescent="0.35"/>
    <row r="388" customFormat="1" ht="14.25" customHeight="1" x14ac:dyDescent="0.35"/>
    <row r="389" customFormat="1" ht="14.25" customHeight="1" x14ac:dyDescent="0.35"/>
    <row r="390" customFormat="1" ht="14.25" customHeight="1" x14ac:dyDescent="0.35"/>
    <row r="391" customFormat="1" ht="14.25" customHeight="1" x14ac:dyDescent="0.35"/>
    <row r="392" customFormat="1" ht="14.25" customHeight="1" x14ac:dyDescent="0.35"/>
    <row r="393" customFormat="1" ht="14.25" customHeight="1" x14ac:dyDescent="0.35"/>
    <row r="394" customFormat="1" ht="14.25" customHeight="1" x14ac:dyDescent="0.35"/>
    <row r="395" customFormat="1" ht="14.25" customHeight="1" x14ac:dyDescent="0.35"/>
    <row r="396" customFormat="1" ht="14.25" customHeight="1" x14ac:dyDescent="0.35"/>
    <row r="397" customFormat="1" ht="14.25" customHeight="1" x14ac:dyDescent="0.35"/>
    <row r="398" customFormat="1" ht="14.25" customHeight="1" x14ac:dyDescent="0.35"/>
    <row r="399" customFormat="1" ht="14.25" customHeight="1" x14ac:dyDescent="0.35"/>
    <row r="400" customFormat="1" ht="14.25" customHeight="1" x14ac:dyDescent="0.35"/>
    <row r="401" customFormat="1" ht="14.25" customHeight="1" x14ac:dyDescent="0.35"/>
    <row r="402" customFormat="1" ht="14.25" customHeight="1" x14ac:dyDescent="0.35"/>
    <row r="403" customFormat="1" ht="14.25" customHeight="1" x14ac:dyDescent="0.35"/>
    <row r="404" customFormat="1" ht="14.25" customHeight="1" x14ac:dyDescent="0.35"/>
    <row r="405" customFormat="1" ht="14.25" customHeight="1" x14ac:dyDescent="0.35"/>
    <row r="406" customFormat="1" ht="14.25" customHeight="1" x14ac:dyDescent="0.35"/>
    <row r="407" customFormat="1" ht="14.25" customHeight="1" x14ac:dyDescent="0.35"/>
    <row r="408" customFormat="1" ht="14.25" customHeight="1" x14ac:dyDescent="0.35"/>
    <row r="409" customFormat="1" ht="14.25" customHeight="1" x14ac:dyDescent="0.35"/>
    <row r="410" customFormat="1" ht="14.25" customHeight="1" x14ac:dyDescent="0.35"/>
    <row r="411" customFormat="1" ht="14.25" customHeight="1" x14ac:dyDescent="0.35"/>
    <row r="412" customFormat="1" ht="14.25" customHeight="1" x14ac:dyDescent="0.35"/>
    <row r="413" customFormat="1" ht="14.25" customHeight="1" x14ac:dyDescent="0.35"/>
    <row r="414" customFormat="1" ht="14.25" customHeight="1" x14ac:dyDescent="0.35"/>
    <row r="415" customFormat="1" ht="14.25" customHeight="1" x14ac:dyDescent="0.35"/>
    <row r="416" customFormat="1" ht="14.25" customHeight="1" x14ac:dyDescent="0.35"/>
    <row r="417" customFormat="1" ht="14.25" customHeight="1" x14ac:dyDescent="0.35"/>
    <row r="418" customFormat="1" ht="14.25" customHeight="1" x14ac:dyDescent="0.35"/>
    <row r="419" customFormat="1" ht="14.25" customHeight="1" x14ac:dyDescent="0.35"/>
    <row r="420" customFormat="1" ht="14.25" customHeight="1" x14ac:dyDescent="0.35"/>
    <row r="421" customFormat="1" ht="14.25" customHeight="1" x14ac:dyDescent="0.35"/>
    <row r="422" customFormat="1" ht="14.25" customHeight="1" x14ac:dyDescent="0.35"/>
    <row r="423" customFormat="1" ht="14.25" customHeight="1" x14ac:dyDescent="0.35"/>
    <row r="424" customFormat="1" ht="14.25" customHeight="1" x14ac:dyDescent="0.35"/>
    <row r="425" customFormat="1" ht="14.25" customHeight="1" x14ac:dyDescent="0.35"/>
    <row r="426" customFormat="1" ht="14.25" customHeight="1" x14ac:dyDescent="0.35"/>
    <row r="427" customFormat="1" ht="14.25" customHeight="1" x14ac:dyDescent="0.35"/>
    <row r="428" customFormat="1" ht="14.25" customHeight="1" x14ac:dyDescent="0.35"/>
    <row r="429" customFormat="1" ht="14.25" customHeight="1" x14ac:dyDescent="0.35"/>
    <row r="430" customFormat="1" ht="14.25" customHeight="1" x14ac:dyDescent="0.35"/>
    <row r="431" customFormat="1" ht="14.25" customHeight="1" x14ac:dyDescent="0.35"/>
    <row r="432" customFormat="1" ht="14.25" customHeight="1" x14ac:dyDescent="0.35"/>
    <row r="433" customFormat="1" ht="14.25" customHeight="1" x14ac:dyDescent="0.35"/>
    <row r="434" customFormat="1" ht="14.25" customHeight="1" x14ac:dyDescent="0.35"/>
    <row r="435" customFormat="1" ht="14.25" customHeight="1" x14ac:dyDescent="0.35"/>
    <row r="436" customFormat="1" ht="14.25" customHeight="1" x14ac:dyDescent="0.35"/>
    <row r="437" customFormat="1" ht="14.25" customHeight="1" x14ac:dyDescent="0.35"/>
    <row r="438" customFormat="1" ht="14.25" customHeight="1" x14ac:dyDescent="0.35"/>
    <row r="439" customFormat="1" ht="14.25" customHeight="1" x14ac:dyDescent="0.35"/>
    <row r="440" customFormat="1" ht="14.25" customHeight="1" x14ac:dyDescent="0.35"/>
    <row r="441" customFormat="1" ht="14.25" customHeight="1" x14ac:dyDescent="0.35"/>
    <row r="442" customFormat="1" ht="14.25" customHeight="1" x14ac:dyDescent="0.35"/>
    <row r="443" customFormat="1" ht="14.25" customHeight="1" x14ac:dyDescent="0.35"/>
    <row r="444" customFormat="1" ht="14.25" customHeight="1" x14ac:dyDescent="0.35"/>
    <row r="445" customFormat="1" ht="14.25" customHeight="1" x14ac:dyDescent="0.35"/>
    <row r="446" customFormat="1" ht="14.25" customHeight="1" x14ac:dyDescent="0.35"/>
    <row r="447" customFormat="1" ht="14.25" customHeight="1" x14ac:dyDescent="0.35"/>
    <row r="448" customFormat="1" ht="14.25" customHeight="1" x14ac:dyDescent="0.35"/>
    <row r="449" customFormat="1" ht="14.25" customHeight="1" x14ac:dyDescent="0.35"/>
    <row r="450" customFormat="1" ht="14.25" customHeight="1" x14ac:dyDescent="0.35"/>
    <row r="451" customFormat="1" ht="14.25" customHeight="1" x14ac:dyDescent="0.35"/>
    <row r="452" customFormat="1" ht="14.25" customHeight="1" x14ac:dyDescent="0.35"/>
    <row r="453" customFormat="1" ht="14.25" customHeight="1" x14ac:dyDescent="0.35"/>
    <row r="454" customFormat="1" ht="14.25" customHeight="1" x14ac:dyDescent="0.35"/>
    <row r="455" customFormat="1" ht="14.25" customHeight="1" x14ac:dyDescent="0.35"/>
    <row r="456" customFormat="1" ht="14.25" customHeight="1" x14ac:dyDescent="0.35"/>
    <row r="457" customFormat="1" ht="14.25" customHeight="1" x14ac:dyDescent="0.35"/>
    <row r="458" customFormat="1" ht="14.25" customHeight="1" x14ac:dyDescent="0.35"/>
    <row r="459" customFormat="1" ht="14.25" customHeight="1" x14ac:dyDescent="0.35"/>
    <row r="460" customFormat="1" ht="14.25" customHeight="1" x14ac:dyDescent="0.35"/>
    <row r="461" customFormat="1" ht="14.25" customHeight="1" x14ac:dyDescent="0.35"/>
    <row r="462" customFormat="1" ht="14.25" customHeight="1" x14ac:dyDescent="0.35"/>
    <row r="463" customFormat="1" ht="14.25" customHeight="1" x14ac:dyDescent="0.35"/>
    <row r="464" customFormat="1" ht="14.25" customHeight="1" x14ac:dyDescent="0.35"/>
    <row r="465" customFormat="1" ht="14.25" customHeight="1" x14ac:dyDescent="0.35"/>
    <row r="466" customFormat="1" ht="14.25" customHeight="1" x14ac:dyDescent="0.35"/>
    <row r="467" customFormat="1" ht="14.25" customHeight="1" x14ac:dyDescent="0.35"/>
    <row r="468" customFormat="1" ht="14.25" customHeight="1" x14ac:dyDescent="0.35"/>
    <row r="469" customFormat="1" ht="14.25" customHeight="1" x14ac:dyDescent="0.35"/>
    <row r="470" customFormat="1" ht="14.25" customHeight="1" x14ac:dyDescent="0.35"/>
    <row r="471" customFormat="1" ht="14.25" customHeight="1" x14ac:dyDescent="0.35"/>
    <row r="472" customFormat="1" ht="14.25" customHeight="1" x14ac:dyDescent="0.35"/>
    <row r="473" customFormat="1" ht="14.25" customHeight="1" x14ac:dyDescent="0.35"/>
    <row r="474" customFormat="1" ht="14.25" customHeight="1" x14ac:dyDescent="0.35"/>
    <row r="475" customFormat="1" ht="14.25" customHeight="1" x14ac:dyDescent="0.35"/>
    <row r="476" customFormat="1" ht="14.25" customHeight="1" x14ac:dyDescent="0.35"/>
    <row r="477" customFormat="1" ht="14.25" customHeight="1" x14ac:dyDescent="0.35"/>
    <row r="478" customFormat="1" ht="14.25" customHeight="1" x14ac:dyDescent="0.35"/>
    <row r="479" customFormat="1" ht="14.25" customHeight="1" x14ac:dyDescent="0.35"/>
    <row r="480" customFormat="1" ht="14.25" customHeight="1" x14ac:dyDescent="0.35"/>
    <row r="481" customFormat="1" ht="14.25" customHeight="1" x14ac:dyDescent="0.35"/>
    <row r="482" customFormat="1" ht="14.25" customHeight="1" x14ac:dyDescent="0.35"/>
    <row r="483" customFormat="1" ht="14.25" customHeight="1" x14ac:dyDescent="0.35"/>
    <row r="484" customFormat="1" ht="14.25" customHeight="1" x14ac:dyDescent="0.35"/>
    <row r="485" customFormat="1" ht="14.25" customHeight="1" x14ac:dyDescent="0.35"/>
    <row r="486" customFormat="1" ht="14.25" customHeight="1" x14ac:dyDescent="0.35"/>
    <row r="487" customFormat="1" ht="14.25" customHeight="1" x14ac:dyDescent="0.35"/>
    <row r="488" customFormat="1" ht="14.25" customHeight="1" x14ac:dyDescent="0.35"/>
    <row r="489" customFormat="1" ht="14.25" customHeight="1" x14ac:dyDescent="0.35"/>
    <row r="490" customFormat="1" ht="14.25" customHeight="1" x14ac:dyDescent="0.35"/>
    <row r="491" customFormat="1" ht="14.25" customHeight="1" x14ac:dyDescent="0.35"/>
    <row r="492" customFormat="1" ht="14.25" customHeight="1" x14ac:dyDescent="0.35"/>
    <row r="493" customFormat="1" ht="14.25" customHeight="1" x14ac:dyDescent="0.35"/>
    <row r="494" customFormat="1" ht="14.25" customHeight="1" x14ac:dyDescent="0.35"/>
    <row r="495" customFormat="1" ht="14.25" customHeight="1" x14ac:dyDescent="0.35"/>
    <row r="496" customFormat="1" ht="14.25" customHeight="1" x14ac:dyDescent="0.35"/>
    <row r="497" customFormat="1" ht="14.25" customHeight="1" x14ac:dyDescent="0.35"/>
    <row r="498" customFormat="1" ht="14.25" customHeight="1" x14ac:dyDescent="0.35"/>
    <row r="499" customFormat="1" ht="14.25" customHeight="1" x14ac:dyDescent="0.35"/>
    <row r="500" customFormat="1" ht="14.25" customHeight="1" x14ac:dyDescent="0.35"/>
    <row r="501" customFormat="1" ht="14.25" customHeight="1" x14ac:dyDescent="0.35"/>
    <row r="502" customFormat="1" ht="14.25" customHeight="1" x14ac:dyDescent="0.35"/>
    <row r="503" customFormat="1" ht="14.25" customHeight="1" x14ac:dyDescent="0.35"/>
    <row r="504" customFormat="1" ht="14.25" customHeight="1" x14ac:dyDescent="0.35"/>
    <row r="505" customFormat="1" ht="14.25" customHeight="1" x14ac:dyDescent="0.35"/>
    <row r="506" customFormat="1" ht="14.25" customHeight="1" x14ac:dyDescent="0.35"/>
    <row r="507" customFormat="1" ht="14.25" customHeight="1" x14ac:dyDescent="0.35"/>
    <row r="508" customFormat="1" ht="14.25" customHeight="1" x14ac:dyDescent="0.35"/>
    <row r="509" customFormat="1" ht="14.25" customHeight="1" x14ac:dyDescent="0.35"/>
    <row r="510" customFormat="1" ht="14.25" customHeight="1" x14ac:dyDescent="0.35"/>
    <row r="511" customFormat="1" ht="14.25" customHeight="1" x14ac:dyDescent="0.35"/>
    <row r="512" customFormat="1" ht="14.25" customHeight="1" x14ac:dyDescent="0.35"/>
    <row r="513" customFormat="1" ht="14.25" customHeight="1" x14ac:dyDescent="0.35"/>
    <row r="514" customFormat="1" ht="14.25" customHeight="1" x14ac:dyDescent="0.35"/>
    <row r="515" customFormat="1" ht="14.25" customHeight="1" x14ac:dyDescent="0.35"/>
    <row r="516" customFormat="1" ht="14.25" customHeight="1" x14ac:dyDescent="0.35"/>
    <row r="517" customFormat="1" ht="14.25" customHeight="1" x14ac:dyDescent="0.35"/>
    <row r="518" customFormat="1" ht="14.25" customHeight="1" x14ac:dyDescent="0.35"/>
    <row r="519" customFormat="1" ht="14.25" customHeight="1" x14ac:dyDescent="0.35"/>
    <row r="520" customFormat="1" ht="14.25" customHeight="1" x14ac:dyDescent="0.35"/>
    <row r="521" customFormat="1" ht="14.25" customHeight="1" x14ac:dyDescent="0.35"/>
    <row r="522" customFormat="1" ht="14.25" customHeight="1" x14ac:dyDescent="0.35"/>
    <row r="523" customFormat="1" ht="14.25" customHeight="1" x14ac:dyDescent="0.35"/>
    <row r="524" customFormat="1" ht="14.25" customHeight="1" x14ac:dyDescent="0.35"/>
    <row r="525" customFormat="1" ht="14.25" customHeight="1" x14ac:dyDescent="0.35"/>
    <row r="526" customFormat="1" ht="14.25" customHeight="1" x14ac:dyDescent="0.35"/>
    <row r="527" customFormat="1" ht="14.25" customHeight="1" x14ac:dyDescent="0.35"/>
    <row r="528" customFormat="1" ht="14.25" customHeight="1" x14ac:dyDescent="0.35"/>
    <row r="529" customFormat="1" ht="14.25" customHeight="1" x14ac:dyDescent="0.35"/>
    <row r="530" customFormat="1" ht="14.25" customHeight="1" x14ac:dyDescent="0.35"/>
    <row r="531" customFormat="1" ht="14.25" customHeight="1" x14ac:dyDescent="0.35"/>
    <row r="532" customFormat="1" ht="14.25" customHeight="1" x14ac:dyDescent="0.35"/>
    <row r="533" customFormat="1" ht="14.25" customHeight="1" x14ac:dyDescent="0.35"/>
    <row r="534" customFormat="1" ht="14.25" customHeight="1" x14ac:dyDescent="0.35"/>
    <row r="535" customFormat="1" ht="14.25" customHeight="1" x14ac:dyDescent="0.35"/>
    <row r="536" customFormat="1" ht="14.25" customHeight="1" x14ac:dyDescent="0.35"/>
    <row r="537" customFormat="1" ht="14.25" customHeight="1" x14ac:dyDescent="0.35"/>
    <row r="538" customFormat="1" ht="14.25" customHeight="1" x14ac:dyDescent="0.35"/>
    <row r="539" customFormat="1" ht="14.25" customHeight="1" x14ac:dyDescent="0.35"/>
    <row r="540" customFormat="1" ht="14.25" customHeight="1" x14ac:dyDescent="0.35"/>
    <row r="541" customFormat="1" ht="14.25" customHeight="1" x14ac:dyDescent="0.35"/>
    <row r="542" customFormat="1" ht="14.25" customHeight="1" x14ac:dyDescent="0.35"/>
    <row r="543" customFormat="1" ht="14.25" customHeight="1" x14ac:dyDescent="0.35"/>
    <row r="544" customFormat="1" ht="14.25" customHeight="1" x14ac:dyDescent="0.35"/>
    <row r="545" customFormat="1" ht="14.25" customHeight="1" x14ac:dyDescent="0.35"/>
    <row r="546" customFormat="1" ht="14.25" customHeight="1" x14ac:dyDescent="0.35"/>
    <row r="547" customFormat="1" ht="14.25" customHeight="1" x14ac:dyDescent="0.35"/>
    <row r="548" customFormat="1" ht="14.25" customHeight="1" x14ac:dyDescent="0.35"/>
    <row r="549" customFormat="1" ht="14.25" customHeight="1" x14ac:dyDescent="0.35"/>
    <row r="550" customFormat="1" ht="14.25" customHeight="1" x14ac:dyDescent="0.35"/>
    <row r="551" customFormat="1" ht="14.25" customHeight="1" x14ac:dyDescent="0.35"/>
    <row r="552" customFormat="1" ht="14.25" customHeight="1" x14ac:dyDescent="0.35"/>
    <row r="553" customFormat="1" ht="14.25" customHeight="1" x14ac:dyDescent="0.35"/>
    <row r="554" customFormat="1" ht="14.25" customHeight="1" x14ac:dyDescent="0.35"/>
    <row r="555" customFormat="1" ht="14.25" customHeight="1" x14ac:dyDescent="0.35"/>
    <row r="556" customFormat="1" ht="14.25" customHeight="1" x14ac:dyDescent="0.35"/>
    <row r="557" customFormat="1" ht="14.25" customHeight="1" x14ac:dyDescent="0.35"/>
    <row r="558" customFormat="1" ht="14.25" customHeight="1" x14ac:dyDescent="0.35"/>
    <row r="559" customFormat="1" ht="14.25" customHeight="1" x14ac:dyDescent="0.35"/>
    <row r="560" customFormat="1" ht="14.25" customHeight="1" x14ac:dyDescent="0.35"/>
    <row r="561" customFormat="1" ht="14.25" customHeight="1" x14ac:dyDescent="0.35"/>
    <row r="562" customFormat="1" ht="14.25" customHeight="1" x14ac:dyDescent="0.35"/>
    <row r="563" customFormat="1" ht="14.25" customHeight="1" x14ac:dyDescent="0.35"/>
    <row r="564" customFormat="1" ht="14.25" customHeight="1" x14ac:dyDescent="0.35"/>
    <row r="565" customFormat="1" ht="14.25" customHeight="1" x14ac:dyDescent="0.35"/>
    <row r="566" customFormat="1" ht="14.25" customHeight="1" x14ac:dyDescent="0.35"/>
    <row r="567" customFormat="1" ht="14.25" customHeight="1" x14ac:dyDescent="0.35"/>
    <row r="568" customFormat="1" ht="14.25" customHeight="1" x14ac:dyDescent="0.35"/>
    <row r="569" customFormat="1" ht="14.25" customHeight="1" x14ac:dyDescent="0.35"/>
    <row r="570" customFormat="1" ht="14.25" customHeight="1" x14ac:dyDescent="0.35"/>
    <row r="571" customFormat="1" ht="14.25" customHeight="1" x14ac:dyDescent="0.35"/>
    <row r="572" customFormat="1" ht="14.25" customHeight="1" x14ac:dyDescent="0.35"/>
    <row r="573" customFormat="1" ht="14.25" customHeight="1" x14ac:dyDescent="0.35"/>
    <row r="574" customFormat="1" ht="14.25" customHeight="1" x14ac:dyDescent="0.35"/>
    <row r="575" customFormat="1" ht="14.25" customHeight="1" x14ac:dyDescent="0.35"/>
    <row r="576" customFormat="1" ht="14.25" customHeight="1" x14ac:dyDescent="0.35"/>
    <row r="577" customFormat="1" ht="14.25" customHeight="1" x14ac:dyDescent="0.35"/>
    <row r="578" customFormat="1" ht="14.25" customHeight="1" x14ac:dyDescent="0.35"/>
    <row r="579" customFormat="1" ht="14.25" customHeight="1" x14ac:dyDescent="0.35"/>
    <row r="580" customFormat="1" ht="14.25" customHeight="1" x14ac:dyDescent="0.35"/>
    <row r="581" customFormat="1" ht="14.25" customHeight="1" x14ac:dyDescent="0.35"/>
    <row r="582" customFormat="1" ht="14.25" customHeight="1" x14ac:dyDescent="0.35"/>
    <row r="583" customFormat="1" ht="14.25" customHeight="1" x14ac:dyDescent="0.35"/>
    <row r="584" customFormat="1" ht="14.25" customHeight="1" x14ac:dyDescent="0.35"/>
    <row r="585" customFormat="1" ht="14.25" customHeight="1" x14ac:dyDescent="0.35"/>
    <row r="586" customFormat="1" ht="14.25" customHeight="1" x14ac:dyDescent="0.35"/>
    <row r="587" customFormat="1" ht="14.25" customHeight="1" x14ac:dyDescent="0.35"/>
    <row r="588" customFormat="1" ht="14.25" customHeight="1" x14ac:dyDescent="0.35"/>
    <row r="589" customFormat="1" ht="14.25" customHeight="1" x14ac:dyDescent="0.35"/>
    <row r="590" customFormat="1" ht="14.25" customHeight="1" x14ac:dyDescent="0.35"/>
    <row r="591" customFormat="1" ht="14.25" customHeight="1" x14ac:dyDescent="0.35"/>
    <row r="592" customFormat="1" ht="14.25" customHeight="1" x14ac:dyDescent="0.35"/>
    <row r="593" customFormat="1" ht="14.25" customHeight="1" x14ac:dyDescent="0.35"/>
    <row r="594" customFormat="1" ht="14.25" customHeight="1" x14ac:dyDescent="0.35"/>
    <row r="595" customFormat="1" ht="14.25" customHeight="1" x14ac:dyDescent="0.35"/>
    <row r="596" customFormat="1" ht="14.25" customHeight="1" x14ac:dyDescent="0.35"/>
    <row r="597" customFormat="1" ht="14.25" customHeight="1" x14ac:dyDescent="0.35"/>
    <row r="598" customFormat="1" ht="14.25" customHeight="1" x14ac:dyDescent="0.35"/>
    <row r="599" customFormat="1" ht="14.25" customHeight="1" x14ac:dyDescent="0.35"/>
    <row r="600" customFormat="1" ht="14.25" customHeight="1" x14ac:dyDescent="0.35"/>
    <row r="601" customFormat="1" ht="14.25" customHeight="1" x14ac:dyDescent="0.35"/>
    <row r="602" customFormat="1" ht="14.25" customHeight="1" x14ac:dyDescent="0.35"/>
    <row r="603" customFormat="1" ht="14.25" customHeight="1" x14ac:dyDescent="0.35"/>
    <row r="604" customFormat="1" ht="14.25" customHeight="1" x14ac:dyDescent="0.35"/>
    <row r="605" customFormat="1" ht="14.25" customHeight="1" x14ac:dyDescent="0.35"/>
    <row r="606" customFormat="1" ht="14.25" customHeight="1" x14ac:dyDescent="0.35"/>
    <row r="607" customFormat="1" ht="14.25" customHeight="1" x14ac:dyDescent="0.35"/>
    <row r="608" customFormat="1" ht="14.25" customHeight="1" x14ac:dyDescent="0.35"/>
    <row r="609" customFormat="1" ht="14.25" customHeight="1" x14ac:dyDescent="0.35"/>
    <row r="610" customFormat="1" ht="14.25" customHeight="1" x14ac:dyDescent="0.35"/>
    <row r="611" customFormat="1" ht="14.25" customHeight="1" x14ac:dyDescent="0.35"/>
    <row r="612" customFormat="1" ht="14.25" customHeight="1" x14ac:dyDescent="0.35"/>
    <row r="613" customFormat="1" ht="14.25" customHeight="1" x14ac:dyDescent="0.35"/>
    <row r="614" customFormat="1" ht="14.25" customHeight="1" x14ac:dyDescent="0.35"/>
    <row r="615" customFormat="1" ht="14.25" customHeight="1" x14ac:dyDescent="0.35"/>
    <row r="616" customFormat="1" ht="14.25" customHeight="1" x14ac:dyDescent="0.35"/>
    <row r="617" customFormat="1" ht="14.25" customHeight="1" x14ac:dyDescent="0.35"/>
    <row r="618" customFormat="1" ht="14.25" customHeight="1" x14ac:dyDescent="0.35"/>
    <row r="619" customFormat="1" ht="14.25" customHeight="1" x14ac:dyDescent="0.35"/>
    <row r="620" customFormat="1" ht="14.25" customHeight="1" x14ac:dyDescent="0.35"/>
    <row r="621" customFormat="1" ht="14.25" customHeight="1" x14ac:dyDescent="0.35"/>
    <row r="622" customFormat="1" ht="14.25" customHeight="1" x14ac:dyDescent="0.35"/>
    <row r="623" customFormat="1" ht="14.25" customHeight="1" x14ac:dyDescent="0.35"/>
    <row r="624" customFormat="1" ht="14.25" customHeight="1" x14ac:dyDescent="0.35"/>
    <row r="625" customFormat="1" ht="14.25" customHeight="1" x14ac:dyDescent="0.35"/>
    <row r="626" customFormat="1" ht="14.25" customHeight="1" x14ac:dyDescent="0.35"/>
    <row r="627" customFormat="1" ht="14.25" customHeight="1" x14ac:dyDescent="0.35"/>
    <row r="628" customFormat="1" ht="14.25" customHeight="1" x14ac:dyDescent="0.35"/>
    <row r="629" customFormat="1" ht="14.25" customHeight="1" x14ac:dyDescent="0.35"/>
    <row r="630" customFormat="1" ht="14.25" customHeight="1" x14ac:dyDescent="0.35"/>
    <row r="631" customFormat="1" ht="14.25" customHeight="1" x14ac:dyDescent="0.35"/>
    <row r="632" customFormat="1" ht="14.25" customHeight="1" x14ac:dyDescent="0.35"/>
    <row r="633" customFormat="1" ht="14.25" customHeight="1" x14ac:dyDescent="0.35"/>
    <row r="634" customFormat="1" ht="14.25" customHeight="1" x14ac:dyDescent="0.35"/>
    <row r="635" customFormat="1" ht="14.25" customHeight="1" x14ac:dyDescent="0.35"/>
    <row r="636" customFormat="1" ht="14.25" customHeight="1" x14ac:dyDescent="0.35"/>
    <row r="637" customFormat="1" ht="14.25" customHeight="1" x14ac:dyDescent="0.35"/>
    <row r="638" customFormat="1" ht="14.25" customHeight="1" x14ac:dyDescent="0.35"/>
    <row r="639" customFormat="1" ht="14.25" customHeight="1" x14ac:dyDescent="0.35"/>
    <row r="640" customFormat="1" ht="14.25" customHeight="1" x14ac:dyDescent="0.35"/>
    <row r="641" customFormat="1" ht="14.25" customHeight="1" x14ac:dyDescent="0.35"/>
    <row r="642" customFormat="1" ht="14.25" customHeight="1" x14ac:dyDescent="0.35"/>
    <row r="643" customFormat="1" ht="14.25" customHeight="1" x14ac:dyDescent="0.35"/>
    <row r="644" customFormat="1" ht="14.25" customHeight="1" x14ac:dyDescent="0.35"/>
    <row r="645" customFormat="1" ht="14.25" customHeight="1" x14ac:dyDescent="0.35"/>
    <row r="646" customFormat="1" ht="14.25" customHeight="1" x14ac:dyDescent="0.35"/>
    <row r="647" customFormat="1" ht="14.25" customHeight="1" x14ac:dyDescent="0.35"/>
    <row r="648" customFormat="1" ht="14.25" customHeight="1" x14ac:dyDescent="0.35"/>
    <row r="649" customFormat="1" ht="14.25" customHeight="1" x14ac:dyDescent="0.35"/>
    <row r="650" customFormat="1" ht="14.25" customHeight="1" x14ac:dyDescent="0.35"/>
    <row r="651" customFormat="1" ht="14.25" customHeight="1" x14ac:dyDescent="0.35"/>
    <row r="652" customFormat="1" ht="14.25" customHeight="1" x14ac:dyDescent="0.35"/>
    <row r="653" customFormat="1" ht="14.25" customHeight="1" x14ac:dyDescent="0.35"/>
    <row r="654" customFormat="1" ht="14.25" customHeight="1" x14ac:dyDescent="0.35"/>
    <row r="655" customFormat="1" ht="14.25" customHeight="1" x14ac:dyDescent="0.35"/>
    <row r="656" customFormat="1" ht="14.25" customHeight="1" x14ac:dyDescent="0.35"/>
    <row r="657" customFormat="1" ht="14.25" customHeight="1" x14ac:dyDescent="0.35"/>
    <row r="658" customFormat="1" ht="14.25" customHeight="1" x14ac:dyDescent="0.35"/>
    <row r="659" customFormat="1" ht="14.25" customHeight="1" x14ac:dyDescent="0.35"/>
    <row r="660" customFormat="1" ht="14.25" customHeight="1" x14ac:dyDescent="0.35"/>
    <row r="661" customFormat="1" ht="14.25" customHeight="1" x14ac:dyDescent="0.35"/>
    <row r="662" customFormat="1" ht="14.25" customHeight="1" x14ac:dyDescent="0.35"/>
    <row r="663" customFormat="1" ht="14.25" customHeight="1" x14ac:dyDescent="0.35"/>
    <row r="664" customFormat="1" ht="14.25" customHeight="1" x14ac:dyDescent="0.35"/>
    <row r="665" customFormat="1" ht="14.25" customHeight="1" x14ac:dyDescent="0.35"/>
    <row r="666" customFormat="1" ht="14.25" customHeight="1" x14ac:dyDescent="0.35"/>
    <row r="667" customFormat="1" ht="14.25" customHeight="1" x14ac:dyDescent="0.35"/>
    <row r="668" customFormat="1" ht="14.25" customHeight="1" x14ac:dyDescent="0.35"/>
    <row r="669" customFormat="1" ht="14.25" customHeight="1" x14ac:dyDescent="0.35"/>
    <row r="670" customFormat="1" ht="14.25" customHeight="1" x14ac:dyDescent="0.35"/>
    <row r="671" customFormat="1" ht="14.25" customHeight="1" x14ac:dyDescent="0.35"/>
    <row r="672" customFormat="1" ht="14.25" customHeight="1" x14ac:dyDescent="0.35"/>
    <row r="673" customFormat="1" ht="14.25" customHeight="1" x14ac:dyDescent="0.35"/>
    <row r="674" customFormat="1" ht="14.25" customHeight="1" x14ac:dyDescent="0.35"/>
    <row r="675" customFormat="1" ht="14.25" customHeight="1" x14ac:dyDescent="0.35"/>
    <row r="676" customFormat="1" ht="14.25" customHeight="1" x14ac:dyDescent="0.35"/>
    <row r="677" customFormat="1" ht="14.25" customHeight="1" x14ac:dyDescent="0.35"/>
    <row r="678" customFormat="1" ht="14.25" customHeight="1" x14ac:dyDescent="0.35"/>
    <row r="679" customFormat="1" ht="14.25" customHeight="1" x14ac:dyDescent="0.35"/>
    <row r="680" customFormat="1" ht="14.25" customHeight="1" x14ac:dyDescent="0.35"/>
    <row r="681" customFormat="1" ht="14.25" customHeight="1" x14ac:dyDescent="0.35"/>
    <row r="682" customFormat="1" ht="14.25" customHeight="1" x14ac:dyDescent="0.35"/>
    <row r="683" customFormat="1" ht="14.25" customHeight="1" x14ac:dyDescent="0.35"/>
    <row r="684" customFormat="1" ht="14.25" customHeight="1" x14ac:dyDescent="0.35"/>
    <row r="685" customFormat="1" ht="14.25" customHeight="1" x14ac:dyDescent="0.35"/>
    <row r="686" customFormat="1" ht="14.25" customHeight="1" x14ac:dyDescent="0.35"/>
    <row r="687" customFormat="1" ht="14.25" customHeight="1" x14ac:dyDescent="0.35"/>
    <row r="688" customFormat="1" ht="14.25" customHeight="1" x14ac:dyDescent="0.35"/>
    <row r="689" customFormat="1" ht="14.25" customHeight="1" x14ac:dyDescent="0.35"/>
    <row r="690" customFormat="1" ht="14.25" customHeight="1" x14ac:dyDescent="0.35"/>
    <row r="691" customFormat="1" ht="14.25" customHeight="1" x14ac:dyDescent="0.35"/>
    <row r="692" customFormat="1" ht="14.25" customHeight="1" x14ac:dyDescent="0.35"/>
    <row r="693" customFormat="1" ht="14.25" customHeight="1" x14ac:dyDescent="0.35"/>
    <row r="694" customFormat="1" ht="14.25" customHeight="1" x14ac:dyDescent="0.35"/>
    <row r="695" customFormat="1" ht="14.25" customHeight="1" x14ac:dyDescent="0.35"/>
    <row r="696" customFormat="1" ht="14.25" customHeight="1" x14ac:dyDescent="0.35"/>
    <row r="697" customFormat="1" ht="14.25" customHeight="1" x14ac:dyDescent="0.35"/>
    <row r="698" customFormat="1" ht="14.25" customHeight="1" x14ac:dyDescent="0.35"/>
    <row r="699" customFormat="1" ht="14.25" customHeight="1" x14ac:dyDescent="0.35"/>
    <row r="700" customFormat="1" ht="14.25" customHeight="1" x14ac:dyDescent="0.35"/>
    <row r="701" customFormat="1" ht="14.25" customHeight="1" x14ac:dyDescent="0.35"/>
    <row r="702" customFormat="1" ht="14.25" customHeight="1" x14ac:dyDescent="0.35"/>
    <row r="703" customFormat="1" ht="14.25" customHeight="1" x14ac:dyDescent="0.35"/>
    <row r="704" customFormat="1" ht="14.25" customHeight="1" x14ac:dyDescent="0.35"/>
    <row r="705" customFormat="1" ht="14.25" customHeight="1" x14ac:dyDescent="0.35"/>
    <row r="706" customFormat="1" ht="14.25" customHeight="1" x14ac:dyDescent="0.35"/>
    <row r="707" customFormat="1" ht="14.25" customHeight="1" x14ac:dyDescent="0.35"/>
    <row r="708" customFormat="1" ht="14.25" customHeight="1" x14ac:dyDescent="0.35"/>
    <row r="709" customFormat="1" ht="14.25" customHeight="1" x14ac:dyDescent="0.35"/>
    <row r="710" customFormat="1" ht="14.25" customHeight="1" x14ac:dyDescent="0.35"/>
    <row r="711" customFormat="1" ht="14.25" customHeight="1" x14ac:dyDescent="0.35"/>
    <row r="712" customFormat="1" ht="14.25" customHeight="1" x14ac:dyDescent="0.35"/>
    <row r="713" customFormat="1" ht="14.25" customHeight="1" x14ac:dyDescent="0.35"/>
    <row r="714" customFormat="1" ht="14.25" customHeight="1" x14ac:dyDescent="0.35"/>
    <row r="715" customFormat="1" ht="14.25" customHeight="1" x14ac:dyDescent="0.35"/>
    <row r="716" customFormat="1" ht="14.25" customHeight="1" x14ac:dyDescent="0.35"/>
    <row r="717" customFormat="1" ht="14.25" customHeight="1" x14ac:dyDescent="0.35"/>
    <row r="718" customFormat="1" ht="14.25" customHeight="1" x14ac:dyDescent="0.35"/>
    <row r="719" customFormat="1" ht="14.25" customHeight="1" x14ac:dyDescent="0.35"/>
    <row r="720" customFormat="1" ht="14.25" customHeight="1" x14ac:dyDescent="0.35"/>
    <row r="721" customFormat="1" ht="14.25" customHeight="1" x14ac:dyDescent="0.35"/>
    <row r="722" customFormat="1" ht="14.25" customHeight="1" x14ac:dyDescent="0.35"/>
    <row r="723" customFormat="1" ht="14.25" customHeight="1" x14ac:dyDescent="0.35"/>
    <row r="724" customFormat="1" ht="14.25" customHeight="1" x14ac:dyDescent="0.35"/>
    <row r="725" customFormat="1" ht="14.25" customHeight="1" x14ac:dyDescent="0.35"/>
    <row r="726" customFormat="1" ht="14.25" customHeight="1" x14ac:dyDescent="0.35"/>
    <row r="727" customFormat="1" ht="14.25" customHeight="1" x14ac:dyDescent="0.35"/>
    <row r="728" customFormat="1" ht="14.25" customHeight="1" x14ac:dyDescent="0.35"/>
    <row r="729" customFormat="1" ht="14.25" customHeight="1" x14ac:dyDescent="0.35"/>
    <row r="730" customFormat="1" ht="14.25" customHeight="1" x14ac:dyDescent="0.35"/>
    <row r="731" customFormat="1" ht="14.25" customHeight="1" x14ac:dyDescent="0.35"/>
    <row r="732" customFormat="1" ht="14.25" customHeight="1" x14ac:dyDescent="0.35"/>
    <row r="733" customFormat="1" ht="14.25" customHeight="1" x14ac:dyDescent="0.35"/>
    <row r="734" customFormat="1" ht="14.25" customHeight="1" x14ac:dyDescent="0.35"/>
    <row r="735" customFormat="1" ht="14.25" customHeight="1" x14ac:dyDescent="0.35"/>
    <row r="736" customFormat="1" ht="14.25" customHeight="1" x14ac:dyDescent="0.35"/>
    <row r="737" customFormat="1" ht="14.25" customHeight="1" x14ac:dyDescent="0.35"/>
    <row r="738" customFormat="1" ht="14.25" customHeight="1" x14ac:dyDescent="0.35"/>
    <row r="739" customFormat="1" ht="14.25" customHeight="1" x14ac:dyDescent="0.35"/>
    <row r="740" customFormat="1" ht="14.25" customHeight="1" x14ac:dyDescent="0.35"/>
    <row r="741" customFormat="1" ht="14.25" customHeight="1" x14ac:dyDescent="0.35"/>
    <row r="742" customFormat="1" ht="14.25" customHeight="1" x14ac:dyDescent="0.35"/>
    <row r="743" customFormat="1" ht="14.25" customHeight="1" x14ac:dyDescent="0.35"/>
    <row r="744" customFormat="1" ht="14.25" customHeight="1" x14ac:dyDescent="0.35"/>
    <row r="745" customFormat="1" ht="14.25" customHeight="1" x14ac:dyDescent="0.35"/>
    <row r="746" customFormat="1" ht="14.25" customHeight="1" x14ac:dyDescent="0.35"/>
    <row r="747" customFormat="1" ht="14.25" customHeight="1" x14ac:dyDescent="0.35"/>
    <row r="748" customFormat="1" ht="14.25" customHeight="1" x14ac:dyDescent="0.35"/>
    <row r="749" customFormat="1" ht="14.25" customHeight="1" x14ac:dyDescent="0.35"/>
    <row r="750" customFormat="1" ht="14.25" customHeight="1" x14ac:dyDescent="0.35"/>
    <row r="751" customFormat="1" ht="14.25" customHeight="1" x14ac:dyDescent="0.35"/>
    <row r="752" customFormat="1" ht="14.25" customHeight="1" x14ac:dyDescent="0.35"/>
    <row r="753" customFormat="1" ht="14.25" customHeight="1" x14ac:dyDescent="0.35"/>
    <row r="754" customFormat="1" ht="14.25" customHeight="1" x14ac:dyDescent="0.35"/>
    <row r="755" customFormat="1" ht="14.25" customHeight="1" x14ac:dyDescent="0.35"/>
    <row r="756" customFormat="1" ht="14.25" customHeight="1" x14ac:dyDescent="0.35"/>
    <row r="757" customFormat="1" ht="14.25" customHeight="1" x14ac:dyDescent="0.35"/>
    <row r="758" customFormat="1" ht="14.25" customHeight="1" x14ac:dyDescent="0.35"/>
    <row r="759" customFormat="1" ht="14.25" customHeight="1" x14ac:dyDescent="0.35"/>
    <row r="760" customFormat="1" ht="14.25" customHeight="1" x14ac:dyDescent="0.35"/>
    <row r="761" customFormat="1" ht="14.25" customHeight="1" x14ac:dyDescent="0.35"/>
    <row r="762" customFormat="1" ht="14.25" customHeight="1" x14ac:dyDescent="0.35"/>
    <row r="763" customFormat="1" ht="14.25" customHeight="1" x14ac:dyDescent="0.35"/>
    <row r="764" customFormat="1" ht="14.25" customHeight="1" x14ac:dyDescent="0.35"/>
    <row r="765" customFormat="1" ht="14.25" customHeight="1" x14ac:dyDescent="0.35"/>
    <row r="766" customFormat="1" ht="14.25" customHeight="1" x14ac:dyDescent="0.35"/>
    <row r="767" customFormat="1" ht="14.25" customHeight="1" x14ac:dyDescent="0.35"/>
    <row r="768" customFormat="1" ht="14.25" customHeight="1" x14ac:dyDescent="0.35"/>
    <row r="769" customFormat="1" ht="14.25" customHeight="1" x14ac:dyDescent="0.35"/>
    <row r="770" customFormat="1" ht="14.25" customHeight="1" x14ac:dyDescent="0.35"/>
    <row r="771" customFormat="1" ht="14.25" customHeight="1" x14ac:dyDescent="0.35"/>
    <row r="772" customFormat="1" ht="14.25" customHeight="1" x14ac:dyDescent="0.35"/>
    <row r="773" customFormat="1" ht="14.25" customHeight="1" x14ac:dyDescent="0.35"/>
    <row r="774" customFormat="1" ht="14.25" customHeight="1" x14ac:dyDescent="0.35"/>
    <row r="775" customFormat="1" ht="14.25" customHeight="1" x14ac:dyDescent="0.35"/>
    <row r="776" customFormat="1" ht="14.25" customHeight="1" x14ac:dyDescent="0.35"/>
    <row r="777" customFormat="1" ht="14.25" customHeight="1" x14ac:dyDescent="0.35"/>
    <row r="778" customFormat="1" ht="14.25" customHeight="1" x14ac:dyDescent="0.35"/>
    <row r="779" customFormat="1" ht="14.25" customHeight="1" x14ac:dyDescent="0.35"/>
    <row r="780" customFormat="1" ht="14.25" customHeight="1" x14ac:dyDescent="0.35"/>
    <row r="781" customFormat="1" ht="14.25" customHeight="1" x14ac:dyDescent="0.35"/>
    <row r="782" customFormat="1" ht="14.25" customHeight="1" x14ac:dyDescent="0.35"/>
    <row r="783" customFormat="1" ht="14.25" customHeight="1" x14ac:dyDescent="0.35"/>
    <row r="784" customFormat="1" ht="14.25" customHeight="1" x14ac:dyDescent="0.35"/>
    <row r="785" customFormat="1" ht="14.25" customHeight="1" x14ac:dyDescent="0.35"/>
    <row r="786" customFormat="1" ht="14.25" customHeight="1" x14ac:dyDescent="0.35"/>
    <row r="787" customFormat="1" ht="14.25" customHeight="1" x14ac:dyDescent="0.35"/>
    <row r="788" customFormat="1" ht="14.25" customHeight="1" x14ac:dyDescent="0.35"/>
    <row r="789" customFormat="1" ht="14.25" customHeight="1" x14ac:dyDescent="0.35"/>
    <row r="790" customFormat="1" ht="14.25" customHeight="1" x14ac:dyDescent="0.35"/>
    <row r="791" customFormat="1" ht="14.25" customHeight="1" x14ac:dyDescent="0.35"/>
    <row r="792" customFormat="1" ht="14.25" customHeight="1" x14ac:dyDescent="0.35"/>
    <row r="793" customFormat="1" ht="14.25" customHeight="1" x14ac:dyDescent="0.35"/>
    <row r="794" customFormat="1" ht="14.25" customHeight="1" x14ac:dyDescent="0.35"/>
    <row r="795" customFormat="1" ht="14.25" customHeight="1" x14ac:dyDescent="0.35"/>
    <row r="796" customFormat="1" ht="14.25" customHeight="1" x14ac:dyDescent="0.35"/>
    <row r="797" customFormat="1" ht="14.25" customHeight="1" x14ac:dyDescent="0.35"/>
    <row r="798" customFormat="1" ht="14.25" customHeight="1" x14ac:dyDescent="0.35"/>
    <row r="799" customFormat="1" ht="14.25" customHeight="1" x14ac:dyDescent="0.35"/>
    <row r="800" customFormat="1" ht="14.25" customHeight="1" x14ac:dyDescent="0.35"/>
    <row r="801" customFormat="1" ht="14.25" customHeight="1" x14ac:dyDescent="0.35"/>
    <row r="802" customFormat="1" ht="14.25" customHeight="1" x14ac:dyDescent="0.35"/>
    <row r="803" customFormat="1" ht="14.25" customHeight="1" x14ac:dyDescent="0.35"/>
    <row r="804" customFormat="1" ht="14.25" customHeight="1" x14ac:dyDescent="0.35"/>
    <row r="805" customFormat="1" ht="14.25" customHeight="1" x14ac:dyDescent="0.35"/>
    <row r="806" customFormat="1" ht="14.25" customHeight="1" x14ac:dyDescent="0.35"/>
    <row r="807" customFormat="1" ht="14.25" customHeight="1" x14ac:dyDescent="0.35"/>
    <row r="808" customFormat="1" ht="14.25" customHeight="1" x14ac:dyDescent="0.35"/>
    <row r="809" customFormat="1" ht="14.25" customHeight="1" x14ac:dyDescent="0.35"/>
    <row r="810" customFormat="1" ht="14.25" customHeight="1" x14ac:dyDescent="0.35"/>
    <row r="811" customFormat="1" ht="14.25" customHeight="1" x14ac:dyDescent="0.35"/>
    <row r="812" customFormat="1" ht="14.25" customHeight="1" x14ac:dyDescent="0.35"/>
    <row r="813" customFormat="1" ht="14.25" customHeight="1" x14ac:dyDescent="0.35"/>
    <row r="814" customFormat="1" ht="14.25" customHeight="1" x14ac:dyDescent="0.35"/>
    <row r="815" customFormat="1" ht="14.25" customHeight="1" x14ac:dyDescent="0.35"/>
    <row r="816" customFormat="1" ht="14.25" customHeight="1" x14ac:dyDescent="0.35"/>
    <row r="817" customFormat="1" ht="14.25" customHeight="1" x14ac:dyDescent="0.35"/>
    <row r="818" customFormat="1" ht="14.25" customHeight="1" x14ac:dyDescent="0.35"/>
    <row r="819" customFormat="1" ht="14.25" customHeight="1" x14ac:dyDescent="0.35"/>
    <row r="820" customFormat="1" ht="14.25" customHeight="1" x14ac:dyDescent="0.35"/>
    <row r="821" customFormat="1" ht="14.25" customHeight="1" x14ac:dyDescent="0.35"/>
    <row r="822" customFormat="1" ht="14.25" customHeight="1" x14ac:dyDescent="0.35"/>
    <row r="823" customFormat="1" ht="14.25" customHeight="1" x14ac:dyDescent="0.35"/>
    <row r="824" customFormat="1" ht="14.25" customHeight="1" x14ac:dyDescent="0.35"/>
    <row r="825" customFormat="1" ht="14.25" customHeight="1" x14ac:dyDescent="0.35"/>
    <row r="826" customFormat="1" ht="14.25" customHeight="1" x14ac:dyDescent="0.35"/>
    <row r="827" customFormat="1" ht="14.25" customHeight="1" x14ac:dyDescent="0.35"/>
    <row r="828" customFormat="1" ht="14.25" customHeight="1" x14ac:dyDescent="0.35"/>
    <row r="829" customFormat="1" ht="14.25" customHeight="1" x14ac:dyDescent="0.35"/>
    <row r="830" customFormat="1" ht="14.25" customHeight="1" x14ac:dyDescent="0.35"/>
    <row r="831" customFormat="1" ht="14.25" customHeight="1" x14ac:dyDescent="0.35"/>
    <row r="832" customFormat="1" ht="14.25" customHeight="1" x14ac:dyDescent="0.35"/>
    <row r="833" customFormat="1" ht="14.25" customHeight="1" x14ac:dyDescent="0.35"/>
    <row r="834" customFormat="1" ht="14.25" customHeight="1" x14ac:dyDescent="0.35"/>
    <row r="835" customFormat="1" ht="14.25" customHeight="1" x14ac:dyDescent="0.35"/>
    <row r="836" customFormat="1" ht="14.25" customHeight="1" x14ac:dyDescent="0.35"/>
    <row r="837" customFormat="1" ht="14.25" customHeight="1" x14ac:dyDescent="0.35"/>
    <row r="838" customFormat="1" ht="14.25" customHeight="1" x14ac:dyDescent="0.35"/>
    <row r="839" customFormat="1" ht="14.25" customHeight="1" x14ac:dyDescent="0.35"/>
    <row r="840" customFormat="1" ht="14.25" customHeight="1" x14ac:dyDescent="0.35"/>
    <row r="841" customFormat="1" ht="14.25" customHeight="1" x14ac:dyDescent="0.35"/>
    <row r="842" customFormat="1" ht="14.25" customHeight="1" x14ac:dyDescent="0.35"/>
    <row r="843" customFormat="1" ht="14.25" customHeight="1" x14ac:dyDescent="0.35"/>
    <row r="844" customFormat="1" ht="14.25" customHeight="1" x14ac:dyDescent="0.35"/>
    <row r="845" customFormat="1" ht="14.25" customHeight="1" x14ac:dyDescent="0.35"/>
    <row r="846" customFormat="1" ht="14.25" customHeight="1" x14ac:dyDescent="0.35"/>
    <row r="847" customFormat="1" ht="14.25" customHeight="1" x14ac:dyDescent="0.35"/>
    <row r="848" customFormat="1" ht="14.25" customHeight="1" x14ac:dyDescent="0.35"/>
    <row r="849" customFormat="1" ht="14.25" customHeight="1" x14ac:dyDescent="0.35"/>
    <row r="850" customFormat="1" ht="14.25" customHeight="1" x14ac:dyDescent="0.35"/>
    <row r="851" customFormat="1" ht="14.25" customHeight="1" x14ac:dyDescent="0.35"/>
    <row r="852" customFormat="1" ht="14.25" customHeight="1" x14ac:dyDescent="0.35"/>
    <row r="853" customFormat="1" ht="14.25" customHeight="1" x14ac:dyDescent="0.35"/>
    <row r="854" customFormat="1" ht="14.25" customHeight="1" x14ac:dyDescent="0.35"/>
    <row r="855" customFormat="1" ht="14.25" customHeight="1" x14ac:dyDescent="0.35"/>
    <row r="856" customFormat="1" ht="14.25" customHeight="1" x14ac:dyDescent="0.35"/>
    <row r="857" customFormat="1" ht="14.25" customHeight="1" x14ac:dyDescent="0.35"/>
    <row r="858" customFormat="1" ht="14.25" customHeight="1" x14ac:dyDescent="0.35"/>
    <row r="859" customFormat="1" ht="14.25" customHeight="1" x14ac:dyDescent="0.35"/>
    <row r="860" customFormat="1" ht="14.25" customHeight="1" x14ac:dyDescent="0.35"/>
    <row r="861" customFormat="1" ht="14.25" customHeight="1" x14ac:dyDescent="0.35"/>
    <row r="862" customFormat="1" ht="14.25" customHeight="1" x14ac:dyDescent="0.35"/>
    <row r="863" customFormat="1" ht="14.25" customHeight="1" x14ac:dyDescent="0.35"/>
    <row r="864" customFormat="1" ht="14.25" customHeight="1" x14ac:dyDescent="0.35"/>
    <row r="865" customFormat="1" ht="14.25" customHeight="1" x14ac:dyDescent="0.35"/>
    <row r="866" customFormat="1" ht="14.25" customHeight="1" x14ac:dyDescent="0.35"/>
    <row r="867" customFormat="1" ht="14.25" customHeight="1" x14ac:dyDescent="0.35"/>
    <row r="868" customFormat="1" ht="14.25" customHeight="1" x14ac:dyDescent="0.35"/>
    <row r="869" customFormat="1" ht="14.25" customHeight="1" x14ac:dyDescent="0.35"/>
    <row r="870" customFormat="1" ht="14.25" customHeight="1" x14ac:dyDescent="0.35"/>
    <row r="871" customFormat="1" ht="14.25" customHeight="1" x14ac:dyDescent="0.35"/>
    <row r="872" customFormat="1" ht="14.25" customHeight="1" x14ac:dyDescent="0.35"/>
    <row r="873" customFormat="1" ht="14.25" customHeight="1" x14ac:dyDescent="0.35"/>
    <row r="874" customFormat="1" ht="14.25" customHeight="1" x14ac:dyDescent="0.35"/>
    <row r="875" customFormat="1" ht="14.25" customHeight="1" x14ac:dyDescent="0.35"/>
    <row r="876" customFormat="1" ht="14.25" customHeight="1" x14ac:dyDescent="0.35"/>
    <row r="877" customFormat="1" ht="14.25" customHeight="1" x14ac:dyDescent="0.35"/>
    <row r="878" customFormat="1" ht="14.25" customHeight="1" x14ac:dyDescent="0.35"/>
    <row r="879" customFormat="1" ht="14.25" customHeight="1" x14ac:dyDescent="0.35"/>
    <row r="880" customFormat="1" ht="14.25" customHeight="1" x14ac:dyDescent="0.35"/>
    <row r="881" customFormat="1" ht="14.25" customHeight="1" x14ac:dyDescent="0.35"/>
    <row r="882" customFormat="1" ht="14.25" customHeight="1" x14ac:dyDescent="0.35"/>
    <row r="883" customFormat="1" ht="14.25" customHeight="1" x14ac:dyDescent="0.35"/>
    <row r="884" customFormat="1" ht="14.25" customHeight="1" x14ac:dyDescent="0.35"/>
    <row r="885" customFormat="1" ht="14.25" customHeight="1" x14ac:dyDescent="0.35"/>
    <row r="886" customFormat="1" ht="14.25" customHeight="1" x14ac:dyDescent="0.35"/>
    <row r="887" customFormat="1" ht="14.25" customHeight="1" x14ac:dyDescent="0.35"/>
    <row r="888" customFormat="1" ht="14.25" customHeight="1" x14ac:dyDescent="0.35"/>
    <row r="889" customFormat="1" ht="14.25" customHeight="1" x14ac:dyDescent="0.35"/>
    <row r="890" customFormat="1" ht="14.25" customHeight="1" x14ac:dyDescent="0.35"/>
    <row r="891" customFormat="1" ht="14.25" customHeight="1" x14ac:dyDescent="0.35"/>
    <row r="892" customFormat="1" ht="14.25" customHeight="1" x14ac:dyDescent="0.35"/>
    <row r="893" customFormat="1" ht="14.25" customHeight="1" x14ac:dyDescent="0.35"/>
    <row r="894" customFormat="1" ht="14.25" customHeight="1" x14ac:dyDescent="0.35"/>
    <row r="895" customFormat="1" ht="14.25" customHeight="1" x14ac:dyDescent="0.35"/>
    <row r="896" customFormat="1" ht="14.25" customHeight="1" x14ac:dyDescent="0.35"/>
    <row r="897" customFormat="1" ht="14.25" customHeight="1" x14ac:dyDescent="0.35"/>
    <row r="898" customFormat="1" ht="14.25" customHeight="1" x14ac:dyDescent="0.35"/>
    <row r="899" customFormat="1" ht="14.25" customHeight="1" x14ac:dyDescent="0.35"/>
    <row r="900" customFormat="1" ht="14.25" customHeight="1" x14ac:dyDescent="0.35"/>
    <row r="901" customFormat="1" ht="14.25" customHeight="1" x14ac:dyDescent="0.35"/>
    <row r="902" customFormat="1" ht="14.25" customHeight="1" x14ac:dyDescent="0.35"/>
    <row r="903" customFormat="1" ht="14.25" customHeight="1" x14ac:dyDescent="0.35"/>
    <row r="904" customFormat="1" ht="14.25" customHeight="1" x14ac:dyDescent="0.35"/>
    <row r="905" customFormat="1" ht="14.25" customHeight="1" x14ac:dyDescent="0.35"/>
    <row r="906" customFormat="1" ht="14.25" customHeight="1" x14ac:dyDescent="0.35"/>
    <row r="907" customFormat="1" ht="14.25" customHeight="1" x14ac:dyDescent="0.35"/>
    <row r="908" customFormat="1" ht="14.25" customHeight="1" x14ac:dyDescent="0.35"/>
    <row r="909" customFormat="1" ht="14.25" customHeight="1" x14ac:dyDescent="0.35"/>
    <row r="910" customFormat="1" ht="14.25" customHeight="1" x14ac:dyDescent="0.35"/>
    <row r="911" customFormat="1" ht="14.25" customHeight="1" x14ac:dyDescent="0.35"/>
    <row r="912" customFormat="1" ht="14.25" customHeight="1" x14ac:dyDescent="0.35"/>
    <row r="913" customFormat="1" ht="14.25" customHeight="1" x14ac:dyDescent="0.35"/>
    <row r="914" customFormat="1" ht="14.25" customHeight="1" x14ac:dyDescent="0.35"/>
    <row r="915" customFormat="1" ht="14.25" customHeight="1" x14ac:dyDescent="0.35"/>
    <row r="916" customFormat="1" ht="14.25" customHeight="1" x14ac:dyDescent="0.35"/>
    <row r="917" customFormat="1" ht="14.25" customHeight="1" x14ac:dyDescent="0.35"/>
    <row r="918" customFormat="1" ht="14.25" customHeight="1" x14ac:dyDescent="0.35"/>
    <row r="919" customFormat="1" ht="14.25" customHeight="1" x14ac:dyDescent="0.35"/>
    <row r="920" customFormat="1" ht="14.25" customHeight="1" x14ac:dyDescent="0.35"/>
    <row r="921" customFormat="1" ht="14.25" customHeight="1" x14ac:dyDescent="0.35"/>
    <row r="922" customFormat="1" ht="14.25" customHeight="1" x14ac:dyDescent="0.35"/>
    <row r="923" customFormat="1" ht="14.25" customHeight="1" x14ac:dyDescent="0.35"/>
    <row r="924" customFormat="1" ht="14.25" customHeight="1" x14ac:dyDescent="0.35"/>
    <row r="925" customFormat="1" ht="14.25" customHeight="1" x14ac:dyDescent="0.35"/>
    <row r="926" customFormat="1" ht="14.25" customHeight="1" x14ac:dyDescent="0.35"/>
    <row r="927" customFormat="1" ht="14.25" customHeight="1" x14ac:dyDescent="0.35"/>
    <row r="928" customFormat="1" ht="14.25" customHeight="1" x14ac:dyDescent="0.35"/>
    <row r="929" customFormat="1" ht="14.25" customHeight="1" x14ac:dyDescent="0.35"/>
    <row r="930" customFormat="1" ht="14.25" customHeight="1" x14ac:dyDescent="0.35"/>
    <row r="931" customFormat="1" ht="14.25" customHeight="1" x14ac:dyDescent="0.35"/>
    <row r="932" customFormat="1" ht="14.25" customHeight="1" x14ac:dyDescent="0.35"/>
    <row r="933" customFormat="1" ht="14.25" customHeight="1" x14ac:dyDescent="0.35"/>
    <row r="934" customFormat="1" ht="14.25" customHeight="1" x14ac:dyDescent="0.35"/>
    <row r="935" customFormat="1" ht="14.25" customHeight="1" x14ac:dyDescent="0.35"/>
    <row r="936" customFormat="1" ht="14.25" customHeight="1" x14ac:dyDescent="0.35"/>
    <row r="937" customFormat="1" ht="14.25" customHeight="1" x14ac:dyDescent="0.35"/>
    <row r="938" customFormat="1" ht="14.25" customHeight="1" x14ac:dyDescent="0.35"/>
    <row r="939" customFormat="1" ht="14.25" customHeight="1" x14ac:dyDescent="0.35"/>
    <row r="940" customFormat="1" ht="14.25" customHeight="1" x14ac:dyDescent="0.35"/>
    <row r="941" customFormat="1" ht="14.25" customHeight="1" x14ac:dyDescent="0.35"/>
    <row r="942" customFormat="1" ht="14.25" customHeight="1" x14ac:dyDescent="0.35"/>
    <row r="943" customFormat="1" ht="14.25" customHeight="1" x14ac:dyDescent="0.35"/>
    <row r="944" customFormat="1" ht="14.25" customHeight="1" x14ac:dyDescent="0.35"/>
    <row r="945" customFormat="1" ht="14.25" customHeight="1" x14ac:dyDescent="0.35"/>
    <row r="946" customFormat="1" ht="14.25" customHeight="1" x14ac:dyDescent="0.35"/>
    <row r="947" customFormat="1" ht="14.25" customHeight="1" x14ac:dyDescent="0.35"/>
    <row r="948" customFormat="1" ht="14.25" customHeight="1" x14ac:dyDescent="0.35"/>
    <row r="949" customFormat="1" ht="14.25" customHeight="1" x14ac:dyDescent="0.35"/>
    <row r="950" customFormat="1" ht="14.25" customHeight="1" x14ac:dyDescent="0.35"/>
    <row r="951" customFormat="1" ht="14.25" customHeight="1" x14ac:dyDescent="0.35"/>
    <row r="952" customFormat="1" ht="14.25" customHeight="1" x14ac:dyDescent="0.35"/>
    <row r="953" customFormat="1" ht="14.25" customHeight="1" x14ac:dyDescent="0.35"/>
    <row r="954" customFormat="1" ht="14.25" customHeight="1" x14ac:dyDescent="0.35"/>
    <row r="955" customFormat="1" ht="14.25" customHeight="1" x14ac:dyDescent="0.35"/>
    <row r="956" customFormat="1" ht="14.25" customHeight="1" x14ac:dyDescent="0.35"/>
    <row r="957" customFormat="1" ht="14.25" customHeight="1" x14ac:dyDescent="0.35"/>
    <row r="958" customFormat="1" ht="14.25" customHeight="1" x14ac:dyDescent="0.35"/>
    <row r="959" customFormat="1" ht="14.25" customHeight="1" x14ac:dyDescent="0.35"/>
    <row r="960" customFormat="1" ht="14.25" customHeight="1" x14ac:dyDescent="0.35"/>
    <row r="961" customFormat="1" ht="14.25" customHeight="1" x14ac:dyDescent="0.35"/>
    <row r="962" customFormat="1" ht="14.25" customHeight="1" x14ac:dyDescent="0.35"/>
    <row r="963" customFormat="1" ht="14.25" customHeight="1" x14ac:dyDescent="0.35"/>
    <row r="964" customFormat="1" ht="14.25" customHeight="1" x14ac:dyDescent="0.35"/>
    <row r="965" customFormat="1" ht="14.25" customHeight="1" x14ac:dyDescent="0.35"/>
    <row r="966" customFormat="1" ht="14.25" customHeight="1" x14ac:dyDescent="0.35"/>
    <row r="967" customFormat="1" ht="14.25" customHeight="1" x14ac:dyDescent="0.35"/>
    <row r="968" customFormat="1" ht="14.25" customHeight="1" x14ac:dyDescent="0.35"/>
    <row r="969" customFormat="1" ht="14.25" customHeight="1" x14ac:dyDescent="0.35"/>
    <row r="970" customFormat="1" ht="14.25" customHeight="1" x14ac:dyDescent="0.35"/>
    <row r="971" customFormat="1" ht="14.25" customHeight="1" x14ac:dyDescent="0.35"/>
    <row r="972" customFormat="1" ht="14.25" customHeight="1" x14ac:dyDescent="0.35"/>
    <row r="973" customFormat="1" ht="14.25" customHeight="1" x14ac:dyDescent="0.35"/>
    <row r="974" customFormat="1" ht="14.25" customHeight="1" x14ac:dyDescent="0.35"/>
    <row r="975" customFormat="1" ht="14.25" customHeight="1" x14ac:dyDescent="0.35"/>
    <row r="976" customFormat="1" ht="14.25" customHeight="1" x14ac:dyDescent="0.35"/>
    <row r="977" customFormat="1" ht="14.25" customHeight="1" x14ac:dyDescent="0.35"/>
    <row r="978" customFormat="1" ht="14.25" customHeight="1" x14ac:dyDescent="0.35"/>
    <row r="979" customFormat="1" ht="14.25" customHeight="1" x14ac:dyDescent="0.35"/>
    <row r="980" customFormat="1" ht="14.25" customHeight="1" x14ac:dyDescent="0.35"/>
    <row r="981" customFormat="1" ht="14.25" customHeight="1" x14ac:dyDescent="0.35"/>
    <row r="982" customFormat="1" ht="14.25" customHeight="1" x14ac:dyDescent="0.35"/>
    <row r="983" customFormat="1" ht="14.25" customHeight="1" x14ac:dyDescent="0.35"/>
    <row r="984" customFormat="1" ht="14.25" customHeight="1" x14ac:dyDescent="0.35"/>
    <row r="985" customFormat="1" ht="14.25" customHeight="1" x14ac:dyDescent="0.35"/>
    <row r="986" customFormat="1" ht="14.25" customHeight="1" x14ac:dyDescent="0.35"/>
    <row r="987" customFormat="1" ht="14.25" customHeight="1" x14ac:dyDescent="0.35"/>
    <row r="988" customFormat="1" ht="14.25" customHeight="1" x14ac:dyDescent="0.35"/>
    <row r="989" customFormat="1" ht="14.25" customHeight="1" x14ac:dyDescent="0.35"/>
    <row r="990" customFormat="1" ht="14.25" customHeight="1" x14ac:dyDescent="0.35"/>
    <row r="991" customFormat="1" ht="14.25" customHeight="1" x14ac:dyDescent="0.35"/>
    <row r="992" customFormat="1" ht="14.25" customHeight="1" x14ac:dyDescent="0.35"/>
    <row r="993" customFormat="1" ht="14.25" customHeight="1" x14ac:dyDescent="0.35"/>
    <row r="994" customFormat="1" ht="14.25" customHeight="1" x14ac:dyDescent="0.35"/>
    <row r="995" customFormat="1" ht="14.25" customHeight="1" x14ac:dyDescent="0.35"/>
    <row r="996" customFormat="1" ht="14.25" customHeight="1" x14ac:dyDescent="0.35"/>
    <row r="997" customFormat="1" ht="14.25" customHeight="1" x14ac:dyDescent="0.35"/>
    <row r="998" customFormat="1" ht="14.25" customHeight="1" x14ac:dyDescent="0.35"/>
    <row r="999" customFormat="1" ht="14.25" customHeight="1" x14ac:dyDescent="0.35"/>
    <row r="1000" customFormat="1" ht="14.25" customHeight="1" x14ac:dyDescent="0.35"/>
  </sheetData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5B5BE-5ED9-4B02-B9A7-BC4EC1ED2A89}">
  <dimension ref="A1:BA8"/>
  <sheetViews>
    <sheetView workbookViewId="0">
      <selection activeCell="E15" sqref="E15"/>
    </sheetView>
  </sheetViews>
  <sheetFormatPr defaultColWidth="10.90625" defaultRowHeight="14.5" x14ac:dyDescent="0.35"/>
  <cols>
    <col min="1" max="1" width="29.81640625" style="10" customWidth="1"/>
    <col min="2" max="16384" width="10.90625" style="10"/>
  </cols>
  <sheetData>
    <row r="1" spans="1:53" x14ac:dyDescent="0.35">
      <c r="A1" s="9" t="s">
        <v>14</v>
      </c>
      <c r="B1" s="9">
        <v>2019</v>
      </c>
      <c r="C1" s="9">
        <v>2020</v>
      </c>
      <c r="D1" s="9">
        <v>2021</v>
      </c>
      <c r="E1" s="9">
        <v>2022</v>
      </c>
      <c r="F1" s="9">
        <v>2023</v>
      </c>
      <c r="G1" s="9">
        <v>2024</v>
      </c>
      <c r="H1" s="9">
        <v>2025</v>
      </c>
      <c r="I1" s="9">
        <v>2026</v>
      </c>
      <c r="J1" s="9">
        <v>2027</v>
      </c>
      <c r="K1" s="9">
        <v>2028</v>
      </c>
      <c r="L1" s="9">
        <v>2029</v>
      </c>
      <c r="M1" s="9">
        <v>2030</v>
      </c>
      <c r="N1" s="9">
        <v>2031</v>
      </c>
      <c r="O1" s="9">
        <v>2032</v>
      </c>
      <c r="P1" s="9">
        <v>2033</v>
      </c>
      <c r="Q1" s="9">
        <v>2034</v>
      </c>
      <c r="R1" s="9">
        <v>2035</v>
      </c>
      <c r="S1" s="9">
        <v>2036</v>
      </c>
      <c r="T1" s="9">
        <v>2037</v>
      </c>
      <c r="U1" s="9">
        <v>2038</v>
      </c>
      <c r="V1" s="9">
        <v>2039</v>
      </c>
      <c r="W1" s="9">
        <v>2040</v>
      </c>
      <c r="X1" s="9">
        <v>2041</v>
      </c>
      <c r="Y1" s="9">
        <v>2042</v>
      </c>
      <c r="Z1" s="9">
        <v>2043</v>
      </c>
      <c r="AA1" s="9">
        <v>2044</v>
      </c>
      <c r="AB1" s="9">
        <v>2045</v>
      </c>
      <c r="AC1" s="9">
        <v>2046</v>
      </c>
      <c r="AD1" s="9">
        <v>2047</v>
      </c>
      <c r="AE1" s="9">
        <v>2048</v>
      </c>
      <c r="AF1" s="9">
        <v>2049</v>
      </c>
      <c r="AG1" s="9">
        <v>2050</v>
      </c>
      <c r="AH1" s="9">
        <v>2051</v>
      </c>
      <c r="AI1" s="9">
        <v>2052</v>
      </c>
      <c r="AJ1" s="9">
        <v>2053</v>
      </c>
      <c r="AK1" s="9">
        <v>2054</v>
      </c>
      <c r="AL1" s="9">
        <v>2055</v>
      </c>
      <c r="AM1" s="9">
        <v>2056</v>
      </c>
      <c r="AN1" s="9">
        <v>2057</v>
      </c>
      <c r="AO1" s="9">
        <v>2058</v>
      </c>
      <c r="AP1" s="9">
        <v>2059</v>
      </c>
      <c r="AQ1" s="9">
        <v>2060</v>
      </c>
      <c r="AR1" s="9">
        <v>2061</v>
      </c>
      <c r="AS1" s="9">
        <v>2062</v>
      </c>
      <c r="AT1" s="9">
        <v>2063</v>
      </c>
      <c r="AU1" s="9">
        <v>2064</v>
      </c>
      <c r="AV1" s="9">
        <v>2065</v>
      </c>
      <c r="AW1" s="9">
        <v>2066</v>
      </c>
      <c r="AX1" s="9">
        <v>2067</v>
      </c>
      <c r="AY1" s="9">
        <v>2068</v>
      </c>
      <c r="AZ1" s="9">
        <v>2069</v>
      </c>
      <c r="BA1" s="9">
        <v>2070</v>
      </c>
    </row>
    <row r="2" spans="1:53" x14ac:dyDescent="0.35">
      <c r="A2" s="9" t="s">
        <v>15</v>
      </c>
      <c r="B2" s="11">
        <f>C7/7</f>
        <v>157.14285714285714</v>
      </c>
      <c r="C2" s="11">
        <f>B2</f>
        <v>157.14285714285714</v>
      </c>
      <c r="D2" s="11">
        <f t="shared" ref="D2:H2" si="0">C2</f>
        <v>157.14285714285714</v>
      </c>
      <c r="E2" s="11">
        <f t="shared" si="0"/>
        <v>157.14285714285714</v>
      </c>
      <c r="F2" s="11">
        <f t="shared" si="0"/>
        <v>157.14285714285714</v>
      </c>
      <c r="G2" s="11">
        <f t="shared" si="0"/>
        <v>157.14285714285714</v>
      </c>
      <c r="H2" s="11">
        <f t="shared" si="0"/>
        <v>157.14285714285714</v>
      </c>
      <c r="I2" s="11">
        <f>D7/5</f>
        <v>200</v>
      </c>
      <c r="J2" s="11">
        <f t="shared" ref="J2:L2" si="1">I2</f>
        <v>200</v>
      </c>
      <c r="K2" s="11">
        <f t="shared" si="1"/>
        <v>200</v>
      </c>
      <c r="L2" s="11">
        <f t="shared" si="1"/>
        <v>200</v>
      </c>
      <c r="M2" s="11">
        <f>L2</f>
        <v>200</v>
      </c>
      <c r="N2" s="11">
        <f>E7/5</f>
        <v>1800</v>
      </c>
      <c r="O2" s="11">
        <f>N2</f>
        <v>1800</v>
      </c>
      <c r="P2" s="11">
        <f t="shared" ref="P2:R2" si="2">O2</f>
        <v>1800</v>
      </c>
      <c r="Q2" s="11">
        <f t="shared" si="2"/>
        <v>1800</v>
      </c>
      <c r="R2" s="11">
        <f t="shared" si="2"/>
        <v>1800</v>
      </c>
      <c r="S2" s="11">
        <f>F7/5</f>
        <v>4800</v>
      </c>
      <c r="T2" s="11">
        <f>S2</f>
        <v>4800</v>
      </c>
      <c r="U2" s="11">
        <f t="shared" ref="U2:W2" si="3">T2</f>
        <v>4800</v>
      </c>
      <c r="V2" s="11">
        <f t="shared" si="3"/>
        <v>4800</v>
      </c>
      <c r="W2" s="11">
        <f t="shared" si="3"/>
        <v>4800</v>
      </c>
      <c r="X2" s="11">
        <f>G7/15</f>
        <v>333.33333333333331</v>
      </c>
      <c r="Y2" s="11">
        <f>X2</f>
        <v>333.33333333333331</v>
      </c>
      <c r="Z2" s="11">
        <f t="shared" ref="Z2:AL2" si="4">Y2</f>
        <v>333.33333333333331</v>
      </c>
      <c r="AA2" s="11">
        <f t="shared" si="4"/>
        <v>333.33333333333331</v>
      </c>
      <c r="AB2" s="11">
        <f t="shared" si="4"/>
        <v>333.33333333333331</v>
      </c>
      <c r="AC2" s="11">
        <f t="shared" si="4"/>
        <v>333.33333333333331</v>
      </c>
      <c r="AD2" s="11">
        <f t="shared" si="4"/>
        <v>333.33333333333331</v>
      </c>
      <c r="AE2" s="11">
        <f t="shared" si="4"/>
        <v>333.33333333333331</v>
      </c>
      <c r="AF2" s="11">
        <f t="shared" si="4"/>
        <v>333.33333333333331</v>
      </c>
      <c r="AG2" s="11">
        <f t="shared" si="4"/>
        <v>333.33333333333331</v>
      </c>
      <c r="AH2" s="11">
        <f t="shared" si="4"/>
        <v>333.33333333333331</v>
      </c>
      <c r="AI2" s="11">
        <f t="shared" si="4"/>
        <v>333.33333333333331</v>
      </c>
      <c r="AJ2" s="11">
        <f t="shared" si="4"/>
        <v>333.33333333333331</v>
      </c>
      <c r="AK2" s="11">
        <f t="shared" si="4"/>
        <v>333.33333333333331</v>
      </c>
      <c r="AL2" s="11">
        <f t="shared" si="4"/>
        <v>333.33333333333331</v>
      </c>
      <c r="AM2" s="11">
        <v>0</v>
      </c>
      <c r="AN2" s="11">
        <v>0</v>
      </c>
      <c r="AO2" s="11">
        <v>0</v>
      </c>
      <c r="AP2" s="11">
        <v>0</v>
      </c>
      <c r="AQ2" s="11">
        <v>0</v>
      </c>
      <c r="AR2" s="11">
        <v>0</v>
      </c>
      <c r="AS2" s="11">
        <v>0</v>
      </c>
      <c r="AT2" s="11">
        <v>0</v>
      </c>
      <c r="AU2" s="11">
        <v>0</v>
      </c>
      <c r="AV2" s="11">
        <v>0</v>
      </c>
      <c r="AW2" s="11">
        <v>0</v>
      </c>
      <c r="AX2" s="11">
        <v>0</v>
      </c>
      <c r="AY2" s="11">
        <v>0</v>
      </c>
      <c r="AZ2" s="11">
        <v>0</v>
      </c>
      <c r="BA2" s="11">
        <v>0</v>
      </c>
    </row>
    <row r="6" spans="1:53" x14ac:dyDescent="0.35">
      <c r="A6" s="12" t="s">
        <v>39</v>
      </c>
      <c r="C6" s="12">
        <v>2025</v>
      </c>
      <c r="D6" s="12">
        <v>2030</v>
      </c>
      <c r="E6" s="12">
        <v>2035</v>
      </c>
      <c r="F6" s="12">
        <v>2040</v>
      </c>
      <c r="G6" s="12">
        <v>2055</v>
      </c>
    </row>
    <row r="7" spans="1:53" x14ac:dyDescent="0.35">
      <c r="A7" s="12" t="s">
        <v>40</v>
      </c>
      <c r="C7" s="10">
        <v>1100</v>
      </c>
      <c r="D7" s="10">
        <v>1000</v>
      </c>
      <c r="E7" s="10">
        <v>9000</v>
      </c>
      <c r="F7" s="10">
        <v>24000</v>
      </c>
      <c r="G7" s="10">
        <v>5000</v>
      </c>
    </row>
    <row r="8" spans="1:53" x14ac:dyDescent="0.35">
      <c r="A8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E4E79"/>
  </sheetPr>
  <dimension ref="A1:AG1001"/>
  <sheetViews>
    <sheetView tabSelected="1" workbookViewId="0">
      <pane xSplit="1" topLeftCell="M1" activePane="topRight" state="frozen"/>
      <selection pane="topRight" activeCell="Q36" sqref="Q36"/>
    </sheetView>
  </sheetViews>
  <sheetFormatPr defaultColWidth="14.453125" defaultRowHeight="15" customHeight="1" x14ac:dyDescent="0.35"/>
  <cols>
    <col min="1" max="1" width="25.54296875" customWidth="1"/>
    <col min="2" max="23" width="9.26953125" customWidth="1"/>
    <col min="24" max="33" width="8.81640625" customWidth="1"/>
  </cols>
  <sheetData>
    <row r="1" spans="1:33" ht="14.25" customHeight="1" x14ac:dyDescent="0.35">
      <c r="A1" s="5" t="s">
        <v>14</v>
      </c>
      <c r="B1" s="6">
        <v>2019</v>
      </c>
      <c r="C1" s="6">
        <v>2020</v>
      </c>
      <c r="D1" s="6">
        <v>2021</v>
      </c>
      <c r="E1" s="6">
        <v>2022</v>
      </c>
      <c r="F1" s="6">
        <v>2023</v>
      </c>
      <c r="G1" s="6">
        <v>2024</v>
      </c>
      <c r="H1" s="6">
        <v>2025</v>
      </c>
      <c r="I1" s="6">
        <v>2026</v>
      </c>
      <c r="J1" s="6">
        <v>2027</v>
      </c>
      <c r="K1" s="6">
        <v>2028</v>
      </c>
      <c r="L1" s="6">
        <v>2029</v>
      </c>
      <c r="M1" s="6">
        <v>2030</v>
      </c>
      <c r="N1" s="6">
        <v>2031</v>
      </c>
      <c r="O1" s="6">
        <v>2032</v>
      </c>
      <c r="P1" s="6">
        <v>2033</v>
      </c>
      <c r="Q1" s="6">
        <v>2034</v>
      </c>
      <c r="R1" s="6">
        <v>2035</v>
      </c>
      <c r="S1" s="6">
        <v>2036</v>
      </c>
      <c r="T1" s="6">
        <v>2037</v>
      </c>
      <c r="U1" s="6">
        <v>2038</v>
      </c>
      <c r="V1" s="6">
        <v>2039</v>
      </c>
      <c r="W1" s="6">
        <v>2040</v>
      </c>
      <c r="X1" s="6">
        <v>2041</v>
      </c>
      <c r="Y1" s="6">
        <v>2042</v>
      </c>
      <c r="Z1" s="6">
        <v>2043</v>
      </c>
      <c r="AA1" s="6">
        <v>2044</v>
      </c>
      <c r="AB1" s="6">
        <v>2045</v>
      </c>
      <c r="AC1" s="6">
        <v>2046</v>
      </c>
      <c r="AD1" s="6">
        <v>2047</v>
      </c>
      <c r="AE1" s="6">
        <v>2048</v>
      </c>
      <c r="AF1" s="6">
        <v>2049</v>
      </c>
      <c r="AG1" s="6">
        <v>2050</v>
      </c>
    </row>
    <row r="2" spans="1:33" ht="14.25" customHeight="1" x14ac:dyDescent="0.35">
      <c r="A2" s="6" t="s">
        <v>15</v>
      </c>
      <c r="B2" s="15">
        <f>Computation!B2</f>
        <v>157.14285714285714</v>
      </c>
      <c r="C2" s="15">
        <f>Computation!C2</f>
        <v>157.14285714285714</v>
      </c>
      <c r="D2" s="15">
        <f>Computation!D2</f>
        <v>157.14285714285714</v>
      </c>
      <c r="E2" s="15">
        <f>Computation!E2</f>
        <v>157.14285714285714</v>
      </c>
      <c r="F2" s="15">
        <f>Computation!F2</f>
        <v>157.14285714285714</v>
      </c>
      <c r="G2" s="15">
        <f>Computation!G2</f>
        <v>157.14285714285714</v>
      </c>
      <c r="H2" s="15">
        <f>Computation!H2</f>
        <v>157.14285714285714</v>
      </c>
      <c r="I2" s="15">
        <f>Computation!I2</f>
        <v>200</v>
      </c>
      <c r="J2" s="15">
        <f>Computation!J2</f>
        <v>200</v>
      </c>
      <c r="K2" s="15">
        <f>Computation!K2</f>
        <v>200</v>
      </c>
      <c r="L2" s="15">
        <f>Computation!L2</f>
        <v>200</v>
      </c>
      <c r="M2" s="15">
        <f>Computation!M2</f>
        <v>200</v>
      </c>
      <c r="N2">
        <f>'coal retirement'!N3</f>
        <v>0</v>
      </c>
      <c r="O2">
        <f>'coal retirement'!O3</f>
        <v>0</v>
      </c>
      <c r="P2">
        <f>'coal retirement'!P3</f>
        <v>0</v>
      </c>
      <c r="Q2">
        <f>'coal retirement'!Q3</f>
        <v>0</v>
      </c>
      <c r="R2">
        <f>'coal retirement'!R3</f>
        <v>0</v>
      </c>
      <c r="S2">
        <f>'coal retirement'!S3</f>
        <v>0</v>
      </c>
      <c r="T2">
        <f>'coal retirement'!T3</f>
        <v>0</v>
      </c>
      <c r="U2">
        <f>'coal retirement'!U3</f>
        <v>0</v>
      </c>
      <c r="V2">
        <f>'coal retirement'!V3</f>
        <v>0</v>
      </c>
      <c r="W2">
        <v>0</v>
      </c>
      <c r="X2">
        <f>'coal retirement'!X3</f>
        <v>0</v>
      </c>
      <c r="Y2">
        <f>'coal retirement'!Y3</f>
        <v>0</v>
      </c>
      <c r="Z2">
        <f>'coal retirement'!Z3</f>
        <v>0</v>
      </c>
      <c r="AA2">
        <f>'coal retirement'!AA3</f>
        <v>0</v>
      </c>
      <c r="AB2">
        <v>0</v>
      </c>
      <c r="AC2">
        <f>'coal retirement'!AC3</f>
        <v>0</v>
      </c>
      <c r="AD2">
        <f>'coal retirement'!AD3</f>
        <v>0</v>
      </c>
      <c r="AE2">
        <f>'coal retirement'!AE3</f>
        <v>0</v>
      </c>
      <c r="AF2">
        <f>'coal retirement'!AF3</f>
        <v>0</v>
      </c>
      <c r="AG2">
        <f>'coal retirement'!AG3</f>
        <v>0</v>
      </c>
    </row>
    <row r="3" spans="1:33" ht="14.25" customHeight="1" x14ac:dyDescent="0.35">
      <c r="A3" s="6" t="s">
        <v>30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</row>
    <row r="4" spans="1:33" ht="14.25" customHeight="1" x14ac:dyDescent="0.35">
      <c r="A4" s="1" t="s">
        <v>31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</row>
    <row r="5" spans="1:33" ht="14.25" customHeight="1" x14ac:dyDescent="0.35">
      <c r="A5" s="6" t="s">
        <v>16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</row>
    <row r="6" spans="1:33" ht="14.25" customHeight="1" x14ac:dyDescent="0.35">
      <c r="A6" s="6" t="s">
        <v>17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</row>
    <row r="7" spans="1:33" ht="14.25" customHeight="1" x14ac:dyDescent="0.35">
      <c r="A7" s="6" t="s">
        <v>18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</row>
    <row r="8" spans="1:33" ht="14.25" customHeight="1" x14ac:dyDescent="0.35">
      <c r="A8" s="6" t="s">
        <v>19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</row>
    <row r="9" spans="1:33" ht="14.25" customHeight="1" x14ac:dyDescent="0.35">
      <c r="A9" s="6" t="s">
        <v>20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</row>
    <row r="10" spans="1:33" ht="14.25" customHeight="1" x14ac:dyDescent="0.35">
      <c r="A10" s="6" t="s">
        <v>21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</row>
    <row r="11" spans="1:33" ht="14.25" customHeight="1" x14ac:dyDescent="0.35">
      <c r="A11" s="6" t="s">
        <v>22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</row>
    <row r="12" spans="1:33" ht="14.25" customHeight="1" x14ac:dyDescent="0.35">
      <c r="A12" s="6" t="s">
        <v>23</v>
      </c>
      <c r="B12" s="7">
        <v>0</v>
      </c>
      <c r="C12" s="7">
        <v>0</v>
      </c>
      <c r="D12" s="7">
        <v>0</v>
      </c>
      <c r="E12" s="7">
        <v>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</row>
    <row r="13" spans="1:33" ht="14.25" customHeight="1" x14ac:dyDescent="0.35">
      <c r="A13" s="6" t="s">
        <v>24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</row>
    <row r="14" spans="1:33" ht="14.25" customHeight="1" x14ac:dyDescent="0.35">
      <c r="A14" s="6" t="s">
        <v>25</v>
      </c>
      <c r="B14" s="7">
        <v>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  <c r="AB14" s="7">
        <v>0</v>
      </c>
      <c r="AC14" s="7">
        <v>0</v>
      </c>
      <c r="AD14" s="7">
        <v>0</v>
      </c>
      <c r="AE14" s="7">
        <v>0</v>
      </c>
      <c r="AF14" s="7">
        <v>0</v>
      </c>
      <c r="AG14" s="7">
        <v>0</v>
      </c>
    </row>
    <row r="15" spans="1:33" ht="14.25" customHeight="1" x14ac:dyDescent="0.35">
      <c r="A15" s="6" t="s">
        <v>26</v>
      </c>
      <c r="B15" s="7">
        <v>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  <c r="AB15" s="7">
        <v>0</v>
      </c>
      <c r="AC15" s="7">
        <v>0</v>
      </c>
      <c r="AD15" s="7">
        <v>0</v>
      </c>
      <c r="AE15" s="7">
        <v>0</v>
      </c>
      <c r="AF15" s="7">
        <v>0</v>
      </c>
      <c r="AG15" s="7">
        <v>0</v>
      </c>
    </row>
    <row r="16" spans="1:33" ht="14.25" customHeight="1" x14ac:dyDescent="0.35">
      <c r="A16" s="1" t="s">
        <v>27</v>
      </c>
      <c r="B16" s="7">
        <v>0</v>
      </c>
      <c r="C16" s="7">
        <v>0</v>
      </c>
      <c r="D16" s="7">
        <v>0</v>
      </c>
      <c r="E16" s="7">
        <v>0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</row>
    <row r="17" spans="1:33" ht="14.25" customHeight="1" x14ac:dyDescent="0.35">
      <c r="A17" s="1" t="s">
        <v>28</v>
      </c>
      <c r="B17" s="7">
        <v>0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  <c r="AB17" s="7">
        <v>0</v>
      </c>
      <c r="AC17" s="7">
        <v>0</v>
      </c>
      <c r="AD17" s="7">
        <v>0</v>
      </c>
      <c r="AE17" s="7">
        <v>0</v>
      </c>
      <c r="AF17" s="7">
        <v>0</v>
      </c>
      <c r="AG17" s="7">
        <v>0</v>
      </c>
    </row>
    <row r="18" spans="1:33" ht="14.25" customHeight="1" x14ac:dyDescent="0.35">
      <c r="A18" s="1" t="s">
        <v>29</v>
      </c>
      <c r="B18" s="7">
        <v>0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  <c r="AB18" s="7">
        <v>0</v>
      </c>
      <c r="AC18" s="7">
        <v>0</v>
      </c>
      <c r="AD18" s="7">
        <v>0</v>
      </c>
      <c r="AE18" s="7">
        <v>0</v>
      </c>
      <c r="AF18" s="7">
        <v>0</v>
      </c>
      <c r="AG18" s="7">
        <v>0</v>
      </c>
    </row>
    <row r="19" spans="1:33" ht="14.25" customHeight="1" x14ac:dyDescent="0.35">
      <c r="A19" s="1" t="s">
        <v>32</v>
      </c>
      <c r="B19" s="7">
        <v>0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  <c r="W19" s="7">
        <v>0</v>
      </c>
      <c r="X19" s="7">
        <v>0</v>
      </c>
      <c r="Y19" s="7">
        <v>0</v>
      </c>
      <c r="Z19" s="7">
        <v>0</v>
      </c>
      <c r="AA19" s="7">
        <v>0</v>
      </c>
      <c r="AB19" s="7">
        <v>0</v>
      </c>
      <c r="AC19" s="7">
        <v>0</v>
      </c>
      <c r="AD19" s="7">
        <v>0</v>
      </c>
      <c r="AE19" s="7">
        <v>0</v>
      </c>
      <c r="AF19" s="7">
        <v>0</v>
      </c>
      <c r="AG19" s="7">
        <v>0</v>
      </c>
    </row>
    <row r="20" spans="1:33" ht="14.25" customHeight="1" x14ac:dyDescent="0.35">
      <c r="A20" s="1" t="s">
        <v>33</v>
      </c>
      <c r="B20" s="7">
        <v>0</v>
      </c>
      <c r="C20" s="7">
        <v>0</v>
      </c>
      <c r="D20" s="7">
        <v>0</v>
      </c>
      <c r="E20" s="7">
        <v>0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  <c r="W20" s="7">
        <v>0</v>
      </c>
      <c r="X20" s="7">
        <v>0</v>
      </c>
      <c r="Y20" s="7">
        <v>0</v>
      </c>
      <c r="Z20" s="7">
        <v>0</v>
      </c>
      <c r="AA20" s="7">
        <v>0</v>
      </c>
      <c r="AB20" s="7">
        <v>0</v>
      </c>
      <c r="AC20" s="7">
        <v>0</v>
      </c>
      <c r="AD20" s="7">
        <v>0</v>
      </c>
      <c r="AE20" s="7">
        <v>0</v>
      </c>
      <c r="AF20" s="7">
        <v>0</v>
      </c>
      <c r="AG20" s="7">
        <v>0</v>
      </c>
    </row>
    <row r="21" spans="1:33" ht="14.25" customHeight="1" x14ac:dyDescent="0.35">
      <c r="A21" s="1" t="s">
        <v>34</v>
      </c>
      <c r="B21" s="7">
        <v>0</v>
      </c>
      <c r="C21" s="7">
        <v>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  <c r="W21" s="7">
        <v>0</v>
      </c>
      <c r="X21" s="7">
        <v>0</v>
      </c>
      <c r="Y21" s="7">
        <v>0</v>
      </c>
      <c r="Z21" s="7">
        <v>0</v>
      </c>
      <c r="AA21" s="7">
        <v>0</v>
      </c>
      <c r="AB21" s="7">
        <v>0</v>
      </c>
      <c r="AC21" s="7">
        <v>0</v>
      </c>
      <c r="AD21" s="7">
        <v>0</v>
      </c>
      <c r="AE21" s="7">
        <v>0</v>
      </c>
      <c r="AF21" s="7">
        <v>0</v>
      </c>
      <c r="AG21" s="7">
        <v>0</v>
      </c>
    </row>
    <row r="22" spans="1:33" ht="14.25" customHeight="1" x14ac:dyDescent="0.35">
      <c r="A22" s="1" t="s">
        <v>35</v>
      </c>
      <c r="B22" s="7">
        <v>0</v>
      </c>
      <c r="C22" s="7">
        <v>0</v>
      </c>
      <c r="D22" s="7">
        <v>0</v>
      </c>
      <c r="E22" s="7">
        <v>0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  <c r="W22" s="7">
        <v>0</v>
      </c>
      <c r="X22" s="7">
        <v>0</v>
      </c>
      <c r="Y22" s="7">
        <v>0</v>
      </c>
      <c r="Z22" s="7">
        <v>0</v>
      </c>
      <c r="AA22" s="7">
        <v>0</v>
      </c>
      <c r="AB22" s="7">
        <v>0</v>
      </c>
      <c r="AC22" s="7">
        <v>0</v>
      </c>
      <c r="AD22" s="7">
        <v>0</v>
      </c>
      <c r="AE22" s="7">
        <v>0</v>
      </c>
      <c r="AF22" s="7">
        <v>0</v>
      </c>
      <c r="AG22" s="7">
        <v>0</v>
      </c>
    </row>
    <row r="23" spans="1:33" ht="14.25" customHeight="1" x14ac:dyDescent="0.35">
      <c r="A23" s="1" t="s">
        <v>36</v>
      </c>
      <c r="B23" s="7">
        <v>0</v>
      </c>
      <c r="C23" s="7">
        <v>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</row>
    <row r="24" spans="1:33" ht="14.25" customHeight="1" x14ac:dyDescent="0.35">
      <c r="A24" s="8" t="s">
        <v>37</v>
      </c>
      <c r="B24" s="7">
        <v>0</v>
      </c>
      <c r="C24" s="7">
        <v>0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  <c r="W24" s="7">
        <v>0</v>
      </c>
      <c r="X24" s="7">
        <v>0</v>
      </c>
      <c r="Y24" s="7">
        <v>0</v>
      </c>
      <c r="Z24" s="7">
        <v>0</v>
      </c>
      <c r="AA24" s="7">
        <v>0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</row>
    <row r="25" spans="1:33" ht="14.25" customHeight="1" x14ac:dyDescent="0.35">
      <c r="A25" s="8" t="s">
        <v>38</v>
      </c>
      <c r="B25" s="7">
        <v>0</v>
      </c>
      <c r="C25" s="7">
        <v>0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  <c r="W25" s="7">
        <v>0</v>
      </c>
      <c r="X25" s="7">
        <v>0</v>
      </c>
      <c r="Y25" s="7">
        <v>0</v>
      </c>
      <c r="Z25" s="7">
        <v>0</v>
      </c>
      <c r="AA25" s="7">
        <v>0</v>
      </c>
      <c r="AB25" s="7">
        <v>0</v>
      </c>
      <c r="AC25" s="7">
        <v>0</v>
      </c>
      <c r="AD25" s="7">
        <v>0</v>
      </c>
      <c r="AE25" s="7">
        <v>0</v>
      </c>
      <c r="AF25" s="7">
        <v>0</v>
      </c>
      <c r="AG25" s="7">
        <v>0</v>
      </c>
    </row>
    <row r="26" spans="1:33" ht="14.25" customHeight="1" x14ac:dyDescent="0.35"/>
    <row r="27" spans="1:33" ht="14.25" customHeight="1" x14ac:dyDescent="0.35"/>
    <row r="28" spans="1:33" ht="14.25" customHeight="1" x14ac:dyDescent="0.35"/>
    <row r="29" spans="1:33" ht="14.25" customHeight="1" x14ac:dyDescent="0.35"/>
    <row r="30" spans="1:33" ht="14.25" customHeight="1" x14ac:dyDescent="0.35"/>
    <row r="31" spans="1:33" ht="14.25" customHeight="1" x14ac:dyDescent="0.35"/>
    <row r="32" spans="1:33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  <row r="1001" ht="14.25" customHeight="1" x14ac:dyDescent="0.35"/>
  </sheetData>
  <pageMargins left="0.7" right="0.7" top="0.75" bottom="0.75" header="0" footer="0"/>
  <pageSetup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41A8AB53924247A2770D65450F5227" ma:contentTypeVersion="4" ma:contentTypeDescription="Create a new document." ma:contentTypeScope="" ma:versionID="90fff4f083191fe75a03dbd50c7739fc">
  <xsd:schema xmlns:xsd="http://www.w3.org/2001/XMLSchema" xmlns:xs="http://www.w3.org/2001/XMLSchema" xmlns:p="http://schemas.microsoft.com/office/2006/metadata/properties" xmlns:ns2="1659011e-6b88-4225-9a61-aaf33aaf19e8" targetNamespace="http://schemas.microsoft.com/office/2006/metadata/properties" ma:root="true" ma:fieldsID="7fee88694a371868130ae0617c69143c" ns2:_="">
    <xsd:import namespace="1659011e-6b88-4225-9a61-aaf33aaf19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59011e-6b88-4225-9a61-aaf33aaf19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9F8BF45-0D37-4291-880F-6619CF7BFA4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0A5B96CC-8B51-4C1F-B86B-89F45F7448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59011e-6b88-4225-9a61-aaf33aaf19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F1CD7F-1E6E-4A73-BBEF-D37BE32382A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coal retirement</vt:lpstr>
      <vt:lpstr>Computation</vt:lpstr>
      <vt:lpstr>BCRbQ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Zefania Sutrisno</dc:creator>
  <cp:lastModifiedBy>Mary Francis Swint</cp:lastModifiedBy>
  <dcterms:created xsi:type="dcterms:W3CDTF">2015-06-05T18:17:20Z</dcterms:created>
  <dcterms:modified xsi:type="dcterms:W3CDTF">2025-04-01T15:22:46Z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0x0101002041A8AB53924247A2770D65450F5227</vt:lpwstr>
  </property>
</Properties>
</file>