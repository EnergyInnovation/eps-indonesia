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0DE4042F-42EA-0142-A76E-C64ACF532F01}" xr6:coauthVersionLast="47" xr6:coauthVersionMax="47" xr10:uidLastSave="{00000000-0000-0000-0000-000000000000}"/>
  <bookViews>
    <workbookView xWindow="0" yWindow="780" windowWidth="34200" windowHeight="21360" activeTab="5"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BECF-pre-ret" sheetId="5" r:id="rId6"/>
    <sheet name="BECF-pre-nonret" sheetId="6" r:id="rId7"/>
    <sheet name="BECF-new"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D3" i="5" l="1"/>
  <c r="E3" i="5"/>
  <c r="F3" i="5"/>
  <c r="G3" i="5"/>
  <c r="H3" i="5"/>
  <c r="H12" i="5" s="1"/>
  <c r="I3" i="5"/>
  <c r="I12" i="5" s="1"/>
  <c r="J3" i="5"/>
  <c r="J12" i="5" s="1"/>
  <c r="K3" i="5"/>
  <c r="K12" i="5" s="1"/>
  <c r="L3" i="5"/>
  <c r="M3" i="5"/>
  <c r="N3" i="5"/>
  <c r="O3" i="5"/>
  <c r="O12" i="5" s="1"/>
  <c r="P3" i="5"/>
  <c r="Q3" i="5"/>
  <c r="Q12" i="5" s="1"/>
  <c r="R3" i="5"/>
  <c r="S3" i="5"/>
  <c r="S12" i="5" s="1"/>
  <c r="T3" i="5"/>
  <c r="U3" i="5"/>
  <c r="V3" i="5"/>
  <c r="W3" i="5"/>
  <c r="X3" i="5"/>
  <c r="Y3" i="5"/>
  <c r="Y12" i="5" s="1"/>
  <c r="Z3" i="5"/>
  <c r="AA3" i="5"/>
  <c r="AA12" i="5" s="1"/>
  <c r="AB3" i="5"/>
  <c r="AC3" i="5"/>
  <c r="AD3" i="5"/>
  <c r="AE3" i="5"/>
  <c r="AF3" i="5"/>
  <c r="AG3" i="5"/>
  <c r="AG12" i="5" s="1"/>
  <c r="C3" i="5"/>
  <c r="B3" i="5"/>
  <c r="D2" i="5"/>
  <c r="E2" i="5"/>
  <c r="F2" i="5"/>
  <c r="G2" i="5"/>
  <c r="H2" i="5"/>
  <c r="I2" i="5"/>
  <c r="J2" i="5"/>
  <c r="K2" i="5"/>
  <c r="L2" i="5"/>
  <c r="M2" i="5"/>
  <c r="N2" i="5"/>
  <c r="O2" i="5"/>
  <c r="P2" i="5"/>
  <c r="Q2" i="5"/>
  <c r="R2" i="5"/>
  <c r="S2" i="5"/>
  <c r="T2" i="5"/>
  <c r="U2" i="5"/>
  <c r="V2" i="5"/>
  <c r="W2" i="5"/>
  <c r="X2" i="5"/>
  <c r="Y2" i="5"/>
  <c r="Z2" i="5"/>
  <c r="AA2" i="5"/>
  <c r="AB2" i="5"/>
  <c r="AC2" i="5"/>
  <c r="AD2" i="5"/>
  <c r="AE2" i="5"/>
  <c r="AF2" i="5"/>
  <c r="AG2" i="5"/>
  <c r="C2" i="5"/>
  <c r="B2" i="5"/>
  <c r="C12" i="5"/>
  <c r="D12" i="5"/>
  <c r="E12" i="5"/>
  <c r="F12" i="5"/>
  <c r="G12" i="5"/>
  <c r="L12" i="5"/>
  <c r="M12" i="5"/>
  <c r="N12" i="5"/>
  <c r="P12" i="5"/>
  <c r="R12" i="5"/>
  <c r="T12" i="5"/>
  <c r="U12" i="5"/>
  <c r="V12" i="5"/>
  <c r="W12" i="5"/>
  <c r="X12" i="5"/>
  <c r="Z12" i="5"/>
  <c r="AB12" i="5"/>
  <c r="AC12" i="5"/>
  <c r="AD12" i="5"/>
  <c r="AE12" i="5"/>
  <c r="AF12" i="5"/>
  <c r="B12" i="5"/>
  <c r="D4" i="5"/>
  <c r="E4" i="5"/>
  <c r="F4" i="5"/>
  <c r="G4" i="5"/>
  <c r="H4" i="5"/>
  <c r="I4" i="5"/>
  <c r="J4" i="5"/>
  <c r="K4" i="5"/>
  <c r="L4" i="5"/>
  <c r="M4" i="5"/>
  <c r="N4" i="5"/>
  <c r="O4" i="5"/>
  <c r="P4" i="5"/>
  <c r="Q4" i="5"/>
  <c r="R4" i="5"/>
  <c r="S4" i="5"/>
  <c r="T4" i="5"/>
  <c r="U4" i="5"/>
  <c r="V4" i="5"/>
  <c r="W4" i="5"/>
  <c r="X4" i="5"/>
  <c r="Y4" i="5"/>
  <c r="Z4" i="5"/>
  <c r="AA4" i="5"/>
  <c r="AB4" i="5"/>
  <c r="AC4" i="5"/>
  <c r="AD4" i="5"/>
  <c r="AE4" i="5"/>
  <c r="AF4" i="5"/>
  <c r="AG4" i="5"/>
  <c r="D5" i="5"/>
  <c r="E5" i="5"/>
  <c r="F5" i="5"/>
  <c r="G5" i="5"/>
  <c r="H5" i="5"/>
  <c r="I5" i="5"/>
  <c r="J5" i="5"/>
  <c r="K5" i="5"/>
  <c r="L5" i="5"/>
  <c r="M5" i="5"/>
  <c r="N5" i="5"/>
  <c r="O5" i="5"/>
  <c r="P5" i="5"/>
  <c r="Q5" i="5"/>
  <c r="R5" i="5"/>
  <c r="S5" i="5"/>
  <c r="T5" i="5"/>
  <c r="U5" i="5"/>
  <c r="V5" i="5"/>
  <c r="W5" i="5"/>
  <c r="X5" i="5"/>
  <c r="Y5" i="5"/>
  <c r="Z5" i="5"/>
  <c r="AA5" i="5"/>
  <c r="AB5" i="5"/>
  <c r="AC5" i="5"/>
  <c r="AD5" i="5"/>
  <c r="AE5" i="5"/>
  <c r="AF5" i="5"/>
  <c r="AG5" i="5"/>
  <c r="D6" i="5"/>
  <c r="E6" i="5"/>
  <c r="F6" i="5"/>
  <c r="G6" i="5"/>
  <c r="H6" i="5"/>
  <c r="I6" i="5"/>
  <c r="J6" i="5"/>
  <c r="K6" i="5"/>
  <c r="L6" i="5"/>
  <c r="M6" i="5"/>
  <c r="N6" i="5"/>
  <c r="O6" i="5"/>
  <c r="P6" i="5"/>
  <c r="Q6" i="5"/>
  <c r="R6" i="5"/>
  <c r="S6" i="5"/>
  <c r="T6" i="5"/>
  <c r="U6" i="5"/>
  <c r="V6" i="5"/>
  <c r="W6" i="5"/>
  <c r="X6" i="5"/>
  <c r="Y6" i="5"/>
  <c r="Z6" i="5"/>
  <c r="AA6" i="5"/>
  <c r="AB6" i="5"/>
  <c r="AC6" i="5"/>
  <c r="AD6" i="5"/>
  <c r="AE6" i="5"/>
  <c r="AF6" i="5"/>
  <c r="AG6" i="5"/>
  <c r="D7" i="5"/>
  <c r="E7" i="5"/>
  <c r="F7" i="5"/>
  <c r="G7" i="5"/>
  <c r="H7" i="5"/>
  <c r="I7" i="5"/>
  <c r="J7" i="5"/>
  <c r="K7" i="5"/>
  <c r="L7" i="5"/>
  <c r="M7" i="5"/>
  <c r="N7" i="5"/>
  <c r="O7" i="5"/>
  <c r="P7" i="5"/>
  <c r="Q7" i="5"/>
  <c r="R7" i="5"/>
  <c r="S7" i="5"/>
  <c r="T7" i="5"/>
  <c r="U7" i="5"/>
  <c r="V7" i="5"/>
  <c r="W7" i="5"/>
  <c r="X7" i="5"/>
  <c r="Y7" i="5"/>
  <c r="Z7" i="5"/>
  <c r="AA7" i="5"/>
  <c r="AB7" i="5"/>
  <c r="AC7" i="5"/>
  <c r="AD7" i="5"/>
  <c r="AE7" i="5"/>
  <c r="AF7" i="5"/>
  <c r="AG7" i="5"/>
  <c r="D8" i="5"/>
  <c r="E8" i="5"/>
  <c r="F8" i="5"/>
  <c r="G8" i="5"/>
  <c r="H8" i="5"/>
  <c r="I8" i="5"/>
  <c r="J8" i="5"/>
  <c r="K8" i="5"/>
  <c r="L8" i="5"/>
  <c r="M8" i="5"/>
  <c r="N8" i="5"/>
  <c r="O8" i="5"/>
  <c r="P8" i="5"/>
  <c r="Q8" i="5"/>
  <c r="R8" i="5"/>
  <c r="S8" i="5"/>
  <c r="T8" i="5"/>
  <c r="U8" i="5"/>
  <c r="V8" i="5"/>
  <c r="W8" i="5"/>
  <c r="X8" i="5"/>
  <c r="Y8" i="5"/>
  <c r="Z8" i="5"/>
  <c r="AA8" i="5"/>
  <c r="AB8" i="5"/>
  <c r="AC8" i="5"/>
  <c r="AD8" i="5"/>
  <c r="AE8" i="5"/>
  <c r="AF8" i="5"/>
  <c r="AG8" i="5"/>
  <c r="D9" i="5"/>
  <c r="E9" i="5"/>
  <c r="F9" i="5"/>
  <c r="G9" i="5"/>
  <c r="H9" i="5"/>
  <c r="I9" i="5"/>
  <c r="J9" i="5"/>
  <c r="K9" i="5"/>
  <c r="L9" i="5"/>
  <c r="M9" i="5"/>
  <c r="N9" i="5"/>
  <c r="O9" i="5"/>
  <c r="P9" i="5"/>
  <c r="Q9" i="5"/>
  <c r="R9" i="5"/>
  <c r="S9" i="5"/>
  <c r="T9" i="5"/>
  <c r="U9" i="5"/>
  <c r="V9" i="5"/>
  <c r="W9" i="5"/>
  <c r="X9" i="5"/>
  <c r="Y9" i="5"/>
  <c r="Z9" i="5"/>
  <c r="AA9" i="5"/>
  <c r="AB9" i="5"/>
  <c r="AC9" i="5"/>
  <c r="AD9" i="5"/>
  <c r="AE9" i="5"/>
  <c r="AF9" i="5"/>
  <c r="AG9" i="5"/>
  <c r="D10" i="5"/>
  <c r="E10" i="5"/>
  <c r="F10" i="5"/>
  <c r="G10" i="5"/>
  <c r="H10" i="5"/>
  <c r="I10" i="5"/>
  <c r="J10" i="5"/>
  <c r="K10" i="5"/>
  <c r="L10" i="5"/>
  <c r="M10" i="5"/>
  <c r="N10" i="5"/>
  <c r="O10" i="5"/>
  <c r="P10" i="5"/>
  <c r="Q10" i="5"/>
  <c r="R10" i="5"/>
  <c r="S10" i="5"/>
  <c r="T10" i="5"/>
  <c r="U10" i="5"/>
  <c r="V10" i="5"/>
  <c r="W10" i="5"/>
  <c r="X10" i="5"/>
  <c r="Y10" i="5"/>
  <c r="Z10" i="5"/>
  <c r="AA10" i="5"/>
  <c r="AB10" i="5"/>
  <c r="AC10" i="5"/>
  <c r="AD10" i="5"/>
  <c r="AE10" i="5"/>
  <c r="AF10" i="5"/>
  <c r="AG10" i="5"/>
  <c r="D11" i="5"/>
  <c r="E11" i="5"/>
  <c r="F11" i="5"/>
  <c r="G11" i="5"/>
  <c r="H11" i="5"/>
  <c r="I11" i="5"/>
  <c r="J11" i="5"/>
  <c r="K11" i="5"/>
  <c r="L11" i="5"/>
  <c r="M11" i="5"/>
  <c r="N11" i="5"/>
  <c r="O11" i="5"/>
  <c r="P11" i="5"/>
  <c r="Q11" i="5"/>
  <c r="R11" i="5"/>
  <c r="S11" i="5"/>
  <c r="T11" i="5"/>
  <c r="U11" i="5"/>
  <c r="V11" i="5"/>
  <c r="W11" i="5"/>
  <c r="X11" i="5"/>
  <c r="Y11" i="5"/>
  <c r="Z11" i="5"/>
  <c r="AA11" i="5"/>
  <c r="AB11" i="5"/>
  <c r="AC11" i="5"/>
  <c r="AD11" i="5"/>
  <c r="AE11" i="5"/>
  <c r="AF11" i="5"/>
  <c r="AG11" i="5"/>
  <c r="D13" i="5"/>
  <c r="E13" i="5"/>
  <c r="F13" i="5"/>
  <c r="G13" i="5"/>
  <c r="H13" i="5"/>
  <c r="I13" i="5"/>
  <c r="J13" i="5"/>
  <c r="K13" i="5"/>
  <c r="L13" i="5"/>
  <c r="M13" i="5"/>
  <c r="N13" i="5"/>
  <c r="O13" i="5"/>
  <c r="P13" i="5"/>
  <c r="Q13" i="5"/>
  <c r="R13" i="5"/>
  <c r="S13" i="5"/>
  <c r="T13" i="5"/>
  <c r="U13" i="5"/>
  <c r="V13" i="5"/>
  <c r="W13" i="5"/>
  <c r="X13" i="5"/>
  <c r="Y13" i="5"/>
  <c r="Z13" i="5"/>
  <c r="AA13" i="5"/>
  <c r="AB13" i="5"/>
  <c r="AC13" i="5"/>
  <c r="AD13" i="5"/>
  <c r="AE13" i="5"/>
  <c r="AF13" i="5"/>
  <c r="AG13" i="5"/>
  <c r="D14" i="5"/>
  <c r="E14" i="5"/>
  <c r="F14" i="5"/>
  <c r="G14" i="5"/>
  <c r="H14" i="5"/>
  <c r="I14" i="5"/>
  <c r="J14" i="5"/>
  <c r="K14" i="5"/>
  <c r="L14" i="5"/>
  <c r="M14" i="5"/>
  <c r="N14" i="5"/>
  <c r="O14" i="5"/>
  <c r="P14" i="5"/>
  <c r="Q14" i="5"/>
  <c r="R14" i="5"/>
  <c r="S14" i="5"/>
  <c r="T14" i="5"/>
  <c r="U14" i="5"/>
  <c r="V14" i="5"/>
  <c r="W14" i="5"/>
  <c r="X14" i="5"/>
  <c r="Y14" i="5"/>
  <c r="Z14" i="5"/>
  <c r="AA14" i="5"/>
  <c r="AB14" i="5"/>
  <c r="AC14" i="5"/>
  <c r="AD14" i="5"/>
  <c r="AE14" i="5"/>
  <c r="AF14" i="5"/>
  <c r="AG14" i="5"/>
  <c r="D15" i="5"/>
  <c r="E15" i="5"/>
  <c r="F15" i="5"/>
  <c r="G15" i="5"/>
  <c r="H15" i="5"/>
  <c r="I15" i="5"/>
  <c r="J15" i="5"/>
  <c r="K15" i="5"/>
  <c r="L15" i="5"/>
  <c r="M15" i="5"/>
  <c r="N15" i="5"/>
  <c r="O15" i="5"/>
  <c r="P15" i="5"/>
  <c r="Q15" i="5"/>
  <c r="R15" i="5"/>
  <c r="S15" i="5"/>
  <c r="T15" i="5"/>
  <c r="U15" i="5"/>
  <c r="V15" i="5"/>
  <c r="W15" i="5"/>
  <c r="X15" i="5"/>
  <c r="Y15" i="5"/>
  <c r="Z15" i="5"/>
  <c r="AA15" i="5"/>
  <c r="AB15" i="5"/>
  <c r="AC15" i="5"/>
  <c r="AD15" i="5"/>
  <c r="AE15" i="5"/>
  <c r="AF15" i="5"/>
  <c r="AG15" i="5"/>
  <c r="D16" i="5"/>
  <c r="E16" i="5"/>
  <c r="F16" i="5"/>
  <c r="G16" i="5"/>
  <c r="H16" i="5"/>
  <c r="I16" i="5"/>
  <c r="J16" i="5"/>
  <c r="K16" i="5"/>
  <c r="L16" i="5"/>
  <c r="M16" i="5"/>
  <c r="N16" i="5"/>
  <c r="O16" i="5"/>
  <c r="P16" i="5"/>
  <c r="Q16" i="5"/>
  <c r="R16" i="5"/>
  <c r="S16" i="5"/>
  <c r="T16" i="5"/>
  <c r="U16" i="5"/>
  <c r="V16" i="5"/>
  <c r="W16" i="5"/>
  <c r="X16" i="5"/>
  <c r="Y16" i="5"/>
  <c r="Z16" i="5"/>
  <c r="AA16" i="5"/>
  <c r="AB16" i="5"/>
  <c r="AC16" i="5"/>
  <c r="AD16" i="5"/>
  <c r="AE16" i="5"/>
  <c r="AF16" i="5"/>
  <c r="AG16" i="5"/>
  <c r="D17" i="5"/>
  <c r="E17" i="5"/>
  <c r="F17" i="5"/>
  <c r="G17" i="5"/>
  <c r="H17" i="5"/>
  <c r="I17" i="5"/>
  <c r="J17" i="5"/>
  <c r="K17" i="5"/>
  <c r="L17" i="5"/>
  <c r="M17" i="5"/>
  <c r="N17" i="5"/>
  <c r="O17" i="5"/>
  <c r="P17" i="5"/>
  <c r="Q17" i="5"/>
  <c r="R17" i="5"/>
  <c r="S17" i="5"/>
  <c r="T17" i="5"/>
  <c r="U17" i="5"/>
  <c r="V17" i="5"/>
  <c r="W17" i="5"/>
  <c r="X17" i="5"/>
  <c r="Y17" i="5"/>
  <c r="Z17" i="5"/>
  <c r="AA17" i="5"/>
  <c r="AB17" i="5"/>
  <c r="AC17" i="5"/>
  <c r="AD17" i="5"/>
  <c r="AE17" i="5"/>
  <c r="AF17" i="5"/>
  <c r="AG17" i="5"/>
  <c r="C4" i="5"/>
  <c r="C5" i="5"/>
  <c r="C6" i="5"/>
  <c r="C7" i="5"/>
  <c r="C8" i="5"/>
  <c r="C9" i="5"/>
  <c r="C10" i="5"/>
  <c r="C11" i="5"/>
  <c r="C13" i="5"/>
  <c r="C14" i="5"/>
  <c r="C15" i="5"/>
  <c r="C16" i="5"/>
  <c r="C17" i="5"/>
  <c r="B4" i="5"/>
  <c r="B5" i="5"/>
  <c r="B6" i="5"/>
  <c r="B7" i="5"/>
  <c r="B8" i="5"/>
  <c r="B9" i="5"/>
  <c r="B10" i="5"/>
  <c r="B11" i="5"/>
  <c r="B13" i="5"/>
  <c r="B14" i="5"/>
  <c r="B15" i="5"/>
  <c r="B16" i="5"/>
  <c r="B17"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AP12" i="4" l="1"/>
  <c r="AH12" i="4"/>
  <c r="Z12" i="4"/>
  <c r="R12" i="4"/>
  <c r="AN12" i="4"/>
  <c r="AF12" i="4"/>
  <c r="X12" i="4"/>
  <c r="AU12" i="4"/>
  <c r="AM12" i="4"/>
  <c r="AE12" i="4"/>
  <c r="W12" i="4"/>
  <c r="B8" i="7"/>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B4" i="7" l="1"/>
  <c r="T4" i="7" s="1"/>
  <c r="F8" i="7"/>
  <c r="N8" i="7"/>
  <c r="V8" i="7"/>
  <c r="AD8" i="7"/>
  <c r="K8" i="7"/>
  <c r="T8" i="7"/>
  <c r="C8" i="7"/>
  <c r="M8" i="7"/>
  <c r="AC8" i="7"/>
  <c r="G8" i="7"/>
  <c r="O8" i="7"/>
  <c r="W8" i="7"/>
  <c r="AE8" i="7"/>
  <c r="J8" i="7"/>
  <c r="D8" i="7"/>
  <c r="S8" i="7"/>
  <c r="H8" i="7"/>
  <c r="P8" i="7"/>
  <c r="X8" i="7"/>
  <c r="AF8" i="7"/>
  <c r="Z8" i="7"/>
  <c r="E8" i="7"/>
  <c r="L8" i="7"/>
  <c r="AB8" i="7"/>
  <c r="U8" i="7"/>
  <c r="I8" i="7"/>
  <c r="Q8" i="7"/>
  <c r="Y8" i="7"/>
  <c r="AG8" i="7"/>
  <c r="R8" i="7"/>
  <c r="AA8" i="7"/>
  <c r="B17" i="7"/>
  <c r="B9" i="7"/>
  <c r="B10" i="7"/>
  <c r="B13" i="7"/>
  <c r="B2" i="7"/>
  <c r="B5" i="7"/>
  <c r="J14" i="4"/>
  <c r="F4" i="4"/>
  <c r="C7" i="4"/>
  <c r="B8" i="4"/>
  <c r="J8" i="4"/>
  <c r="I9" i="4"/>
  <c r="H10" i="4"/>
  <c r="G11" i="4"/>
  <c r="F12" i="4"/>
  <c r="E13" i="4"/>
  <c r="D14" i="4"/>
  <c r="K4" i="7" l="1"/>
  <c r="AC4" i="7"/>
  <c r="Z4" i="7"/>
  <c r="N4" i="7"/>
  <c r="AG4" i="7"/>
  <c r="I4" i="7"/>
  <c r="V4" i="7"/>
  <c r="S4" i="7"/>
  <c r="X4" i="7"/>
  <c r="M4" i="7"/>
  <c r="AD4" i="7"/>
  <c r="G4" i="7"/>
  <c r="AF4" i="7"/>
  <c r="U4" i="7"/>
  <c r="O4" i="7"/>
  <c r="AB4" i="7"/>
  <c r="D4" i="7"/>
  <c r="L4" i="7"/>
  <c r="Y4" i="7"/>
  <c r="W4" i="7"/>
  <c r="P4" i="7"/>
  <c r="Q4" i="7"/>
  <c r="E4" i="7"/>
  <c r="R4" i="7"/>
  <c r="C4" i="7"/>
  <c r="J4" i="7"/>
  <c r="F4" i="7"/>
  <c r="H4" i="7"/>
  <c r="AE4" i="7"/>
  <c r="AA4" i="7"/>
  <c r="B7" i="7"/>
  <c r="B3" i="7"/>
  <c r="B12" i="7"/>
  <c r="AG10" i="7"/>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B14" i="7" l="1"/>
  <c r="I14" i="7" s="1"/>
  <c r="B6" i="7"/>
  <c r="C6" i="7" s="1"/>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C7" i="7"/>
  <c r="AG3" i="7"/>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B15" i="7"/>
  <c r="AG12" i="7"/>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B11" i="7"/>
  <c r="F14" i="7" l="1"/>
  <c r="R14" i="7"/>
  <c r="H14" i="7"/>
  <c r="D14" i="7"/>
  <c r="P14" i="7"/>
  <c r="T14" i="7"/>
  <c r="X14" i="7"/>
  <c r="E14" i="7"/>
  <c r="K14" i="7"/>
  <c r="V14" i="7"/>
  <c r="AF14" i="7"/>
  <c r="J14" i="7"/>
  <c r="AA14" i="7"/>
  <c r="AD14" i="7"/>
  <c r="Q14" i="7"/>
  <c r="S14" i="7"/>
  <c r="L14" i="7"/>
  <c r="O14" i="7"/>
  <c r="Y14" i="7"/>
  <c r="U14" i="7"/>
  <c r="AB14" i="7"/>
  <c r="W14" i="7"/>
  <c r="AG14" i="7"/>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G14" i="7"/>
  <c r="AG11" i="7"/>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B16" i="7"/>
  <c r="AG15" i="7"/>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<sst xmlns="http://schemas.openxmlformats.org/spreadsheetml/2006/main" count="401" uniqueCount="150">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</sst>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1"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1">
    <xf numFmtId="0" fontId="0" fillId="0" borderId="0"/>
  </cellStyleXfs>
  <cellXfs count="101">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wrapText="1"/>
    </xf>
    <xf numFmtId="0" fontId="4" fillId="0" borderId="5" xfId="0" applyFont="1" applyBorder="1"/>
    <xf numFmtId="0" fontId="3" fillId="0" borderId="7" xfId="0" quotePrefix="1" applyFont="1" applyBorder="1" applyAlignment="1">
      <alignment horizontal="left" wrapText="1"/>
    </xf>
    <xf numFmtId="0" fontId="4" fillId="0" borderId="8" xfId="0" applyFont="1" applyBorder="1"/>
    <xf numFmtId="0" fontId="4" fillId="0" borderId="9" xfId="0" applyFont="1" applyBorder="1"/>
    <xf numFmtId="0" fontId="4" fillId="0" borderId="10" xfId="0" applyFont="1" applyBorder="1"/>
    <xf numFmtId="0" fontId="3" fillId="0" borderId="7" xfId="0" quotePrefix="1" applyFont="1" applyBorder="1" applyAlignment="1">
      <alignment horizontal="left" vertical="center" wrapText="1"/>
    </xf>
    <xf numFmtId="0" fontId="4" fillId="0" borderId="11" xfId="0" applyFont="1" applyBorder="1"/>
    <xf numFmtId="0" fontId="4" fillId="0" borderId="12" xfId="0" applyFont="1" applyBorder="1"/>
    <xf numFmtId="0" fontId="3" fillId="0" borderId="7" xfId="0" applyFont="1" applyBorder="1" applyAlignment="1">
      <alignment horizontal="left" vertical="center"/>
    </xf>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horizontal="left"/>
    </xf>
    <xf numFmtId="0" fontId="3" fillId="0" borderId="4" xfId="0" applyFont="1" applyBorder="1" applyAlignment="1">
      <alignment horizontal="left" wrapText="1"/>
    </xf>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sdm.go.id/assets/media/content/content-handbook-of-energy-and-economic-statistics-of-indonesia-202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0"/>
  <sheetViews>
    <sheetView workbookViewId="0"/>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75" t="s">
        <v>2</v>
      </c>
      <c r="C3" s="76"/>
      <c r="D3" s="76"/>
      <c r="E3" s="76"/>
      <c r="F3" s="76"/>
      <c r="G3" s="76"/>
      <c r="H3" s="76"/>
      <c r="I3" s="77"/>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2"/>
    </row>
    <row r="11" spans="1:9" ht="14.25" customHeight="1" x14ac:dyDescent="0.2">
      <c r="A11" s="1" t="s">
        <v>7</v>
      </c>
      <c r="B11" s="2"/>
    </row>
    <row r="12" spans="1:9" ht="14.25" customHeight="1" x14ac:dyDescent="0.2">
      <c r="B12" s="78" t="s">
        <v>8</v>
      </c>
      <c r="C12" s="79"/>
      <c r="D12" s="79"/>
      <c r="E12" s="79"/>
      <c r="F12" s="79"/>
      <c r="G12" s="79"/>
      <c r="H12" s="79"/>
      <c r="I12" s="79"/>
    </row>
    <row r="13" spans="1:9" ht="14.25" customHeight="1" x14ac:dyDescent="0.2">
      <c r="B13" s="79"/>
      <c r="C13" s="79"/>
      <c r="D13" s="79"/>
      <c r="E13" s="79"/>
      <c r="F13" s="79"/>
      <c r="G13" s="79"/>
      <c r="H13" s="79"/>
      <c r="I13" s="79"/>
    </row>
    <row r="14" spans="1:9" ht="14.25" customHeight="1" x14ac:dyDescent="0.2">
      <c r="B14" s="79"/>
      <c r="C14" s="79"/>
      <c r="D14" s="79"/>
      <c r="E14" s="79"/>
      <c r="F14" s="79"/>
      <c r="G14" s="79"/>
      <c r="H14" s="79"/>
      <c r="I14" s="79"/>
    </row>
    <row r="15" spans="1:9" ht="14.25" customHeight="1" x14ac:dyDescent="0.2">
      <c r="B15" s="79"/>
      <c r="C15" s="79"/>
      <c r="D15" s="79"/>
      <c r="E15" s="79"/>
      <c r="F15" s="79"/>
      <c r="G15" s="79"/>
      <c r="H15" s="79"/>
      <c r="I15" s="79"/>
    </row>
    <row r="16" spans="1:9" ht="14.25" customHeight="1" x14ac:dyDescent="0.2">
      <c r="B16" s="79"/>
      <c r="C16" s="79"/>
      <c r="D16" s="79"/>
      <c r="E16" s="79"/>
      <c r="F16" s="79"/>
      <c r="G16" s="79"/>
      <c r="H16" s="79"/>
      <c r="I16" s="79"/>
    </row>
    <row r="17" spans="2:9" ht="14.25" customHeight="1" x14ac:dyDescent="0.2">
      <c r="B17" s="79"/>
      <c r="C17" s="79"/>
      <c r="D17" s="79"/>
      <c r="E17" s="79"/>
      <c r="F17" s="79"/>
      <c r="G17" s="79"/>
      <c r="H17" s="79"/>
      <c r="I17" s="79"/>
    </row>
    <row r="18" spans="2:9" ht="14.25" customHeight="1" x14ac:dyDescent="0.2">
      <c r="B18" s="79"/>
      <c r="C18" s="79"/>
      <c r="D18" s="79"/>
      <c r="E18" s="79"/>
      <c r="F18" s="79"/>
      <c r="G18" s="79"/>
      <c r="H18" s="79"/>
      <c r="I18" s="79"/>
    </row>
    <row r="19" spans="2:9" ht="14.25" customHeight="1" x14ac:dyDescent="0.2">
      <c r="B19" s="79"/>
      <c r="C19" s="79"/>
      <c r="D19" s="79"/>
      <c r="E19" s="79"/>
      <c r="F19" s="79"/>
      <c r="G19" s="79"/>
      <c r="H19" s="79"/>
      <c r="I19" s="79"/>
    </row>
    <row r="20" spans="2:9" ht="14.25" customHeight="1" x14ac:dyDescent="0.2">
      <c r="B20" s="79"/>
      <c r="C20" s="79"/>
      <c r="D20" s="79"/>
      <c r="E20" s="79"/>
      <c r="F20" s="79"/>
      <c r="G20" s="79"/>
      <c r="H20" s="79"/>
      <c r="I20" s="79"/>
    </row>
    <row r="21" spans="2:9" ht="14.25" customHeight="1" x14ac:dyDescent="0.2">
      <c r="B21" s="79"/>
      <c r="C21" s="79"/>
      <c r="D21" s="79"/>
      <c r="E21" s="79"/>
      <c r="F21" s="79"/>
      <c r="G21" s="79"/>
      <c r="H21" s="79"/>
      <c r="I21" s="79"/>
    </row>
    <row r="22" spans="2:9" ht="14.25" customHeight="1" x14ac:dyDescent="0.2">
      <c r="B22" s="79"/>
      <c r="C22" s="79"/>
      <c r="D22" s="79"/>
      <c r="E22" s="79"/>
      <c r="F22" s="79"/>
      <c r="G22" s="79"/>
      <c r="H22" s="79"/>
      <c r="I22" s="79"/>
    </row>
    <row r="23" spans="2:9" ht="14.25" customHeight="1" x14ac:dyDescent="0.2">
      <c r="B23" s="79"/>
      <c r="C23" s="79"/>
      <c r="D23" s="79"/>
      <c r="E23" s="79"/>
      <c r="F23" s="79"/>
      <c r="G23" s="79"/>
      <c r="H23" s="79"/>
      <c r="I23" s="79"/>
    </row>
    <row r="24" spans="2:9" ht="14.25" customHeight="1" x14ac:dyDescent="0.2">
      <c r="B24" s="79"/>
      <c r="C24" s="79"/>
      <c r="D24" s="79"/>
      <c r="E24" s="79"/>
      <c r="F24" s="79"/>
      <c r="G24" s="79"/>
      <c r="H24" s="79"/>
      <c r="I24" s="79"/>
    </row>
    <row r="25" spans="2:9" ht="14.25" customHeight="1" x14ac:dyDescent="0.2"/>
    <row r="26" spans="2:9" ht="14.25" customHeight="1" x14ac:dyDescent="0.2"/>
    <row r="27" spans="2:9" ht="14.25" customHeight="1" x14ac:dyDescent="0.2"/>
    <row r="28" spans="2:9" ht="14.25" customHeight="1" x14ac:dyDescent="0.2"/>
    <row r="29" spans="2:9" ht="14.25" customHeight="1" x14ac:dyDescent="0.2"/>
    <row r="30" spans="2:9" ht="14.25" customHeight="1" x14ac:dyDescent="0.2"/>
    <row r="31" spans="2:9" ht="14.25" customHeight="1" x14ac:dyDescent="0.2"/>
    <row r="32" spans="2:9"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2">
    <mergeCell ref="B3:I3"/>
    <mergeCell ref="B12:I24"/>
  </mergeCells>
  <hyperlinks>
    <hyperlink ref="B7"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91" t="s">
        <v>9</v>
      </c>
      <c r="B1" s="76"/>
      <c r="C1" s="77"/>
      <c r="D1" s="1" t="s">
        <v>10</v>
      </c>
    </row>
    <row r="2" spans="1:30" ht="14.25" customHeight="1" x14ac:dyDescent="0.2">
      <c r="A2" s="5"/>
      <c r="B2" s="5"/>
      <c r="C2" s="5"/>
    </row>
    <row r="3" spans="1:30" ht="34.5" customHeight="1" x14ac:dyDescent="0.2">
      <c r="A3" s="92" t="s">
        <v>11</v>
      </c>
      <c r="B3" s="81"/>
      <c r="C3" s="93" t="s">
        <v>12</v>
      </c>
      <c r="D3" s="81"/>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94" t="s">
        <v>15</v>
      </c>
      <c r="B4" s="83"/>
      <c r="C4" s="95" t="s">
        <v>24</v>
      </c>
      <c r="D4" s="81"/>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84"/>
      <c r="B5" s="85"/>
      <c r="C5" s="95" t="s">
        <v>26</v>
      </c>
      <c r="D5" s="81"/>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80" t="s">
        <v>16</v>
      </c>
      <c r="B6" s="81"/>
      <c r="C6" s="95" t="s">
        <v>27</v>
      </c>
      <c r="D6" s="81"/>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82" t="s">
        <v>17</v>
      </c>
      <c r="B7" s="83"/>
      <c r="C7" s="95" t="s">
        <v>29</v>
      </c>
      <c r="D7" s="81"/>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84"/>
      <c r="B8" s="85"/>
      <c r="C8" s="95" t="s">
        <v>30</v>
      </c>
      <c r="D8" s="81"/>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86" t="s">
        <v>18</v>
      </c>
      <c r="B9" s="83"/>
      <c r="C9" s="95" t="s">
        <v>31</v>
      </c>
      <c r="D9" s="81"/>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87"/>
      <c r="B10" s="88"/>
      <c r="C10" s="95" t="s">
        <v>33</v>
      </c>
      <c r="D10" s="81"/>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87"/>
      <c r="B11" s="88"/>
      <c r="C11" s="95" t="s">
        <v>34</v>
      </c>
      <c r="D11" s="81"/>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84"/>
      <c r="B12" s="85"/>
      <c r="C12" s="95" t="s">
        <v>35</v>
      </c>
      <c r="D12" s="81"/>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86" t="s">
        <v>19</v>
      </c>
      <c r="B13" s="83"/>
      <c r="C13" s="95" t="s">
        <v>36</v>
      </c>
      <c r="D13" s="81"/>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84"/>
      <c r="B14" s="85"/>
      <c r="C14" s="95" t="s">
        <v>38</v>
      </c>
      <c r="D14" s="81"/>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86" t="s">
        <v>20</v>
      </c>
      <c r="B17" s="83"/>
      <c r="C17" s="95" t="s">
        <v>39</v>
      </c>
      <c r="D17" s="81"/>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84"/>
      <c r="B18" s="85"/>
      <c r="C18" s="95" t="s">
        <v>40</v>
      </c>
      <c r="D18" s="81"/>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89" t="s">
        <v>21</v>
      </c>
      <c r="B19" s="83"/>
      <c r="C19" s="95" t="s">
        <v>42</v>
      </c>
      <c r="D19" s="81"/>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87"/>
      <c r="B20" s="88"/>
      <c r="C20" s="95" t="s">
        <v>47</v>
      </c>
      <c r="D20" s="81"/>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84"/>
      <c r="B21" s="85"/>
      <c r="C21" s="95" t="s">
        <v>48</v>
      </c>
      <c r="D21" s="81"/>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90" t="s">
        <v>22</v>
      </c>
      <c r="B22" s="81"/>
      <c r="C22" s="95" t="s">
        <v>49</v>
      </c>
      <c r="D22" s="81"/>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89" t="s">
        <v>23</v>
      </c>
      <c r="B23" s="83"/>
      <c r="C23" s="95" t="s">
        <v>50</v>
      </c>
      <c r="D23" s="81"/>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87"/>
      <c r="B24" s="88"/>
      <c r="C24" s="96" t="s">
        <v>51</v>
      </c>
      <c r="D24" s="81"/>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87"/>
      <c r="B25" s="88"/>
      <c r="C25" s="96" t="s">
        <v>52</v>
      </c>
      <c r="D25" s="81"/>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87"/>
      <c r="B26" s="88"/>
      <c r="C26" s="96" t="s">
        <v>53</v>
      </c>
      <c r="D26" s="81"/>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84"/>
      <c r="B27" s="85"/>
      <c r="C27" s="95" t="s">
        <v>38</v>
      </c>
      <c r="D27" s="81"/>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97" t="s">
        <v>55</v>
      </c>
      <c r="G35" s="79"/>
      <c r="H35" s="79"/>
      <c r="I35" s="79"/>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98" t="s">
        <v>67</v>
      </c>
      <c r="B53" s="76"/>
      <c r="C53" s="76"/>
      <c r="D53" s="77"/>
      <c r="E53" s="26" t="s">
        <v>10</v>
      </c>
    </row>
    <row r="54" spans="1:18" ht="14.25" customHeight="1" x14ac:dyDescent="0.2">
      <c r="A54" s="37"/>
      <c r="B54" s="37"/>
      <c r="C54" s="37"/>
      <c r="D54" s="37"/>
      <c r="F54" s="97" t="s">
        <v>55</v>
      </c>
      <c r="G54" s="79"/>
      <c r="H54" s="79"/>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99" t="s">
        <v>71</v>
      </c>
      <c r="B70" s="76"/>
      <c r="C70" s="76"/>
      <c r="D70" s="77"/>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C27:D27"/>
    <mergeCell ref="F35:I35"/>
    <mergeCell ref="F54:H54"/>
    <mergeCell ref="A53:D53"/>
    <mergeCell ref="A70:D70"/>
    <mergeCell ref="C13:D13"/>
    <mergeCell ref="C23:D23"/>
    <mergeCell ref="C24:D24"/>
    <mergeCell ref="C25:D25"/>
    <mergeCell ref="C26:D26"/>
    <mergeCell ref="C14:D14"/>
    <mergeCell ref="C17:D17"/>
    <mergeCell ref="C18:D18"/>
    <mergeCell ref="C19:D19"/>
    <mergeCell ref="C20:D20"/>
    <mergeCell ref="C21:D21"/>
    <mergeCell ref="C22:D22"/>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A6:B6"/>
    <mergeCell ref="A7:B8"/>
    <mergeCell ref="A9:B12"/>
    <mergeCell ref="A13:B14"/>
    <mergeCell ref="A17:B18"/>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91" t="s">
        <v>77</v>
      </c>
      <c r="B1" s="76"/>
      <c r="C1" s="77"/>
      <c r="D1" s="1" t="s">
        <v>78</v>
      </c>
    </row>
    <row r="2" spans="1:26" ht="14.25" customHeight="1" x14ac:dyDescent="0.2">
      <c r="A2" s="5"/>
      <c r="B2" s="5"/>
      <c r="C2" s="5"/>
    </row>
    <row r="3" spans="1:26" ht="39" customHeight="1" x14ac:dyDescent="0.2">
      <c r="A3" s="92" t="s">
        <v>11</v>
      </c>
      <c r="B3" s="81"/>
      <c r="C3" s="93" t="s">
        <v>12</v>
      </c>
      <c r="D3" s="81"/>
      <c r="E3" s="6" t="s">
        <v>13</v>
      </c>
      <c r="G3" s="7" t="s">
        <v>14</v>
      </c>
      <c r="H3" s="8" t="s">
        <v>15</v>
      </c>
      <c r="I3" s="8" t="s">
        <v>16</v>
      </c>
      <c r="J3" s="10" t="s">
        <v>17</v>
      </c>
      <c r="K3" s="11" t="s">
        <v>18</v>
      </c>
      <c r="L3" s="11" t="s">
        <v>19</v>
      </c>
      <c r="M3" s="11" t="s">
        <v>20</v>
      </c>
      <c r="N3" s="8" t="s">
        <v>21</v>
      </c>
      <c r="O3" s="8" t="s">
        <v>22</v>
      </c>
      <c r="P3" s="8" t="s">
        <v>23</v>
      </c>
    </row>
    <row r="4" spans="1:26" ht="14.25" customHeight="1" x14ac:dyDescent="0.2">
      <c r="A4" s="94" t="s">
        <v>15</v>
      </c>
      <c r="B4" s="83"/>
      <c r="C4" s="90" t="s">
        <v>24</v>
      </c>
      <c r="D4" s="81"/>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87"/>
      <c r="B5" s="88"/>
      <c r="C5" s="95" t="s">
        <v>26</v>
      </c>
      <c r="D5" s="81"/>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84"/>
      <c r="B6" s="85"/>
      <c r="C6" s="95" t="s">
        <v>79</v>
      </c>
      <c r="D6" s="81"/>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80" t="s">
        <v>16</v>
      </c>
      <c r="B7" s="81"/>
      <c r="C7" s="100" t="s">
        <v>27</v>
      </c>
      <c r="D7" s="81"/>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82" t="s">
        <v>17</v>
      </c>
      <c r="B8" s="83"/>
      <c r="C8" s="100" t="s">
        <v>80</v>
      </c>
      <c r="D8" s="81"/>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87"/>
      <c r="B9" s="88"/>
      <c r="C9" s="100" t="s">
        <v>29</v>
      </c>
      <c r="D9" s="81"/>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84"/>
      <c r="B10" s="85"/>
      <c r="C10" s="95" t="s">
        <v>50</v>
      </c>
      <c r="D10" s="81"/>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86" t="s">
        <v>18</v>
      </c>
      <c r="B11" s="83"/>
      <c r="C11" s="100" t="s">
        <v>81</v>
      </c>
      <c r="D11" s="81"/>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87"/>
      <c r="B12" s="88"/>
      <c r="C12" s="100" t="s">
        <v>34</v>
      </c>
      <c r="D12" s="81"/>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87"/>
      <c r="B13" s="88"/>
      <c r="C13" s="100" t="s">
        <v>82</v>
      </c>
      <c r="D13" s="81"/>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84"/>
      <c r="B14" s="85"/>
      <c r="C14" s="100" t="s">
        <v>35</v>
      </c>
      <c r="D14" s="81"/>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86" t="s">
        <v>19</v>
      </c>
      <c r="B17" s="83"/>
      <c r="C17" s="100" t="s">
        <v>36</v>
      </c>
      <c r="D17" s="81"/>
      <c r="E17" s="12" t="s">
        <v>28</v>
      </c>
    </row>
    <row r="18" spans="1:11" ht="14.25" customHeight="1" x14ac:dyDescent="0.2">
      <c r="A18" s="84"/>
      <c r="B18" s="85"/>
      <c r="C18" s="100" t="s">
        <v>38</v>
      </c>
      <c r="D18" s="81"/>
      <c r="E18" s="12">
        <v>2</v>
      </c>
      <c r="G18" s="2" t="s">
        <v>83</v>
      </c>
    </row>
    <row r="19" spans="1:11" ht="14.25" customHeight="1" x14ac:dyDescent="0.2">
      <c r="A19" s="86" t="s">
        <v>20</v>
      </c>
      <c r="B19" s="83"/>
      <c r="C19" s="100" t="s">
        <v>84</v>
      </c>
      <c r="D19" s="81"/>
      <c r="E19" s="12">
        <v>1</v>
      </c>
      <c r="H19" s="2" t="s">
        <v>43</v>
      </c>
      <c r="I19" s="2" t="s">
        <v>44</v>
      </c>
      <c r="J19" s="2" t="s">
        <v>45</v>
      </c>
      <c r="K19" s="2" t="s">
        <v>46</v>
      </c>
    </row>
    <row r="20" spans="1:11" ht="14.25" customHeight="1" x14ac:dyDescent="0.2">
      <c r="A20" s="84"/>
      <c r="B20" s="85"/>
      <c r="C20" s="95" t="s">
        <v>85</v>
      </c>
      <c r="D20" s="81"/>
      <c r="E20" s="12">
        <v>1</v>
      </c>
      <c r="G20" s="2">
        <v>2010</v>
      </c>
      <c r="H20" s="2">
        <v>0.85808550527515348</v>
      </c>
      <c r="I20" s="2">
        <v>0.12336874609418079</v>
      </c>
      <c r="J20" s="2">
        <v>1.8545748630665736E-2</v>
      </c>
      <c r="K20" s="2">
        <v>0</v>
      </c>
    </row>
    <row r="21" spans="1:11" ht="14.25" customHeight="1" x14ac:dyDescent="0.2">
      <c r="A21" s="89" t="s">
        <v>21</v>
      </c>
      <c r="B21" s="83"/>
      <c r="C21" s="95" t="s">
        <v>47</v>
      </c>
      <c r="D21" s="81"/>
      <c r="E21" s="12" t="s">
        <v>28</v>
      </c>
      <c r="G21" s="2">
        <v>2011</v>
      </c>
      <c r="H21" s="2">
        <v>0.88151309034907599</v>
      </c>
      <c r="I21" s="2">
        <v>0.10239668891170431</v>
      </c>
      <c r="J21" s="2">
        <v>1.6090220739219712E-2</v>
      </c>
      <c r="K21" s="2">
        <v>0</v>
      </c>
    </row>
    <row r="22" spans="1:11" ht="14.25" customHeight="1" x14ac:dyDescent="0.2">
      <c r="A22" s="84"/>
      <c r="B22" s="85"/>
      <c r="C22" s="21" t="s">
        <v>42</v>
      </c>
      <c r="D22" s="21"/>
      <c r="E22" s="12" t="s">
        <v>28</v>
      </c>
      <c r="G22" s="2">
        <v>2012</v>
      </c>
      <c r="H22" s="2">
        <v>0.90260487923817778</v>
      </c>
      <c r="I22" s="2">
        <v>3.238828007531528E-2</v>
      </c>
      <c r="J22" s="2">
        <v>6.5006840686506917E-2</v>
      </c>
      <c r="K22" s="2">
        <v>0</v>
      </c>
    </row>
    <row r="23" spans="1:11" ht="14.25" customHeight="1" x14ac:dyDescent="0.2">
      <c r="A23" s="90" t="s">
        <v>22</v>
      </c>
      <c r="B23" s="81"/>
      <c r="C23" s="95" t="s">
        <v>49</v>
      </c>
      <c r="D23" s="81"/>
      <c r="E23" s="12">
        <v>1</v>
      </c>
      <c r="G23" s="2">
        <v>2013</v>
      </c>
      <c r="H23" s="2">
        <v>0.91866829566279784</v>
      </c>
      <c r="I23" s="2">
        <v>1.2889431887599266E-2</v>
      </c>
      <c r="J23" s="2">
        <v>6.8442272449602937E-2</v>
      </c>
      <c r="K23" s="2">
        <v>0</v>
      </c>
    </row>
    <row r="24" spans="1:11" ht="14.25" customHeight="1" x14ac:dyDescent="0.2">
      <c r="A24" s="89" t="s">
        <v>23</v>
      </c>
      <c r="B24" s="83"/>
      <c r="C24" s="95" t="s">
        <v>50</v>
      </c>
      <c r="D24" s="81"/>
      <c r="E24" s="12">
        <v>1</v>
      </c>
      <c r="G24" s="2">
        <v>2014</v>
      </c>
      <c r="H24" s="2">
        <v>0.92650979869350758</v>
      </c>
      <c r="I24" s="2">
        <v>8.432209038794828E-3</v>
      </c>
      <c r="J24" s="2">
        <v>6.5057992267697637E-2</v>
      </c>
      <c r="K24" s="2">
        <v>0</v>
      </c>
    </row>
    <row r="25" spans="1:11" ht="14.25" customHeight="1" x14ac:dyDescent="0.2">
      <c r="A25" s="87"/>
      <c r="B25" s="88"/>
      <c r="C25" s="100" t="s">
        <v>53</v>
      </c>
      <c r="D25" s="81"/>
      <c r="E25" s="12">
        <v>2</v>
      </c>
      <c r="G25" s="2">
        <v>2015</v>
      </c>
      <c r="H25" s="2">
        <v>0.88047252883542104</v>
      </c>
      <c r="I25" s="2">
        <v>0.11801852081524659</v>
      </c>
      <c r="J25" s="2">
        <v>1.5089503493323411E-3</v>
      </c>
      <c r="K25" s="2">
        <v>0</v>
      </c>
    </row>
    <row r="26" spans="1:11" ht="14.25" customHeight="1" x14ac:dyDescent="0.2">
      <c r="A26" s="87"/>
      <c r="B26" s="88"/>
      <c r="C26" s="96" t="s">
        <v>51</v>
      </c>
      <c r="D26" s="81"/>
      <c r="E26" s="12">
        <v>2</v>
      </c>
      <c r="G26" s="2">
        <v>2016</v>
      </c>
      <c r="H26" s="2">
        <v>0.94321304268180983</v>
      </c>
      <c r="I26" s="2">
        <v>1.1113146485925382E-2</v>
      </c>
      <c r="J26" s="2">
        <v>4.5673810832264759E-2</v>
      </c>
      <c r="K26" s="2">
        <v>0</v>
      </c>
    </row>
    <row r="27" spans="1:11" ht="14.25" customHeight="1" x14ac:dyDescent="0.2">
      <c r="A27" s="87"/>
      <c r="B27" s="88"/>
      <c r="C27" s="96" t="s">
        <v>52</v>
      </c>
      <c r="D27" s="81"/>
      <c r="E27" s="12">
        <v>2</v>
      </c>
      <c r="G27" s="2">
        <v>2017</v>
      </c>
      <c r="H27" s="2">
        <v>0.95798708603949823</v>
      </c>
      <c r="I27" s="2">
        <v>2.6943475424714256E-3</v>
      </c>
      <c r="J27" s="2">
        <v>3.9318566418030387E-2</v>
      </c>
      <c r="K27" s="2">
        <v>0</v>
      </c>
    </row>
    <row r="28" spans="1:11" ht="14.25" customHeight="1" x14ac:dyDescent="0.2">
      <c r="A28" s="84"/>
      <c r="B28" s="85"/>
      <c r="C28" s="95" t="s">
        <v>38</v>
      </c>
      <c r="D28" s="81"/>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C21:D21"/>
    <mergeCell ref="C27:D27"/>
    <mergeCell ref="C28:D28"/>
    <mergeCell ref="A21:B22"/>
    <mergeCell ref="A23:B23"/>
    <mergeCell ref="C23:D23"/>
    <mergeCell ref="A24:B28"/>
    <mergeCell ref="C24:D24"/>
    <mergeCell ref="C25:D25"/>
    <mergeCell ref="C26:D26"/>
    <mergeCell ref="A17:B18"/>
    <mergeCell ref="C17:D17"/>
    <mergeCell ref="C18:D18"/>
    <mergeCell ref="A19:B20"/>
    <mergeCell ref="C19:D19"/>
    <mergeCell ref="C20:D20"/>
    <mergeCell ref="C11:D11"/>
    <mergeCell ref="C12:D12"/>
    <mergeCell ref="C13:D13"/>
    <mergeCell ref="C14:D14"/>
    <mergeCell ref="A7:B7"/>
    <mergeCell ref="C7:D7"/>
    <mergeCell ref="A8:B10"/>
    <mergeCell ref="C8:D8"/>
    <mergeCell ref="C9:D9"/>
    <mergeCell ref="C10:D10"/>
    <mergeCell ref="A11:B14"/>
    <mergeCell ref="A1:C1"/>
    <mergeCell ref="A3:B3"/>
    <mergeCell ref="C3:D3"/>
    <mergeCell ref="A4:B6"/>
    <mergeCell ref="C4:D4"/>
    <mergeCell ref="C5:D5"/>
    <mergeCell ref="C6:D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topLeftCell="D1" workbookViewId="0">
      <selection activeCell="Q2" sqref="Q2:AU17"/>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AG1000"/>
  <sheetViews>
    <sheetView tabSelected="1" topLeftCell="D1" workbookViewId="0">
      <selection activeCell="C3" sqref="C3:AG3"/>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33"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row>
    <row r="2" spans="1:33" s="52" customFormat="1" ht="14.25" customHeight="1" x14ac:dyDescent="0.2">
      <c r="A2" s="55" t="s">
        <v>126</v>
      </c>
      <c r="B2" s="64">
        <f>'Capacity Factor Calculation'!Q2</f>
        <v>0.67782537363300799</v>
      </c>
      <c r="C2" s="64">
        <f>'Capacity Factor Calculation'!Q2</f>
        <v>0.67782537363300799</v>
      </c>
      <c r="D2" s="64">
        <f>'Capacity Factor Calculation'!R2</f>
        <v>0.67966570922029579</v>
      </c>
      <c r="E2" s="64">
        <f>'Capacity Factor Calculation'!S2</f>
        <v>0.68132093869389931</v>
      </c>
      <c r="F2" s="64">
        <f>'Capacity Factor Calculation'!T2</f>
        <v>0.68281765251993087</v>
      </c>
      <c r="G2" s="64">
        <f>'Capacity Factor Calculation'!U2</f>
        <v>0.68417758093293024</v>
      </c>
      <c r="H2" s="64">
        <f>'Capacity Factor Calculation'!V2</f>
        <v>0.68541865585845485</v>
      </c>
      <c r="I2" s="64">
        <f>'Capacity Factor Calculation'!W2</f>
        <v>0.68655580606689082</v>
      </c>
      <c r="J2" s="64">
        <f>'Capacity Factor Calculation'!X2</f>
        <v>0.68760156060162037</v>
      </c>
      <c r="K2" s="64">
        <f>'Capacity Factor Calculation'!Y2</f>
        <v>0.68856651233111088</v>
      </c>
      <c r="L2" s="64">
        <f>'Capacity Factor Calculation'!Z2</f>
        <v>0.68945967804537156</v>
      </c>
      <c r="M2" s="64">
        <f>'Capacity Factor Calculation'!AA2</f>
        <v>0.69028878106819402</v>
      </c>
      <c r="N2" s="64">
        <f>'Capacity Factor Calculation'!AB2</f>
        <v>0.69106047516332147</v>
      </c>
      <c r="O2" s="64">
        <f>'Capacity Factor Calculation'!AC2</f>
        <v>0.69178052348571284</v>
      </c>
      <c r="P2" s="64">
        <f>'Capacity Factor Calculation'!AD2</f>
        <v>0.69245394276711425</v>
      </c>
      <c r="Q2" s="64">
        <f>'Capacity Factor Calculation'!AE2</f>
        <v>0.69308512036859438</v>
      </c>
      <c r="R2" s="64">
        <f>'Capacity Factor Calculation'!AF2</f>
        <v>0.69367790997578316</v>
      </c>
      <c r="S2" s="64">
        <f>'Capacity Factor Calculation'!AG2</f>
        <v>0.69423571034896026</v>
      </c>
      <c r="T2" s="64">
        <f>'Capacity Factor Calculation'!AH2</f>
        <v>0.69476153052829603</v>
      </c>
      <c r="U2" s="64">
        <f>'Capacity Factor Calculation'!AI2</f>
        <v>0.69525804413644221</v>
      </c>
      <c r="V2" s="64">
        <f>'Capacity Factor Calculation'!AJ2</f>
        <v>0.69572763484762945</v>
      </c>
      <c r="W2" s="64">
        <f>'Capacity Factor Calculation'!AK2</f>
        <v>0.69617243465548662</v>
      </c>
      <c r="X2" s="64">
        <f>'Capacity Factor Calculation'!AL2</f>
        <v>0.69659435623594479</v>
      </c>
      <c r="Y2" s="64">
        <f>'Capacity Factor Calculation'!AM2</f>
        <v>0.69699512044159861</v>
      </c>
      <c r="Z2" s="64">
        <f>'Capacity Factor Calculation'!AN2</f>
        <v>0.69737627976111316</v>
      </c>
      <c r="AA2" s="64">
        <f>'Capacity Factor Calculation'!AO2</f>
        <v>0.69773923841800067</v>
      </c>
      <c r="AB2" s="64">
        <f>'Capacity Factor Calculation'!AP2</f>
        <v>0.69808526965733764</v>
      </c>
      <c r="AC2" s="64">
        <f>'Capacity Factor Calculation'!AQ2</f>
        <v>0.69841553066899087</v>
      </c>
      <c r="AD2" s="64">
        <f>'Capacity Factor Calculation'!AR2</f>
        <v>0.69873107551593039</v>
      </c>
      <c r="AE2" s="64">
        <f>'Capacity Factor Calculation'!AS2</f>
        <v>0.69903286637198059</v>
      </c>
      <c r="AF2" s="64">
        <f>'Capacity Factor Calculation'!AT2</f>
        <v>0.69932178332143213</v>
      </c>
      <c r="AG2" s="64">
        <f>'Capacity Factor Calculation'!AU2</f>
        <v>0.69959863293072588</v>
      </c>
    </row>
    <row r="3" spans="1:33" ht="14.25" customHeight="1" x14ac:dyDescent="0.2">
      <c r="A3" s="54" t="s">
        <v>127</v>
      </c>
      <c r="B3" s="64">
        <f>'Capacity Factor Calculation'!Q3</f>
        <v>0.46334270205422579</v>
      </c>
      <c r="C3" s="64">
        <f>'Capacity Factor Calculation'!Q3</f>
        <v>0.46334270205422579</v>
      </c>
      <c r="D3" s="64">
        <f>'Capacity Factor Calculation'!R3</f>
        <v>0.47230130396568493</v>
      </c>
      <c r="E3" s="64">
        <f>'Capacity Factor Calculation'!S3</f>
        <v>0.48090540931570031</v>
      </c>
      <c r="F3" s="64">
        <f>'Capacity Factor Calculation'!T3</f>
        <v>0.48917565129265556</v>
      </c>
      <c r="G3" s="64">
        <f>'Capacity Factor Calculation'!U3</f>
        <v>0.49713109230926311</v>
      </c>
      <c r="H3" s="64">
        <f>'Capacity Factor Calculation'!V3</f>
        <v>0.50478937068699459</v>
      </c>
      <c r="I3" s="64">
        <f>'Capacity Factor Calculation'!W3</f>
        <v>0.51216683120445228</v>
      </c>
      <c r="J3" s="64">
        <f>'Capacity Factor Calculation'!X3</f>
        <v>0.51927864154324566</v>
      </c>
      <c r="K3" s="64">
        <f>'Capacity Factor Calculation'!Y3</f>
        <v>0.52613889637721789</v>
      </c>
      <c r="L3" s="64">
        <f>'Capacity Factor Calculation'!Z3</f>
        <v>0.53276071060829144</v>
      </c>
      <c r="M3" s="64">
        <f>'Capacity Factor Calculation'!AA3</f>
        <v>0.5391563030466322</v>
      </c>
      <c r="N3" s="64">
        <f>'Capacity Factor Calculation'!AB3</f>
        <v>0.54533707165847944</v>
      </c>
      <c r="O3" s="64">
        <f>'Capacity Factor Calculation'!AC3</f>
        <v>0.55131366135668725</v>
      </c>
      <c r="P3" s="64">
        <f>'Capacity Factor Calculation'!AD3</f>
        <v>0.5570960251821393</v>
      </c>
      <c r="Q3" s="64">
        <f>'Capacity Factor Calculation'!AE3</f>
        <v>0.56269347961571159</v>
      </c>
      <c r="R3" s="64">
        <f>'Capacity Factor Calculation'!AF3</f>
        <v>0.56811475466746209</v>
      </c>
      <c r="S3" s="64">
        <f>'Capacity Factor Calculation'!AG3</f>
        <v>0.57336803930944047</v>
      </c>
      <c r="T3" s="64">
        <f>'Capacity Factor Calculation'!AH3</f>
        <v>0.57846102274938105</v>
      </c>
      <c r="U3" s="64">
        <f>'Capacity Factor Calculation'!AI3</f>
        <v>0.58340093198288456</v>
      </c>
      <c r="V3" s="64">
        <f>'Capacity Factor Calculation'!AJ3</f>
        <v>0.58819456600973596</v>
      </c>
      <c r="W3" s="64">
        <f>'Capacity Factor Calculation'!AK3</f>
        <v>0.59284832705499801</v>
      </c>
      <c r="X3" s="64">
        <f>'Capacity Factor Calculation'!AL3</f>
        <v>0.59736824909645314</v>
      </c>
      <c r="Y3" s="64">
        <f>'Capacity Factor Calculation'!AM3</f>
        <v>0.60176002396564587</v>
      </c>
      <c r="Z3" s="64">
        <f>'Capacity Factor Calculation'!AN3</f>
        <v>0.60602902525989633</v>
      </c>
      <c r="AA3" s="64">
        <f>'Capacity Factor Calculation'!AO3</f>
        <v>0.61018033027659013</v>
      </c>
      <c r="AB3" s="64">
        <f>'Capacity Factor Calculation'!AP3</f>
        <v>0.61421874015795352</v>
      </c>
      <c r="AC3" s="64">
        <f>'Capacity Factor Calculation'!AQ3</f>
        <v>0.61814879841432158</v>
      </c>
      <c r="AD3" s="64">
        <f>'Capacity Factor Calculation'!AR3</f>
        <v>0.62197480797622773</v>
      </c>
      <c r="AE3" s="64">
        <f>'Capacity Factor Calculation'!AS3</f>
        <v>0.62570084690981886</v>
      </c>
      <c r="AF3" s="64">
        <f>'Capacity Factor Calculation'!AT3</f>
        <v>0.62933078291622802</v>
      </c>
      <c r="AG3" s="64">
        <f>'Capacity Factor Calculation'!AU3</f>
        <v>0.6328682867233516</v>
      </c>
    </row>
    <row r="4" spans="1:33" ht="14.25" customHeight="1" x14ac:dyDescent="0.2">
      <c r="A4" s="54" t="s">
        <v>128</v>
      </c>
      <c r="B4" s="64">
        <f>'Capacity Factor Calculation'!Q4</f>
        <v>0.46334270205422579</v>
      </c>
      <c r="C4" s="64">
        <f>'Capacity Factor Calculation'!Q4</f>
        <v>0.46334270205422579</v>
      </c>
      <c r="D4" s="64">
        <f>'Capacity Factor Calculation'!R4</f>
        <v>0.47230130396568493</v>
      </c>
      <c r="E4" s="64">
        <f>'Capacity Factor Calculation'!S4</f>
        <v>0.48090540931570031</v>
      </c>
      <c r="F4" s="64">
        <f>'Capacity Factor Calculation'!T4</f>
        <v>0.48917565129265556</v>
      </c>
      <c r="G4" s="64">
        <f>'Capacity Factor Calculation'!U4</f>
        <v>0.49713109230926311</v>
      </c>
      <c r="H4" s="64">
        <f>'Capacity Factor Calculation'!V4</f>
        <v>0.50478937068699459</v>
      </c>
      <c r="I4" s="64">
        <f>'Capacity Factor Calculation'!W4</f>
        <v>0.51216683120445228</v>
      </c>
      <c r="J4" s="64">
        <f>'Capacity Factor Calculation'!X4</f>
        <v>0.51927864154324566</v>
      </c>
      <c r="K4" s="64">
        <f>'Capacity Factor Calculation'!Y4</f>
        <v>0.52613889637721789</v>
      </c>
      <c r="L4" s="64">
        <f>'Capacity Factor Calculation'!Z4</f>
        <v>0.53276071060829144</v>
      </c>
      <c r="M4" s="64">
        <f>'Capacity Factor Calculation'!AA4</f>
        <v>0.5391563030466322</v>
      </c>
      <c r="N4" s="64">
        <f>'Capacity Factor Calculation'!AB4</f>
        <v>0.54533707165847944</v>
      </c>
      <c r="O4" s="64">
        <f>'Capacity Factor Calculation'!AC4</f>
        <v>0.55131366135668725</v>
      </c>
      <c r="P4" s="64">
        <f>'Capacity Factor Calculation'!AD4</f>
        <v>0.5570960251821393</v>
      </c>
      <c r="Q4" s="64">
        <f>'Capacity Factor Calculation'!AE4</f>
        <v>0.56269347961571159</v>
      </c>
      <c r="R4" s="64">
        <f>'Capacity Factor Calculation'!AF4</f>
        <v>0.56811475466746209</v>
      </c>
      <c r="S4" s="64">
        <f>'Capacity Factor Calculation'!AG4</f>
        <v>0.57336803930944047</v>
      </c>
      <c r="T4" s="64">
        <f>'Capacity Factor Calculation'!AH4</f>
        <v>0.57846102274938105</v>
      </c>
      <c r="U4" s="64">
        <f>'Capacity Factor Calculation'!AI4</f>
        <v>0.58340093198288456</v>
      </c>
      <c r="V4" s="64">
        <f>'Capacity Factor Calculation'!AJ4</f>
        <v>0.58819456600973596</v>
      </c>
      <c r="W4" s="64">
        <f>'Capacity Factor Calculation'!AK4</f>
        <v>0.59284832705499801</v>
      </c>
      <c r="X4" s="64">
        <f>'Capacity Factor Calculation'!AL4</f>
        <v>0.59736824909645314</v>
      </c>
      <c r="Y4" s="64">
        <f>'Capacity Factor Calculation'!AM4</f>
        <v>0.60176002396564587</v>
      </c>
      <c r="Z4" s="64">
        <f>'Capacity Factor Calculation'!AN4</f>
        <v>0.60602902525989633</v>
      </c>
      <c r="AA4" s="64">
        <f>'Capacity Factor Calculation'!AO4</f>
        <v>0.61018033027659013</v>
      </c>
      <c r="AB4" s="64">
        <f>'Capacity Factor Calculation'!AP4</f>
        <v>0.61421874015795352</v>
      </c>
      <c r="AC4" s="64">
        <f>'Capacity Factor Calculation'!AQ4</f>
        <v>0.61814879841432158</v>
      </c>
      <c r="AD4" s="64">
        <f>'Capacity Factor Calculation'!AR4</f>
        <v>0.62197480797622773</v>
      </c>
      <c r="AE4" s="64">
        <f>'Capacity Factor Calculation'!AS4</f>
        <v>0.62570084690981886</v>
      </c>
      <c r="AF4" s="64">
        <f>'Capacity Factor Calculation'!AT4</f>
        <v>0.62933078291622802</v>
      </c>
      <c r="AG4" s="64">
        <f>'Capacity Factor Calculation'!AU4</f>
        <v>0.6328682867233516</v>
      </c>
    </row>
    <row r="5" spans="1:33" ht="14.25" customHeight="1" x14ac:dyDescent="0.2">
      <c r="A5" s="54" t="s">
        <v>15</v>
      </c>
      <c r="B5" s="64">
        <f>'Capacity Factor Calculation'!Q5</f>
        <v>0.42471073854961994</v>
      </c>
      <c r="C5" s="64">
        <f>'Capacity Factor Calculation'!Q5</f>
        <v>0.42471073854961994</v>
      </c>
      <c r="D5" s="64">
        <f>'Capacity Factor Calculation'!R5</f>
        <v>0.42670006553791556</v>
      </c>
      <c r="E5" s="64">
        <f>'Capacity Factor Calculation'!S5</f>
        <v>0.42857964718299035</v>
      </c>
      <c r="F5" s="64">
        <f>'Capacity Factor Calculation'!T5</f>
        <v>0.43035832120303452</v>
      </c>
      <c r="G5" s="64">
        <f>'Capacity Factor Calculation'!U5</f>
        <v>0.43204400119526082</v>
      </c>
      <c r="H5" s="64">
        <f>'Capacity Factor Calculation'!V5</f>
        <v>0.43364379434774014</v>
      </c>
      <c r="I5" s="64">
        <f>'Capacity Factor Calculation'!W5</f>
        <v>0.4351641016057391</v>
      </c>
      <c r="J5" s="64">
        <f>'Capacity Factor Calculation'!X5</f>
        <v>0.43661070326964907</v>
      </c>
      <c r="K5" s="64">
        <f>'Capacity Factor Calculation'!Y5</f>
        <v>0.43798883243793135</v>
      </c>
      <c r="L5" s="64">
        <f>'Capacity Factor Calculation'!Z5</f>
        <v>0.43930323826234552</v>
      </c>
      <c r="M5" s="64">
        <f>'Capacity Factor Calculation'!AA5</f>
        <v>0.44055824062687848</v>
      </c>
      <c r="N5" s="64">
        <f>'Capacity Factor Calculation'!AB5</f>
        <v>0.44175777757692092</v>
      </c>
      <c r="O5" s="64">
        <f>'Capacity Factor Calculation'!AC5</f>
        <v>0.44290544659600523</v>
      </c>
      <c r="P5" s="64">
        <f>'Capacity Factor Calculation'!AD5</f>
        <v>0.44400454064144224</v>
      </c>
      <c r="Q5" s="64">
        <f>'Capacity Factor Calculation'!AE5</f>
        <v>0.44505807969910294</v>
      </c>
      <c r="R5" s="64">
        <f>'Capacity Factor Calculation'!AF5</f>
        <v>0.44606883849430101</v>
      </c>
      <c r="S5" s="64">
        <f>'Capacity Factor Calculation'!AG5</f>
        <v>0.44703937089414475</v>
      </c>
      <c r="T5" s="64">
        <f>'Capacity Factor Calculation'!AH5</f>
        <v>0.44797203145316167</v>
      </c>
      <c r="U5" s="64">
        <f>'Capacity Factor Calculation'!AI5</f>
        <v>0.44886899448501155</v>
      </c>
      <c r="V5" s="64">
        <f>'Capacity Factor Calculation'!AJ5</f>
        <v>0.44973227098541613</v>
      </c>
      <c r="W5" s="64">
        <f>'Capacity Factor Calculation'!AK5</f>
        <v>0.45056372368348974</v>
      </c>
      <c r="X5" s="64">
        <f>'Capacity Factor Calculation'!AL5</f>
        <v>0.45136508045869939</v>
      </c>
      <c r="Y5" s="64">
        <f>'Capacity Factor Calculation'!AM5</f>
        <v>0.45213794632677035</v>
      </c>
      <c r="Z5" s="64">
        <f>'Capacity Factor Calculation'!AN5</f>
        <v>0.45288381416944878</v>
      </c>
      <c r="AA5" s="64">
        <f>'Capacity Factor Calculation'!AO5</f>
        <v>0.4536040743591746</v>
      </c>
      <c r="AB5" s="64">
        <f>'Capacity Factor Calculation'!AP5</f>
        <v>0.45430002340916098</v>
      </c>
      <c r="AC5" s="64">
        <f>'Capacity Factor Calculation'!AQ5</f>
        <v>0.45497287176205242</v>
      </c>
      <c r="AD5" s="64">
        <f>'Capacity Factor Calculation'!AR5</f>
        <v>0.45562375081570877</v>
      </c>
      <c r="AE5" s="64">
        <f>'Capacity Factor Calculation'!AS5</f>
        <v>0.45625371927184288</v>
      </c>
      <c r="AF5" s="64">
        <f>'Capacity Factor Calculation'!AT5</f>
        <v>0.45686376888239838</v>
      </c>
      <c r="AG5" s="64">
        <f>'Capacity Factor Calculation'!AU5</f>
        <v>0.45745482965938111</v>
      </c>
    </row>
    <row r="6" spans="1:33" ht="14.25" customHeight="1" x14ac:dyDescent="0.2">
      <c r="A6" s="54" t="s">
        <v>129</v>
      </c>
      <c r="B6" s="64">
        <f>'Capacity Factor Calculation'!Q6</f>
        <v>0.19089506879858689</v>
      </c>
      <c r="C6" s="64">
        <f>'Capacity Factor Calculation'!Q6</f>
        <v>0.19089506879858689</v>
      </c>
      <c r="D6" s="64">
        <f>'Capacity Factor Calculation'!R6</f>
        <v>0.19048075744739912</v>
      </c>
      <c r="E6" s="64">
        <f>'Capacity Factor Calculation'!S6</f>
        <v>0.190160325233211</v>
      </c>
      <c r="F6" s="64">
        <f>'Capacity Factor Calculation'!T6</f>
        <v>0.18990511109979744</v>
      </c>
      <c r="G6" s="64">
        <f>'Capacity Factor Calculation'!U6</f>
        <v>0.18969704322974223</v>
      </c>
      <c r="H6" s="64">
        <f>'Capacity Factor Calculation'!V6</f>
        <v>0.18952416212690099</v>
      </c>
      <c r="I6" s="64">
        <f>'Capacity Factor Calculation'!W6</f>
        <v>0.18937823792084044</v>
      </c>
      <c r="J6" s="64">
        <f>'Capacity Factor Calculation'!X6</f>
        <v>0.1892534216415441</v>
      </c>
      <c r="K6" s="64">
        <f>'Capacity Factor Calculation'!Y6</f>
        <v>0.18914544229798283</v>
      </c>
      <c r="L6" s="64">
        <f>'Capacity Factor Calculation'!Z6</f>
        <v>0.18905110835329414</v>
      </c>
      <c r="M6" s="64">
        <f>'Capacity Factor Calculation'!AA6</f>
        <v>0.18896798696430725</v>
      </c>
      <c r="N6" s="64">
        <f>'Capacity Factor Calculation'!AB6</f>
        <v>0.18889419118197412</v>
      </c>
      <c r="O6" s="64">
        <f>'Capacity Factor Calculation'!AC6</f>
        <v>0.1888282349709906</v>
      </c>
      <c r="P6" s="64">
        <f>'Capacity Factor Calculation'!AD6</f>
        <v>0.18876893210417986</v>
      </c>
      <c r="Q6" s="64">
        <f>'Capacity Factor Calculation'!AE6</f>
        <v>0.18871532418489448</v>
      </c>
      <c r="R6" s="64">
        <f>'Capacity Factor Calculation'!AF6</f>
        <v>0.18866662845570523</v>
      </c>
      <c r="S6" s="64">
        <f>'Capacity Factor Calculation'!AG6</f>
        <v>0.18862219932571028</v>
      </c>
      <c r="T6" s="64">
        <f>'Capacity Factor Calculation'!AH6</f>
        <v>0.18858149958608286</v>
      </c>
      <c r="U6" s="64">
        <f>'Capacity Factor Calculation'!AI6</f>
        <v>0.18854407858214964</v>
      </c>
      <c r="V6" s="64">
        <f>'Capacity Factor Calculation'!AJ6</f>
        <v>0.18850955545652448</v>
      </c>
      <c r="W6" s="64">
        <f>'Capacity Factor Calculation'!AK6</f>
        <v>0.18847760614009484</v>
      </c>
      <c r="X6" s="64">
        <f>'Capacity Factor Calculation'!AL6</f>
        <v>0.18844795314801843</v>
      </c>
      <c r="Y6" s="64">
        <f>'Capacity Factor Calculation'!AM6</f>
        <v>0.18842035749960068</v>
      </c>
      <c r="Z6" s="64">
        <f>'Capacity Factor Calculation'!AN6</f>
        <v>0.18839461226361512</v>
      </c>
      <c r="AA6" s="64">
        <f>'Capacity Factor Calculation'!AO6</f>
        <v>0.18837053735993203</v>
      </c>
      <c r="AB6" s="64">
        <f>'Capacity Factor Calculation'!AP6</f>
        <v>0.1883479753411558</v>
      </c>
      <c r="AC6" s="64">
        <f>'Capacity Factor Calculation'!AQ6</f>
        <v>0.1883267879453068</v>
      </c>
      <c r="AD6" s="64">
        <f>'Capacity Factor Calculation'!AR6</f>
        <v>0.18830685325995919</v>
      </c>
      <c r="AE6" s="64">
        <f>'Capacity Factor Calculation'!AS6</f>
        <v>0.18828806337494855</v>
      </c>
      <c r="AF6" s="64">
        <f>'Capacity Factor Calculation'!AT6</f>
        <v>0.18827032242820382</v>
      </c>
      <c r="AG6" s="64">
        <f>'Capacity Factor Calculation'!AU6</f>
        <v>0.18825354496995095</v>
      </c>
    </row>
    <row r="7" spans="1:33" ht="14.25" customHeight="1" x14ac:dyDescent="0.2">
      <c r="A7" s="54" t="s">
        <v>23</v>
      </c>
      <c r="B7" s="64">
        <f>'Capacity Factor Calculation'!Q7</f>
        <v>8.1335616438358793E-2</v>
      </c>
      <c r="C7" s="64">
        <f>'Capacity Factor Calculation'!Q7</f>
        <v>8.1335616438358793E-2</v>
      </c>
      <c r="D7" s="64">
        <f>'Capacity Factor Calculation'!R7</f>
        <v>7.9500978473582562E-2</v>
      </c>
      <c r="E7" s="64">
        <f>'Capacity Factor Calculation'!S7</f>
        <v>7.8021431727795298E-2</v>
      </c>
      <c r="F7" s="64">
        <f>'Capacity Factor Calculation'!T7</f>
        <v>7.6802981466561074E-2</v>
      </c>
      <c r="G7" s="64">
        <f>'Capacity Factor Calculation'!U7</f>
        <v>7.5782117734173524E-2</v>
      </c>
      <c r="H7" s="64">
        <f>'Capacity Factor Calculation'!V7</f>
        <v>7.4914383561644107E-2</v>
      </c>
      <c r="I7" s="64">
        <f>'Capacity Factor Calculation'!W7</f>
        <v>7.4167728575981043E-2</v>
      </c>
      <c r="J7" s="64">
        <f>'Capacity Factor Calculation'!X7</f>
        <v>7.3518463371054985E-2</v>
      </c>
      <c r="K7" s="64">
        <f>'Capacity Factor Calculation'!Y7</f>
        <v>7.2948700027956614E-2</v>
      </c>
      <c r="L7" s="64">
        <f>'Capacity Factor Calculation'!Z7</f>
        <v>7.244467860906334E-2</v>
      </c>
      <c r="M7" s="64">
        <f>'Capacity Factor Calculation'!AA7</f>
        <v>7.1995641344957062E-2</v>
      </c>
      <c r="N7" s="64">
        <f>'Capacity Factor Calculation'!AB7</f>
        <v>7.1593056211620418E-2</v>
      </c>
      <c r="O7" s="64">
        <f>'Capacity Factor Calculation'!AC7</f>
        <v>7.123006961599021E-2</v>
      </c>
      <c r="P7" s="64">
        <f>'Capacity Factor Calculation'!AD7</f>
        <v>7.0901113013699196E-2</v>
      </c>
      <c r="Q7" s="64">
        <f>'Capacity Factor Calculation'!AE7</f>
        <v>7.0601615211613344E-2</v>
      </c>
      <c r="R7" s="64">
        <f>'Capacity Factor Calculation'!AF7</f>
        <v>7.0327788649707318E-2</v>
      </c>
      <c r="S7" s="64">
        <f>'Capacity Factor Calculation'!AG7</f>
        <v>7.0076468380559698E-2</v>
      </c>
      <c r="T7" s="64">
        <f>'Capacity Factor Calculation'!AH7</f>
        <v>6.9844989185292153E-2</v>
      </c>
      <c r="U7" s="64">
        <f>'Capacity Factor Calculation'!AI7</f>
        <v>6.9631090688400274E-2</v>
      </c>
      <c r="V7" s="64">
        <f>'Capacity Factor Calculation'!AJ7</f>
        <v>6.943284330103619E-2</v>
      </c>
      <c r="W7" s="64">
        <f>'Capacity Factor Calculation'!AK7</f>
        <v>6.9248589846897801E-2</v>
      </c>
      <c r="X7" s="64">
        <f>'Capacity Factor Calculation'!AL7</f>
        <v>6.907689912826967E-2</v>
      </c>
      <c r="Y7" s="64">
        <f>'Capacity Factor Calculation'!AM7</f>
        <v>6.8916528676803049E-2</v>
      </c>
      <c r="Z7" s="64">
        <f>'Capacity Factor Calculation'!AN7</f>
        <v>6.8766394637132161E-2</v>
      </c>
      <c r="AA7" s="64">
        <f>'Capacity Factor Calculation'!AO7</f>
        <v>6.8625547239091131E-2</v>
      </c>
      <c r="AB7" s="64">
        <f>'Capacity Factor Calculation'!AP7</f>
        <v>6.8493150684931864E-2</v>
      </c>
      <c r="AC7" s="64">
        <f>'Capacity Factor Calculation'!AQ7</f>
        <v>6.8368466551403231E-2</v>
      </c>
      <c r="AD7" s="64">
        <f>'Capacity Factor Calculation'!AR7</f>
        <v>6.8250840010339139E-2</v>
      </c>
      <c r="AE7" s="64">
        <f>'Capacity Factor Calculation'!AS7</f>
        <v>6.8139688324745831E-2</v>
      </c>
      <c r="AF7" s="64">
        <f>'Capacity Factor Calculation'!AT7</f>
        <v>6.8034491193737875E-2</v>
      </c>
      <c r="AG7" s="64">
        <f>'Capacity Factor Calculation'!AU7</f>
        <v>6.7934782608696162E-2</v>
      </c>
    </row>
    <row r="8" spans="1:33" ht="14.25" customHeight="1" x14ac:dyDescent="0.2">
      <c r="A8" s="54" t="s">
        <v>130</v>
      </c>
      <c r="B8" s="64">
        <f>'Capacity Factor Calculation'!Q8</f>
        <v>8.1335616438358793E-2</v>
      </c>
      <c r="C8" s="64">
        <f>'Capacity Factor Calculation'!Q8</f>
        <v>8.1335616438358793E-2</v>
      </c>
      <c r="D8" s="64">
        <f>'Capacity Factor Calculation'!R8</f>
        <v>7.9500978473582562E-2</v>
      </c>
      <c r="E8" s="64">
        <f>'Capacity Factor Calculation'!S8</f>
        <v>7.8021431727795298E-2</v>
      </c>
      <c r="F8" s="64">
        <f>'Capacity Factor Calculation'!T8</f>
        <v>7.6802981466561074E-2</v>
      </c>
      <c r="G8" s="64">
        <f>'Capacity Factor Calculation'!U8</f>
        <v>7.5782117734173524E-2</v>
      </c>
      <c r="H8" s="64">
        <f>'Capacity Factor Calculation'!V8</f>
        <v>7.4914383561644107E-2</v>
      </c>
      <c r="I8" s="64">
        <f>'Capacity Factor Calculation'!W8</f>
        <v>7.4167728575981043E-2</v>
      </c>
      <c r="J8" s="64">
        <f>'Capacity Factor Calculation'!X8</f>
        <v>7.3518463371054985E-2</v>
      </c>
      <c r="K8" s="64">
        <f>'Capacity Factor Calculation'!Y8</f>
        <v>7.2948700027956614E-2</v>
      </c>
      <c r="L8" s="64">
        <f>'Capacity Factor Calculation'!Z8</f>
        <v>7.244467860906334E-2</v>
      </c>
      <c r="M8" s="64">
        <f>'Capacity Factor Calculation'!AA8</f>
        <v>7.1995641344957062E-2</v>
      </c>
      <c r="N8" s="64">
        <f>'Capacity Factor Calculation'!AB8</f>
        <v>7.1593056211620418E-2</v>
      </c>
      <c r="O8" s="64">
        <f>'Capacity Factor Calculation'!AC8</f>
        <v>7.123006961599021E-2</v>
      </c>
      <c r="P8" s="64">
        <f>'Capacity Factor Calculation'!AD8</f>
        <v>7.0901113013699196E-2</v>
      </c>
      <c r="Q8" s="64">
        <f>'Capacity Factor Calculation'!AE8</f>
        <v>7.0601615211613344E-2</v>
      </c>
      <c r="R8" s="64">
        <f>'Capacity Factor Calculation'!AF8</f>
        <v>7.0327788649707318E-2</v>
      </c>
      <c r="S8" s="64">
        <f>'Capacity Factor Calculation'!AG8</f>
        <v>7.0076468380559698E-2</v>
      </c>
      <c r="T8" s="64">
        <f>'Capacity Factor Calculation'!AH8</f>
        <v>6.9844989185292153E-2</v>
      </c>
      <c r="U8" s="64">
        <f>'Capacity Factor Calculation'!AI8</f>
        <v>6.9631090688400274E-2</v>
      </c>
      <c r="V8" s="64">
        <f>'Capacity Factor Calculation'!AJ8</f>
        <v>6.943284330103619E-2</v>
      </c>
      <c r="W8" s="64">
        <f>'Capacity Factor Calculation'!AK8</f>
        <v>6.9248589846897801E-2</v>
      </c>
      <c r="X8" s="64">
        <f>'Capacity Factor Calculation'!AL8</f>
        <v>6.907689912826967E-2</v>
      </c>
      <c r="Y8" s="64">
        <f>'Capacity Factor Calculation'!AM8</f>
        <v>6.8916528676803049E-2</v>
      </c>
      <c r="Z8" s="64">
        <f>'Capacity Factor Calculation'!AN8</f>
        <v>6.8766394637132161E-2</v>
      </c>
      <c r="AA8" s="64">
        <f>'Capacity Factor Calculation'!AO8</f>
        <v>6.8625547239091131E-2</v>
      </c>
      <c r="AB8" s="64">
        <f>'Capacity Factor Calculation'!AP8</f>
        <v>6.8493150684931864E-2</v>
      </c>
      <c r="AC8" s="64">
        <f>'Capacity Factor Calculation'!AQ8</f>
        <v>6.8368466551403231E-2</v>
      </c>
      <c r="AD8" s="64">
        <f>'Capacity Factor Calculation'!AR8</f>
        <v>6.8250840010339139E-2</v>
      </c>
      <c r="AE8" s="64">
        <f>'Capacity Factor Calculation'!AS8</f>
        <v>6.8139688324745831E-2</v>
      </c>
      <c r="AF8" s="64">
        <f>'Capacity Factor Calculation'!AT8</f>
        <v>6.8034491193737875E-2</v>
      </c>
      <c r="AG8" s="64">
        <f>'Capacity Factor Calculation'!AU8</f>
        <v>6.7934782608696162E-2</v>
      </c>
    </row>
    <row r="9" spans="1:33" ht="14.25" customHeight="1" x14ac:dyDescent="0.2">
      <c r="A9" s="54" t="s">
        <v>21</v>
      </c>
      <c r="B9" s="64">
        <f>'Capacity Factor Calculation'!Q9</f>
        <v>0.4468599033816501</v>
      </c>
      <c r="C9" s="64">
        <f>'Capacity Factor Calculation'!Q9</f>
        <v>0.4468599033816501</v>
      </c>
      <c r="D9" s="64">
        <f>'Capacity Factor Calculation'!R9</f>
        <v>0.4408734340241256</v>
      </c>
      <c r="E9" s="64">
        <f>'Capacity Factor Calculation'!S9</f>
        <v>0.43612554453367519</v>
      </c>
      <c r="F9" s="64">
        <f>'Capacity Factor Calculation'!T9</f>
        <v>0.4322678843226842</v>
      </c>
      <c r="G9" s="64">
        <f>'Capacity Factor Calculation'!U9</f>
        <v>0.42907153729072023</v>
      </c>
      <c r="H9" s="64">
        <f>'Capacity Factor Calculation'!V9</f>
        <v>0.42637987663222426</v>
      </c>
      <c r="I9" s="64">
        <f>'Capacity Factor Calculation'!W9</f>
        <v>0.42408211753350822</v>
      </c>
      <c r="J9" s="64">
        <f>'Capacity Factor Calculation'!X9</f>
        <v>0.42209768922098073</v>
      </c>
      <c r="K9" s="64">
        <f>'Capacity Factor Calculation'!Y9</f>
        <v>0.42036659218239292</v>
      </c>
      <c r="L9" s="64">
        <f>'Capacity Factor Calculation'!Z9</f>
        <v>0.41884322678843561</v>
      </c>
      <c r="M9" s="64">
        <f>'Capacity Factor Calculation'!AA9</f>
        <v>0.41749231785417162</v>
      </c>
      <c r="N9" s="64">
        <f>'Capacity Factor Calculation'!AB9</f>
        <v>0.41628614916286444</v>
      </c>
      <c r="O9" s="64">
        <f>'Capacity Factor Calculation'!AC9</f>
        <v>0.41520264169440213</v>
      </c>
      <c r="P9" s="64">
        <f>'Capacity Factor Calculation'!AD9</f>
        <v>0.41422398978740388</v>
      </c>
      <c r="Q9" s="64">
        <f>'Capacity Factor Calculation'!AE9</f>
        <v>0.41333567497951312</v>
      </c>
      <c r="R9" s="64">
        <f>'Capacity Factor Calculation'!AF9</f>
        <v>0.41252574088996574</v>
      </c>
      <c r="S9" s="64">
        <f>'Capacity Factor Calculation'!AG9</f>
        <v>0.41178425193474621</v>
      </c>
      <c r="T9" s="64">
        <f>'Capacity Factor Calculation'!AH9</f>
        <v>0.41110288370562564</v>
      </c>
      <c r="U9" s="64">
        <f>'Capacity Factor Calculation'!AI9</f>
        <v>0.4104746091047482</v>
      </c>
      <c r="V9" s="64">
        <f>'Capacity Factor Calculation'!AJ9</f>
        <v>0.40989345509893654</v>
      </c>
      <c r="W9" s="64">
        <f>'Capacity Factor Calculation'!AK9</f>
        <v>0.40935431222607521</v>
      </c>
      <c r="X9" s="64">
        <f>'Capacity Factor Calculation'!AL9</f>
        <v>0.40885278397225067</v>
      </c>
      <c r="Y9" s="64">
        <f>'Capacity Factor Calculation'!AM9</f>
        <v>0.40838506661194235</v>
      </c>
      <c r="Z9" s="64">
        <f>'Capacity Factor Calculation'!AN9</f>
        <v>0.40794785255774113</v>
      </c>
      <c r="AA9" s="64">
        <f>'Capacity Factor Calculation'!AO9</f>
        <v>0.40753825202275262</v>
      </c>
      <c r="AB9" s="64">
        <f>'Capacity Factor Calculation'!AP9</f>
        <v>0.40715372907153891</v>
      </c>
      <c r="AC9" s="64">
        <f>'Capacity Factor Calculation'!AQ9</f>
        <v>0.4067920490679221</v>
      </c>
      <c r="AD9" s="64">
        <f>'Capacity Factor Calculation'!AR9</f>
        <v>0.40645123521836007</v>
      </c>
      <c r="AE9" s="64">
        <f>'Capacity Factor Calculation'!AS9</f>
        <v>0.40612953242578281</v>
      </c>
      <c r="AF9" s="64">
        <f>'Capacity Factor Calculation'!AT9</f>
        <v>0.40582537705825522</v>
      </c>
      <c r="AG9" s="64">
        <f>'Capacity Factor Calculation'!AU9</f>
        <v>0.40553737153325126</v>
      </c>
    </row>
    <row r="10" spans="1:33" ht="14.25" customHeight="1" x14ac:dyDescent="0.2">
      <c r="A10" s="54" t="s">
        <v>16</v>
      </c>
      <c r="B10" s="64">
        <f>'Capacity Factor Calculation'!Q10</f>
        <v>0.70817828411633454</v>
      </c>
      <c r="C10" s="64">
        <f>'Capacity Factor Calculation'!Q10</f>
        <v>0.70817828411633454</v>
      </c>
      <c r="D10" s="64">
        <f>'Capacity Factor Calculation'!R10</f>
        <v>0.695153888370318</v>
      </c>
      <c r="E10" s="64">
        <f>'Capacity Factor Calculation'!S10</f>
        <v>0.6835736832052709</v>
      </c>
      <c r="F10" s="64">
        <f>'Capacity Factor Calculation'!T10</f>
        <v>0.67321008111225944</v>
      </c>
      <c r="G10" s="64">
        <f>'Capacity Factor Calculation'!U10</f>
        <v>0.6638809281485365</v>
      </c>
      <c r="H10" s="64">
        <f>'Capacity Factor Calculation'!V10</f>
        <v>0.65543870542125116</v>
      </c>
      <c r="I10" s="64">
        <f>'Capacity Factor Calculation'!W10</f>
        <v>0.64776267068336491</v>
      </c>
      <c r="J10" s="64">
        <f>'Capacity Factor Calculation'!X10</f>
        <v>0.64075304666001498</v>
      </c>
      <c r="K10" s="64">
        <f>'Capacity Factor Calculation'!Y10</f>
        <v>0.63432666005974137</v>
      </c>
      <c r="L10" s="64">
        <f>'Capacity Factor Calculation'!Z10</f>
        <v>0.62841362567858994</v>
      </c>
      <c r="M10" s="64">
        <f>'Capacity Factor Calculation'!AA10</f>
        <v>0.62295479462506265</v>
      </c>
      <c r="N10" s="64">
        <f>'Capacity Factor Calculation'!AB10</f>
        <v>0.61789976883109354</v>
      </c>
      <c r="O10" s="64">
        <f>'Capacity Factor Calculation'!AC10</f>
        <v>0.61320534046440445</v>
      </c>
      <c r="P10" s="64">
        <f>'Capacity Factor Calculation'!AD10</f>
        <v>0.60883425381020517</v>
      </c>
      <c r="Q10" s="64">
        <f>'Capacity Factor Calculation'!AE10</f>
        <v>0.60475421447181665</v>
      </c>
      <c r="R10" s="64">
        <f>'Capacity Factor Calculation'!AF10</f>
        <v>0.60093709011074936</v>
      </c>
      <c r="S10" s="64">
        <f>'Capacity Factor Calculation'!AG10</f>
        <v>0.59735826087517918</v>
      </c>
      <c r="T10" s="64">
        <f>'Capacity Factor Calculation'!AH10</f>
        <v>0.59399608780012902</v>
      </c>
      <c r="U10" s="64">
        <f>'Capacity Factor Calculation'!AI10</f>
        <v>0.59083147491766075</v>
      </c>
      <c r="V10" s="64">
        <f>'Capacity Factor Calculation'!AJ10</f>
        <v>0.58784750635473082</v>
      </c>
      <c r="W10" s="64">
        <f>'Capacity Factor Calculation'!AK10</f>
        <v>0.58502914385261118</v>
      </c>
      <c r="X10" s="64">
        <f>'Capacity Factor Calculation'!AL10</f>
        <v>0.58236297328838782</v>
      </c>
      <c r="Y10" s="64">
        <f>'Capacity Factor Calculation'!AM10</f>
        <v>0.57983699118050303</v>
      </c>
      <c r="Z10" s="64">
        <f>'Capacity Factor Calculation'!AN10</f>
        <v>0.57744042400840934</v>
      </c>
      <c r="AA10" s="64">
        <f>'Capacity Factor Calculation'!AO10</f>
        <v>0.57516357460936229</v>
      </c>
      <c r="AB10" s="64">
        <f>'Capacity Factor Calculation'!AP10</f>
        <v>0.57299769103349163</v>
      </c>
      <c r="AC10" s="64">
        <f>'Capacity Factor Calculation'!AQ10</f>
        <v>0.57093485411730271</v>
      </c>
      <c r="AD10" s="64">
        <f>'Capacity Factor Calculation'!AR10</f>
        <v>0.56896788073121796</v>
      </c>
      <c r="AE10" s="64">
        <f>'Capacity Factor Calculation'!AS10</f>
        <v>0.56709024020956622</v>
      </c>
      <c r="AF10" s="64">
        <f>'Capacity Factor Calculation'!AT10</f>
        <v>0.56529598191401242</v>
      </c>
      <c r="AG10" s="64">
        <f>'Capacity Factor Calculation'!AU10</f>
        <v>0.56357967223773575</v>
      </c>
    </row>
    <row r="11" spans="1:33" ht="14.25" customHeight="1" x14ac:dyDescent="0.2">
      <c r="A11" s="54" t="s">
        <v>131</v>
      </c>
      <c r="B11" s="64">
        <f>'Capacity Factor Calculation'!Q11</f>
        <v>8.3496071984080808E-2</v>
      </c>
      <c r="C11" s="64">
        <f>'Capacity Factor Calculation'!Q11</f>
        <v>8.3496071984080808E-2</v>
      </c>
      <c r="D11" s="64">
        <f>'Capacity Factor Calculation'!R11</f>
        <v>3.1828746187346255E-2</v>
      </c>
      <c r="E11" s="64">
        <f>'Capacity Factor Calculation'!S11</f>
        <v>3.179041369494881E-2</v>
      </c>
      <c r="F11" s="64">
        <f>'Capacity Factor Calculation'!T11</f>
        <v>3.1752173421859459E-2</v>
      </c>
      <c r="G11" s="64">
        <f>'Capacity Factor Calculation'!U11</f>
        <v>3.1714025035689826E-2</v>
      </c>
      <c r="H11" s="64">
        <f>'Capacity Factor Calculation'!V11</f>
        <v>3.1675968205646998E-2</v>
      </c>
      <c r="I11" s="64">
        <f>'Capacity Factor Calculation'!W11</f>
        <v>3.1638002602523967E-2</v>
      </c>
      <c r="J11" s="64">
        <f>'Capacity Factor Calculation'!X11</f>
        <v>3.1600127898690142E-2</v>
      </c>
      <c r="K11" s="64">
        <f>'Capacity Factor Calculation'!Y11</f>
        <v>3.1562343768081903E-2</v>
      </c>
      <c r="L11" s="64">
        <f>'Capacity Factor Calculation'!Z11</f>
        <v>3.1524649886193266E-2</v>
      </c>
      <c r="M11" s="64">
        <f>'Capacity Factor Calculation'!AA11</f>
        <v>3.1487045930066598E-2</v>
      </c>
      <c r="N11" s="64">
        <f>'Capacity Factor Calculation'!AB11</f>
        <v>3.1449531578283355E-2</v>
      </c>
      <c r="O11" s="64">
        <f>'Capacity Factor Calculation'!AC11</f>
        <v>3.1412106510954975E-2</v>
      </c>
      <c r="P11" s="64">
        <f>'Capacity Factor Calculation'!AD11</f>
        <v>3.1374770409713745E-2</v>
      </c>
      <c r="Q11" s="64">
        <f>'Capacity Factor Calculation'!AE11</f>
        <v>3.1337522957703798E-2</v>
      </c>
      <c r="R11" s="64">
        <f>'Capacity Factor Calculation'!AF11</f>
        <v>3.1300363839572132E-2</v>
      </c>
      <c r="S11" s="64">
        <f>'Capacity Factor Calculation'!AG11</f>
        <v>3.1263292741459725E-2</v>
      </c>
      <c r="T11" s="64">
        <f>'Capacity Factor Calculation'!AH11</f>
        <v>3.1226309350992701E-2</v>
      </c>
      <c r="U11" s="64">
        <f>'Capacity Factor Calculation'!AI11</f>
        <v>3.1189413357273529E-2</v>
      </c>
      <c r="V11" s="64">
        <f>'Capacity Factor Calculation'!AJ11</f>
        <v>3.115260445087234E-2</v>
      </c>
      <c r="W11" s="64">
        <f>'Capacity Factor Calculation'!AK11</f>
        <v>3.1115882323818268E-2</v>
      </c>
      <c r="X11" s="64">
        <f>'Capacity Factor Calculation'!AL11</f>
        <v>3.1079246669590853E-2</v>
      </c>
      <c r="Y11" s="64">
        <f>'Capacity Factor Calculation'!AM11</f>
        <v>3.104269718311152E-2</v>
      </c>
      <c r="Z11" s="64">
        <f>'Capacity Factor Calculation'!AN11</f>
        <v>3.1006233560735116E-2</v>
      </c>
      <c r="AA11" s="64">
        <f>'Capacity Factor Calculation'!AO11</f>
        <v>3.0969855500241492E-2</v>
      </c>
      <c r="AB11" s="64">
        <f>'Capacity Factor Calculation'!AP11</f>
        <v>3.0933562700827144E-2</v>
      </c>
      <c r="AC11" s="64">
        <f>'Capacity Factor Calculation'!AQ11</f>
        <v>3.0897354863096953E-2</v>
      </c>
      <c r="AD11" s="64">
        <f>'Capacity Factor Calculation'!AR11</f>
        <v>3.0861231689055919E-2</v>
      </c>
      <c r="AE11" s="64">
        <f>'Capacity Factor Calculation'!AS11</f>
        <v>3.0825192882101008E-2</v>
      </c>
      <c r="AF11" s="64">
        <f>'Capacity Factor Calculation'!AT11</f>
        <v>3.078923814701302E-2</v>
      </c>
      <c r="AG11" s="64">
        <f>'Capacity Factor Calculation'!AU11</f>
        <v>3.075336718994854E-2</v>
      </c>
    </row>
    <row r="12" spans="1:33" ht="14.25" customHeight="1" x14ac:dyDescent="0.2">
      <c r="A12" s="54" t="s">
        <v>132</v>
      </c>
      <c r="B12" s="64">
        <f>B3</f>
        <v>0.46334270205422579</v>
      </c>
      <c r="C12" s="64">
        <f t="shared" ref="C12:AG12" si="0">C3</f>
        <v>0.46334270205422579</v>
      </c>
      <c r="D12" s="64">
        <f t="shared" si="0"/>
        <v>0.47230130396568493</v>
      </c>
      <c r="E12" s="64">
        <f t="shared" si="0"/>
        <v>0.48090540931570031</v>
      </c>
      <c r="F12" s="64">
        <f t="shared" si="0"/>
        <v>0.48917565129265556</v>
      </c>
      <c r="G12" s="64">
        <f t="shared" si="0"/>
        <v>0.49713109230926311</v>
      </c>
      <c r="H12" s="64">
        <f t="shared" si="0"/>
        <v>0.50478937068699459</v>
      </c>
      <c r="I12" s="64">
        <f t="shared" si="0"/>
        <v>0.51216683120445228</v>
      </c>
      <c r="J12" s="64">
        <f t="shared" si="0"/>
        <v>0.51927864154324566</v>
      </c>
      <c r="K12" s="64">
        <f t="shared" si="0"/>
        <v>0.52613889637721789</v>
      </c>
      <c r="L12" s="64">
        <f t="shared" si="0"/>
        <v>0.53276071060829144</v>
      </c>
      <c r="M12" s="64">
        <f t="shared" si="0"/>
        <v>0.5391563030466322</v>
      </c>
      <c r="N12" s="64">
        <f t="shared" si="0"/>
        <v>0.54533707165847944</v>
      </c>
      <c r="O12" s="64">
        <f t="shared" si="0"/>
        <v>0.55131366135668725</v>
      </c>
      <c r="P12" s="64">
        <f t="shared" si="0"/>
        <v>0.5570960251821393</v>
      </c>
      <c r="Q12" s="64">
        <f t="shared" si="0"/>
        <v>0.56269347961571159</v>
      </c>
      <c r="R12" s="64">
        <f t="shared" si="0"/>
        <v>0.56811475466746209</v>
      </c>
      <c r="S12" s="64">
        <f t="shared" si="0"/>
        <v>0.57336803930944047</v>
      </c>
      <c r="T12" s="64">
        <f t="shared" si="0"/>
        <v>0.57846102274938105</v>
      </c>
      <c r="U12" s="64">
        <f t="shared" si="0"/>
        <v>0.58340093198288456</v>
      </c>
      <c r="V12" s="64">
        <f t="shared" si="0"/>
        <v>0.58819456600973596</v>
      </c>
      <c r="W12" s="64">
        <f t="shared" si="0"/>
        <v>0.59284832705499801</v>
      </c>
      <c r="X12" s="64">
        <f t="shared" si="0"/>
        <v>0.59736824909645314</v>
      </c>
      <c r="Y12" s="64">
        <f t="shared" si="0"/>
        <v>0.60176002396564587</v>
      </c>
      <c r="Z12" s="64">
        <f t="shared" si="0"/>
        <v>0.60602902525989633</v>
      </c>
      <c r="AA12" s="64">
        <f t="shared" si="0"/>
        <v>0.61018033027659013</v>
      </c>
      <c r="AB12" s="64">
        <f t="shared" si="0"/>
        <v>0.61421874015795352</v>
      </c>
      <c r="AC12" s="64">
        <f t="shared" si="0"/>
        <v>0.61814879841432158</v>
      </c>
      <c r="AD12" s="64">
        <f t="shared" si="0"/>
        <v>0.62197480797622773</v>
      </c>
      <c r="AE12" s="64">
        <f t="shared" si="0"/>
        <v>0.62570084690981886</v>
      </c>
      <c r="AF12" s="64">
        <f t="shared" si="0"/>
        <v>0.62933078291622802</v>
      </c>
      <c r="AG12" s="64">
        <f t="shared" si="0"/>
        <v>0.6328682867233516</v>
      </c>
    </row>
    <row r="13" spans="1:33" ht="14.25" customHeight="1" x14ac:dyDescent="0.2">
      <c r="A13" s="54" t="s">
        <v>65</v>
      </c>
      <c r="B13" s="64">
        <f>'Capacity Factor Calculation'!Q13</f>
        <v>0.67782537363300799</v>
      </c>
      <c r="C13" s="64">
        <f>'Capacity Factor Calculation'!Q13</f>
        <v>0.67782537363300799</v>
      </c>
      <c r="D13" s="64">
        <f>'Capacity Factor Calculation'!R13</f>
        <v>0.67966570922029579</v>
      </c>
      <c r="E13" s="64">
        <f>'Capacity Factor Calculation'!S13</f>
        <v>0.68132093869389931</v>
      </c>
      <c r="F13" s="64">
        <f>'Capacity Factor Calculation'!T13</f>
        <v>0.68281765251993087</v>
      </c>
      <c r="G13" s="64">
        <f>'Capacity Factor Calculation'!U13</f>
        <v>0.68417758093293024</v>
      </c>
      <c r="H13" s="64">
        <f>'Capacity Factor Calculation'!V13</f>
        <v>0.68541865585845485</v>
      </c>
      <c r="I13" s="64">
        <f>'Capacity Factor Calculation'!W13</f>
        <v>0.68655580606689082</v>
      </c>
      <c r="J13" s="64">
        <f>'Capacity Factor Calculation'!X13</f>
        <v>0.68760156060162037</v>
      </c>
      <c r="K13" s="64">
        <f>'Capacity Factor Calculation'!Y13</f>
        <v>0.68856651233111088</v>
      </c>
      <c r="L13" s="64">
        <f>'Capacity Factor Calculation'!Z13</f>
        <v>0.68945967804537156</v>
      </c>
      <c r="M13" s="64">
        <f>'Capacity Factor Calculation'!AA13</f>
        <v>0.69028878106819402</v>
      </c>
      <c r="N13" s="64">
        <f>'Capacity Factor Calculation'!AB13</f>
        <v>0.69106047516332147</v>
      </c>
      <c r="O13" s="64">
        <f>'Capacity Factor Calculation'!AC13</f>
        <v>0.69178052348571284</v>
      </c>
      <c r="P13" s="64">
        <f>'Capacity Factor Calculation'!AD13</f>
        <v>0.69245394276711425</v>
      </c>
      <c r="Q13" s="64">
        <f>'Capacity Factor Calculation'!AE13</f>
        <v>0.69308512036859438</v>
      </c>
      <c r="R13" s="64">
        <f>'Capacity Factor Calculation'!AF13</f>
        <v>0.69367790997578316</v>
      </c>
      <c r="S13" s="64">
        <f>'Capacity Factor Calculation'!AG13</f>
        <v>0.69423571034896026</v>
      </c>
      <c r="T13" s="64">
        <f>'Capacity Factor Calculation'!AH13</f>
        <v>0.69476153052829603</v>
      </c>
      <c r="U13" s="64">
        <f>'Capacity Factor Calculation'!AI13</f>
        <v>0.69525804413644221</v>
      </c>
      <c r="V13" s="64">
        <f>'Capacity Factor Calculation'!AJ13</f>
        <v>0.69572763484762945</v>
      </c>
      <c r="W13" s="64">
        <f>'Capacity Factor Calculation'!AK13</f>
        <v>0.69617243465548662</v>
      </c>
      <c r="X13" s="64">
        <f>'Capacity Factor Calculation'!AL13</f>
        <v>0.69659435623594479</v>
      </c>
      <c r="Y13" s="64">
        <f>'Capacity Factor Calculation'!AM13</f>
        <v>0.69699512044159861</v>
      </c>
      <c r="Z13" s="64">
        <f>'Capacity Factor Calculation'!AN13</f>
        <v>0.69737627976111316</v>
      </c>
      <c r="AA13" s="64">
        <f>'Capacity Factor Calculation'!AO13</f>
        <v>0.69773923841800067</v>
      </c>
      <c r="AB13" s="64">
        <f>'Capacity Factor Calculation'!AP13</f>
        <v>0.69808526965733764</v>
      </c>
      <c r="AC13" s="64">
        <f>'Capacity Factor Calculation'!AQ13</f>
        <v>0.69841553066899087</v>
      </c>
      <c r="AD13" s="64">
        <f>'Capacity Factor Calculation'!AR13</f>
        <v>0.69873107551593039</v>
      </c>
      <c r="AE13" s="64">
        <f>'Capacity Factor Calculation'!AS13</f>
        <v>0.69903286637198059</v>
      </c>
      <c r="AF13" s="64">
        <f>'Capacity Factor Calculation'!AT13</f>
        <v>0.69932178332143213</v>
      </c>
      <c r="AG13" s="64">
        <f>'Capacity Factor Calculation'!AU13</f>
        <v>0.69959863293072588</v>
      </c>
    </row>
    <row r="14" spans="1:33" ht="14.25" customHeight="1" x14ac:dyDescent="0.2">
      <c r="A14" s="54" t="s">
        <v>133</v>
      </c>
      <c r="B14" s="64">
        <f>'Capacity Factor Calculation'!Q14</f>
        <v>0.19089506879858689</v>
      </c>
      <c r="C14" s="64">
        <f>'Capacity Factor Calculation'!Q14</f>
        <v>0.19089506879858689</v>
      </c>
      <c r="D14" s="64">
        <f>'Capacity Factor Calculation'!R14</f>
        <v>0.19048075744739912</v>
      </c>
      <c r="E14" s="64">
        <f>'Capacity Factor Calculation'!S14</f>
        <v>0.190160325233211</v>
      </c>
      <c r="F14" s="64">
        <f>'Capacity Factor Calculation'!T14</f>
        <v>0.18990511109979744</v>
      </c>
      <c r="G14" s="64">
        <f>'Capacity Factor Calculation'!U14</f>
        <v>0.18969704322974223</v>
      </c>
      <c r="H14" s="64">
        <f>'Capacity Factor Calculation'!V14</f>
        <v>0.18952416212690099</v>
      </c>
      <c r="I14" s="64">
        <f>'Capacity Factor Calculation'!W14</f>
        <v>0.18937823792084044</v>
      </c>
      <c r="J14" s="64">
        <f>'Capacity Factor Calculation'!X14</f>
        <v>0.1892534216415441</v>
      </c>
      <c r="K14" s="64">
        <f>'Capacity Factor Calculation'!Y14</f>
        <v>0.18914544229798283</v>
      </c>
      <c r="L14" s="64">
        <f>'Capacity Factor Calculation'!Z14</f>
        <v>0.18905110835329414</v>
      </c>
      <c r="M14" s="64">
        <f>'Capacity Factor Calculation'!AA14</f>
        <v>0.18896798696430725</v>
      </c>
      <c r="N14" s="64">
        <f>'Capacity Factor Calculation'!AB14</f>
        <v>0.18889419118197412</v>
      </c>
      <c r="O14" s="64">
        <f>'Capacity Factor Calculation'!AC14</f>
        <v>0.1888282349709906</v>
      </c>
      <c r="P14" s="64">
        <f>'Capacity Factor Calculation'!AD14</f>
        <v>0.18876893210417986</v>
      </c>
      <c r="Q14" s="64">
        <f>'Capacity Factor Calculation'!AE14</f>
        <v>0.18871532418489448</v>
      </c>
      <c r="R14" s="64">
        <f>'Capacity Factor Calculation'!AF14</f>
        <v>0.18866662845570523</v>
      </c>
      <c r="S14" s="64">
        <f>'Capacity Factor Calculation'!AG14</f>
        <v>0.18862219932571028</v>
      </c>
      <c r="T14" s="64">
        <f>'Capacity Factor Calculation'!AH14</f>
        <v>0.18858149958608286</v>
      </c>
      <c r="U14" s="64">
        <f>'Capacity Factor Calculation'!AI14</f>
        <v>0.18854407858214964</v>
      </c>
      <c r="V14" s="64">
        <f>'Capacity Factor Calculation'!AJ14</f>
        <v>0.18850955545652448</v>
      </c>
      <c r="W14" s="64">
        <f>'Capacity Factor Calculation'!AK14</f>
        <v>0.18847760614009484</v>
      </c>
      <c r="X14" s="64">
        <f>'Capacity Factor Calculation'!AL14</f>
        <v>0.18844795314801843</v>
      </c>
      <c r="Y14" s="64">
        <f>'Capacity Factor Calculation'!AM14</f>
        <v>0.18842035749960068</v>
      </c>
      <c r="Z14" s="64">
        <f>'Capacity Factor Calculation'!AN14</f>
        <v>0.18839461226361512</v>
      </c>
      <c r="AA14" s="64">
        <f>'Capacity Factor Calculation'!AO14</f>
        <v>0.18837053735993203</v>
      </c>
      <c r="AB14" s="64">
        <f>'Capacity Factor Calculation'!AP14</f>
        <v>0.1883479753411558</v>
      </c>
      <c r="AC14" s="64">
        <f>'Capacity Factor Calculation'!AQ14</f>
        <v>0.1883267879453068</v>
      </c>
      <c r="AD14" s="64">
        <f>'Capacity Factor Calculation'!AR14</f>
        <v>0.18830685325995919</v>
      </c>
      <c r="AE14" s="64">
        <f>'Capacity Factor Calculation'!AS14</f>
        <v>0.18828806337494855</v>
      </c>
      <c r="AF14" s="64">
        <f>'Capacity Factor Calculation'!AT14</f>
        <v>0.18827032242820382</v>
      </c>
      <c r="AG14" s="64">
        <f>'Capacity Factor Calculation'!AU14</f>
        <v>0.18825354496995095</v>
      </c>
    </row>
    <row r="15" spans="1:33" ht="14.25" customHeight="1" x14ac:dyDescent="0.2">
      <c r="A15" s="54" t="s">
        <v>134</v>
      </c>
      <c r="B15" s="64">
        <f>'Capacity Factor Calculation'!Q15</f>
        <v>8.3496071984080808E-2</v>
      </c>
      <c r="C15" s="64">
        <f>'Capacity Factor Calculation'!Q15</f>
        <v>8.3496071984080808E-2</v>
      </c>
      <c r="D15" s="64">
        <f>'Capacity Factor Calculation'!R15</f>
        <v>3.1828746187346255E-2</v>
      </c>
      <c r="E15" s="64">
        <f>'Capacity Factor Calculation'!S15</f>
        <v>3.179041369494881E-2</v>
      </c>
      <c r="F15" s="64">
        <f>'Capacity Factor Calculation'!T15</f>
        <v>3.1752173421859459E-2</v>
      </c>
      <c r="G15" s="64">
        <f>'Capacity Factor Calculation'!U15</f>
        <v>3.1714025035689826E-2</v>
      </c>
      <c r="H15" s="64">
        <f>'Capacity Factor Calculation'!V15</f>
        <v>3.1675968205646998E-2</v>
      </c>
      <c r="I15" s="64">
        <f>'Capacity Factor Calculation'!W15</f>
        <v>3.1638002602523967E-2</v>
      </c>
      <c r="J15" s="64">
        <f>'Capacity Factor Calculation'!X15</f>
        <v>3.1600127898690142E-2</v>
      </c>
      <c r="K15" s="64">
        <f>'Capacity Factor Calculation'!Y15</f>
        <v>3.1562343768081903E-2</v>
      </c>
      <c r="L15" s="64">
        <f>'Capacity Factor Calculation'!Z15</f>
        <v>3.1524649886193266E-2</v>
      </c>
      <c r="M15" s="64">
        <f>'Capacity Factor Calculation'!AA15</f>
        <v>3.1487045930066598E-2</v>
      </c>
      <c r="N15" s="64">
        <f>'Capacity Factor Calculation'!AB15</f>
        <v>3.1449531578283355E-2</v>
      </c>
      <c r="O15" s="64">
        <f>'Capacity Factor Calculation'!AC15</f>
        <v>3.1412106510954975E-2</v>
      </c>
      <c r="P15" s="64">
        <f>'Capacity Factor Calculation'!AD15</f>
        <v>3.1374770409713745E-2</v>
      </c>
      <c r="Q15" s="64">
        <f>'Capacity Factor Calculation'!AE15</f>
        <v>3.1337522957703798E-2</v>
      </c>
      <c r="R15" s="64">
        <f>'Capacity Factor Calculation'!AF15</f>
        <v>3.1300363839572132E-2</v>
      </c>
      <c r="S15" s="64">
        <f>'Capacity Factor Calculation'!AG15</f>
        <v>3.1263292741459725E-2</v>
      </c>
      <c r="T15" s="64">
        <f>'Capacity Factor Calculation'!AH15</f>
        <v>3.1226309350992701E-2</v>
      </c>
      <c r="U15" s="64">
        <f>'Capacity Factor Calculation'!AI15</f>
        <v>3.1189413357273529E-2</v>
      </c>
      <c r="V15" s="64">
        <f>'Capacity Factor Calculation'!AJ15</f>
        <v>3.115260445087234E-2</v>
      </c>
      <c r="W15" s="64">
        <f>'Capacity Factor Calculation'!AK15</f>
        <v>3.1115882323818268E-2</v>
      </c>
      <c r="X15" s="64">
        <f>'Capacity Factor Calculation'!AL15</f>
        <v>3.1079246669590853E-2</v>
      </c>
      <c r="Y15" s="64">
        <f>'Capacity Factor Calculation'!AM15</f>
        <v>3.104269718311152E-2</v>
      </c>
      <c r="Z15" s="64">
        <f>'Capacity Factor Calculation'!AN15</f>
        <v>3.1006233560735116E-2</v>
      </c>
      <c r="AA15" s="64">
        <f>'Capacity Factor Calculation'!AO15</f>
        <v>3.0969855500241492E-2</v>
      </c>
      <c r="AB15" s="64">
        <f>'Capacity Factor Calculation'!AP15</f>
        <v>3.0933562700827144E-2</v>
      </c>
      <c r="AC15" s="64">
        <f>'Capacity Factor Calculation'!AQ15</f>
        <v>3.0897354863096953E-2</v>
      </c>
      <c r="AD15" s="64">
        <f>'Capacity Factor Calculation'!AR15</f>
        <v>3.0861231689055919E-2</v>
      </c>
      <c r="AE15" s="64">
        <f>'Capacity Factor Calculation'!AS15</f>
        <v>3.0825192882101008E-2</v>
      </c>
      <c r="AF15" s="64">
        <f>'Capacity Factor Calculation'!AT15</f>
        <v>3.078923814701302E-2</v>
      </c>
      <c r="AG15" s="64">
        <f>'Capacity Factor Calculation'!AU15</f>
        <v>3.075336718994854E-2</v>
      </c>
    </row>
    <row r="16" spans="1:33" ht="14.25" customHeight="1" x14ac:dyDescent="0.2">
      <c r="A16" s="54" t="s">
        <v>135</v>
      </c>
      <c r="B16" s="64">
        <f>'Capacity Factor Calculation'!Q16</f>
        <v>8.3496071984080808E-2</v>
      </c>
      <c r="C16" s="64">
        <f>'Capacity Factor Calculation'!Q16</f>
        <v>8.3496071984080808E-2</v>
      </c>
      <c r="D16" s="64">
        <f>'Capacity Factor Calculation'!R16</f>
        <v>3.1828746187346255E-2</v>
      </c>
      <c r="E16" s="64">
        <f>'Capacity Factor Calculation'!S16</f>
        <v>3.179041369494881E-2</v>
      </c>
      <c r="F16" s="64">
        <f>'Capacity Factor Calculation'!T16</f>
        <v>3.1752173421859459E-2</v>
      </c>
      <c r="G16" s="64">
        <f>'Capacity Factor Calculation'!U16</f>
        <v>3.1714025035689826E-2</v>
      </c>
      <c r="H16" s="64">
        <f>'Capacity Factor Calculation'!V16</f>
        <v>3.1675968205646998E-2</v>
      </c>
      <c r="I16" s="64">
        <f>'Capacity Factor Calculation'!W16</f>
        <v>3.1638002602523967E-2</v>
      </c>
      <c r="J16" s="64">
        <f>'Capacity Factor Calculation'!X16</f>
        <v>3.1600127898690142E-2</v>
      </c>
      <c r="K16" s="64">
        <f>'Capacity Factor Calculation'!Y16</f>
        <v>3.1562343768081903E-2</v>
      </c>
      <c r="L16" s="64">
        <f>'Capacity Factor Calculation'!Z16</f>
        <v>3.1524649886193266E-2</v>
      </c>
      <c r="M16" s="64">
        <f>'Capacity Factor Calculation'!AA16</f>
        <v>3.1487045930066598E-2</v>
      </c>
      <c r="N16" s="64">
        <f>'Capacity Factor Calculation'!AB16</f>
        <v>3.1449531578283355E-2</v>
      </c>
      <c r="O16" s="64">
        <f>'Capacity Factor Calculation'!AC16</f>
        <v>3.1412106510954975E-2</v>
      </c>
      <c r="P16" s="64">
        <f>'Capacity Factor Calculation'!AD16</f>
        <v>3.1374770409713745E-2</v>
      </c>
      <c r="Q16" s="64">
        <f>'Capacity Factor Calculation'!AE16</f>
        <v>3.1337522957703798E-2</v>
      </c>
      <c r="R16" s="64">
        <f>'Capacity Factor Calculation'!AF16</f>
        <v>3.1300363839572132E-2</v>
      </c>
      <c r="S16" s="64">
        <f>'Capacity Factor Calculation'!AG16</f>
        <v>3.1263292741459725E-2</v>
      </c>
      <c r="T16" s="64">
        <f>'Capacity Factor Calculation'!AH16</f>
        <v>3.1226309350992701E-2</v>
      </c>
      <c r="U16" s="64">
        <f>'Capacity Factor Calculation'!AI16</f>
        <v>3.1189413357273529E-2</v>
      </c>
      <c r="V16" s="64">
        <f>'Capacity Factor Calculation'!AJ16</f>
        <v>3.115260445087234E-2</v>
      </c>
      <c r="W16" s="64">
        <f>'Capacity Factor Calculation'!AK16</f>
        <v>3.1115882323818268E-2</v>
      </c>
      <c r="X16" s="64">
        <f>'Capacity Factor Calculation'!AL16</f>
        <v>3.1079246669590853E-2</v>
      </c>
      <c r="Y16" s="64">
        <f>'Capacity Factor Calculation'!AM16</f>
        <v>3.104269718311152E-2</v>
      </c>
      <c r="Z16" s="64">
        <f>'Capacity Factor Calculation'!AN16</f>
        <v>3.1006233560735116E-2</v>
      </c>
      <c r="AA16" s="64">
        <f>'Capacity Factor Calculation'!AO16</f>
        <v>3.0969855500241492E-2</v>
      </c>
      <c r="AB16" s="64">
        <f>'Capacity Factor Calculation'!AP16</f>
        <v>3.0933562700827144E-2</v>
      </c>
      <c r="AC16" s="64">
        <f>'Capacity Factor Calculation'!AQ16</f>
        <v>3.0897354863096953E-2</v>
      </c>
      <c r="AD16" s="64">
        <f>'Capacity Factor Calculation'!AR16</f>
        <v>3.0861231689055919E-2</v>
      </c>
      <c r="AE16" s="64">
        <f>'Capacity Factor Calculation'!AS16</f>
        <v>3.0825192882101008E-2</v>
      </c>
      <c r="AF16" s="64">
        <f>'Capacity Factor Calculation'!AT16</f>
        <v>3.078923814701302E-2</v>
      </c>
      <c r="AG16" s="64">
        <f>'Capacity Factor Calculation'!AU16</f>
        <v>3.075336718994854E-2</v>
      </c>
    </row>
    <row r="17" spans="1:33" ht="14.25" customHeight="1" x14ac:dyDescent="0.2">
      <c r="A17" s="54" t="s">
        <v>66</v>
      </c>
      <c r="B17" s="64">
        <f>'Capacity Factor Calculation'!Q17</f>
        <v>0.4468599033816501</v>
      </c>
      <c r="C17" s="64">
        <f>'Capacity Factor Calculation'!Q17</f>
        <v>0.4468599033816501</v>
      </c>
      <c r="D17" s="64">
        <f>'Capacity Factor Calculation'!R17</f>
        <v>0.4408734340241256</v>
      </c>
      <c r="E17" s="64">
        <f>'Capacity Factor Calculation'!S17</f>
        <v>0.43612554453367519</v>
      </c>
      <c r="F17" s="64">
        <f>'Capacity Factor Calculation'!T17</f>
        <v>0.4322678843226842</v>
      </c>
      <c r="G17" s="64">
        <f>'Capacity Factor Calculation'!U17</f>
        <v>0.42907153729072023</v>
      </c>
      <c r="H17" s="64">
        <f>'Capacity Factor Calculation'!V17</f>
        <v>0.42637987663222426</v>
      </c>
      <c r="I17" s="64">
        <f>'Capacity Factor Calculation'!W17</f>
        <v>0.42408211753350822</v>
      </c>
      <c r="J17" s="64">
        <f>'Capacity Factor Calculation'!X17</f>
        <v>0.42209768922098073</v>
      </c>
      <c r="K17" s="64">
        <f>'Capacity Factor Calculation'!Y17</f>
        <v>0.42036659218239292</v>
      </c>
      <c r="L17" s="64">
        <f>'Capacity Factor Calculation'!Z17</f>
        <v>0.41884322678843561</v>
      </c>
      <c r="M17" s="64">
        <f>'Capacity Factor Calculation'!AA17</f>
        <v>0.41749231785417162</v>
      </c>
      <c r="N17" s="64">
        <f>'Capacity Factor Calculation'!AB17</f>
        <v>0.41628614916286444</v>
      </c>
      <c r="O17" s="64">
        <f>'Capacity Factor Calculation'!AC17</f>
        <v>0.41520264169440213</v>
      </c>
      <c r="P17" s="64">
        <f>'Capacity Factor Calculation'!AD17</f>
        <v>0.41422398978740388</v>
      </c>
      <c r="Q17" s="64">
        <f>'Capacity Factor Calculation'!AE17</f>
        <v>0.41333567497951312</v>
      </c>
      <c r="R17" s="64">
        <f>'Capacity Factor Calculation'!AF17</f>
        <v>0.41252574088996574</v>
      </c>
      <c r="S17" s="64">
        <f>'Capacity Factor Calculation'!AG17</f>
        <v>0.41178425193474621</v>
      </c>
      <c r="T17" s="64">
        <f>'Capacity Factor Calculation'!AH17</f>
        <v>0.41110288370562564</v>
      </c>
      <c r="U17" s="64">
        <f>'Capacity Factor Calculation'!AI17</f>
        <v>0.4104746091047482</v>
      </c>
      <c r="V17" s="64">
        <f>'Capacity Factor Calculation'!AJ17</f>
        <v>0.40989345509893654</v>
      </c>
      <c r="W17" s="64">
        <f>'Capacity Factor Calculation'!AK17</f>
        <v>0.40935431222607521</v>
      </c>
      <c r="X17" s="64">
        <f>'Capacity Factor Calculation'!AL17</f>
        <v>0.40885278397225067</v>
      </c>
      <c r="Y17" s="64">
        <f>'Capacity Factor Calculation'!AM17</f>
        <v>0.40838506661194235</v>
      </c>
      <c r="Z17" s="64">
        <f>'Capacity Factor Calculation'!AN17</f>
        <v>0.40794785255774113</v>
      </c>
      <c r="AA17" s="64">
        <f>'Capacity Factor Calculation'!AO17</f>
        <v>0.40753825202275262</v>
      </c>
      <c r="AB17" s="64">
        <f>'Capacity Factor Calculation'!AP17</f>
        <v>0.40715372907153891</v>
      </c>
      <c r="AC17" s="64">
        <f>'Capacity Factor Calculation'!AQ17</f>
        <v>0.4067920490679221</v>
      </c>
      <c r="AD17" s="64">
        <f>'Capacity Factor Calculation'!AR17</f>
        <v>0.40645123521836007</v>
      </c>
      <c r="AE17" s="64">
        <f>'Capacity Factor Calculation'!AS17</f>
        <v>0.40612953242578281</v>
      </c>
      <c r="AF17" s="64">
        <f>'Capacity Factor Calculation'!AT17</f>
        <v>0.40582537705825522</v>
      </c>
      <c r="AG17" s="64">
        <f>'Capacity Factor Calculation'!AU17</f>
        <v>0.40553737153325126</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AG1000"/>
  <sheetViews>
    <sheetView workbookViewId="0">
      <selection activeCell="B2" sqref="B2:B17"/>
    </sheetView>
  </sheetViews>
  <sheetFormatPr baseColWidth="10" defaultColWidth="14.5" defaultRowHeight="15" customHeight="1" x14ac:dyDescent="0.2"/>
  <cols>
    <col min="1" max="1" width="24.5" customWidth="1"/>
    <col min="2" max="4" width="9.1640625" customWidth="1"/>
    <col min="5" max="33" width="8.6640625" customWidth="1"/>
  </cols>
  <sheetData>
    <row r="1" spans="1:3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row>
    <row r="2" spans="1:33" ht="14.25" customHeight="1" x14ac:dyDescent="0.2">
      <c r="A2" s="2" t="s">
        <v>126</v>
      </c>
      <c r="B2" s="58">
        <v>0</v>
      </c>
      <c r="C2" s="58">
        <f t="shared" ref="C2:AG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row>
    <row r="3" spans="1:33" ht="14.25" customHeight="1" x14ac:dyDescent="0.2">
      <c r="A3" s="2" t="s">
        <v>127</v>
      </c>
      <c r="B3" s="58">
        <v>0</v>
      </c>
      <c r="C3" s="58">
        <f t="shared" ref="C3:AG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row>
    <row r="4" spans="1:33" ht="14.25" customHeight="1" x14ac:dyDescent="0.2">
      <c r="A4" s="2" t="s">
        <v>128</v>
      </c>
      <c r="B4" s="58">
        <v>0</v>
      </c>
      <c r="C4" s="58">
        <f t="shared" ref="C4:AG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row>
    <row r="5" spans="1:33" ht="14.25" customHeight="1" x14ac:dyDescent="0.2">
      <c r="A5" s="2" t="s">
        <v>15</v>
      </c>
      <c r="B5" s="58">
        <v>0</v>
      </c>
      <c r="C5" s="58">
        <f t="shared" ref="C5:AG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row>
    <row r="6" spans="1:33" ht="14.25" customHeight="1" x14ac:dyDescent="0.2">
      <c r="A6" s="2" t="s">
        <v>129</v>
      </c>
      <c r="B6" s="58">
        <v>0</v>
      </c>
      <c r="C6" s="58">
        <f t="shared" ref="C6:AG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row>
    <row r="7" spans="1:33" ht="14.25" customHeight="1" x14ac:dyDescent="0.2">
      <c r="A7" s="2" t="s">
        <v>23</v>
      </c>
      <c r="B7" s="58">
        <v>0</v>
      </c>
      <c r="C7" s="58">
        <f t="shared" ref="C7:AG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row>
    <row r="8" spans="1:33" ht="14.25" customHeight="1" x14ac:dyDescent="0.2">
      <c r="A8" s="2" t="s">
        <v>130</v>
      </c>
      <c r="B8" s="58">
        <v>0</v>
      </c>
      <c r="C8" s="58">
        <f t="shared" ref="C8:AG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row>
    <row r="9" spans="1:33" ht="14.25" customHeight="1" x14ac:dyDescent="0.2">
      <c r="A9" s="2" t="s">
        <v>21</v>
      </c>
      <c r="B9" s="58">
        <v>0</v>
      </c>
      <c r="C9" s="58">
        <f t="shared" ref="C9:AG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row>
    <row r="10" spans="1:33" ht="14.25" customHeight="1" x14ac:dyDescent="0.2">
      <c r="A10" s="2" t="s">
        <v>16</v>
      </c>
      <c r="B10" s="58">
        <v>0</v>
      </c>
      <c r="C10" s="58">
        <f t="shared" ref="C10:AG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row>
    <row r="11" spans="1:33" ht="14.25" customHeight="1" x14ac:dyDescent="0.2">
      <c r="A11" s="2" t="s">
        <v>131</v>
      </c>
      <c r="B11" s="58">
        <v>0</v>
      </c>
      <c r="C11" s="58">
        <f t="shared" ref="C11:AG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row>
    <row r="12" spans="1:33" ht="14.25" customHeight="1" x14ac:dyDescent="0.2">
      <c r="A12" s="2" t="s">
        <v>132</v>
      </c>
      <c r="B12" s="58">
        <v>0</v>
      </c>
      <c r="C12" s="58">
        <f t="shared" ref="C12:AG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row>
    <row r="13" spans="1:33" ht="14.25" customHeight="1" x14ac:dyDescent="0.2">
      <c r="A13" s="2" t="s">
        <v>65</v>
      </c>
      <c r="B13" s="58">
        <v>0</v>
      </c>
      <c r="C13" s="58">
        <f t="shared" ref="C13:AG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row>
    <row r="14" spans="1:33" ht="14.25" customHeight="1" x14ac:dyDescent="0.2">
      <c r="A14" s="2" t="s">
        <v>133</v>
      </c>
      <c r="B14" s="58">
        <v>0</v>
      </c>
      <c r="C14" s="58">
        <f t="shared" ref="C14:AG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row>
    <row r="15" spans="1:33" ht="14.25" customHeight="1" x14ac:dyDescent="0.2">
      <c r="A15" s="2" t="s">
        <v>134</v>
      </c>
      <c r="B15" s="58">
        <v>0</v>
      </c>
      <c r="C15" s="58">
        <f t="shared" ref="C15:AG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row>
    <row r="16" spans="1:33" ht="14.25" customHeight="1" x14ac:dyDescent="0.2">
      <c r="A16" s="2" t="s">
        <v>135</v>
      </c>
      <c r="B16" s="58">
        <v>0</v>
      </c>
      <c r="C16" s="58">
        <f t="shared" ref="C16:AG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row>
    <row r="17" spans="1:33" ht="14.25" customHeight="1" x14ac:dyDescent="0.2">
      <c r="A17" s="2" t="s">
        <v>66</v>
      </c>
      <c r="B17" s="58">
        <v>0</v>
      </c>
      <c r="C17" s="58">
        <f t="shared" ref="C17:AG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AG1000"/>
  <sheetViews>
    <sheetView workbookViewId="0">
      <selection activeCell="B2" sqref="B2"/>
    </sheetView>
  </sheetViews>
  <sheetFormatPr baseColWidth="10" defaultColWidth="14.5" defaultRowHeight="15" customHeight="1" x14ac:dyDescent="0.2"/>
  <cols>
    <col min="1" max="1" width="23.83203125" customWidth="1"/>
    <col min="2" max="4" width="9.1640625" customWidth="1"/>
    <col min="5" max="33" width="8.6640625" customWidth="1"/>
  </cols>
  <sheetData>
    <row r="1" spans="1:3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row>
    <row r="2" spans="1:33" ht="14.25" customHeight="1" x14ac:dyDescent="0.2">
      <c r="A2" s="2" t="s">
        <v>126</v>
      </c>
      <c r="B2" s="63">
        <f>'BECF-pre-ret'!B2*1.1</f>
        <v>0.74560791099630885</v>
      </c>
      <c r="C2" s="63">
        <f t="shared" ref="C2:AG2" si="0">$B2</f>
        <v>0.74560791099630885</v>
      </c>
      <c r="D2" s="63">
        <f t="shared" si="0"/>
        <v>0.74560791099630885</v>
      </c>
      <c r="E2" s="63">
        <f t="shared" si="0"/>
        <v>0.74560791099630885</v>
      </c>
      <c r="F2" s="63">
        <f t="shared" si="0"/>
        <v>0.74560791099630885</v>
      </c>
      <c r="G2" s="63">
        <f t="shared" si="0"/>
        <v>0.74560791099630885</v>
      </c>
      <c r="H2" s="63">
        <f t="shared" si="0"/>
        <v>0.74560791099630885</v>
      </c>
      <c r="I2" s="63">
        <f t="shared" si="0"/>
        <v>0.74560791099630885</v>
      </c>
      <c r="J2" s="63">
        <f t="shared" si="0"/>
        <v>0.74560791099630885</v>
      </c>
      <c r="K2" s="63">
        <f t="shared" si="0"/>
        <v>0.74560791099630885</v>
      </c>
      <c r="L2" s="63">
        <f t="shared" si="0"/>
        <v>0.74560791099630885</v>
      </c>
      <c r="M2" s="63">
        <f t="shared" si="0"/>
        <v>0.74560791099630885</v>
      </c>
      <c r="N2" s="63">
        <f t="shared" si="0"/>
        <v>0.74560791099630885</v>
      </c>
      <c r="O2" s="63">
        <f t="shared" si="0"/>
        <v>0.74560791099630885</v>
      </c>
      <c r="P2" s="63">
        <f t="shared" si="0"/>
        <v>0.74560791099630885</v>
      </c>
      <c r="Q2" s="63">
        <f t="shared" si="0"/>
        <v>0.74560791099630885</v>
      </c>
      <c r="R2" s="63">
        <f t="shared" si="0"/>
        <v>0.74560791099630885</v>
      </c>
      <c r="S2" s="63">
        <f t="shared" si="0"/>
        <v>0.74560791099630885</v>
      </c>
      <c r="T2" s="63">
        <f t="shared" si="0"/>
        <v>0.74560791099630885</v>
      </c>
      <c r="U2" s="63">
        <f t="shared" si="0"/>
        <v>0.74560791099630885</v>
      </c>
      <c r="V2" s="63">
        <f t="shared" si="0"/>
        <v>0.74560791099630885</v>
      </c>
      <c r="W2" s="63">
        <f t="shared" si="0"/>
        <v>0.74560791099630885</v>
      </c>
      <c r="X2" s="63">
        <f t="shared" si="0"/>
        <v>0.74560791099630885</v>
      </c>
      <c r="Y2" s="63">
        <f t="shared" si="0"/>
        <v>0.74560791099630885</v>
      </c>
      <c r="Z2" s="63">
        <f t="shared" si="0"/>
        <v>0.74560791099630885</v>
      </c>
      <c r="AA2" s="63">
        <f t="shared" si="0"/>
        <v>0.74560791099630885</v>
      </c>
      <c r="AB2" s="63">
        <f t="shared" si="0"/>
        <v>0.74560791099630885</v>
      </c>
      <c r="AC2" s="63">
        <f t="shared" si="0"/>
        <v>0.74560791099630885</v>
      </c>
      <c r="AD2" s="63">
        <f t="shared" si="0"/>
        <v>0.74560791099630885</v>
      </c>
      <c r="AE2" s="63">
        <f t="shared" si="0"/>
        <v>0.74560791099630885</v>
      </c>
      <c r="AF2" s="63">
        <f t="shared" si="0"/>
        <v>0.74560791099630885</v>
      </c>
      <c r="AG2" s="63">
        <f t="shared" si="0"/>
        <v>0.74560791099630885</v>
      </c>
    </row>
    <row r="3" spans="1:33" ht="14.25" customHeight="1" x14ac:dyDescent="0.2">
      <c r="A3" s="2" t="s">
        <v>127</v>
      </c>
      <c r="B3" s="63">
        <f>'BECF-pre-ret'!B3*1.1</f>
        <v>0.50967697225964836</v>
      </c>
      <c r="C3" s="63">
        <f t="shared" ref="C3:AG3" si="1">$B3</f>
        <v>0.50967697225964836</v>
      </c>
      <c r="D3" s="63">
        <f t="shared" si="1"/>
        <v>0.50967697225964836</v>
      </c>
      <c r="E3" s="63">
        <f t="shared" si="1"/>
        <v>0.50967697225964836</v>
      </c>
      <c r="F3" s="63">
        <f t="shared" si="1"/>
        <v>0.50967697225964836</v>
      </c>
      <c r="G3" s="63">
        <f t="shared" si="1"/>
        <v>0.50967697225964836</v>
      </c>
      <c r="H3" s="63">
        <f t="shared" si="1"/>
        <v>0.50967697225964836</v>
      </c>
      <c r="I3" s="63">
        <f t="shared" si="1"/>
        <v>0.50967697225964836</v>
      </c>
      <c r="J3" s="63">
        <f t="shared" si="1"/>
        <v>0.50967697225964836</v>
      </c>
      <c r="K3" s="63">
        <f t="shared" si="1"/>
        <v>0.50967697225964836</v>
      </c>
      <c r="L3" s="63">
        <f t="shared" si="1"/>
        <v>0.50967697225964836</v>
      </c>
      <c r="M3" s="63">
        <f t="shared" si="1"/>
        <v>0.50967697225964836</v>
      </c>
      <c r="N3" s="63">
        <f t="shared" si="1"/>
        <v>0.50967697225964836</v>
      </c>
      <c r="O3" s="63">
        <f t="shared" si="1"/>
        <v>0.50967697225964836</v>
      </c>
      <c r="P3" s="63">
        <f t="shared" si="1"/>
        <v>0.50967697225964836</v>
      </c>
      <c r="Q3" s="63">
        <f t="shared" si="1"/>
        <v>0.50967697225964836</v>
      </c>
      <c r="R3" s="63">
        <f t="shared" si="1"/>
        <v>0.50967697225964836</v>
      </c>
      <c r="S3" s="63">
        <f t="shared" si="1"/>
        <v>0.50967697225964836</v>
      </c>
      <c r="T3" s="63">
        <f t="shared" si="1"/>
        <v>0.50967697225964836</v>
      </c>
      <c r="U3" s="63">
        <f t="shared" si="1"/>
        <v>0.50967697225964836</v>
      </c>
      <c r="V3" s="63">
        <f t="shared" si="1"/>
        <v>0.50967697225964836</v>
      </c>
      <c r="W3" s="63">
        <f t="shared" si="1"/>
        <v>0.50967697225964836</v>
      </c>
      <c r="X3" s="63">
        <f t="shared" si="1"/>
        <v>0.50967697225964836</v>
      </c>
      <c r="Y3" s="63">
        <f t="shared" si="1"/>
        <v>0.50967697225964836</v>
      </c>
      <c r="Z3" s="63">
        <f t="shared" si="1"/>
        <v>0.50967697225964836</v>
      </c>
      <c r="AA3" s="63">
        <f t="shared" si="1"/>
        <v>0.50967697225964836</v>
      </c>
      <c r="AB3" s="63">
        <f t="shared" si="1"/>
        <v>0.50967697225964836</v>
      </c>
      <c r="AC3" s="63">
        <f t="shared" si="1"/>
        <v>0.50967697225964836</v>
      </c>
      <c r="AD3" s="63">
        <f t="shared" si="1"/>
        <v>0.50967697225964836</v>
      </c>
      <c r="AE3" s="63">
        <f t="shared" si="1"/>
        <v>0.50967697225964836</v>
      </c>
      <c r="AF3" s="63">
        <f t="shared" si="1"/>
        <v>0.50967697225964836</v>
      </c>
      <c r="AG3" s="63">
        <f t="shared" si="1"/>
        <v>0.50967697225964836</v>
      </c>
    </row>
    <row r="4" spans="1:33" ht="14.25" customHeight="1" x14ac:dyDescent="0.2">
      <c r="A4" s="2" t="s">
        <v>128</v>
      </c>
      <c r="B4" s="63">
        <f>'BECF-pre-ret'!B4*1.1</f>
        <v>0.50967697225964836</v>
      </c>
      <c r="C4" s="63">
        <f>$B$4</f>
        <v>0.50967697225964836</v>
      </c>
      <c r="D4" s="63">
        <f t="shared" ref="D4:AG4" si="2">$B$4</f>
        <v>0.50967697225964836</v>
      </c>
      <c r="E4" s="63">
        <f t="shared" si="2"/>
        <v>0.50967697225964836</v>
      </c>
      <c r="F4" s="63">
        <f t="shared" si="2"/>
        <v>0.50967697225964836</v>
      </c>
      <c r="G4" s="63">
        <f t="shared" si="2"/>
        <v>0.50967697225964836</v>
      </c>
      <c r="H4" s="63">
        <f t="shared" si="2"/>
        <v>0.50967697225964836</v>
      </c>
      <c r="I4" s="63">
        <f t="shared" si="2"/>
        <v>0.50967697225964836</v>
      </c>
      <c r="J4" s="63">
        <f t="shared" si="2"/>
        <v>0.50967697225964836</v>
      </c>
      <c r="K4" s="63">
        <f t="shared" si="2"/>
        <v>0.50967697225964836</v>
      </c>
      <c r="L4" s="63">
        <f t="shared" si="2"/>
        <v>0.50967697225964836</v>
      </c>
      <c r="M4" s="63">
        <f t="shared" si="2"/>
        <v>0.50967697225964836</v>
      </c>
      <c r="N4" s="63">
        <f t="shared" si="2"/>
        <v>0.50967697225964836</v>
      </c>
      <c r="O4" s="63">
        <f t="shared" si="2"/>
        <v>0.50967697225964836</v>
      </c>
      <c r="P4" s="63">
        <f t="shared" si="2"/>
        <v>0.50967697225964836</v>
      </c>
      <c r="Q4" s="63">
        <f t="shared" si="2"/>
        <v>0.50967697225964836</v>
      </c>
      <c r="R4" s="63">
        <f t="shared" si="2"/>
        <v>0.50967697225964836</v>
      </c>
      <c r="S4" s="63">
        <f t="shared" si="2"/>
        <v>0.50967697225964836</v>
      </c>
      <c r="T4" s="63">
        <f t="shared" si="2"/>
        <v>0.50967697225964836</v>
      </c>
      <c r="U4" s="63">
        <f t="shared" si="2"/>
        <v>0.50967697225964836</v>
      </c>
      <c r="V4" s="63">
        <f t="shared" si="2"/>
        <v>0.50967697225964836</v>
      </c>
      <c r="W4" s="63">
        <f t="shared" si="2"/>
        <v>0.50967697225964836</v>
      </c>
      <c r="X4" s="63">
        <f t="shared" si="2"/>
        <v>0.50967697225964836</v>
      </c>
      <c r="Y4" s="63">
        <f t="shared" si="2"/>
        <v>0.50967697225964836</v>
      </c>
      <c r="Z4" s="63">
        <f t="shared" si="2"/>
        <v>0.50967697225964836</v>
      </c>
      <c r="AA4" s="63">
        <f t="shared" si="2"/>
        <v>0.50967697225964836</v>
      </c>
      <c r="AB4" s="63">
        <f t="shared" si="2"/>
        <v>0.50967697225964836</v>
      </c>
      <c r="AC4" s="63">
        <f t="shared" si="2"/>
        <v>0.50967697225964836</v>
      </c>
      <c r="AD4" s="63">
        <f t="shared" si="2"/>
        <v>0.50967697225964836</v>
      </c>
      <c r="AE4" s="63">
        <f t="shared" si="2"/>
        <v>0.50967697225964836</v>
      </c>
      <c r="AF4" s="63">
        <f t="shared" si="2"/>
        <v>0.50967697225964836</v>
      </c>
      <c r="AG4" s="63">
        <f t="shared" si="2"/>
        <v>0.50967697225964836</v>
      </c>
    </row>
    <row r="5" spans="1:33" ht="14.25" customHeight="1" x14ac:dyDescent="0.2">
      <c r="A5" s="2" t="s">
        <v>15</v>
      </c>
      <c r="B5" s="63">
        <f>'BECF-pre-ret'!B5*1.1</f>
        <v>0.46718181240458195</v>
      </c>
      <c r="C5" s="63">
        <f t="shared" ref="C5:AG5" si="3">$B5</f>
        <v>0.46718181240458195</v>
      </c>
      <c r="D5" s="63">
        <f t="shared" si="3"/>
        <v>0.46718181240458195</v>
      </c>
      <c r="E5" s="63">
        <f t="shared" si="3"/>
        <v>0.46718181240458195</v>
      </c>
      <c r="F5" s="63">
        <f t="shared" si="3"/>
        <v>0.46718181240458195</v>
      </c>
      <c r="G5" s="63">
        <f t="shared" si="3"/>
        <v>0.46718181240458195</v>
      </c>
      <c r="H5" s="63">
        <f t="shared" si="3"/>
        <v>0.46718181240458195</v>
      </c>
      <c r="I5" s="63">
        <f t="shared" si="3"/>
        <v>0.46718181240458195</v>
      </c>
      <c r="J5" s="63">
        <f t="shared" si="3"/>
        <v>0.46718181240458195</v>
      </c>
      <c r="K5" s="63">
        <f t="shared" si="3"/>
        <v>0.46718181240458195</v>
      </c>
      <c r="L5" s="63">
        <f t="shared" si="3"/>
        <v>0.46718181240458195</v>
      </c>
      <c r="M5" s="63">
        <f t="shared" si="3"/>
        <v>0.46718181240458195</v>
      </c>
      <c r="N5" s="63">
        <f t="shared" si="3"/>
        <v>0.46718181240458195</v>
      </c>
      <c r="O5" s="63">
        <f t="shared" si="3"/>
        <v>0.46718181240458195</v>
      </c>
      <c r="P5" s="63">
        <f t="shared" si="3"/>
        <v>0.46718181240458195</v>
      </c>
      <c r="Q5" s="63">
        <f t="shared" si="3"/>
        <v>0.46718181240458195</v>
      </c>
      <c r="R5" s="63">
        <f t="shared" si="3"/>
        <v>0.46718181240458195</v>
      </c>
      <c r="S5" s="63">
        <f t="shared" si="3"/>
        <v>0.46718181240458195</v>
      </c>
      <c r="T5" s="63">
        <f t="shared" si="3"/>
        <v>0.46718181240458195</v>
      </c>
      <c r="U5" s="63">
        <f t="shared" si="3"/>
        <v>0.46718181240458195</v>
      </c>
      <c r="V5" s="63">
        <f t="shared" si="3"/>
        <v>0.46718181240458195</v>
      </c>
      <c r="W5" s="63">
        <f t="shared" si="3"/>
        <v>0.46718181240458195</v>
      </c>
      <c r="X5" s="63">
        <f t="shared" si="3"/>
        <v>0.46718181240458195</v>
      </c>
      <c r="Y5" s="63">
        <f t="shared" si="3"/>
        <v>0.46718181240458195</v>
      </c>
      <c r="Z5" s="63">
        <f t="shared" si="3"/>
        <v>0.46718181240458195</v>
      </c>
      <c r="AA5" s="63">
        <f t="shared" si="3"/>
        <v>0.46718181240458195</v>
      </c>
      <c r="AB5" s="63">
        <f t="shared" si="3"/>
        <v>0.46718181240458195</v>
      </c>
      <c r="AC5" s="63">
        <f t="shared" si="3"/>
        <v>0.46718181240458195</v>
      </c>
      <c r="AD5" s="63">
        <f t="shared" si="3"/>
        <v>0.46718181240458195</v>
      </c>
      <c r="AE5" s="63">
        <f t="shared" si="3"/>
        <v>0.46718181240458195</v>
      </c>
      <c r="AF5" s="63">
        <f t="shared" si="3"/>
        <v>0.46718181240458195</v>
      </c>
      <c r="AG5" s="63">
        <f t="shared" si="3"/>
        <v>0.46718181240458195</v>
      </c>
    </row>
    <row r="6" spans="1:33" ht="14.25" customHeight="1" x14ac:dyDescent="0.2">
      <c r="A6" s="2" t="s">
        <v>129</v>
      </c>
      <c r="B6" s="63">
        <f>'BECF-pre-ret'!B6</f>
        <v>0.19089506879858689</v>
      </c>
      <c r="C6" s="63">
        <f t="shared" ref="C6:C7" si="4">$B6</f>
        <v>0.19089506879858689</v>
      </c>
      <c r="D6" s="63">
        <f t="shared" ref="D6:D7" si="5">B6</f>
        <v>0.19089506879858689</v>
      </c>
      <c r="E6" s="63">
        <f t="shared" ref="E6:AG6" si="6">D6</f>
        <v>0.19089506879858689</v>
      </c>
      <c r="F6" s="63">
        <f t="shared" si="6"/>
        <v>0.19089506879858689</v>
      </c>
      <c r="G6" s="63">
        <f t="shared" si="6"/>
        <v>0.19089506879858689</v>
      </c>
      <c r="H6" s="63">
        <f t="shared" si="6"/>
        <v>0.19089506879858689</v>
      </c>
      <c r="I6" s="63">
        <f t="shared" si="6"/>
        <v>0.19089506879858689</v>
      </c>
      <c r="J6" s="63">
        <f t="shared" si="6"/>
        <v>0.19089506879858689</v>
      </c>
      <c r="K6" s="63">
        <f t="shared" si="6"/>
        <v>0.19089506879858689</v>
      </c>
      <c r="L6" s="63">
        <f t="shared" si="6"/>
        <v>0.19089506879858689</v>
      </c>
      <c r="M6" s="63">
        <f t="shared" si="6"/>
        <v>0.19089506879858689</v>
      </c>
      <c r="N6" s="63">
        <f t="shared" si="6"/>
        <v>0.19089506879858689</v>
      </c>
      <c r="O6" s="63">
        <f t="shared" si="6"/>
        <v>0.19089506879858689</v>
      </c>
      <c r="P6" s="63">
        <f t="shared" si="6"/>
        <v>0.19089506879858689</v>
      </c>
      <c r="Q6" s="63">
        <f t="shared" si="6"/>
        <v>0.19089506879858689</v>
      </c>
      <c r="R6" s="63">
        <f t="shared" si="6"/>
        <v>0.19089506879858689</v>
      </c>
      <c r="S6" s="63">
        <f t="shared" si="6"/>
        <v>0.19089506879858689</v>
      </c>
      <c r="T6" s="63">
        <f t="shared" si="6"/>
        <v>0.19089506879858689</v>
      </c>
      <c r="U6" s="63">
        <f t="shared" si="6"/>
        <v>0.19089506879858689</v>
      </c>
      <c r="V6" s="63">
        <f t="shared" si="6"/>
        <v>0.19089506879858689</v>
      </c>
      <c r="W6" s="63">
        <f t="shared" si="6"/>
        <v>0.19089506879858689</v>
      </c>
      <c r="X6" s="63">
        <f t="shared" si="6"/>
        <v>0.19089506879858689</v>
      </c>
      <c r="Y6" s="63">
        <f t="shared" si="6"/>
        <v>0.19089506879858689</v>
      </c>
      <c r="Z6" s="63">
        <f t="shared" si="6"/>
        <v>0.19089506879858689</v>
      </c>
      <c r="AA6" s="63">
        <f t="shared" si="6"/>
        <v>0.19089506879858689</v>
      </c>
      <c r="AB6" s="63">
        <f t="shared" si="6"/>
        <v>0.19089506879858689</v>
      </c>
      <c r="AC6" s="63">
        <f t="shared" si="6"/>
        <v>0.19089506879858689</v>
      </c>
      <c r="AD6" s="63">
        <f t="shared" si="6"/>
        <v>0.19089506879858689</v>
      </c>
      <c r="AE6" s="63">
        <f t="shared" si="6"/>
        <v>0.19089506879858689</v>
      </c>
      <c r="AF6" s="63">
        <f t="shared" si="6"/>
        <v>0.19089506879858689</v>
      </c>
      <c r="AG6" s="63">
        <f t="shared" si="6"/>
        <v>0.19089506879858689</v>
      </c>
    </row>
    <row r="7" spans="1:33" ht="14.25" customHeight="1" x14ac:dyDescent="0.2">
      <c r="A7" s="2" t="s">
        <v>23</v>
      </c>
      <c r="B7" s="63">
        <f>'BECF-pre-ret'!B7</f>
        <v>8.1335616438358793E-2</v>
      </c>
      <c r="C7" s="63">
        <f t="shared" si="4"/>
        <v>8.1335616438358793E-2</v>
      </c>
      <c r="D7" s="63">
        <f t="shared" si="5"/>
        <v>8.1335616438358793E-2</v>
      </c>
      <c r="E7" s="63">
        <f t="shared" ref="E7:AG7" si="7">D7</f>
        <v>8.1335616438358793E-2</v>
      </c>
      <c r="F7" s="63">
        <f t="shared" si="7"/>
        <v>8.1335616438358793E-2</v>
      </c>
      <c r="G7" s="63">
        <f t="shared" si="7"/>
        <v>8.1335616438358793E-2</v>
      </c>
      <c r="H7" s="63">
        <f t="shared" si="7"/>
        <v>8.1335616438358793E-2</v>
      </c>
      <c r="I7" s="63">
        <f t="shared" si="7"/>
        <v>8.1335616438358793E-2</v>
      </c>
      <c r="J7" s="63">
        <f t="shared" si="7"/>
        <v>8.1335616438358793E-2</v>
      </c>
      <c r="K7" s="63">
        <f t="shared" si="7"/>
        <v>8.1335616438358793E-2</v>
      </c>
      <c r="L7" s="63">
        <f t="shared" si="7"/>
        <v>8.1335616438358793E-2</v>
      </c>
      <c r="M7" s="63">
        <f t="shared" si="7"/>
        <v>8.1335616438358793E-2</v>
      </c>
      <c r="N7" s="63">
        <f t="shared" si="7"/>
        <v>8.1335616438358793E-2</v>
      </c>
      <c r="O7" s="63">
        <f t="shared" si="7"/>
        <v>8.1335616438358793E-2</v>
      </c>
      <c r="P7" s="63">
        <f t="shared" si="7"/>
        <v>8.1335616438358793E-2</v>
      </c>
      <c r="Q7" s="63">
        <f t="shared" si="7"/>
        <v>8.1335616438358793E-2</v>
      </c>
      <c r="R7" s="63">
        <f t="shared" si="7"/>
        <v>8.1335616438358793E-2</v>
      </c>
      <c r="S7" s="63">
        <f t="shared" si="7"/>
        <v>8.1335616438358793E-2</v>
      </c>
      <c r="T7" s="63">
        <f t="shared" si="7"/>
        <v>8.1335616438358793E-2</v>
      </c>
      <c r="U7" s="63">
        <f t="shared" si="7"/>
        <v>8.1335616438358793E-2</v>
      </c>
      <c r="V7" s="63">
        <f t="shared" si="7"/>
        <v>8.1335616438358793E-2</v>
      </c>
      <c r="W7" s="63">
        <f t="shared" si="7"/>
        <v>8.1335616438358793E-2</v>
      </c>
      <c r="X7" s="63">
        <f t="shared" si="7"/>
        <v>8.1335616438358793E-2</v>
      </c>
      <c r="Y7" s="63">
        <f t="shared" si="7"/>
        <v>8.1335616438358793E-2</v>
      </c>
      <c r="Z7" s="63">
        <f t="shared" si="7"/>
        <v>8.1335616438358793E-2</v>
      </c>
      <c r="AA7" s="63">
        <f t="shared" si="7"/>
        <v>8.1335616438358793E-2</v>
      </c>
      <c r="AB7" s="63">
        <f t="shared" si="7"/>
        <v>8.1335616438358793E-2</v>
      </c>
      <c r="AC7" s="63">
        <f t="shared" si="7"/>
        <v>8.1335616438358793E-2</v>
      </c>
      <c r="AD7" s="63">
        <f t="shared" si="7"/>
        <v>8.1335616438358793E-2</v>
      </c>
      <c r="AE7" s="63">
        <f t="shared" si="7"/>
        <v>8.1335616438358793E-2</v>
      </c>
      <c r="AF7" s="63">
        <f t="shared" si="7"/>
        <v>8.1335616438358793E-2</v>
      </c>
      <c r="AG7" s="63">
        <f t="shared" si="7"/>
        <v>8.1335616438358793E-2</v>
      </c>
    </row>
    <row r="8" spans="1:33" ht="14.25" customHeight="1" x14ac:dyDescent="0.2">
      <c r="A8" s="2" t="s">
        <v>130</v>
      </c>
      <c r="B8" s="63">
        <f>'BECF-pre-ret'!B8*1.1</f>
        <v>8.9469178082194678E-2</v>
      </c>
      <c r="C8" s="63">
        <f>$B8</f>
        <v>8.9469178082194678E-2</v>
      </c>
      <c r="D8" s="63">
        <f t="shared" ref="D8:AG8" si="8">$B8</f>
        <v>8.9469178082194678E-2</v>
      </c>
      <c r="E8" s="63">
        <f t="shared" si="8"/>
        <v>8.9469178082194678E-2</v>
      </c>
      <c r="F8" s="63">
        <f t="shared" si="8"/>
        <v>8.9469178082194678E-2</v>
      </c>
      <c r="G8" s="63">
        <f t="shared" si="8"/>
        <v>8.9469178082194678E-2</v>
      </c>
      <c r="H8" s="63">
        <f t="shared" si="8"/>
        <v>8.9469178082194678E-2</v>
      </c>
      <c r="I8" s="63">
        <f t="shared" si="8"/>
        <v>8.9469178082194678E-2</v>
      </c>
      <c r="J8" s="63">
        <f t="shared" si="8"/>
        <v>8.9469178082194678E-2</v>
      </c>
      <c r="K8" s="63">
        <f t="shared" si="8"/>
        <v>8.9469178082194678E-2</v>
      </c>
      <c r="L8" s="63">
        <f t="shared" si="8"/>
        <v>8.9469178082194678E-2</v>
      </c>
      <c r="M8" s="63">
        <f t="shared" si="8"/>
        <v>8.9469178082194678E-2</v>
      </c>
      <c r="N8" s="63">
        <f t="shared" si="8"/>
        <v>8.9469178082194678E-2</v>
      </c>
      <c r="O8" s="63">
        <f t="shared" si="8"/>
        <v>8.9469178082194678E-2</v>
      </c>
      <c r="P8" s="63">
        <f t="shared" si="8"/>
        <v>8.9469178082194678E-2</v>
      </c>
      <c r="Q8" s="63">
        <f t="shared" si="8"/>
        <v>8.9469178082194678E-2</v>
      </c>
      <c r="R8" s="63">
        <f t="shared" si="8"/>
        <v>8.9469178082194678E-2</v>
      </c>
      <c r="S8" s="63">
        <f t="shared" si="8"/>
        <v>8.9469178082194678E-2</v>
      </c>
      <c r="T8" s="63">
        <f t="shared" si="8"/>
        <v>8.9469178082194678E-2</v>
      </c>
      <c r="U8" s="63">
        <f t="shared" si="8"/>
        <v>8.9469178082194678E-2</v>
      </c>
      <c r="V8" s="63">
        <f t="shared" si="8"/>
        <v>8.9469178082194678E-2</v>
      </c>
      <c r="W8" s="63">
        <f t="shared" si="8"/>
        <v>8.9469178082194678E-2</v>
      </c>
      <c r="X8" s="63">
        <f t="shared" si="8"/>
        <v>8.9469178082194678E-2</v>
      </c>
      <c r="Y8" s="63">
        <f t="shared" si="8"/>
        <v>8.9469178082194678E-2</v>
      </c>
      <c r="Z8" s="63">
        <f t="shared" si="8"/>
        <v>8.9469178082194678E-2</v>
      </c>
      <c r="AA8" s="63">
        <f t="shared" si="8"/>
        <v>8.9469178082194678E-2</v>
      </c>
      <c r="AB8" s="63">
        <f t="shared" si="8"/>
        <v>8.9469178082194678E-2</v>
      </c>
      <c r="AC8" s="63">
        <f t="shared" si="8"/>
        <v>8.9469178082194678E-2</v>
      </c>
      <c r="AD8" s="63">
        <f t="shared" si="8"/>
        <v>8.9469178082194678E-2</v>
      </c>
      <c r="AE8" s="63">
        <f t="shared" si="8"/>
        <v>8.9469178082194678E-2</v>
      </c>
      <c r="AF8" s="63">
        <f t="shared" si="8"/>
        <v>8.9469178082194678E-2</v>
      </c>
      <c r="AG8" s="63">
        <f t="shared" si="8"/>
        <v>8.9469178082194678E-2</v>
      </c>
    </row>
    <row r="9" spans="1:33" ht="14.25" customHeight="1" x14ac:dyDescent="0.2">
      <c r="A9" s="2" t="s">
        <v>21</v>
      </c>
      <c r="B9" s="63">
        <f>'BECF-pre-ret'!B9*1.1</f>
        <v>0.49154589371981516</v>
      </c>
      <c r="C9" s="63">
        <f t="shared" ref="C9:AG9" si="9">$B9</f>
        <v>0.49154589371981516</v>
      </c>
      <c r="D9" s="63">
        <f t="shared" si="9"/>
        <v>0.49154589371981516</v>
      </c>
      <c r="E9" s="63">
        <f t="shared" si="9"/>
        <v>0.49154589371981516</v>
      </c>
      <c r="F9" s="63">
        <f t="shared" si="9"/>
        <v>0.49154589371981516</v>
      </c>
      <c r="G9" s="63">
        <f t="shared" si="9"/>
        <v>0.49154589371981516</v>
      </c>
      <c r="H9" s="63">
        <f t="shared" si="9"/>
        <v>0.49154589371981516</v>
      </c>
      <c r="I9" s="63">
        <f t="shared" si="9"/>
        <v>0.49154589371981516</v>
      </c>
      <c r="J9" s="63">
        <f t="shared" si="9"/>
        <v>0.49154589371981516</v>
      </c>
      <c r="K9" s="63">
        <f t="shared" si="9"/>
        <v>0.49154589371981516</v>
      </c>
      <c r="L9" s="63">
        <f t="shared" si="9"/>
        <v>0.49154589371981516</v>
      </c>
      <c r="M9" s="63">
        <f t="shared" si="9"/>
        <v>0.49154589371981516</v>
      </c>
      <c r="N9" s="63">
        <f t="shared" si="9"/>
        <v>0.49154589371981516</v>
      </c>
      <c r="O9" s="63">
        <f t="shared" si="9"/>
        <v>0.49154589371981516</v>
      </c>
      <c r="P9" s="63">
        <f t="shared" si="9"/>
        <v>0.49154589371981516</v>
      </c>
      <c r="Q9" s="63">
        <f t="shared" si="9"/>
        <v>0.49154589371981516</v>
      </c>
      <c r="R9" s="63">
        <f t="shared" si="9"/>
        <v>0.49154589371981516</v>
      </c>
      <c r="S9" s="63">
        <f t="shared" si="9"/>
        <v>0.49154589371981516</v>
      </c>
      <c r="T9" s="63">
        <f t="shared" si="9"/>
        <v>0.49154589371981516</v>
      </c>
      <c r="U9" s="63">
        <f t="shared" si="9"/>
        <v>0.49154589371981516</v>
      </c>
      <c r="V9" s="63">
        <f t="shared" si="9"/>
        <v>0.49154589371981516</v>
      </c>
      <c r="W9" s="63">
        <f t="shared" si="9"/>
        <v>0.49154589371981516</v>
      </c>
      <c r="X9" s="63">
        <f t="shared" si="9"/>
        <v>0.49154589371981516</v>
      </c>
      <c r="Y9" s="63">
        <f t="shared" si="9"/>
        <v>0.49154589371981516</v>
      </c>
      <c r="Z9" s="63">
        <f t="shared" si="9"/>
        <v>0.49154589371981516</v>
      </c>
      <c r="AA9" s="63">
        <f t="shared" si="9"/>
        <v>0.49154589371981516</v>
      </c>
      <c r="AB9" s="63">
        <f t="shared" si="9"/>
        <v>0.49154589371981516</v>
      </c>
      <c r="AC9" s="63">
        <f t="shared" si="9"/>
        <v>0.49154589371981516</v>
      </c>
      <c r="AD9" s="63">
        <f t="shared" si="9"/>
        <v>0.49154589371981516</v>
      </c>
      <c r="AE9" s="63">
        <f t="shared" si="9"/>
        <v>0.49154589371981516</v>
      </c>
      <c r="AF9" s="63">
        <f t="shared" si="9"/>
        <v>0.49154589371981516</v>
      </c>
      <c r="AG9" s="63">
        <f t="shared" si="9"/>
        <v>0.49154589371981516</v>
      </c>
    </row>
    <row r="10" spans="1:33" ht="14.25" customHeight="1" x14ac:dyDescent="0.2">
      <c r="A10" s="2" t="s">
        <v>16</v>
      </c>
      <c r="B10" s="63">
        <f>'BECF-pre-ret'!B10*1.1</f>
        <v>0.77899611252796808</v>
      </c>
      <c r="C10" s="63">
        <f t="shared" ref="C10:AG10" si="10">$B10</f>
        <v>0.77899611252796808</v>
      </c>
      <c r="D10" s="63">
        <f t="shared" si="10"/>
        <v>0.77899611252796808</v>
      </c>
      <c r="E10" s="63">
        <f t="shared" si="10"/>
        <v>0.77899611252796808</v>
      </c>
      <c r="F10" s="63">
        <f t="shared" si="10"/>
        <v>0.77899611252796808</v>
      </c>
      <c r="G10" s="63">
        <f t="shared" si="10"/>
        <v>0.77899611252796808</v>
      </c>
      <c r="H10" s="63">
        <f t="shared" si="10"/>
        <v>0.77899611252796808</v>
      </c>
      <c r="I10" s="63">
        <f t="shared" si="10"/>
        <v>0.77899611252796808</v>
      </c>
      <c r="J10" s="63">
        <f t="shared" si="10"/>
        <v>0.77899611252796808</v>
      </c>
      <c r="K10" s="63">
        <f t="shared" si="10"/>
        <v>0.77899611252796808</v>
      </c>
      <c r="L10" s="63">
        <f t="shared" si="10"/>
        <v>0.77899611252796808</v>
      </c>
      <c r="M10" s="63">
        <f t="shared" si="10"/>
        <v>0.77899611252796808</v>
      </c>
      <c r="N10" s="63">
        <f t="shared" si="10"/>
        <v>0.77899611252796808</v>
      </c>
      <c r="O10" s="63">
        <f t="shared" si="10"/>
        <v>0.77899611252796808</v>
      </c>
      <c r="P10" s="63">
        <f t="shared" si="10"/>
        <v>0.77899611252796808</v>
      </c>
      <c r="Q10" s="63">
        <f t="shared" si="10"/>
        <v>0.77899611252796808</v>
      </c>
      <c r="R10" s="63">
        <f t="shared" si="10"/>
        <v>0.77899611252796808</v>
      </c>
      <c r="S10" s="63">
        <f t="shared" si="10"/>
        <v>0.77899611252796808</v>
      </c>
      <c r="T10" s="63">
        <f t="shared" si="10"/>
        <v>0.77899611252796808</v>
      </c>
      <c r="U10" s="63">
        <f t="shared" si="10"/>
        <v>0.77899611252796808</v>
      </c>
      <c r="V10" s="63">
        <f t="shared" si="10"/>
        <v>0.77899611252796808</v>
      </c>
      <c r="W10" s="63">
        <f t="shared" si="10"/>
        <v>0.77899611252796808</v>
      </c>
      <c r="X10" s="63">
        <f t="shared" si="10"/>
        <v>0.77899611252796808</v>
      </c>
      <c r="Y10" s="63">
        <f t="shared" si="10"/>
        <v>0.77899611252796808</v>
      </c>
      <c r="Z10" s="63">
        <f t="shared" si="10"/>
        <v>0.77899611252796808</v>
      </c>
      <c r="AA10" s="63">
        <f t="shared" si="10"/>
        <v>0.77899611252796808</v>
      </c>
      <c r="AB10" s="63">
        <f t="shared" si="10"/>
        <v>0.77899611252796808</v>
      </c>
      <c r="AC10" s="63">
        <f t="shared" si="10"/>
        <v>0.77899611252796808</v>
      </c>
      <c r="AD10" s="63">
        <f t="shared" si="10"/>
        <v>0.77899611252796808</v>
      </c>
      <c r="AE10" s="63">
        <f t="shared" si="10"/>
        <v>0.77899611252796808</v>
      </c>
      <c r="AF10" s="63">
        <f t="shared" si="10"/>
        <v>0.77899611252796808</v>
      </c>
      <c r="AG10" s="63">
        <f t="shared" si="10"/>
        <v>0.77899611252796808</v>
      </c>
    </row>
    <row r="11" spans="1:33" ht="14.25" customHeight="1" x14ac:dyDescent="0.2">
      <c r="A11" s="2" t="s">
        <v>131</v>
      </c>
      <c r="B11" s="63">
        <f>'BECF-pre-ret'!B11*1.1</f>
        <v>9.1845679182488899E-2</v>
      </c>
      <c r="C11" s="63">
        <f t="shared" ref="C11:AG11" si="11">$B11</f>
        <v>9.1845679182488899E-2</v>
      </c>
      <c r="D11" s="63">
        <f t="shared" si="11"/>
        <v>9.1845679182488899E-2</v>
      </c>
      <c r="E11" s="63">
        <f t="shared" si="11"/>
        <v>9.1845679182488899E-2</v>
      </c>
      <c r="F11" s="63">
        <f t="shared" si="11"/>
        <v>9.1845679182488899E-2</v>
      </c>
      <c r="G11" s="63">
        <f t="shared" si="11"/>
        <v>9.1845679182488899E-2</v>
      </c>
      <c r="H11" s="63">
        <f t="shared" si="11"/>
        <v>9.1845679182488899E-2</v>
      </c>
      <c r="I11" s="63">
        <f t="shared" si="11"/>
        <v>9.1845679182488899E-2</v>
      </c>
      <c r="J11" s="63">
        <f t="shared" si="11"/>
        <v>9.1845679182488899E-2</v>
      </c>
      <c r="K11" s="63">
        <f t="shared" si="11"/>
        <v>9.1845679182488899E-2</v>
      </c>
      <c r="L11" s="63">
        <f t="shared" si="11"/>
        <v>9.1845679182488899E-2</v>
      </c>
      <c r="M11" s="63">
        <f t="shared" si="11"/>
        <v>9.1845679182488899E-2</v>
      </c>
      <c r="N11" s="63">
        <f t="shared" si="11"/>
        <v>9.1845679182488899E-2</v>
      </c>
      <c r="O11" s="63">
        <f t="shared" si="11"/>
        <v>9.1845679182488899E-2</v>
      </c>
      <c r="P11" s="63">
        <f t="shared" si="11"/>
        <v>9.1845679182488899E-2</v>
      </c>
      <c r="Q11" s="63">
        <f t="shared" si="11"/>
        <v>9.1845679182488899E-2</v>
      </c>
      <c r="R11" s="63">
        <f t="shared" si="11"/>
        <v>9.1845679182488899E-2</v>
      </c>
      <c r="S11" s="63">
        <f t="shared" si="11"/>
        <v>9.1845679182488899E-2</v>
      </c>
      <c r="T11" s="63">
        <f t="shared" si="11"/>
        <v>9.1845679182488899E-2</v>
      </c>
      <c r="U11" s="63">
        <f t="shared" si="11"/>
        <v>9.1845679182488899E-2</v>
      </c>
      <c r="V11" s="63">
        <f t="shared" si="11"/>
        <v>9.1845679182488899E-2</v>
      </c>
      <c r="W11" s="63">
        <f t="shared" si="11"/>
        <v>9.1845679182488899E-2</v>
      </c>
      <c r="X11" s="63">
        <f t="shared" si="11"/>
        <v>9.1845679182488899E-2</v>
      </c>
      <c r="Y11" s="63">
        <f t="shared" si="11"/>
        <v>9.1845679182488899E-2</v>
      </c>
      <c r="Z11" s="63">
        <f t="shared" si="11"/>
        <v>9.1845679182488899E-2</v>
      </c>
      <c r="AA11" s="63">
        <f t="shared" si="11"/>
        <v>9.1845679182488899E-2</v>
      </c>
      <c r="AB11" s="63">
        <f t="shared" si="11"/>
        <v>9.1845679182488899E-2</v>
      </c>
      <c r="AC11" s="63">
        <f t="shared" si="11"/>
        <v>9.1845679182488899E-2</v>
      </c>
      <c r="AD11" s="63">
        <f t="shared" si="11"/>
        <v>9.1845679182488899E-2</v>
      </c>
      <c r="AE11" s="63">
        <f t="shared" si="11"/>
        <v>9.1845679182488899E-2</v>
      </c>
      <c r="AF11" s="63">
        <f t="shared" si="11"/>
        <v>9.1845679182488899E-2</v>
      </c>
      <c r="AG11" s="63">
        <f t="shared" si="11"/>
        <v>9.1845679182488899E-2</v>
      </c>
    </row>
    <row r="12" spans="1:33" ht="14.25" customHeight="1" x14ac:dyDescent="0.2">
      <c r="A12" s="2" t="s">
        <v>132</v>
      </c>
      <c r="B12" s="63">
        <f>'BECF-pre-ret'!B12*1.1</f>
        <v>0.50967697225964836</v>
      </c>
      <c r="C12" s="63">
        <f t="shared" ref="C12:AG12" si="12">$B12</f>
        <v>0.50967697225964836</v>
      </c>
      <c r="D12" s="63">
        <f t="shared" si="12"/>
        <v>0.50967697225964836</v>
      </c>
      <c r="E12" s="63">
        <f t="shared" si="12"/>
        <v>0.50967697225964836</v>
      </c>
      <c r="F12" s="63">
        <f t="shared" si="12"/>
        <v>0.50967697225964836</v>
      </c>
      <c r="G12" s="63">
        <f t="shared" si="12"/>
        <v>0.50967697225964836</v>
      </c>
      <c r="H12" s="63">
        <f t="shared" si="12"/>
        <v>0.50967697225964836</v>
      </c>
      <c r="I12" s="63">
        <f t="shared" si="12"/>
        <v>0.50967697225964836</v>
      </c>
      <c r="J12" s="63">
        <f t="shared" si="12"/>
        <v>0.50967697225964836</v>
      </c>
      <c r="K12" s="63">
        <f t="shared" si="12"/>
        <v>0.50967697225964836</v>
      </c>
      <c r="L12" s="63">
        <f t="shared" si="12"/>
        <v>0.50967697225964836</v>
      </c>
      <c r="M12" s="63">
        <f t="shared" si="12"/>
        <v>0.50967697225964836</v>
      </c>
      <c r="N12" s="63">
        <f t="shared" si="12"/>
        <v>0.50967697225964836</v>
      </c>
      <c r="O12" s="63">
        <f t="shared" si="12"/>
        <v>0.50967697225964836</v>
      </c>
      <c r="P12" s="63">
        <f t="shared" si="12"/>
        <v>0.50967697225964836</v>
      </c>
      <c r="Q12" s="63">
        <f t="shared" si="12"/>
        <v>0.50967697225964836</v>
      </c>
      <c r="R12" s="63">
        <f t="shared" si="12"/>
        <v>0.50967697225964836</v>
      </c>
      <c r="S12" s="63">
        <f t="shared" si="12"/>
        <v>0.50967697225964836</v>
      </c>
      <c r="T12" s="63">
        <f t="shared" si="12"/>
        <v>0.50967697225964836</v>
      </c>
      <c r="U12" s="63">
        <f t="shared" si="12"/>
        <v>0.50967697225964836</v>
      </c>
      <c r="V12" s="63">
        <f t="shared" si="12"/>
        <v>0.50967697225964836</v>
      </c>
      <c r="W12" s="63">
        <f t="shared" si="12"/>
        <v>0.50967697225964836</v>
      </c>
      <c r="X12" s="63">
        <f t="shared" si="12"/>
        <v>0.50967697225964836</v>
      </c>
      <c r="Y12" s="63">
        <f t="shared" si="12"/>
        <v>0.50967697225964836</v>
      </c>
      <c r="Z12" s="63">
        <f t="shared" si="12"/>
        <v>0.50967697225964836</v>
      </c>
      <c r="AA12" s="63">
        <f t="shared" si="12"/>
        <v>0.50967697225964836</v>
      </c>
      <c r="AB12" s="63">
        <f t="shared" si="12"/>
        <v>0.50967697225964836</v>
      </c>
      <c r="AC12" s="63">
        <f t="shared" si="12"/>
        <v>0.50967697225964836</v>
      </c>
      <c r="AD12" s="63">
        <f t="shared" si="12"/>
        <v>0.50967697225964836</v>
      </c>
      <c r="AE12" s="63">
        <f t="shared" si="12"/>
        <v>0.50967697225964836</v>
      </c>
      <c r="AF12" s="63">
        <f t="shared" si="12"/>
        <v>0.50967697225964836</v>
      </c>
      <c r="AG12" s="63">
        <f t="shared" si="12"/>
        <v>0.50967697225964836</v>
      </c>
    </row>
    <row r="13" spans="1:33" ht="14.25" customHeight="1" x14ac:dyDescent="0.2">
      <c r="A13" s="2" t="s">
        <v>65</v>
      </c>
      <c r="B13" s="63">
        <f>'BECF-pre-ret'!B13*1.1</f>
        <v>0.74560791099630885</v>
      </c>
      <c r="C13" s="63">
        <f t="shared" ref="C13:AG13" si="13">$B13</f>
        <v>0.74560791099630885</v>
      </c>
      <c r="D13" s="63">
        <f t="shared" si="13"/>
        <v>0.74560791099630885</v>
      </c>
      <c r="E13" s="63">
        <f t="shared" si="13"/>
        <v>0.74560791099630885</v>
      </c>
      <c r="F13" s="63">
        <f t="shared" si="13"/>
        <v>0.74560791099630885</v>
      </c>
      <c r="G13" s="63">
        <f t="shared" si="13"/>
        <v>0.74560791099630885</v>
      </c>
      <c r="H13" s="63">
        <f t="shared" si="13"/>
        <v>0.74560791099630885</v>
      </c>
      <c r="I13" s="63">
        <f t="shared" si="13"/>
        <v>0.74560791099630885</v>
      </c>
      <c r="J13" s="63">
        <f t="shared" si="13"/>
        <v>0.74560791099630885</v>
      </c>
      <c r="K13" s="63">
        <f t="shared" si="13"/>
        <v>0.74560791099630885</v>
      </c>
      <c r="L13" s="63">
        <f t="shared" si="13"/>
        <v>0.74560791099630885</v>
      </c>
      <c r="M13" s="63">
        <f t="shared" si="13"/>
        <v>0.74560791099630885</v>
      </c>
      <c r="N13" s="63">
        <f t="shared" si="13"/>
        <v>0.74560791099630885</v>
      </c>
      <c r="O13" s="63">
        <f t="shared" si="13"/>
        <v>0.74560791099630885</v>
      </c>
      <c r="P13" s="63">
        <f t="shared" si="13"/>
        <v>0.74560791099630885</v>
      </c>
      <c r="Q13" s="63">
        <f t="shared" si="13"/>
        <v>0.74560791099630885</v>
      </c>
      <c r="R13" s="63">
        <f t="shared" si="13"/>
        <v>0.74560791099630885</v>
      </c>
      <c r="S13" s="63">
        <f t="shared" si="13"/>
        <v>0.74560791099630885</v>
      </c>
      <c r="T13" s="63">
        <f t="shared" si="13"/>
        <v>0.74560791099630885</v>
      </c>
      <c r="U13" s="63">
        <f t="shared" si="13"/>
        <v>0.74560791099630885</v>
      </c>
      <c r="V13" s="63">
        <f t="shared" si="13"/>
        <v>0.74560791099630885</v>
      </c>
      <c r="W13" s="63">
        <f t="shared" si="13"/>
        <v>0.74560791099630885</v>
      </c>
      <c r="X13" s="63">
        <f t="shared" si="13"/>
        <v>0.74560791099630885</v>
      </c>
      <c r="Y13" s="63">
        <f t="shared" si="13"/>
        <v>0.74560791099630885</v>
      </c>
      <c r="Z13" s="63">
        <f t="shared" si="13"/>
        <v>0.74560791099630885</v>
      </c>
      <c r="AA13" s="63">
        <f t="shared" si="13"/>
        <v>0.74560791099630885</v>
      </c>
      <c r="AB13" s="63">
        <f t="shared" si="13"/>
        <v>0.74560791099630885</v>
      </c>
      <c r="AC13" s="63">
        <f t="shared" si="13"/>
        <v>0.74560791099630885</v>
      </c>
      <c r="AD13" s="63">
        <f t="shared" si="13"/>
        <v>0.74560791099630885</v>
      </c>
      <c r="AE13" s="63">
        <f t="shared" si="13"/>
        <v>0.74560791099630885</v>
      </c>
      <c r="AF13" s="63">
        <f t="shared" si="13"/>
        <v>0.74560791099630885</v>
      </c>
      <c r="AG13" s="63">
        <f t="shared" si="13"/>
        <v>0.74560791099630885</v>
      </c>
    </row>
    <row r="14" spans="1:33" ht="14.25" customHeight="1" x14ac:dyDescent="0.2">
      <c r="A14" s="2" t="s">
        <v>133</v>
      </c>
      <c r="B14" s="63">
        <f>'BECF-pre-ret'!B14</f>
        <v>0.19089506879858689</v>
      </c>
      <c r="C14" s="63">
        <f t="shared" ref="C14:AG14" si="14">$B14</f>
        <v>0.19089506879858689</v>
      </c>
      <c r="D14" s="63">
        <f t="shared" si="14"/>
        <v>0.19089506879858689</v>
      </c>
      <c r="E14" s="63">
        <f t="shared" si="14"/>
        <v>0.19089506879858689</v>
      </c>
      <c r="F14" s="63">
        <f t="shared" si="14"/>
        <v>0.19089506879858689</v>
      </c>
      <c r="G14" s="63">
        <f t="shared" si="14"/>
        <v>0.19089506879858689</v>
      </c>
      <c r="H14" s="63">
        <f t="shared" si="14"/>
        <v>0.19089506879858689</v>
      </c>
      <c r="I14" s="63">
        <f t="shared" si="14"/>
        <v>0.19089506879858689</v>
      </c>
      <c r="J14" s="63">
        <f t="shared" si="14"/>
        <v>0.19089506879858689</v>
      </c>
      <c r="K14" s="63">
        <f t="shared" si="14"/>
        <v>0.19089506879858689</v>
      </c>
      <c r="L14" s="63">
        <f t="shared" si="14"/>
        <v>0.19089506879858689</v>
      </c>
      <c r="M14" s="63">
        <f t="shared" si="14"/>
        <v>0.19089506879858689</v>
      </c>
      <c r="N14" s="63">
        <f t="shared" si="14"/>
        <v>0.19089506879858689</v>
      </c>
      <c r="O14" s="63">
        <f t="shared" si="14"/>
        <v>0.19089506879858689</v>
      </c>
      <c r="P14" s="63">
        <f t="shared" si="14"/>
        <v>0.19089506879858689</v>
      </c>
      <c r="Q14" s="63">
        <f t="shared" si="14"/>
        <v>0.19089506879858689</v>
      </c>
      <c r="R14" s="63">
        <f t="shared" si="14"/>
        <v>0.19089506879858689</v>
      </c>
      <c r="S14" s="63">
        <f t="shared" si="14"/>
        <v>0.19089506879858689</v>
      </c>
      <c r="T14" s="63">
        <f t="shared" si="14"/>
        <v>0.19089506879858689</v>
      </c>
      <c r="U14" s="63">
        <f t="shared" si="14"/>
        <v>0.19089506879858689</v>
      </c>
      <c r="V14" s="63">
        <f t="shared" si="14"/>
        <v>0.19089506879858689</v>
      </c>
      <c r="W14" s="63">
        <f t="shared" si="14"/>
        <v>0.19089506879858689</v>
      </c>
      <c r="X14" s="63">
        <f t="shared" si="14"/>
        <v>0.19089506879858689</v>
      </c>
      <c r="Y14" s="63">
        <f t="shared" si="14"/>
        <v>0.19089506879858689</v>
      </c>
      <c r="Z14" s="63">
        <f t="shared" si="14"/>
        <v>0.19089506879858689</v>
      </c>
      <c r="AA14" s="63">
        <f t="shared" si="14"/>
        <v>0.19089506879858689</v>
      </c>
      <c r="AB14" s="63">
        <f t="shared" si="14"/>
        <v>0.19089506879858689</v>
      </c>
      <c r="AC14" s="63">
        <f t="shared" si="14"/>
        <v>0.19089506879858689</v>
      </c>
      <c r="AD14" s="63">
        <f t="shared" si="14"/>
        <v>0.19089506879858689</v>
      </c>
      <c r="AE14" s="63">
        <f t="shared" si="14"/>
        <v>0.19089506879858689</v>
      </c>
      <c r="AF14" s="63">
        <f t="shared" si="14"/>
        <v>0.19089506879858689</v>
      </c>
      <c r="AG14" s="63">
        <f t="shared" si="14"/>
        <v>0.19089506879858689</v>
      </c>
    </row>
    <row r="15" spans="1:33" ht="14.25" customHeight="1" x14ac:dyDescent="0.2">
      <c r="A15" s="2" t="s">
        <v>134</v>
      </c>
      <c r="B15" s="63">
        <f>'BECF-pre-ret'!B15*1.1</f>
        <v>9.1845679182488899E-2</v>
      </c>
      <c r="C15" s="63">
        <f t="shared" ref="C15:AG15" si="15">$B15</f>
        <v>9.1845679182488899E-2</v>
      </c>
      <c r="D15" s="63">
        <f t="shared" si="15"/>
        <v>9.1845679182488899E-2</v>
      </c>
      <c r="E15" s="63">
        <f t="shared" si="15"/>
        <v>9.1845679182488899E-2</v>
      </c>
      <c r="F15" s="63">
        <f t="shared" si="15"/>
        <v>9.1845679182488899E-2</v>
      </c>
      <c r="G15" s="63">
        <f t="shared" si="15"/>
        <v>9.1845679182488899E-2</v>
      </c>
      <c r="H15" s="63">
        <f t="shared" si="15"/>
        <v>9.1845679182488899E-2</v>
      </c>
      <c r="I15" s="63">
        <f t="shared" si="15"/>
        <v>9.1845679182488899E-2</v>
      </c>
      <c r="J15" s="63">
        <f t="shared" si="15"/>
        <v>9.1845679182488899E-2</v>
      </c>
      <c r="K15" s="63">
        <f t="shared" si="15"/>
        <v>9.1845679182488899E-2</v>
      </c>
      <c r="L15" s="63">
        <f t="shared" si="15"/>
        <v>9.1845679182488899E-2</v>
      </c>
      <c r="M15" s="63">
        <f t="shared" si="15"/>
        <v>9.1845679182488899E-2</v>
      </c>
      <c r="N15" s="63">
        <f t="shared" si="15"/>
        <v>9.1845679182488899E-2</v>
      </c>
      <c r="O15" s="63">
        <f t="shared" si="15"/>
        <v>9.1845679182488899E-2</v>
      </c>
      <c r="P15" s="63">
        <f t="shared" si="15"/>
        <v>9.1845679182488899E-2</v>
      </c>
      <c r="Q15" s="63">
        <f t="shared" si="15"/>
        <v>9.1845679182488899E-2</v>
      </c>
      <c r="R15" s="63">
        <f t="shared" si="15"/>
        <v>9.1845679182488899E-2</v>
      </c>
      <c r="S15" s="63">
        <f t="shared" si="15"/>
        <v>9.1845679182488899E-2</v>
      </c>
      <c r="T15" s="63">
        <f t="shared" si="15"/>
        <v>9.1845679182488899E-2</v>
      </c>
      <c r="U15" s="63">
        <f t="shared" si="15"/>
        <v>9.1845679182488899E-2</v>
      </c>
      <c r="V15" s="63">
        <f t="shared" si="15"/>
        <v>9.1845679182488899E-2</v>
      </c>
      <c r="W15" s="63">
        <f t="shared" si="15"/>
        <v>9.1845679182488899E-2</v>
      </c>
      <c r="X15" s="63">
        <f t="shared" si="15"/>
        <v>9.1845679182488899E-2</v>
      </c>
      <c r="Y15" s="63">
        <f t="shared" si="15"/>
        <v>9.1845679182488899E-2</v>
      </c>
      <c r="Z15" s="63">
        <f t="shared" si="15"/>
        <v>9.1845679182488899E-2</v>
      </c>
      <c r="AA15" s="63">
        <f t="shared" si="15"/>
        <v>9.1845679182488899E-2</v>
      </c>
      <c r="AB15" s="63">
        <f t="shared" si="15"/>
        <v>9.1845679182488899E-2</v>
      </c>
      <c r="AC15" s="63">
        <f t="shared" si="15"/>
        <v>9.1845679182488899E-2</v>
      </c>
      <c r="AD15" s="63">
        <f t="shared" si="15"/>
        <v>9.1845679182488899E-2</v>
      </c>
      <c r="AE15" s="63">
        <f t="shared" si="15"/>
        <v>9.1845679182488899E-2</v>
      </c>
      <c r="AF15" s="63">
        <f t="shared" si="15"/>
        <v>9.1845679182488899E-2</v>
      </c>
      <c r="AG15" s="63">
        <f t="shared" si="15"/>
        <v>9.1845679182488899E-2</v>
      </c>
    </row>
    <row r="16" spans="1:33" ht="14.25" customHeight="1" x14ac:dyDescent="0.2">
      <c r="A16" s="2" t="s">
        <v>135</v>
      </c>
      <c r="B16" s="63">
        <f>'BECF-pre-ret'!B16*1.1</f>
        <v>9.1845679182488899E-2</v>
      </c>
      <c r="C16" s="63">
        <f t="shared" ref="C16:AG16" si="16">$B16</f>
        <v>9.1845679182488899E-2</v>
      </c>
      <c r="D16" s="63">
        <f t="shared" si="16"/>
        <v>9.1845679182488899E-2</v>
      </c>
      <c r="E16" s="63">
        <f t="shared" si="16"/>
        <v>9.1845679182488899E-2</v>
      </c>
      <c r="F16" s="63">
        <f t="shared" si="16"/>
        <v>9.1845679182488899E-2</v>
      </c>
      <c r="G16" s="63">
        <f t="shared" si="16"/>
        <v>9.1845679182488899E-2</v>
      </c>
      <c r="H16" s="63">
        <f t="shared" si="16"/>
        <v>9.1845679182488899E-2</v>
      </c>
      <c r="I16" s="63">
        <f t="shared" si="16"/>
        <v>9.1845679182488899E-2</v>
      </c>
      <c r="J16" s="63">
        <f t="shared" si="16"/>
        <v>9.1845679182488899E-2</v>
      </c>
      <c r="K16" s="63">
        <f t="shared" si="16"/>
        <v>9.1845679182488899E-2</v>
      </c>
      <c r="L16" s="63">
        <f t="shared" si="16"/>
        <v>9.1845679182488899E-2</v>
      </c>
      <c r="M16" s="63">
        <f t="shared" si="16"/>
        <v>9.1845679182488899E-2</v>
      </c>
      <c r="N16" s="63">
        <f t="shared" si="16"/>
        <v>9.1845679182488899E-2</v>
      </c>
      <c r="O16" s="63">
        <f t="shared" si="16"/>
        <v>9.1845679182488899E-2</v>
      </c>
      <c r="P16" s="63">
        <f t="shared" si="16"/>
        <v>9.1845679182488899E-2</v>
      </c>
      <c r="Q16" s="63">
        <f t="shared" si="16"/>
        <v>9.1845679182488899E-2</v>
      </c>
      <c r="R16" s="63">
        <f t="shared" si="16"/>
        <v>9.1845679182488899E-2</v>
      </c>
      <c r="S16" s="63">
        <f t="shared" si="16"/>
        <v>9.1845679182488899E-2</v>
      </c>
      <c r="T16" s="63">
        <f t="shared" si="16"/>
        <v>9.1845679182488899E-2</v>
      </c>
      <c r="U16" s="63">
        <f t="shared" si="16"/>
        <v>9.1845679182488899E-2</v>
      </c>
      <c r="V16" s="63">
        <f t="shared" si="16"/>
        <v>9.1845679182488899E-2</v>
      </c>
      <c r="W16" s="63">
        <f t="shared" si="16"/>
        <v>9.1845679182488899E-2</v>
      </c>
      <c r="X16" s="63">
        <f t="shared" si="16"/>
        <v>9.1845679182488899E-2</v>
      </c>
      <c r="Y16" s="63">
        <f t="shared" si="16"/>
        <v>9.1845679182488899E-2</v>
      </c>
      <c r="Z16" s="63">
        <f t="shared" si="16"/>
        <v>9.1845679182488899E-2</v>
      </c>
      <c r="AA16" s="63">
        <f t="shared" si="16"/>
        <v>9.1845679182488899E-2</v>
      </c>
      <c r="AB16" s="63">
        <f t="shared" si="16"/>
        <v>9.1845679182488899E-2</v>
      </c>
      <c r="AC16" s="63">
        <f t="shared" si="16"/>
        <v>9.1845679182488899E-2</v>
      </c>
      <c r="AD16" s="63">
        <f t="shared" si="16"/>
        <v>9.1845679182488899E-2</v>
      </c>
      <c r="AE16" s="63">
        <f t="shared" si="16"/>
        <v>9.1845679182488899E-2</v>
      </c>
      <c r="AF16" s="63">
        <f t="shared" si="16"/>
        <v>9.1845679182488899E-2</v>
      </c>
      <c r="AG16" s="63">
        <f t="shared" si="16"/>
        <v>9.1845679182488899E-2</v>
      </c>
    </row>
    <row r="17" spans="1:33" ht="14.25" customHeight="1" x14ac:dyDescent="0.2">
      <c r="A17" s="2" t="s">
        <v>66</v>
      </c>
      <c r="B17" s="63">
        <f>'BECF-pre-ret'!B17*1.1</f>
        <v>0.49154589371981516</v>
      </c>
      <c r="C17" s="63">
        <f t="shared" ref="C17:AG17" si="17">$B17</f>
        <v>0.49154589371981516</v>
      </c>
      <c r="D17" s="63">
        <f t="shared" si="17"/>
        <v>0.49154589371981516</v>
      </c>
      <c r="E17" s="63">
        <f t="shared" si="17"/>
        <v>0.49154589371981516</v>
      </c>
      <c r="F17" s="63">
        <f t="shared" si="17"/>
        <v>0.49154589371981516</v>
      </c>
      <c r="G17" s="63">
        <f t="shared" si="17"/>
        <v>0.49154589371981516</v>
      </c>
      <c r="H17" s="63">
        <f t="shared" si="17"/>
        <v>0.49154589371981516</v>
      </c>
      <c r="I17" s="63">
        <f t="shared" si="17"/>
        <v>0.49154589371981516</v>
      </c>
      <c r="J17" s="63">
        <f t="shared" si="17"/>
        <v>0.49154589371981516</v>
      </c>
      <c r="K17" s="63">
        <f t="shared" si="17"/>
        <v>0.49154589371981516</v>
      </c>
      <c r="L17" s="63">
        <f t="shared" si="17"/>
        <v>0.49154589371981516</v>
      </c>
      <c r="M17" s="63">
        <f t="shared" si="17"/>
        <v>0.49154589371981516</v>
      </c>
      <c r="N17" s="63">
        <f t="shared" si="17"/>
        <v>0.49154589371981516</v>
      </c>
      <c r="O17" s="63">
        <f t="shared" si="17"/>
        <v>0.49154589371981516</v>
      </c>
      <c r="P17" s="63">
        <f t="shared" si="17"/>
        <v>0.49154589371981516</v>
      </c>
      <c r="Q17" s="63">
        <f t="shared" si="17"/>
        <v>0.49154589371981516</v>
      </c>
      <c r="R17" s="63">
        <f t="shared" si="17"/>
        <v>0.49154589371981516</v>
      </c>
      <c r="S17" s="63">
        <f t="shared" si="17"/>
        <v>0.49154589371981516</v>
      </c>
      <c r="T17" s="63">
        <f t="shared" si="17"/>
        <v>0.49154589371981516</v>
      </c>
      <c r="U17" s="63">
        <f t="shared" si="17"/>
        <v>0.49154589371981516</v>
      </c>
      <c r="V17" s="63">
        <f t="shared" si="17"/>
        <v>0.49154589371981516</v>
      </c>
      <c r="W17" s="63">
        <f t="shared" si="17"/>
        <v>0.49154589371981516</v>
      </c>
      <c r="X17" s="63">
        <f t="shared" si="17"/>
        <v>0.49154589371981516</v>
      </c>
      <c r="Y17" s="63">
        <f t="shared" si="17"/>
        <v>0.49154589371981516</v>
      </c>
      <c r="Z17" s="63">
        <f t="shared" si="17"/>
        <v>0.49154589371981516</v>
      </c>
      <c r="AA17" s="63">
        <f t="shared" si="17"/>
        <v>0.49154589371981516</v>
      </c>
      <c r="AB17" s="63">
        <f t="shared" si="17"/>
        <v>0.49154589371981516</v>
      </c>
      <c r="AC17" s="63">
        <f t="shared" si="17"/>
        <v>0.49154589371981516</v>
      </c>
      <c r="AD17" s="63">
        <f t="shared" si="17"/>
        <v>0.49154589371981516</v>
      </c>
      <c r="AE17" s="63">
        <f t="shared" si="17"/>
        <v>0.49154589371981516</v>
      </c>
      <c r="AF17" s="63">
        <f t="shared" si="17"/>
        <v>0.49154589371981516</v>
      </c>
      <c r="AG17" s="63">
        <f t="shared" si="17"/>
        <v>0.49154589371981516</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About</vt:lpstr>
      <vt:lpstr>Generation</vt:lpstr>
      <vt:lpstr>Installed Capacity</vt:lpstr>
      <vt:lpstr>Capacity Factor Calculation</vt:lpstr>
      <vt:lpstr>Solar Capacity Factor</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2025-02-20T21:25:22Z</dcterms:modified>
</cp:coreProperties>
</file>