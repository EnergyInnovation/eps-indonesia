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nergyinnovation.sharepoint.com/sites/IndonesiaEPS/Shared Documents/Updated Indonesia InputData files/elec/BGDPbES/"/>
    </mc:Choice>
  </mc:AlternateContent>
  <xr:revisionPtr revIDLastSave="5" documentId="13_ncr:1_{EDD5E1BB-0AC2-7C4D-B848-D5A362FE7BE5}" xr6:coauthVersionLast="47" xr6:coauthVersionMax="47" xr10:uidLastSave="{EEA6EC2A-3F97-4D8B-AF6B-C231F53CA9F1}"/>
  <bookViews>
    <workbookView xWindow="-19305" yWindow="-5760" windowWidth="19410" windowHeight="20985" activeTab="5" xr2:uid="{00000000-000D-0000-FFFF-FFFF00000000}"/>
  </bookViews>
  <sheets>
    <sheet name="About" sheetId="1" r:id="rId1"/>
    <sheet name="STEO 7d" sheetId="3" r:id="rId2"/>
    <sheet name="Capacity" sheetId="4" r:id="rId3"/>
    <sheet name="Capacity Factors" sheetId="5" r:id="rId4"/>
    <sheet name="2020 Calculations" sheetId="6" r:id="rId5"/>
    <sheet name="BGDPbES" sheetId="2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" i="6" l="1"/>
  <c r="E2" i="6"/>
  <c r="D2" i="6"/>
  <c r="F2" i="6"/>
  <c r="G2" i="6"/>
  <c r="H2" i="6"/>
  <c r="H3" i="6" s="1"/>
  <c r="I2" i="6"/>
  <c r="J2" i="6"/>
  <c r="K2" i="6"/>
  <c r="K3" i="6" s="1"/>
  <c r="L2" i="6"/>
  <c r="L3" i="6" s="1"/>
  <c r="M2" i="6"/>
  <c r="M3" i="6" s="1"/>
  <c r="N2" i="6"/>
  <c r="N3" i="6" s="1"/>
  <c r="O2" i="6"/>
  <c r="O3" i="6" s="1"/>
  <c r="P2" i="6"/>
  <c r="Q2" i="6"/>
  <c r="R2" i="6"/>
  <c r="S2" i="6"/>
  <c r="S3" i="6" s="1"/>
  <c r="T2" i="6"/>
  <c r="U2" i="6"/>
  <c r="V2" i="6"/>
  <c r="W2" i="6"/>
  <c r="X2" i="6"/>
  <c r="Y2" i="6"/>
  <c r="Z2" i="6"/>
  <c r="AA2" i="6"/>
  <c r="AB2" i="6"/>
  <c r="AC2" i="6"/>
  <c r="AC3" i="6" s="1"/>
  <c r="AD2" i="6"/>
  <c r="AD3" i="6" s="1"/>
  <c r="AE2" i="6"/>
  <c r="AE3" i="6" s="1"/>
  <c r="AF2" i="6"/>
  <c r="B2" i="6"/>
  <c r="C2" i="6"/>
  <c r="C3" i="6" s="1"/>
  <c r="F3" i="6"/>
  <c r="U3" i="6"/>
  <c r="X3" i="6"/>
  <c r="AB3" i="6"/>
  <c r="O9" i="3"/>
  <c r="P9" i="3"/>
  <c r="Q9" i="3"/>
  <c r="R9" i="3"/>
  <c r="S9" i="3"/>
  <c r="T9" i="3"/>
  <c r="U9" i="3"/>
  <c r="V9" i="3"/>
  <c r="W9" i="3"/>
  <c r="X9" i="3"/>
  <c r="Y9" i="3"/>
  <c r="Z9" i="3"/>
  <c r="AA9" i="3"/>
  <c r="AB9" i="3"/>
  <c r="AC9" i="3"/>
  <c r="AD9" i="3"/>
  <c r="AE9" i="3"/>
  <c r="AF9" i="3"/>
  <c r="AG9" i="3"/>
  <c r="AH9" i="3"/>
  <c r="AI9" i="3"/>
  <c r="AJ9" i="3"/>
  <c r="AK9" i="3"/>
  <c r="AL9" i="3"/>
  <c r="AM9" i="3"/>
  <c r="AN9" i="3"/>
  <c r="N9" i="3"/>
  <c r="T3" i="6" l="1"/>
  <c r="AA3" i="6"/>
  <c r="R3" i="6"/>
  <c r="Y3" i="6"/>
  <c r="V3" i="6"/>
  <c r="W3" i="6"/>
  <c r="AF3" i="6"/>
  <c r="P3" i="6"/>
  <c r="G3" i="6"/>
  <c r="I3" i="6"/>
  <c r="Z3" i="6"/>
  <c r="J3" i="6"/>
  <c r="Q3" i="6"/>
  <c r="E3" i="6"/>
  <c r="D3" i="6"/>
  <c r="F137" i="3" l="1"/>
  <c r="G137" i="3"/>
  <c r="F139" i="3"/>
  <c r="G139" i="3"/>
  <c r="E137" i="3"/>
  <c r="E139" i="3"/>
  <c r="B128" i="3"/>
  <c r="F128" i="3" s="1"/>
  <c r="C128" i="3"/>
  <c r="G128" i="3" s="1"/>
  <c r="B129" i="3"/>
  <c r="F129" i="3" s="1"/>
  <c r="C129" i="3"/>
  <c r="G129" i="3" s="1"/>
  <c r="B130" i="3"/>
  <c r="F130" i="3" s="1"/>
  <c r="C130" i="3"/>
  <c r="G130" i="3" s="1"/>
  <c r="B131" i="3"/>
  <c r="C131" i="3"/>
  <c r="B132" i="3"/>
  <c r="F132" i="3" s="1"/>
  <c r="C132" i="3"/>
  <c r="G132" i="3" s="1"/>
  <c r="B133" i="3"/>
  <c r="F133" i="3" s="1"/>
  <c r="C133" i="3"/>
  <c r="G133" i="3" s="1"/>
  <c r="B134" i="3"/>
  <c r="F134" i="3" s="1"/>
  <c r="C134" i="3"/>
  <c r="G134" i="3" s="1"/>
  <c r="B135" i="3"/>
  <c r="F135" i="3" s="1"/>
  <c r="C135" i="3"/>
  <c r="G135" i="3" s="1"/>
  <c r="B136" i="3"/>
  <c r="F136" i="3" s="1"/>
  <c r="C136" i="3"/>
  <c r="G136" i="3" s="1"/>
  <c r="B138" i="3"/>
  <c r="F138" i="3" s="1"/>
  <c r="C138" i="3"/>
  <c r="G138" i="3" s="1"/>
  <c r="B140" i="3"/>
  <c r="F140" i="3" s="1"/>
  <c r="C140" i="3"/>
  <c r="G140" i="3" s="1"/>
  <c r="B141" i="3"/>
  <c r="F141" i="3" s="1"/>
  <c r="C141" i="3"/>
  <c r="G141" i="3" s="1"/>
  <c r="A140" i="3"/>
  <c r="E140" i="3" s="1"/>
  <c r="A141" i="3"/>
  <c r="E141" i="3" s="1"/>
  <c r="A138" i="3"/>
  <c r="E138" i="3" s="1"/>
  <c r="A136" i="3"/>
  <c r="E136" i="3" s="1"/>
  <c r="A135" i="3"/>
  <c r="E135" i="3" s="1"/>
  <c r="A134" i="3"/>
  <c r="E134" i="3" s="1"/>
  <c r="A133" i="3"/>
  <c r="E133" i="3" s="1"/>
  <c r="A132" i="3"/>
  <c r="E132" i="3" s="1"/>
  <c r="A131" i="3"/>
  <c r="A130" i="3"/>
  <c r="E130" i="3" s="1"/>
  <c r="A129" i="3"/>
  <c r="E129" i="3" s="1"/>
  <c r="A128" i="3"/>
  <c r="E128" i="3" s="1"/>
</calcChain>
</file>

<file path=xl/sharedStrings.xml><?xml version="1.0" encoding="utf-8"?>
<sst xmlns="http://schemas.openxmlformats.org/spreadsheetml/2006/main" count="574" uniqueCount="362">
  <si>
    <t>Notes:</t>
  </si>
  <si>
    <t>nuclear</t>
  </si>
  <si>
    <t>hydro</t>
  </si>
  <si>
    <t>solar PV</t>
  </si>
  <si>
    <t>solar thermal</t>
  </si>
  <si>
    <t>biomass</t>
  </si>
  <si>
    <t>This variable is used to specify the percentage of potential electricity output from each</t>
  </si>
  <si>
    <t>geothermal</t>
  </si>
  <si>
    <t>petroleum</t>
  </si>
  <si>
    <t>natural gas peaker</t>
  </si>
  <si>
    <t>BGDPbES BAU Guaranteed Dispatch Percentage by Electricity Source</t>
  </si>
  <si>
    <t>source that is guaranteed (e.g. dispatched before any least-cost dispatching</t>
  </si>
  <si>
    <t>begins) in the BAU case.</t>
  </si>
  <si>
    <t>Some dispatch from peaking plants (natural gas peakers and petroleum-fired plants)</t>
  </si>
  <si>
    <t>is guaranteed in the model, to provide for grid stability and regulation needs.</t>
  </si>
  <si>
    <t>The model will disatch these plants in the guaranteed dispatch section by the larger</t>
  </si>
  <si>
    <t>of the default amount or the amount specified here by the user.</t>
  </si>
  <si>
    <t>lignite</t>
  </si>
  <si>
    <t>hard coal</t>
  </si>
  <si>
    <t>onshore wind</t>
  </si>
  <si>
    <t>offshore wind</t>
  </si>
  <si>
    <t>crude oil</t>
  </si>
  <si>
    <t>heavy or residual fuel oil</t>
  </si>
  <si>
    <t>municipal solid waste</t>
  </si>
  <si>
    <t>BAU Guaranteed Dispatch (dimensionless)</t>
  </si>
  <si>
    <t>7d. U.S. Regional Electricity Generation, Electric Power Sector</t>
  </si>
  <si>
    <t>https://www.eia.gov/outlooks/steo/data/browser/#/?v=22&amp;f=A&amp;s=0&amp;maptype=0&amp;ctype=linechart</t>
  </si>
  <si>
    <t>Wed Jun 01 2022 10:35:45 GMT-0700 (Pacific Daylight Time)</t>
  </si>
  <si>
    <t>Source: U.S. Energy Information Administration</t>
  </si>
  <si>
    <t>remove</t>
  </si>
  <si>
    <t>map</t>
  </si>
  <si>
    <t>linechart</t>
  </si>
  <si>
    <t>units</t>
  </si>
  <si>
    <t>source key</t>
  </si>
  <si>
    <t>United States</t>
  </si>
  <si>
    <t>Natural gas</t>
  </si>
  <si>
    <t>Electric power sector generation by natural gas: U.S. total</t>
  </si>
  <si>
    <t>billion kilowatthours</t>
  </si>
  <si>
    <t>NGEPGEN_US</t>
  </si>
  <si>
    <t>Coal</t>
  </si>
  <si>
    <t>CLEPGEN_US</t>
  </si>
  <si>
    <t>Nuclear</t>
  </si>
  <si>
    <t>Electric power sector generation by nuclear: U.S. total</t>
  </si>
  <si>
    <t>NUEPGEN_US</t>
  </si>
  <si>
    <t>Renewable energy sources</t>
  </si>
  <si>
    <t>Electric power sector generation by renewables: U.S. total</t>
  </si>
  <si>
    <t>RTEPGEN_US</t>
  </si>
  <si>
    <t>Conventional hydropower</t>
  </si>
  <si>
    <t>Electric power sector generation by conventional hydropower: U.S. total</t>
  </si>
  <si>
    <t>HVEPGEN_US</t>
  </si>
  <si>
    <t>Wind</t>
  </si>
  <si>
    <t>Electric power sector generation by wind: U.S. total</t>
  </si>
  <si>
    <t>WNEPGEN_US</t>
  </si>
  <si>
    <t xml:space="preserve">Solar </t>
  </si>
  <si>
    <t>Electric power sector generation by solar: U.S. total</t>
  </si>
  <si>
    <t>SOEPGEN_US</t>
  </si>
  <si>
    <t>Biomass</t>
  </si>
  <si>
    <t>Electric power sector generation by biomass: U.S. total</t>
  </si>
  <si>
    <t>BMEPGEN_US</t>
  </si>
  <si>
    <t>Geothermal</t>
  </si>
  <si>
    <t>Electric power sector generation by geothermal: U.S. total</t>
  </si>
  <si>
    <t>GEEPGEN_US</t>
  </si>
  <si>
    <t>Pumped storage hydropower</t>
  </si>
  <si>
    <t>Electric power sector generation by pumped storage hydropower: U.S. total</t>
  </si>
  <si>
    <t>HPEPGEN_US</t>
  </si>
  <si>
    <t xml:space="preserve">Petroleum </t>
  </si>
  <si>
    <t>Electric power sector generation by petroleum: U.S. total</t>
  </si>
  <si>
    <t>PAEPGEN_US</t>
  </si>
  <si>
    <t>Other gases</t>
  </si>
  <si>
    <t>Electric power sector generation by other gases: U.S. total</t>
  </si>
  <si>
    <t>OGEPGEN_US</t>
  </si>
  <si>
    <t>Other nonrenewable fuels</t>
  </si>
  <si>
    <t>Electric power sector generation by other nonrenewable fuels: U.S. total</t>
  </si>
  <si>
    <t>OBEPGEN_US</t>
  </si>
  <si>
    <t>Total net generation</t>
  </si>
  <si>
    <t>Total Electric Power Sector Net Generation: U.S. Total</t>
  </si>
  <si>
    <t>TOEPGEN_US</t>
  </si>
  <si>
    <t>New England (ISO-NE)</t>
  </si>
  <si>
    <t>Electric power sector generation by natural gas: New England (ISO-NE)</t>
  </si>
  <si>
    <t>NGEPGEN_NE</t>
  </si>
  <si>
    <t>Electric power sector generation by coal: New England (ISO-NE)</t>
  </si>
  <si>
    <t>CLEPGEN_NE</t>
  </si>
  <si>
    <t>Electric power sector generation by nuclear: New England (ISO-NE)</t>
  </si>
  <si>
    <t>NUEPGEN_NE</t>
  </si>
  <si>
    <t>Electric power sector generation by conventional hydropower: New England (ISO-NE)</t>
  </si>
  <si>
    <t>HVEPGEN_NE</t>
  </si>
  <si>
    <t xml:space="preserve">Nonhydro renewables </t>
  </si>
  <si>
    <t>Electric power sector generation by non-hydropower renewables</t>
  </si>
  <si>
    <t>RNEPGEN_NE</t>
  </si>
  <si>
    <t xml:space="preserve">Other energy sources </t>
  </si>
  <si>
    <t>Electric power sector generation by other energy sources: New England (ISO-NE)</t>
  </si>
  <si>
    <t>XXEPGEN_NE</t>
  </si>
  <si>
    <t>Total generation</t>
  </si>
  <si>
    <t>Total electric power sector net generation: New England (ISO-NE)</t>
  </si>
  <si>
    <t>TOEPGEN_NE</t>
  </si>
  <si>
    <t xml:space="preserve">Net energy for load </t>
  </si>
  <si>
    <t>Net energy for load: New England (ISO-NE)</t>
  </si>
  <si>
    <t>ELLOAD_NE</t>
  </si>
  <si>
    <t>New York (NYISO)</t>
  </si>
  <si>
    <t>Electric power sector generation by natural gas: New York (NYISO)</t>
  </si>
  <si>
    <t>NGEPGEN_NY</t>
  </si>
  <si>
    <t>Electric power sector generation by coal: New York (NYISO)</t>
  </si>
  <si>
    <t>CLEPGEN_NY</t>
  </si>
  <si>
    <t>Electric power sector generation by nuclear: New York (NYISO)</t>
  </si>
  <si>
    <t>NUEPGEN_NY</t>
  </si>
  <si>
    <t>Electric power sector generation by conventional hydropower: New York (NYISO)</t>
  </si>
  <si>
    <t>HVEPGEN_NY</t>
  </si>
  <si>
    <t>RNEPGEN_NY</t>
  </si>
  <si>
    <t>Electric power sector generation by other energy sources: New York (NYISO)</t>
  </si>
  <si>
    <t>XXEPGEN_NY</t>
  </si>
  <si>
    <t>Total electric power sector net generation: New York (NYISO)</t>
  </si>
  <si>
    <t>TOEPGEN_NY</t>
  </si>
  <si>
    <t>Net energy for load: New York (NYISO)</t>
  </si>
  <si>
    <t>ELLOAD_NY</t>
  </si>
  <si>
    <t>Mid-Atlantic (PJM)</t>
  </si>
  <si>
    <t>Electric power sector generation by natural gas: Mid-Atlantic (PJM)</t>
  </si>
  <si>
    <t>NGEPGEN_PJ</t>
  </si>
  <si>
    <t>Electric power sector generation by coal: Mid-Atlantic (PJM)</t>
  </si>
  <si>
    <t>CLEPGEN_PJ</t>
  </si>
  <si>
    <t>Electric power sector generation by nuclear: Mid-Atlantic (PJM)</t>
  </si>
  <si>
    <t>NUEPGEN_PJ</t>
  </si>
  <si>
    <t>Electric power sector generation by conventional hydropower: Mid-Atlantic (PJM)</t>
  </si>
  <si>
    <t>HVEPGEN_PJ</t>
  </si>
  <si>
    <t>RNEPGEN_PJ</t>
  </si>
  <si>
    <t>Electric power sector generation by other energy sources: Mid-Atlantic (PJM)</t>
  </si>
  <si>
    <t>XXEPGEN_PJ</t>
  </si>
  <si>
    <t>Total electric power sector net generation: Mid-Atlantic (PJM)</t>
  </si>
  <si>
    <t>TOEPGEN_PJ</t>
  </si>
  <si>
    <t>Net energy for load: Mid-Atlantic (PJM)</t>
  </si>
  <si>
    <t>ELLOAD_PJ</t>
  </si>
  <si>
    <t>Southeast (SERC)</t>
  </si>
  <si>
    <t>Electric power sector generation by natural gas: Southeast (SERC)</t>
  </si>
  <si>
    <t>NGEPGEN_SE</t>
  </si>
  <si>
    <t>Electric power sector generation by coal: Southeast (SERC)</t>
  </si>
  <si>
    <t>CLEPGEN_SE</t>
  </si>
  <si>
    <t>Electric power sector generation by nuclear: Southeast (SERC)</t>
  </si>
  <si>
    <t>NUEPGEN_SE</t>
  </si>
  <si>
    <t>Electric power sector generation by conventional hydropower: Southeast (SERC)</t>
  </si>
  <si>
    <t>HVEPGEN_SE</t>
  </si>
  <si>
    <t>RNEPGEN_SE</t>
  </si>
  <si>
    <t>Electric power sector generation by other energy sources: Southeast (SERC)</t>
  </si>
  <si>
    <t>XXEPGEN_SE</t>
  </si>
  <si>
    <t>Total electric power sector net generation: Southeast (SERC)</t>
  </si>
  <si>
    <t>TOEPGEN_SE</t>
  </si>
  <si>
    <t>Net energy for load: Southeast (SERC)</t>
  </si>
  <si>
    <t>ELLOAD_SE</t>
  </si>
  <si>
    <t>Florida (FRCC)</t>
  </si>
  <si>
    <t>Electric power sector generation by natural gas: Florida (FRCC)</t>
  </si>
  <si>
    <t>NGEPGEN_FL</t>
  </si>
  <si>
    <t>Electric power sector generation by coal: Florida (FRCC)</t>
  </si>
  <si>
    <t>CLEPGEN_FL</t>
  </si>
  <si>
    <t>Electric power sector generation by nuclear: Florida (FRCC)</t>
  </si>
  <si>
    <t>NUEPGEN_FL</t>
  </si>
  <si>
    <t>Electric power sector generation by conventional hydropower: Florida (FRCC)</t>
  </si>
  <si>
    <t>HVEPGEN_FL</t>
  </si>
  <si>
    <t>RNEPGEN_FL</t>
  </si>
  <si>
    <t>Electric power sector generation by other energy sources: Florida (FRCC)</t>
  </si>
  <si>
    <t>XXEPGEN_FL</t>
  </si>
  <si>
    <t>Total electric power sector net generation: Florida (FRCC)</t>
  </si>
  <si>
    <t>TOEPGEN_FL</t>
  </si>
  <si>
    <t>Net energy for load: Florida (FRCC)</t>
  </si>
  <si>
    <t>ELLOAD_FL</t>
  </si>
  <si>
    <t>Midcontinent ISO (MISO)</t>
  </si>
  <si>
    <t>Electric power sector generation by natural gas: Midcontinent ISO (MISO)</t>
  </si>
  <si>
    <t>NGEPGEN_MW</t>
  </si>
  <si>
    <t>Electric power sector generation by coal: Midcontinent ISO (MISO)</t>
  </si>
  <si>
    <t>CLEPGEN_MW</t>
  </si>
  <si>
    <t>Electric power sector generation by nuclear: Midcontinent ISO (MISO)</t>
  </si>
  <si>
    <t>NUEPGEN_MW</t>
  </si>
  <si>
    <t>Electric power sector generation by conventional hydropower: Midcontinent ISO (MISO)</t>
  </si>
  <si>
    <t>HVEPGEN_MW</t>
  </si>
  <si>
    <t>RNEPGEN_MW</t>
  </si>
  <si>
    <t>Electric power sector generation by other energy sources: Midcontinent ISO (MISO)</t>
  </si>
  <si>
    <t>XXEPGEN_MW</t>
  </si>
  <si>
    <t>Total electric power sector net generation: Midcontinent ISO (MISO)</t>
  </si>
  <si>
    <t>TOEPGEN_MW</t>
  </si>
  <si>
    <t>Net energy for load: Midcontinent ISO (MISO)</t>
  </si>
  <si>
    <t>ELLOAD_MW</t>
  </si>
  <si>
    <t>Southwest Power Pool (SPP)</t>
  </si>
  <si>
    <t>Electric power sector generation by natural gas: Southwest Power Pool (SPP)</t>
  </si>
  <si>
    <t>NGEPGEN_SP</t>
  </si>
  <si>
    <t>Electric power sector generation by coal: Southwest Power Pool (SPP)</t>
  </si>
  <si>
    <t>CLEPGEN_SP</t>
  </si>
  <si>
    <t>Electric power sector generation by nuclear: Southwest Power Pool (SPP)</t>
  </si>
  <si>
    <t>NUEPGEN_SP</t>
  </si>
  <si>
    <t>Electric power sector generation by conventional hydropower: Southwest Power Pool (SPP)</t>
  </si>
  <si>
    <t>HVEPGEN_SP</t>
  </si>
  <si>
    <t>RNEPGEN_SP</t>
  </si>
  <si>
    <t>Electric power sector generation by other energy sources: Southwest Power Pool (SPP)</t>
  </si>
  <si>
    <t>XXEPGEN_SP</t>
  </si>
  <si>
    <t>Total electric power sector net generation: Southwest Power Pool (SPP)</t>
  </si>
  <si>
    <t>TOEPGEN_SP</t>
  </si>
  <si>
    <t>Net energy for load: Southwest Power Pool (SPP)</t>
  </si>
  <si>
    <t>ELLOAD_SP</t>
  </si>
  <si>
    <t>Texas (ERCOT)</t>
  </si>
  <si>
    <t>Electric power sector generation by natural gas: Texas (ERCOT)</t>
  </si>
  <si>
    <t>NGEPGEN_TX</t>
  </si>
  <si>
    <t>Electric power sector generation by coal: Texas (ERCOT)</t>
  </si>
  <si>
    <t>CLEPGEN_TX</t>
  </si>
  <si>
    <t>Electric power sector generation by nuclear: Texas (ERCOT)</t>
  </si>
  <si>
    <t>NUEPGEN_TX</t>
  </si>
  <si>
    <t>Electric power sector generation by conventional hydropower: Texas (ERCOT)</t>
  </si>
  <si>
    <t>HVEPGEN_TX</t>
  </si>
  <si>
    <t>RNEPGEN_TX</t>
  </si>
  <si>
    <t>Electric power sector generation by other energy sources: Texas (ERCOT)</t>
  </si>
  <si>
    <t>XXEPGEN_TX</t>
  </si>
  <si>
    <t>Total electric power sector net generation: Texas (ERCOT)</t>
  </si>
  <si>
    <t>TOEPGEN_TX</t>
  </si>
  <si>
    <t>Net energy for load: Texas (ERCOT)</t>
  </si>
  <si>
    <t>ELLOAD_TX</t>
  </si>
  <si>
    <t>Northwest and Rockies</t>
  </si>
  <si>
    <t>Electric power sector generation by natural gas: Northwest and Rockies</t>
  </si>
  <si>
    <t>NGEPGEN_NW</t>
  </si>
  <si>
    <t>Electric power sector generation by coal: Northwest and Rockies</t>
  </si>
  <si>
    <t>CLEPGEN_NW</t>
  </si>
  <si>
    <t>Electric power sector generation by nuclear: Northwest and Rockies</t>
  </si>
  <si>
    <t>NUEPGEN_NW</t>
  </si>
  <si>
    <t>Electric power sector generation by conventional hydropower: Northwest and Rockies</t>
  </si>
  <si>
    <t>HVEPGEN_NW</t>
  </si>
  <si>
    <t>RNEPGEN_NW</t>
  </si>
  <si>
    <t>Electric power sector generation by other energy sources: Northwest and Rockies</t>
  </si>
  <si>
    <t>XXEPGEN_NW</t>
  </si>
  <si>
    <t>Total electric power sector net generation: Northwest and Rockies</t>
  </si>
  <si>
    <t>TOEPGEN_NW</t>
  </si>
  <si>
    <t>Net energy for load: Northwest and Rockies</t>
  </si>
  <si>
    <t>ELLOAD_NW</t>
  </si>
  <si>
    <t>Southwest</t>
  </si>
  <si>
    <t>Electric power sector generation by natural gas: Southwest</t>
  </si>
  <si>
    <t>NGEPGEN_SW</t>
  </si>
  <si>
    <t>Electric power sector generation by coal: Southwest</t>
  </si>
  <si>
    <t>CLEPGEN_SW</t>
  </si>
  <si>
    <t>Electric power sector generation by nuclear: Southwest</t>
  </si>
  <si>
    <t>NUEPGEN_SW</t>
  </si>
  <si>
    <t>Electric power sector generation by conventional hydropower: Southwest</t>
  </si>
  <si>
    <t>HVEPGEN_SW</t>
  </si>
  <si>
    <t>RNEPGEN_SW</t>
  </si>
  <si>
    <t>Electric power sector generation by other energy sources: Southwest</t>
  </si>
  <si>
    <t>XXEPGEN_SW</t>
  </si>
  <si>
    <t>Total electric power sector net generation: Southwest</t>
  </si>
  <si>
    <t>TOEPGEN_SW</t>
  </si>
  <si>
    <t>Net energy for load: Southwest</t>
  </si>
  <si>
    <t>ELLOAD_SW</t>
  </si>
  <si>
    <t>California</t>
  </si>
  <si>
    <t>Electric power sector generation by natural gas: California</t>
  </si>
  <si>
    <t>NGEPGEN_CA</t>
  </si>
  <si>
    <t>Electric power sector generation by coal: California</t>
  </si>
  <si>
    <t>CLEPGEN_CA</t>
  </si>
  <si>
    <t>Electric power sector generation by nuclear: California</t>
  </si>
  <si>
    <t>NUEPGEN_CA</t>
  </si>
  <si>
    <t>Electric power sector generation by conventional hydropower: California</t>
  </si>
  <si>
    <t>HVEPGEN_CA</t>
  </si>
  <si>
    <t>RNEPGEN_CA</t>
  </si>
  <si>
    <t>Electric power sector generation by other energy sources: California</t>
  </si>
  <si>
    <t>XXEPGEN_CA</t>
  </si>
  <si>
    <t>Total electric power sector net generation: California</t>
  </si>
  <si>
    <t>TOEPGEN_CA</t>
  </si>
  <si>
    <t>Net energy for load: California</t>
  </si>
  <si>
    <t>ELLOAD_CA</t>
  </si>
  <si>
    <t>Time (Time)</t>
  </si>
  <si>
    <t>coal</t>
  </si>
  <si>
    <t>Source:</t>
  </si>
  <si>
    <t>EIA</t>
  </si>
  <si>
    <t>Short Term Energy Outlook</t>
  </si>
  <si>
    <t>https://www.eia.gov/outlooks/steo/</t>
  </si>
  <si>
    <t>Table 7d</t>
  </si>
  <si>
    <t>Output Electricity Generation by Type[hard coal es] : MostRecentRun</t>
  </si>
  <si>
    <t>Output Electricity Generation by Type[natural gas nonpeaker es] : MostRecentRun</t>
  </si>
  <si>
    <t>Output Electricity Generation by Type[nuclear es] : MostRecentRun</t>
  </si>
  <si>
    <t>Output Electricity Generation by Type[hydro es] : MostRecentRun</t>
  </si>
  <si>
    <t>Output Electricity Generation by Type[onshore wind es] : MostRecentRun</t>
  </si>
  <si>
    <t>Output Electricity Generation by Type[solar PV es] : MostRecentRun</t>
  </si>
  <si>
    <t>Output Electricity Generation by Type[solar thermal es] : MostRecentRun</t>
  </si>
  <si>
    <t>Output Electricity Generation by Type[biomass es] : MostRecentRun</t>
  </si>
  <si>
    <t>Output Electricity Generation by Type[geothermal es] : MostRecentRun</t>
  </si>
  <si>
    <t>Output Electricity Generation by Type[petroleum es] : MostRecentRun</t>
  </si>
  <si>
    <t>Output Electricity Generation by Type[natural gas peaker es] : MostRecentRun</t>
  </si>
  <si>
    <t>Output Electricity Generation by Type[lignite es] : MostRecentRun</t>
  </si>
  <si>
    <t>Output Electricity Generation by Type[offshore wind es] : MostRecentRun</t>
  </si>
  <si>
    <t>Output Electricity Generation by Type[crude oil es] : MostRecentRun</t>
  </si>
  <si>
    <t>Output Electricity Generation by Type[heavy or residual fuel oil es] : MostRecentRun</t>
  </si>
  <si>
    <t>Output Electricity Generation by Type[municipal solid waste es] : MostRecentRun</t>
  </si>
  <si>
    <t>For the US, we use EIA's STEO to align historical 2020 generation.</t>
  </si>
  <si>
    <t>EPS</t>
  </si>
  <si>
    <t>Difference</t>
  </si>
  <si>
    <t>Calibration multiplier (used to ensure 2020 output in the model aligns with STEO)</t>
  </si>
  <si>
    <t>Electric power sector generation by coal: Indonesia</t>
  </si>
  <si>
    <t>Time (Year)</t>
  </si>
  <si>
    <t>Output Electricity Generation Capacity[hard coal es] : BAU-Dispatch</t>
  </si>
  <si>
    <t>Output Electricity Generation Capacity[natural gas nonpeaker es] : BAU-Dispatch</t>
  </si>
  <si>
    <t>Output Electricity Generation Capacity[nuclear es] : BAU-Dispatch</t>
  </si>
  <si>
    <t>Output Electricity Generation Capacity[hydro es] : BAU-Dispatch</t>
  </si>
  <si>
    <t>Output Electricity Generation Capacity[onshore wind es] : BAU-Dispatch</t>
  </si>
  <si>
    <t>Output Electricity Generation Capacity[solar PV es] : BAU-Dispatch</t>
  </si>
  <si>
    <t>Output Electricity Generation Capacity[solar thermal es] : BAU-Dispatch</t>
  </si>
  <si>
    <t>Output Electricity Generation Capacity[biomass es] : BAU-Dispatch</t>
  </si>
  <si>
    <t>Output Electricity Generation Capacity[geothermal es] : BAU-Dispatch</t>
  </si>
  <si>
    <t>Output Electricity Generation Capacity[petroleum es] : BAU-Dispatch</t>
  </si>
  <si>
    <t>Output Electricity Generation Capacity[natural gas peaker es] : BAU-Dispatch</t>
  </si>
  <si>
    <t>Output Electricity Generation Capacity[lignite es] : BAU-Dispatch</t>
  </si>
  <si>
    <t>Output Electricity Generation Capacity[offshore wind es] : BAU-Dispatch</t>
  </si>
  <si>
    <t>Output Electricity Generation Capacity[crude oil es] : BAU-Dispatch</t>
  </si>
  <si>
    <t>Output Electricity Generation Capacity[heavy or residual fuel oil es] : BAU-Dispatch</t>
  </si>
  <si>
    <t>Output Electricity Generation Capacity[municipal solid waste es] : BAU-Dispatch</t>
  </si>
  <si>
    <t>Bid Capacity Factor x Hours per Year[hard coal es,preexisting retiring] : MostRecentRun</t>
  </si>
  <si>
    <t>Bid Capacity Factor x Hours per Year[hard coal es,preexisting nonretiring] : MostRecentRun</t>
  </si>
  <si>
    <t>Bid Capacity Factor x Hours per Year[hard coal es,newly built] : MostRecentRun</t>
  </si>
  <si>
    <t>Bid Capacity Factor x Hours per Year[natural gas nonpeaker es,preexisting retiring] : MostRecentRun</t>
  </si>
  <si>
    <t>Bid Capacity Factor x Hours per Year[natural gas nonpeaker es,preexisting nonretiring] : MostRecentRun</t>
  </si>
  <si>
    <t>Bid Capacity Factor x Hours per Year[natural gas nonpeaker es,newly built] : MostRecentRun</t>
  </si>
  <si>
    <t>Bid Capacity Factor x Hours per Year[nuclear es,preexisting retiring] : MostRecentRun</t>
  </si>
  <si>
    <t>Bid Capacity Factor x Hours per Year[nuclear es,preexisting nonretiring] : MostRecentRun</t>
  </si>
  <si>
    <t>Bid Capacity Factor x Hours per Year[nuclear es,newly built] : MostRecentRun</t>
  </si>
  <si>
    <t>Bid Capacity Factor x Hours per Year[hydro es,preexisting retiring] : MostRecentRun</t>
  </si>
  <si>
    <t>Bid Capacity Factor x Hours per Year[hydro es,preexisting nonretiring] : MostRecentRun</t>
  </si>
  <si>
    <t>Bid Capacity Factor x Hours per Year[hydro es,newly built] : MostRecentRun</t>
  </si>
  <si>
    <t>Bid Capacity Factor x Hours per Year[onshore wind es,preexisting retiring] : MostRecentRun</t>
  </si>
  <si>
    <t>Bid Capacity Factor x Hours per Year[onshore wind es,preexisting nonretiring] : MostRecentRun</t>
  </si>
  <si>
    <t>Bid Capacity Factor x Hours per Year[onshore wind es,newly built] : MostRecentRun</t>
  </si>
  <si>
    <t>Bid Capacity Factor x Hours per Year[solar PV es,preexisting retiring] : MostRecentRun</t>
  </si>
  <si>
    <t>Bid Capacity Factor x Hours per Year[solar PV es,preexisting nonretiring] : MostRecentRun</t>
  </si>
  <si>
    <t>Bid Capacity Factor x Hours per Year[solar PV es,newly built] : MostRecentRun</t>
  </si>
  <si>
    <t>Bid Capacity Factor x Hours per Year[solar thermal es,preexisting retiring] : MostRecentRun</t>
  </si>
  <si>
    <t>Bid Capacity Factor x Hours per Year[solar thermal es,preexisting nonretiring] : MostRecentRun</t>
  </si>
  <si>
    <t>Bid Capacity Factor x Hours per Year[solar thermal es,newly built] : MostRecentRun</t>
  </si>
  <si>
    <t>Bid Capacity Factor x Hours per Year[biomass es,preexisting retiring] : MostRecentRun</t>
  </si>
  <si>
    <t>Bid Capacity Factor x Hours per Year[biomass es,preexisting nonretiring] : MostRecentRun</t>
  </si>
  <si>
    <t>Bid Capacity Factor x Hours per Year[biomass es,newly built] : MostRecentRun</t>
  </si>
  <si>
    <t>Bid Capacity Factor x Hours per Year[geothermal es,preexisting retiring] : MostRecentRun</t>
  </si>
  <si>
    <t>Bid Capacity Factor x Hours per Year[geothermal es,preexisting nonretiring] : MostRecentRun</t>
  </si>
  <si>
    <t>Bid Capacity Factor x Hours per Year[geothermal es,newly built] : MostRecentRun</t>
  </si>
  <si>
    <t>Bid Capacity Factor x Hours per Year[petroleum es,preexisting retiring] : MostRecentRun</t>
  </si>
  <si>
    <t>Bid Capacity Factor x Hours per Year[petroleum es,preexisting nonretiring] : MostRecentRun</t>
  </si>
  <si>
    <t>Bid Capacity Factor x Hours per Year[petroleum es,newly built] : MostRecentRun</t>
  </si>
  <si>
    <t>Bid Capacity Factor x Hours per Year[natural gas peaker es,preexisting retiring] : MostRecentRun</t>
  </si>
  <si>
    <t>Bid Capacity Factor x Hours per Year[natural gas peaker es,preexisting nonretiring] : MostRecentRun</t>
  </si>
  <si>
    <t>Bid Capacity Factor x Hours per Year[natural gas peaker es,newly built] : MostRecentRun</t>
  </si>
  <si>
    <t>Bid Capacity Factor x Hours per Year[lignite es,preexisting retiring] : MostRecentRun</t>
  </si>
  <si>
    <t>Bid Capacity Factor x Hours per Year[lignite es,preexisting nonretiring] : MostRecentRun</t>
  </si>
  <si>
    <t>Bid Capacity Factor x Hours per Year[lignite es,newly built] : MostRecentRun</t>
  </si>
  <si>
    <t>Bid Capacity Factor x Hours per Year[offshore wind es,preexisting retiring] : MostRecentRun</t>
  </si>
  <si>
    <t>Bid Capacity Factor x Hours per Year[offshore wind es,preexisting nonretiring] : MostRecentRun</t>
  </si>
  <si>
    <t>Bid Capacity Factor x Hours per Year[offshore wind es,newly built] : MostRecentRun</t>
  </si>
  <si>
    <t>Bid Capacity Factor x Hours per Year[crude oil es,preexisting retiring] : MostRecentRun</t>
  </si>
  <si>
    <t>Bid Capacity Factor x Hours per Year[crude oil es,preexisting nonretiring] : MostRecentRun</t>
  </si>
  <si>
    <t>Bid Capacity Factor x Hours per Year[crude oil es,newly built] : MostRecentRun</t>
  </si>
  <si>
    <t>Bid Capacity Factor x Hours per Year[heavy or residual fuel oil es,preexisting retiring] : MostRecentRun</t>
  </si>
  <si>
    <t>Bid Capacity Factor x Hours per Year[heavy or residual fuel oil es,preexisting nonretiring] : MostRecentRun</t>
  </si>
  <si>
    <t>Bid Capacity Factor x Hours per Year[heavy or residual fuel oil es,newly built] : MostRecentRun</t>
  </si>
  <si>
    <t>Bid Capacity Factor x Hours per Year[municipal solid waste es,preexisting retiring] : MostRecentRun</t>
  </si>
  <si>
    <t>Bid Capacity Factor x Hours per Year[municipal solid waste es,preexisting nonretiring] : MostRecentRun</t>
  </si>
  <si>
    <t>Bid Capacity Factor x Hours per Year[municipal solid waste es,newly built] : MostRecentRun</t>
  </si>
  <si>
    <t>BPS</t>
  </si>
  <si>
    <t>https://esdm.go.id/assets/media/content/content-handbook-of-energy-and-economic-statistics-of-indonesia-2023.pdf</t>
  </si>
  <si>
    <t>natural gas steam turbine</t>
  </si>
  <si>
    <t>natural gas combined cycle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</si>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</sst>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6"/>
      <color theme="1"/>
      <name val="Helvetica"/>
      <family val="2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1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0" fontId="1" fillId="0" borderId="0" xfId="0" applyFont="1" applyAlignment="1">
      <alignment wrapText="1"/>
    </xf>
    <xf numFmtId="0" fontId="0" fillId="0" borderId="0" xfId="0" applyAlignment="1">
      <alignment horizontal="left"/>
    </xf>
    <xf numFmtId="0" fontId="0" fillId="0" borderId="0" xfId="0" applyAlignment="1">
      <alignment wrapText="1"/>
    </xf>
    <xf numFmtId="3" fontId="0" fillId="0" borderId="0" xfId="0" applyNumberFormat="1"/>
    <xf numFmtId="3" fontId="2" fillId="0" borderId="0" xfId="0" applyNumberFormat="1" applyFont="1"/>
    <xf numFmtId="0" fontId="3" fillId="0" borderId="0" xfId="1"/>
    <xf numFmtId="11" fontId="0" fillId="0" borderId="0" xfId="0" applyNumberFormat="1"/>
    <xf numFmtId="0" fontId="4" fillId="0" borderId="0" xfId="0" applyFont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esdm.go.id/assets/media/content/content-handbook-of-energy-and-economic-statistics-of-indonesia-2023.pdf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2"/>
  <sheetViews>
    <sheetView workbookViewId="0">
      <selection activeCell="N16" sqref="N16"/>
    </sheetView>
  </sheetViews>
  <sheetFormatPr defaultColWidth="8.81640625" defaultRowHeight="14.5" x14ac:dyDescent="0.35"/>
  <sheetData>
    <row r="1" spans="1:2" x14ac:dyDescent="0.35">
      <c r="A1" s="1" t="s">
        <v>10</v>
      </c>
    </row>
    <row r="3" spans="1:2" x14ac:dyDescent="0.35">
      <c r="A3" s="1" t="s">
        <v>260</v>
      </c>
      <c r="B3" t="s">
        <v>261</v>
      </c>
    </row>
    <row r="4" spans="1:2" x14ac:dyDescent="0.35">
      <c r="B4" s="4">
        <v>2022</v>
      </c>
    </row>
    <row r="5" spans="1:2" x14ac:dyDescent="0.35">
      <c r="B5" t="s">
        <v>262</v>
      </c>
    </row>
    <row r="6" spans="1:2" x14ac:dyDescent="0.35">
      <c r="B6" t="s">
        <v>263</v>
      </c>
    </row>
    <row r="7" spans="1:2" x14ac:dyDescent="0.35">
      <c r="B7" t="s">
        <v>264</v>
      </c>
    </row>
    <row r="9" spans="1:2" x14ac:dyDescent="0.35">
      <c r="B9" t="s">
        <v>351</v>
      </c>
    </row>
    <row r="10" spans="1:2" x14ac:dyDescent="0.35">
      <c r="B10" s="8" t="s">
        <v>352</v>
      </c>
    </row>
    <row r="12" spans="1:2" x14ac:dyDescent="0.35">
      <c r="A12" s="1" t="s">
        <v>0</v>
      </c>
    </row>
    <row r="13" spans="1:2" x14ac:dyDescent="0.35">
      <c r="A13" t="s">
        <v>6</v>
      </c>
    </row>
    <row r="14" spans="1:2" x14ac:dyDescent="0.35">
      <c r="A14" t="s">
        <v>11</v>
      </c>
    </row>
    <row r="15" spans="1:2" x14ac:dyDescent="0.35">
      <c r="A15" t="s">
        <v>12</v>
      </c>
    </row>
    <row r="17" spans="1:1" x14ac:dyDescent="0.35">
      <c r="A17" t="s">
        <v>13</v>
      </c>
    </row>
    <row r="18" spans="1:1" x14ac:dyDescent="0.35">
      <c r="A18" t="s">
        <v>14</v>
      </c>
    </row>
    <row r="19" spans="1:1" x14ac:dyDescent="0.35">
      <c r="A19" t="s">
        <v>15</v>
      </c>
    </row>
    <row r="20" spans="1:1" x14ac:dyDescent="0.35">
      <c r="A20" t="s">
        <v>16</v>
      </c>
    </row>
    <row r="22" spans="1:1" x14ac:dyDescent="0.35">
      <c r="A22" t="s">
        <v>281</v>
      </c>
    </row>
  </sheetData>
  <hyperlinks>
    <hyperlink ref="B10" r:id="rId1" xr:uid="{AE7F4E09-2A8B-E04F-9419-569707F06952}"/>
  </hyperlinks>
  <pageMargins left="0.7" right="0.7" top="0.75" bottom="0.75" header="0.3" footer="0.3"/>
  <pageSetup orientation="portrait" horizontalDpi="1200" verticalDpi="120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B677FF-8AA7-4A99-AA5C-83E52BC9397F}">
  <dimension ref="A1:AN144"/>
  <sheetViews>
    <sheetView workbookViewId="0">
      <selection activeCell="N5" sqref="N5:AN5"/>
    </sheetView>
  </sheetViews>
  <sheetFormatPr defaultColWidth="8.81640625" defaultRowHeight="14.5" x14ac:dyDescent="0.35"/>
  <cols>
    <col min="1" max="1" width="42.6328125" customWidth="1"/>
    <col min="23" max="23" width="8.81640625" customWidth="1"/>
  </cols>
  <sheetData>
    <row r="1" spans="1:40" x14ac:dyDescent="0.35">
      <c r="A1" t="s">
        <v>25</v>
      </c>
    </row>
    <row r="2" spans="1:40" x14ac:dyDescent="0.35">
      <c r="A2" t="s">
        <v>26</v>
      </c>
    </row>
    <row r="3" spans="1:40" x14ac:dyDescent="0.35">
      <c r="A3" t="s">
        <v>27</v>
      </c>
    </row>
    <row r="4" spans="1:40" x14ac:dyDescent="0.35">
      <c r="A4" t="s">
        <v>28</v>
      </c>
    </row>
    <row r="5" spans="1:40" x14ac:dyDescent="0.35">
      <c r="A5" t="s">
        <v>29</v>
      </c>
      <c r="C5" t="s">
        <v>30</v>
      </c>
      <c r="D5" t="s">
        <v>31</v>
      </c>
      <c r="E5" t="s">
        <v>32</v>
      </c>
      <c r="F5" t="s">
        <v>33</v>
      </c>
      <c r="G5">
        <v>2017</v>
      </c>
      <c r="H5">
        <v>2018</v>
      </c>
      <c r="I5">
        <v>2019</v>
      </c>
      <c r="J5">
        <v>2020</v>
      </c>
      <c r="K5">
        <v>2021</v>
      </c>
      <c r="L5">
        <v>2022</v>
      </c>
      <c r="M5">
        <v>2023</v>
      </c>
      <c r="N5">
        <v>2024</v>
      </c>
      <c r="O5">
        <v>2025</v>
      </c>
      <c r="P5">
        <v>2026</v>
      </c>
      <c r="Q5">
        <v>2027</v>
      </c>
      <c r="R5">
        <v>2028</v>
      </c>
      <c r="S5">
        <v>2029</v>
      </c>
      <c r="T5">
        <v>2030</v>
      </c>
      <c r="U5">
        <v>2031</v>
      </c>
      <c r="V5">
        <v>2032</v>
      </c>
      <c r="W5">
        <v>2033</v>
      </c>
      <c r="X5">
        <v>2034</v>
      </c>
      <c r="Y5">
        <v>2035</v>
      </c>
      <c r="Z5">
        <v>2036</v>
      </c>
      <c r="AA5">
        <v>2037</v>
      </c>
      <c r="AB5">
        <v>2038</v>
      </c>
      <c r="AC5">
        <v>2039</v>
      </c>
      <c r="AD5">
        <v>2040</v>
      </c>
      <c r="AE5">
        <v>2041</v>
      </c>
      <c r="AF5">
        <v>2042</v>
      </c>
      <c r="AG5">
        <v>2043</v>
      </c>
      <c r="AH5">
        <v>2044</v>
      </c>
      <c r="AI5">
        <v>2045</v>
      </c>
      <c r="AJ5">
        <v>2046</v>
      </c>
      <c r="AK5">
        <v>2047</v>
      </c>
      <c r="AL5">
        <v>2048</v>
      </c>
      <c r="AM5">
        <v>2049</v>
      </c>
      <c r="AN5">
        <v>2050</v>
      </c>
    </row>
    <row r="6" spans="1:40" x14ac:dyDescent="0.35">
      <c r="A6" t="s">
        <v>25</v>
      </c>
      <c r="B6" t="s">
        <v>25</v>
      </c>
      <c r="C6">
        <v>0</v>
      </c>
      <c r="D6">
        <v>0</v>
      </c>
    </row>
    <row r="7" spans="1:40" x14ac:dyDescent="0.35">
      <c r="A7" t="s">
        <v>34</v>
      </c>
      <c r="B7" t="s">
        <v>34</v>
      </c>
      <c r="C7">
        <v>0</v>
      </c>
      <c r="D7">
        <v>0</v>
      </c>
    </row>
    <row r="8" spans="1:40" x14ac:dyDescent="0.35">
      <c r="A8" t="s">
        <v>35</v>
      </c>
      <c r="B8" t="s">
        <v>36</v>
      </c>
      <c r="C8">
        <v>1</v>
      </c>
      <c r="D8">
        <v>1</v>
      </c>
      <c r="E8" t="s">
        <v>37</v>
      </c>
      <c r="F8" t="s">
        <v>38</v>
      </c>
      <c r="G8">
        <v>1196.75</v>
      </c>
      <c r="H8">
        <v>1365.82</v>
      </c>
      <c r="I8">
        <v>1477.14</v>
      </c>
      <c r="J8">
        <v>1519.68</v>
      </c>
      <c r="K8">
        <v>1473.64</v>
      </c>
      <c r="L8">
        <v>1487.04</v>
      </c>
      <c r="M8">
        <v>1460.88</v>
      </c>
    </row>
    <row r="9" spans="1:40" x14ac:dyDescent="0.35">
      <c r="A9" t="s">
        <v>39</v>
      </c>
      <c r="B9" t="s">
        <v>285</v>
      </c>
      <c r="C9">
        <v>1</v>
      </c>
      <c r="D9">
        <v>1</v>
      </c>
      <c r="E9" t="s">
        <v>37</v>
      </c>
      <c r="F9" t="s">
        <v>40</v>
      </c>
      <c r="G9">
        <v>147.964</v>
      </c>
      <c r="H9">
        <v>160.01300000000001</v>
      </c>
      <c r="I9">
        <v>174.49299999999999</v>
      </c>
      <c r="J9">
        <v>180.869</v>
      </c>
      <c r="K9">
        <v>189.684</v>
      </c>
      <c r="L9">
        <v>205.30799999999999</v>
      </c>
      <c r="M9">
        <v>216.77699999999999</v>
      </c>
      <c r="N9">
        <f>_xlfn.FORECAST.LINEAR(N5,$G$9:$M$9,$G$5:$M$5)</f>
        <v>226.76114285714357</v>
      </c>
      <c r="O9">
        <f t="shared" ref="O9:AN9" si="0">_xlfn.FORECAST.LINEAR(O5,$G$9:$M$9,$G$5:$M$5)</f>
        <v>237.91185714285893</v>
      </c>
      <c r="P9">
        <f t="shared" si="0"/>
        <v>249.0625714285743</v>
      </c>
      <c r="Q9">
        <f t="shared" si="0"/>
        <v>260.21328571428603</v>
      </c>
      <c r="R9">
        <f t="shared" si="0"/>
        <v>271.3640000000014</v>
      </c>
      <c r="S9">
        <f t="shared" si="0"/>
        <v>282.51471428571676</v>
      </c>
      <c r="T9">
        <f t="shared" si="0"/>
        <v>293.66542857142849</v>
      </c>
      <c r="U9">
        <f t="shared" si="0"/>
        <v>304.81614285714386</v>
      </c>
      <c r="V9">
        <f t="shared" si="0"/>
        <v>315.96685714285923</v>
      </c>
      <c r="W9">
        <f t="shared" si="0"/>
        <v>327.11757142857095</v>
      </c>
      <c r="X9">
        <f t="shared" si="0"/>
        <v>338.26828571428632</v>
      </c>
      <c r="Y9">
        <f t="shared" si="0"/>
        <v>349.41900000000169</v>
      </c>
      <c r="Z9">
        <f t="shared" si="0"/>
        <v>360.56971428571705</v>
      </c>
      <c r="AA9">
        <f t="shared" si="0"/>
        <v>371.72042857142878</v>
      </c>
      <c r="AB9">
        <f t="shared" si="0"/>
        <v>382.87114285714415</v>
      </c>
      <c r="AC9">
        <f t="shared" si="0"/>
        <v>394.02185714285952</v>
      </c>
      <c r="AD9">
        <f t="shared" si="0"/>
        <v>405.17257142857125</v>
      </c>
      <c r="AE9">
        <f t="shared" si="0"/>
        <v>416.32328571428661</v>
      </c>
      <c r="AF9">
        <f t="shared" si="0"/>
        <v>427.47400000000198</v>
      </c>
      <c r="AG9">
        <f t="shared" si="0"/>
        <v>438.62471428571371</v>
      </c>
      <c r="AH9">
        <f t="shared" si="0"/>
        <v>449.77542857142907</v>
      </c>
      <c r="AI9">
        <f t="shared" si="0"/>
        <v>460.92614285714444</v>
      </c>
      <c r="AJ9">
        <f t="shared" si="0"/>
        <v>472.07685714285981</v>
      </c>
      <c r="AK9">
        <f t="shared" si="0"/>
        <v>483.22757142857154</v>
      </c>
      <c r="AL9">
        <f t="shared" si="0"/>
        <v>494.3782857142869</v>
      </c>
      <c r="AM9">
        <f t="shared" si="0"/>
        <v>505.52900000000227</v>
      </c>
      <c r="AN9">
        <f t="shared" si="0"/>
        <v>516.679714285714</v>
      </c>
    </row>
    <row r="10" spans="1:40" x14ac:dyDescent="0.35">
      <c r="A10" t="s">
        <v>41</v>
      </c>
      <c r="B10" t="s">
        <v>42</v>
      </c>
      <c r="C10">
        <v>1</v>
      </c>
      <c r="D10">
        <v>1</v>
      </c>
      <c r="E10" t="s">
        <v>37</v>
      </c>
      <c r="F10" t="s">
        <v>43</v>
      </c>
      <c r="G10">
        <v>804.95</v>
      </c>
      <c r="H10">
        <v>807.08</v>
      </c>
      <c r="I10">
        <v>809.41</v>
      </c>
      <c r="J10">
        <v>789.88</v>
      </c>
      <c r="K10">
        <v>778.15</v>
      </c>
      <c r="L10">
        <v>778.23</v>
      </c>
      <c r="M10">
        <v>788.98</v>
      </c>
    </row>
    <row r="11" spans="1:40" x14ac:dyDescent="0.35">
      <c r="A11" t="s">
        <v>44</v>
      </c>
      <c r="B11" t="s">
        <v>45</v>
      </c>
      <c r="C11">
        <v>1</v>
      </c>
      <c r="D11">
        <v>1</v>
      </c>
      <c r="E11" t="s">
        <v>37</v>
      </c>
      <c r="F11" t="s">
        <v>46</v>
      </c>
      <c r="G11">
        <v>653.16</v>
      </c>
      <c r="H11">
        <v>673.74</v>
      </c>
      <c r="I11">
        <v>696.66</v>
      </c>
      <c r="J11">
        <v>752</v>
      </c>
      <c r="K11">
        <v>795.16</v>
      </c>
      <c r="L11">
        <v>890.44</v>
      </c>
      <c r="M11">
        <v>949.38</v>
      </c>
    </row>
    <row r="12" spans="1:40" x14ac:dyDescent="0.35">
      <c r="A12" t="s">
        <v>47</v>
      </c>
      <c r="B12" t="s">
        <v>48</v>
      </c>
      <c r="C12">
        <v>1</v>
      </c>
      <c r="D12">
        <v>1</v>
      </c>
      <c r="E12" t="s">
        <v>37</v>
      </c>
      <c r="F12" t="s">
        <v>49</v>
      </c>
      <c r="G12">
        <v>298.70999999999998</v>
      </c>
      <c r="H12">
        <v>291.14999999999998</v>
      </c>
      <c r="I12">
        <v>286.64999999999998</v>
      </c>
      <c r="J12">
        <v>284.06</v>
      </c>
      <c r="K12">
        <v>259.02</v>
      </c>
      <c r="L12">
        <v>270.75</v>
      </c>
      <c r="M12">
        <v>273.45999999999998</v>
      </c>
    </row>
    <row r="13" spans="1:40" x14ac:dyDescent="0.35">
      <c r="A13" t="s">
        <v>50</v>
      </c>
      <c r="B13" t="s">
        <v>51</v>
      </c>
      <c r="C13">
        <v>1</v>
      </c>
      <c r="D13">
        <v>1</v>
      </c>
      <c r="E13" t="s">
        <v>37</v>
      </c>
      <c r="F13" t="s">
        <v>52</v>
      </c>
      <c r="G13">
        <v>254.07</v>
      </c>
      <c r="H13">
        <v>272.39999999999998</v>
      </c>
      <c r="I13">
        <v>295.60000000000002</v>
      </c>
      <c r="J13">
        <v>337.15</v>
      </c>
      <c r="K13">
        <v>378.63</v>
      </c>
      <c r="L13">
        <v>431.47</v>
      </c>
      <c r="M13">
        <v>450.02</v>
      </c>
    </row>
    <row r="14" spans="1:40" x14ac:dyDescent="0.35">
      <c r="A14" t="s">
        <v>53</v>
      </c>
      <c r="B14" t="s">
        <v>54</v>
      </c>
      <c r="C14">
        <v>1</v>
      </c>
      <c r="D14">
        <v>1</v>
      </c>
      <c r="E14" t="s">
        <v>37</v>
      </c>
      <c r="F14" t="s">
        <v>55</v>
      </c>
      <c r="G14">
        <v>52.72</v>
      </c>
      <c r="H14">
        <v>63.25</v>
      </c>
      <c r="I14">
        <v>71.260000000000005</v>
      </c>
      <c r="J14">
        <v>88.51</v>
      </c>
      <c r="K14">
        <v>113.87</v>
      </c>
      <c r="L14">
        <v>146.02000000000001</v>
      </c>
      <c r="M14">
        <v>184.09</v>
      </c>
    </row>
    <row r="15" spans="1:40" x14ac:dyDescent="0.35">
      <c r="A15" t="s">
        <v>56</v>
      </c>
      <c r="B15" t="s">
        <v>57</v>
      </c>
      <c r="C15">
        <v>1</v>
      </c>
      <c r="D15">
        <v>1</v>
      </c>
      <c r="E15" t="s">
        <v>37</v>
      </c>
      <c r="F15" t="s">
        <v>58</v>
      </c>
      <c r="G15">
        <v>31.73</v>
      </c>
      <c r="H15">
        <v>31.01</v>
      </c>
      <c r="I15">
        <v>28.11</v>
      </c>
      <c r="J15">
        <v>26.84</v>
      </c>
      <c r="K15">
        <v>27.91</v>
      </c>
      <c r="L15">
        <v>26.25</v>
      </c>
      <c r="M15">
        <v>26.13</v>
      </c>
    </row>
    <row r="16" spans="1:40" x14ac:dyDescent="0.35">
      <c r="A16" t="s">
        <v>59</v>
      </c>
      <c r="B16" t="s">
        <v>60</v>
      </c>
      <c r="C16">
        <v>1</v>
      </c>
      <c r="D16">
        <v>1</v>
      </c>
      <c r="E16" t="s">
        <v>37</v>
      </c>
      <c r="F16" t="s">
        <v>61</v>
      </c>
      <c r="G16">
        <v>15.93</v>
      </c>
      <c r="H16">
        <v>15.93</v>
      </c>
      <c r="I16">
        <v>15.03</v>
      </c>
      <c r="J16">
        <v>15.44</v>
      </c>
      <c r="K16">
        <v>15.74</v>
      </c>
      <c r="L16">
        <v>15.94</v>
      </c>
      <c r="M16">
        <v>15.69</v>
      </c>
    </row>
    <row r="17" spans="1:15" x14ac:dyDescent="0.35">
      <c r="A17" t="s">
        <v>62</v>
      </c>
      <c r="B17" t="s">
        <v>63</v>
      </c>
      <c r="C17">
        <v>1</v>
      </c>
      <c r="D17">
        <v>1</v>
      </c>
      <c r="E17" t="s">
        <v>37</v>
      </c>
      <c r="F17" t="s">
        <v>64</v>
      </c>
      <c r="G17">
        <v>-6.49</v>
      </c>
      <c r="H17">
        <v>-5.9</v>
      </c>
      <c r="I17">
        <v>-5.26</v>
      </c>
      <c r="J17">
        <v>-5.32</v>
      </c>
      <c r="K17">
        <v>-5.1100000000000003</v>
      </c>
      <c r="L17">
        <v>-4.97</v>
      </c>
      <c r="M17">
        <v>-4.8499999999999996</v>
      </c>
    </row>
    <row r="18" spans="1:15" x14ac:dyDescent="0.35">
      <c r="A18" t="s">
        <v>65</v>
      </c>
      <c r="B18" t="s">
        <v>66</v>
      </c>
      <c r="C18">
        <v>1</v>
      </c>
      <c r="D18">
        <v>1</v>
      </c>
      <c r="E18" t="s">
        <v>37</v>
      </c>
      <c r="F18" t="s">
        <v>67</v>
      </c>
      <c r="G18">
        <v>20.04</v>
      </c>
      <c r="H18">
        <v>23.93</v>
      </c>
      <c r="I18">
        <v>17.22</v>
      </c>
      <c r="J18">
        <v>16.329999999999998</v>
      </c>
      <c r="K18">
        <v>17.8</v>
      </c>
      <c r="L18">
        <v>18.18</v>
      </c>
      <c r="M18">
        <v>16.89</v>
      </c>
    </row>
    <row r="19" spans="1:15" x14ac:dyDescent="0.35">
      <c r="A19" t="s">
        <v>68</v>
      </c>
      <c r="B19" t="s">
        <v>69</v>
      </c>
      <c r="C19">
        <v>1</v>
      </c>
      <c r="D19">
        <v>1</v>
      </c>
      <c r="E19" t="s">
        <v>37</v>
      </c>
      <c r="F19" t="s">
        <v>70</v>
      </c>
      <c r="G19">
        <v>4.13</v>
      </c>
      <c r="H19">
        <v>4.09</v>
      </c>
      <c r="I19">
        <v>4.04</v>
      </c>
      <c r="J19">
        <v>3.17</v>
      </c>
      <c r="K19">
        <v>3.17</v>
      </c>
      <c r="L19">
        <v>3.31</v>
      </c>
      <c r="M19">
        <v>3.22</v>
      </c>
    </row>
    <row r="20" spans="1:15" x14ac:dyDescent="0.35">
      <c r="A20" t="s">
        <v>71</v>
      </c>
      <c r="B20" t="s">
        <v>72</v>
      </c>
      <c r="C20">
        <v>1</v>
      </c>
      <c r="D20">
        <v>1</v>
      </c>
      <c r="E20" t="s">
        <v>37</v>
      </c>
      <c r="F20" t="s">
        <v>73</v>
      </c>
      <c r="G20">
        <v>6.99</v>
      </c>
      <c r="H20">
        <v>7.24</v>
      </c>
      <c r="I20">
        <v>7.69</v>
      </c>
      <c r="J20">
        <v>7.59</v>
      </c>
      <c r="K20">
        <v>7.18</v>
      </c>
      <c r="L20">
        <v>6.95</v>
      </c>
      <c r="M20">
        <v>6.73</v>
      </c>
    </row>
    <row r="21" spans="1:15" x14ac:dyDescent="0.35">
      <c r="A21" t="s">
        <v>74</v>
      </c>
      <c r="B21" t="s">
        <v>75</v>
      </c>
      <c r="C21">
        <v>1</v>
      </c>
      <c r="D21">
        <v>1</v>
      </c>
      <c r="E21" t="s">
        <v>37</v>
      </c>
      <c r="F21" t="s">
        <v>76</v>
      </c>
      <c r="G21">
        <v>3877.37</v>
      </c>
      <c r="H21">
        <v>4018.17</v>
      </c>
      <c r="I21">
        <v>3965.63</v>
      </c>
      <c r="J21">
        <v>3851.03</v>
      </c>
      <c r="K21">
        <v>3962.79</v>
      </c>
      <c r="L21">
        <v>4041.84</v>
      </c>
      <c r="M21">
        <v>4044.16</v>
      </c>
    </row>
    <row r="22" spans="1:15" x14ac:dyDescent="0.35">
      <c r="A22" t="s">
        <v>77</v>
      </c>
      <c r="B22" t="s">
        <v>77</v>
      </c>
      <c r="C22">
        <v>0</v>
      </c>
      <c r="D22">
        <v>0</v>
      </c>
    </row>
    <row r="23" spans="1:15" x14ac:dyDescent="0.35">
      <c r="A23" t="s">
        <v>35</v>
      </c>
      <c r="B23" t="s">
        <v>78</v>
      </c>
      <c r="C23">
        <v>1</v>
      </c>
      <c r="D23">
        <v>1</v>
      </c>
      <c r="E23" t="s">
        <v>37</v>
      </c>
      <c r="F23" t="s">
        <v>79</v>
      </c>
      <c r="G23">
        <v>48.8</v>
      </c>
      <c r="H23">
        <v>49.02</v>
      </c>
      <c r="I23">
        <v>46.65</v>
      </c>
      <c r="J23">
        <v>49.1</v>
      </c>
      <c r="K23">
        <v>51.48</v>
      </c>
      <c r="L23">
        <v>55.33</v>
      </c>
      <c r="M23">
        <v>55.27</v>
      </c>
    </row>
    <row r="24" spans="1:15" x14ac:dyDescent="0.35">
      <c r="A24" t="s">
        <v>39</v>
      </c>
      <c r="B24" t="s">
        <v>80</v>
      </c>
      <c r="C24">
        <v>1</v>
      </c>
      <c r="D24">
        <v>1</v>
      </c>
      <c r="E24" t="s">
        <v>37</v>
      </c>
      <c r="F24" t="s">
        <v>81</v>
      </c>
      <c r="G24">
        <v>1.68</v>
      </c>
      <c r="H24">
        <v>1.05</v>
      </c>
      <c r="I24">
        <v>0.46</v>
      </c>
      <c r="J24">
        <v>0.16</v>
      </c>
      <c r="K24">
        <v>0.57999999999999996</v>
      </c>
      <c r="L24">
        <v>0.84</v>
      </c>
      <c r="M24">
        <v>0.84</v>
      </c>
    </row>
    <row r="25" spans="1:15" x14ac:dyDescent="0.35">
      <c r="A25" t="s">
        <v>41</v>
      </c>
      <c r="B25" t="s">
        <v>82</v>
      </c>
      <c r="C25">
        <v>1</v>
      </c>
      <c r="D25">
        <v>1</v>
      </c>
      <c r="E25" t="s">
        <v>37</v>
      </c>
      <c r="F25" t="s">
        <v>83</v>
      </c>
      <c r="G25">
        <v>31.54</v>
      </c>
      <c r="H25">
        <v>31.38</v>
      </c>
      <c r="I25">
        <v>29.82</v>
      </c>
      <c r="J25">
        <v>25.58</v>
      </c>
      <c r="K25">
        <v>27.07</v>
      </c>
      <c r="L25">
        <v>27.85</v>
      </c>
      <c r="M25">
        <v>26.24</v>
      </c>
    </row>
    <row r="26" spans="1:15" x14ac:dyDescent="0.35">
      <c r="A26" t="s">
        <v>47</v>
      </c>
      <c r="B26" t="s">
        <v>84</v>
      </c>
      <c r="C26">
        <v>1</v>
      </c>
      <c r="D26">
        <v>1</v>
      </c>
      <c r="E26" t="s">
        <v>37</v>
      </c>
      <c r="F26" t="s">
        <v>85</v>
      </c>
      <c r="G26">
        <v>7.09</v>
      </c>
      <c r="H26">
        <v>7.47</v>
      </c>
      <c r="I26">
        <v>7.6</v>
      </c>
      <c r="J26">
        <v>6.61</v>
      </c>
      <c r="K26">
        <v>6.28</v>
      </c>
      <c r="L26">
        <v>6.87</v>
      </c>
      <c r="M26">
        <v>7.18</v>
      </c>
    </row>
    <row r="27" spans="1:15" x14ac:dyDescent="0.35">
      <c r="A27" t="s">
        <v>86</v>
      </c>
      <c r="B27" t="s">
        <v>87</v>
      </c>
      <c r="C27">
        <v>1</v>
      </c>
      <c r="D27">
        <v>1</v>
      </c>
      <c r="E27" t="s">
        <v>37</v>
      </c>
      <c r="F27" t="s">
        <v>88</v>
      </c>
      <c r="G27">
        <v>10.130000000000001</v>
      </c>
      <c r="H27">
        <v>10.119999999999999</v>
      </c>
      <c r="I27">
        <v>9.77</v>
      </c>
      <c r="J27">
        <v>10.15</v>
      </c>
      <c r="K27">
        <v>11.25</v>
      </c>
      <c r="L27">
        <v>11.86</v>
      </c>
      <c r="M27">
        <v>12.12</v>
      </c>
    </row>
    <row r="28" spans="1:15" x14ac:dyDescent="0.35">
      <c r="A28" t="s">
        <v>89</v>
      </c>
      <c r="B28" t="s">
        <v>90</v>
      </c>
      <c r="C28">
        <v>1</v>
      </c>
      <c r="D28">
        <v>1</v>
      </c>
      <c r="E28" t="s">
        <v>37</v>
      </c>
      <c r="F28" t="s">
        <v>91</v>
      </c>
      <c r="G28">
        <v>1.85</v>
      </c>
      <c r="H28">
        <v>2.2599999999999998</v>
      </c>
      <c r="I28">
        <v>1.41</v>
      </c>
      <c r="J28">
        <v>1.43</v>
      </c>
      <c r="K28">
        <v>1.5</v>
      </c>
      <c r="L28">
        <v>2.54</v>
      </c>
      <c r="M28">
        <v>1.75</v>
      </c>
      <c r="O28" s="7"/>
    </row>
    <row r="29" spans="1:15" x14ac:dyDescent="0.35">
      <c r="A29" t="s">
        <v>92</v>
      </c>
      <c r="B29" t="s">
        <v>93</v>
      </c>
      <c r="C29">
        <v>1</v>
      </c>
      <c r="D29">
        <v>1</v>
      </c>
      <c r="E29" t="s">
        <v>37</v>
      </c>
      <c r="F29" t="s">
        <v>94</v>
      </c>
      <c r="G29">
        <v>101.09</v>
      </c>
      <c r="H29">
        <v>101.29</v>
      </c>
      <c r="I29">
        <v>95.71</v>
      </c>
      <c r="J29">
        <v>93.02</v>
      </c>
      <c r="K29">
        <v>98.16</v>
      </c>
      <c r="L29">
        <v>105.3</v>
      </c>
      <c r="M29">
        <v>103.4</v>
      </c>
      <c r="O29" s="7"/>
    </row>
    <row r="30" spans="1:15" x14ac:dyDescent="0.35">
      <c r="A30" t="s">
        <v>95</v>
      </c>
      <c r="B30" t="s">
        <v>96</v>
      </c>
      <c r="C30">
        <v>1</v>
      </c>
      <c r="D30">
        <v>1</v>
      </c>
      <c r="E30" t="s">
        <v>37</v>
      </c>
      <c r="F30" t="s">
        <v>97</v>
      </c>
      <c r="G30">
        <v>117.19</v>
      </c>
      <c r="H30">
        <v>119.52</v>
      </c>
      <c r="I30">
        <v>115.3</v>
      </c>
      <c r="J30">
        <v>113.08</v>
      </c>
      <c r="K30">
        <v>116.36</v>
      </c>
      <c r="L30">
        <v>118.31</v>
      </c>
      <c r="M30">
        <v>119.9</v>
      </c>
      <c r="O30" s="6"/>
    </row>
    <row r="31" spans="1:15" x14ac:dyDescent="0.35">
      <c r="A31" t="s">
        <v>98</v>
      </c>
      <c r="B31" t="s">
        <v>98</v>
      </c>
      <c r="C31">
        <v>0</v>
      </c>
      <c r="D31">
        <v>0</v>
      </c>
    </row>
    <row r="32" spans="1:15" x14ac:dyDescent="0.35">
      <c r="A32" t="s">
        <v>35</v>
      </c>
      <c r="B32" t="s">
        <v>99</v>
      </c>
      <c r="C32">
        <v>1</v>
      </c>
      <c r="D32">
        <v>1</v>
      </c>
      <c r="E32" t="s">
        <v>37</v>
      </c>
      <c r="F32" t="s">
        <v>100</v>
      </c>
      <c r="G32">
        <v>51.74</v>
      </c>
      <c r="H32">
        <v>55.55</v>
      </c>
      <c r="I32">
        <v>52.36</v>
      </c>
      <c r="J32">
        <v>57.13</v>
      </c>
      <c r="K32">
        <v>61.87</v>
      </c>
      <c r="L32">
        <v>58.19</v>
      </c>
      <c r="M32">
        <v>58.31</v>
      </c>
    </row>
    <row r="33" spans="1:13" x14ac:dyDescent="0.35">
      <c r="A33" t="s">
        <v>39</v>
      </c>
      <c r="B33" t="s">
        <v>101</v>
      </c>
      <c r="C33">
        <v>1</v>
      </c>
      <c r="D33">
        <v>1</v>
      </c>
      <c r="E33" t="s">
        <v>37</v>
      </c>
      <c r="F33" t="s">
        <v>102</v>
      </c>
      <c r="G33">
        <v>0.56000000000000005</v>
      </c>
      <c r="H33">
        <v>0.68</v>
      </c>
      <c r="I33">
        <v>0.42</v>
      </c>
      <c r="J33">
        <v>0.14000000000000001</v>
      </c>
      <c r="K33">
        <v>0</v>
      </c>
      <c r="L33">
        <v>0</v>
      </c>
      <c r="M33">
        <v>0</v>
      </c>
    </row>
    <row r="34" spans="1:13" x14ac:dyDescent="0.35">
      <c r="A34" t="s">
        <v>41</v>
      </c>
      <c r="B34" t="s">
        <v>103</v>
      </c>
      <c r="C34">
        <v>1</v>
      </c>
      <c r="D34">
        <v>1</v>
      </c>
      <c r="E34" t="s">
        <v>37</v>
      </c>
      <c r="F34" t="s">
        <v>104</v>
      </c>
      <c r="G34">
        <v>42.17</v>
      </c>
      <c r="H34">
        <v>42.92</v>
      </c>
      <c r="I34">
        <v>44.87</v>
      </c>
      <c r="J34">
        <v>38.43</v>
      </c>
      <c r="K34">
        <v>31.14</v>
      </c>
      <c r="L34">
        <v>26.68</v>
      </c>
      <c r="M34">
        <v>27.1</v>
      </c>
    </row>
    <row r="35" spans="1:13" x14ac:dyDescent="0.35">
      <c r="A35" t="s">
        <v>47</v>
      </c>
      <c r="B35" t="s">
        <v>105</v>
      </c>
      <c r="C35">
        <v>1</v>
      </c>
      <c r="D35">
        <v>1</v>
      </c>
      <c r="E35" t="s">
        <v>37</v>
      </c>
      <c r="F35" t="s">
        <v>106</v>
      </c>
      <c r="G35">
        <v>30.06</v>
      </c>
      <c r="H35">
        <v>29.56</v>
      </c>
      <c r="I35">
        <v>30.55</v>
      </c>
      <c r="J35">
        <v>29.48</v>
      </c>
      <c r="K35">
        <v>27.9</v>
      </c>
      <c r="L35">
        <v>28.3</v>
      </c>
      <c r="M35">
        <v>29.67</v>
      </c>
    </row>
    <row r="36" spans="1:13" x14ac:dyDescent="0.35">
      <c r="A36" t="s">
        <v>86</v>
      </c>
      <c r="B36" t="s">
        <v>87</v>
      </c>
      <c r="C36">
        <v>1</v>
      </c>
      <c r="D36">
        <v>1</v>
      </c>
      <c r="E36" t="s">
        <v>37</v>
      </c>
      <c r="F36" t="s">
        <v>107</v>
      </c>
      <c r="G36">
        <v>6.15</v>
      </c>
      <c r="H36">
        <v>6.03</v>
      </c>
      <c r="I36">
        <v>6.52</v>
      </c>
      <c r="J36">
        <v>6.93</v>
      </c>
      <c r="K36">
        <v>7.13</v>
      </c>
      <c r="L36">
        <v>8.07</v>
      </c>
      <c r="M36">
        <v>10.27</v>
      </c>
    </row>
    <row r="37" spans="1:13" x14ac:dyDescent="0.35">
      <c r="A37" t="s">
        <v>89</v>
      </c>
      <c r="B37" t="s">
        <v>108</v>
      </c>
      <c r="C37">
        <v>1</v>
      </c>
      <c r="D37">
        <v>1</v>
      </c>
      <c r="E37" t="s">
        <v>37</v>
      </c>
      <c r="F37" t="s">
        <v>109</v>
      </c>
      <c r="G37">
        <v>0.84</v>
      </c>
      <c r="H37">
        <v>1.87</v>
      </c>
      <c r="I37">
        <v>0.9</v>
      </c>
      <c r="J37">
        <v>0.75</v>
      </c>
      <c r="K37">
        <v>1.27</v>
      </c>
      <c r="L37">
        <v>1.84</v>
      </c>
      <c r="M37">
        <v>1.19</v>
      </c>
    </row>
    <row r="38" spans="1:13" x14ac:dyDescent="0.35">
      <c r="A38" t="s">
        <v>92</v>
      </c>
      <c r="B38" t="s">
        <v>110</v>
      </c>
      <c r="C38">
        <v>1</v>
      </c>
      <c r="D38">
        <v>1</v>
      </c>
      <c r="E38" t="s">
        <v>37</v>
      </c>
      <c r="F38" t="s">
        <v>111</v>
      </c>
      <c r="G38">
        <v>131.53</v>
      </c>
      <c r="H38">
        <v>136.61000000000001</v>
      </c>
      <c r="I38">
        <v>135.62</v>
      </c>
      <c r="J38">
        <v>132.87</v>
      </c>
      <c r="K38">
        <v>129.31</v>
      </c>
      <c r="L38">
        <v>123.08</v>
      </c>
      <c r="M38">
        <v>126.54</v>
      </c>
    </row>
    <row r="39" spans="1:13" x14ac:dyDescent="0.35">
      <c r="A39" t="s">
        <v>95</v>
      </c>
      <c r="B39" t="s">
        <v>112</v>
      </c>
      <c r="C39">
        <v>1</v>
      </c>
      <c r="D39">
        <v>1</v>
      </c>
      <c r="E39" t="s">
        <v>37</v>
      </c>
      <c r="F39" t="s">
        <v>113</v>
      </c>
      <c r="G39">
        <v>151.22</v>
      </c>
      <c r="H39">
        <v>156</v>
      </c>
      <c r="I39">
        <v>150.68</v>
      </c>
      <c r="J39">
        <v>145.31</v>
      </c>
      <c r="K39">
        <v>149.03</v>
      </c>
      <c r="L39">
        <v>149.69</v>
      </c>
      <c r="M39">
        <v>149.18</v>
      </c>
    </row>
    <row r="40" spans="1:13" x14ac:dyDescent="0.35">
      <c r="A40" t="s">
        <v>114</v>
      </c>
      <c r="B40" t="s">
        <v>114</v>
      </c>
      <c r="C40">
        <v>0</v>
      </c>
      <c r="D40">
        <v>0</v>
      </c>
    </row>
    <row r="41" spans="1:13" x14ac:dyDescent="0.35">
      <c r="A41" t="s">
        <v>35</v>
      </c>
      <c r="B41" t="s">
        <v>115</v>
      </c>
      <c r="C41">
        <v>1</v>
      </c>
      <c r="D41">
        <v>1</v>
      </c>
      <c r="E41" t="s">
        <v>37</v>
      </c>
      <c r="F41" t="s">
        <v>116</v>
      </c>
      <c r="G41">
        <v>208.22</v>
      </c>
      <c r="H41">
        <v>252.31</v>
      </c>
      <c r="I41">
        <v>297.04000000000002</v>
      </c>
      <c r="J41">
        <v>317.22000000000003</v>
      </c>
      <c r="K41">
        <v>310.89</v>
      </c>
      <c r="L41">
        <v>314.04000000000002</v>
      </c>
      <c r="M41">
        <v>333</v>
      </c>
    </row>
    <row r="42" spans="1:13" x14ac:dyDescent="0.35">
      <c r="A42" t="s">
        <v>39</v>
      </c>
      <c r="B42" t="s">
        <v>117</v>
      </c>
      <c r="C42">
        <v>1</v>
      </c>
      <c r="D42">
        <v>1</v>
      </c>
      <c r="E42" t="s">
        <v>37</v>
      </c>
      <c r="F42" t="s">
        <v>118</v>
      </c>
      <c r="G42">
        <v>244.69</v>
      </c>
      <c r="H42">
        <v>226.51</v>
      </c>
      <c r="I42">
        <v>183.29</v>
      </c>
      <c r="J42">
        <v>147.94999999999999</v>
      </c>
      <c r="K42">
        <v>175.36</v>
      </c>
      <c r="L42">
        <v>160.29</v>
      </c>
      <c r="M42">
        <v>148.47999999999999</v>
      </c>
    </row>
    <row r="43" spans="1:13" x14ac:dyDescent="0.35">
      <c r="A43" t="s">
        <v>41</v>
      </c>
      <c r="B43" t="s">
        <v>119</v>
      </c>
      <c r="C43">
        <v>1</v>
      </c>
      <c r="D43">
        <v>1</v>
      </c>
      <c r="E43" t="s">
        <v>37</v>
      </c>
      <c r="F43" t="s">
        <v>120</v>
      </c>
      <c r="G43">
        <v>287.02</v>
      </c>
      <c r="H43">
        <v>285.38</v>
      </c>
      <c r="I43">
        <v>277.92</v>
      </c>
      <c r="J43">
        <v>275.75</v>
      </c>
      <c r="K43">
        <v>271.69</v>
      </c>
      <c r="L43">
        <v>274.18</v>
      </c>
      <c r="M43">
        <v>276.52</v>
      </c>
    </row>
    <row r="44" spans="1:13" x14ac:dyDescent="0.35">
      <c r="A44" t="s">
        <v>47</v>
      </c>
      <c r="B44" t="s">
        <v>121</v>
      </c>
      <c r="C44">
        <v>1</v>
      </c>
      <c r="D44">
        <v>1</v>
      </c>
      <c r="E44" t="s">
        <v>37</v>
      </c>
      <c r="F44" t="s">
        <v>122</v>
      </c>
      <c r="G44">
        <v>8.35</v>
      </c>
      <c r="H44">
        <v>11.87</v>
      </c>
      <c r="I44">
        <v>10.23</v>
      </c>
      <c r="J44">
        <v>9.3699999999999992</v>
      </c>
      <c r="K44">
        <v>9.27</v>
      </c>
      <c r="L44">
        <v>9.02</v>
      </c>
      <c r="M44">
        <v>9.07</v>
      </c>
    </row>
    <row r="45" spans="1:13" x14ac:dyDescent="0.35">
      <c r="A45" t="s">
        <v>86</v>
      </c>
      <c r="B45" t="s">
        <v>87</v>
      </c>
      <c r="C45">
        <v>1</v>
      </c>
      <c r="D45">
        <v>1</v>
      </c>
      <c r="E45" t="s">
        <v>37</v>
      </c>
      <c r="F45" t="s">
        <v>123</v>
      </c>
      <c r="G45">
        <v>30.22</v>
      </c>
      <c r="H45">
        <v>31.83</v>
      </c>
      <c r="I45">
        <v>34.68</v>
      </c>
      <c r="J45">
        <v>37.770000000000003</v>
      </c>
      <c r="K45">
        <v>42.42</v>
      </c>
      <c r="L45">
        <v>48.07</v>
      </c>
      <c r="M45">
        <v>53.43</v>
      </c>
    </row>
    <row r="46" spans="1:13" x14ac:dyDescent="0.35">
      <c r="A46" t="s">
        <v>89</v>
      </c>
      <c r="B46" t="s">
        <v>124</v>
      </c>
      <c r="C46">
        <v>1</v>
      </c>
      <c r="D46">
        <v>1</v>
      </c>
      <c r="E46" t="s">
        <v>37</v>
      </c>
      <c r="F46" t="s">
        <v>125</v>
      </c>
      <c r="G46">
        <v>2.3199999999999998</v>
      </c>
      <c r="H46">
        <v>4</v>
      </c>
      <c r="I46">
        <v>2.29</v>
      </c>
      <c r="J46">
        <v>2.44</v>
      </c>
      <c r="K46">
        <v>2.4700000000000002</v>
      </c>
      <c r="L46">
        <v>1.9</v>
      </c>
      <c r="M46">
        <v>1.86</v>
      </c>
    </row>
    <row r="47" spans="1:13" x14ac:dyDescent="0.35">
      <c r="A47" t="s">
        <v>92</v>
      </c>
      <c r="B47" t="s">
        <v>126</v>
      </c>
      <c r="C47">
        <v>1</v>
      </c>
      <c r="D47">
        <v>1</v>
      </c>
      <c r="E47" t="s">
        <v>37</v>
      </c>
      <c r="F47" t="s">
        <v>127</v>
      </c>
      <c r="G47">
        <v>780.82</v>
      </c>
      <c r="H47">
        <v>811.9</v>
      </c>
      <c r="I47">
        <v>805.45</v>
      </c>
      <c r="J47">
        <v>790.49</v>
      </c>
      <c r="K47">
        <v>812.11</v>
      </c>
      <c r="L47">
        <v>807.49</v>
      </c>
      <c r="M47">
        <v>822.36</v>
      </c>
    </row>
    <row r="48" spans="1:13" x14ac:dyDescent="0.35">
      <c r="A48" t="s">
        <v>95</v>
      </c>
      <c r="B48" t="s">
        <v>128</v>
      </c>
      <c r="C48">
        <v>1</v>
      </c>
      <c r="D48">
        <v>1</v>
      </c>
      <c r="E48" t="s">
        <v>37</v>
      </c>
      <c r="F48" t="s">
        <v>129</v>
      </c>
      <c r="G48">
        <v>748.22</v>
      </c>
      <c r="H48">
        <v>780.59</v>
      </c>
      <c r="I48">
        <v>761.46</v>
      </c>
      <c r="J48">
        <v>732.68</v>
      </c>
      <c r="K48">
        <v>770.24</v>
      </c>
      <c r="L48">
        <v>776.77</v>
      </c>
      <c r="M48">
        <v>781.21</v>
      </c>
    </row>
    <row r="49" spans="1:13" x14ac:dyDescent="0.35">
      <c r="A49" t="s">
        <v>130</v>
      </c>
      <c r="B49" t="s">
        <v>130</v>
      </c>
      <c r="C49">
        <v>0</v>
      </c>
      <c r="D49">
        <v>0</v>
      </c>
    </row>
    <row r="50" spans="1:13" x14ac:dyDescent="0.35">
      <c r="A50" t="s">
        <v>35</v>
      </c>
      <c r="B50" t="s">
        <v>131</v>
      </c>
      <c r="C50">
        <v>1</v>
      </c>
      <c r="D50">
        <v>1</v>
      </c>
      <c r="E50" t="s">
        <v>37</v>
      </c>
      <c r="F50" t="s">
        <v>132</v>
      </c>
      <c r="G50">
        <v>220.8</v>
      </c>
      <c r="H50">
        <v>244.6</v>
      </c>
      <c r="I50">
        <v>252.35</v>
      </c>
      <c r="J50">
        <v>254.45</v>
      </c>
      <c r="K50">
        <v>252.3</v>
      </c>
      <c r="L50">
        <v>277.73</v>
      </c>
      <c r="M50">
        <v>272.36</v>
      </c>
    </row>
    <row r="51" spans="1:13" x14ac:dyDescent="0.35">
      <c r="A51" t="s">
        <v>39</v>
      </c>
      <c r="B51" t="s">
        <v>133</v>
      </c>
      <c r="C51">
        <v>1</v>
      </c>
      <c r="D51">
        <v>1</v>
      </c>
      <c r="E51" t="s">
        <v>37</v>
      </c>
      <c r="F51" t="s">
        <v>134</v>
      </c>
      <c r="G51">
        <v>190.91</v>
      </c>
      <c r="H51">
        <v>185.5</v>
      </c>
      <c r="I51">
        <v>159.83000000000001</v>
      </c>
      <c r="J51">
        <v>118.28</v>
      </c>
      <c r="K51">
        <v>137.65</v>
      </c>
      <c r="L51">
        <v>143.31</v>
      </c>
      <c r="M51">
        <v>144.88</v>
      </c>
    </row>
    <row r="52" spans="1:13" x14ac:dyDescent="0.35">
      <c r="A52" t="s">
        <v>41</v>
      </c>
      <c r="B52" t="s">
        <v>135</v>
      </c>
      <c r="C52">
        <v>1</v>
      </c>
      <c r="D52">
        <v>1</v>
      </c>
      <c r="E52" t="s">
        <v>37</v>
      </c>
      <c r="F52" t="s">
        <v>136</v>
      </c>
      <c r="G52">
        <v>204.9</v>
      </c>
      <c r="H52">
        <v>204.8</v>
      </c>
      <c r="I52">
        <v>210.99</v>
      </c>
      <c r="J52">
        <v>210.14</v>
      </c>
      <c r="K52">
        <v>212.21</v>
      </c>
      <c r="L52">
        <v>211.37</v>
      </c>
      <c r="M52">
        <v>223.85</v>
      </c>
    </row>
    <row r="53" spans="1:13" x14ac:dyDescent="0.35">
      <c r="A53" t="s">
        <v>47</v>
      </c>
      <c r="B53" t="s">
        <v>137</v>
      </c>
      <c r="C53">
        <v>1</v>
      </c>
      <c r="D53">
        <v>1</v>
      </c>
      <c r="E53" t="s">
        <v>37</v>
      </c>
      <c r="F53" t="s">
        <v>138</v>
      </c>
      <c r="G53">
        <v>28.77</v>
      </c>
      <c r="H53">
        <v>37.18</v>
      </c>
      <c r="I53">
        <v>37</v>
      </c>
      <c r="J53">
        <v>46.12</v>
      </c>
      <c r="K53">
        <v>43.91</v>
      </c>
      <c r="L53">
        <v>35.22</v>
      </c>
      <c r="M53">
        <v>35.06</v>
      </c>
    </row>
    <row r="54" spans="1:13" x14ac:dyDescent="0.35">
      <c r="A54" t="s">
        <v>86</v>
      </c>
      <c r="B54" t="s">
        <v>87</v>
      </c>
      <c r="C54">
        <v>1</v>
      </c>
      <c r="D54">
        <v>1</v>
      </c>
      <c r="E54" t="s">
        <v>37</v>
      </c>
      <c r="F54" t="s">
        <v>139</v>
      </c>
      <c r="G54">
        <v>10.09</v>
      </c>
      <c r="H54">
        <v>11.47</v>
      </c>
      <c r="I54">
        <v>13.4</v>
      </c>
      <c r="J54">
        <v>16.66</v>
      </c>
      <c r="K54">
        <v>19.11</v>
      </c>
      <c r="L54">
        <v>22.76</v>
      </c>
      <c r="M54">
        <v>26.22</v>
      </c>
    </row>
    <row r="55" spans="1:13" x14ac:dyDescent="0.35">
      <c r="A55" t="s">
        <v>89</v>
      </c>
      <c r="B55" t="s">
        <v>140</v>
      </c>
      <c r="C55">
        <v>1</v>
      </c>
      <c r="D55">
        <v>1</v>
      </c>
      <c r="E55" t="s">
        <v>37</v>
      </c>
      <c r="F55" t="s">
        <v>141</v>
      </c>
      <c r="G55">
        <v>-2.0499999999999998</v>
      </c>
      <c r="H55">
        <v>-0.13</v>
      </c>
      <c r="I55">
        <v>-1.28</v>
      </c>
      <c r="J55">
        <v>-1.1299999999999999</v>
      </c>
      <c r="K55">
        <v>-0.93</v>
      </c>
      <c r="L55">
        <v>-0.72</v>
      </c>
      <c r="M55">
        <v>-0.78</v>
      </c>
    </row>
    <row r="56" spans="1:13" x14ac:dyDescent="0.35">
      <c r="A56" t="s">
        <v>92</v>
      </c>
      <c r="B56" t="s">
        <v>142</v>
      </c>
      <c r="C56">
        <v>1</v>
      </c>
      <c r="D56">
        <v>1</v>
      </c>
      <c r="E56" t="s">
        <v>37</v>
      </c>
      <c r="F56" t="s">
        <v>143</v>
      </c>
      <c r="G56">
        <v>653.41</v>
      </c>
      <c r="H56">
        <v>683.43</v>
      </c>
      <c r="I56">
        <v>672.3</v>
      </c>
      <c r="J56">
        <v>644.53</v>
      </c>
      <c r="K56">
        <v>664.25</v>
      </c>
      <c r="L56">
        <v>689.68</v>
      </c>
      <c r="M56">
        <v>701.59</v>
      </c>
    </row>
    <row r="57" spans="1:13" x14ac:dyDescent="0.35">
      <c r="A57" t="s">
        <v>95</v>
      </c>
      <c r="B57" t="s">
        <v>144</v>
      </c>
      <c r="C57">
        <v>1</v>
      </c>
      <c r="D57">
        <v>1</v>
      </c>
      <c r="E57" t="s">
        <v>37</v>
      </c>
      <c r="F57" t="s">
        <v>145</v>
      </c>
      <c r="G57">
        <v>650.67999999999995</v>
      </c>
      <c r="H57">
        <v>681.54</v>
      </c>
      <c r="I57">
        <v>677.92</v>
      </c>
      <c r="J57">
        <v>634.73</v>
      </c>
      <c r="K57">
        <v>654.41999999999996</v>
      </c>
      <c r="L57">
        <v>670.87</v>
      </c>
      <c r="M57">
        <v>684.99</v>
      </c>
    </row>
    <row r="58" spans="1:13" x14ac:dyDescent="0.35">
      <c r="A58" t="s">
        <v>146</v>
      </c>
      <c r="B58" t="s">
        <v>146</v>
      </c>
      <c r="C58">
        <v>0</v>
      </c>
      <c r="D58">
        <v>0</v>
      </c>
    </row>
    <row r="59" spans="1:13" x14ac:dyDescent="0.35">
      <c r="A59" t="s">
        <v>35</v>
      </c>
      <c r="B59" t="s">
        <v>147</v>
      </c>
      <c r="C59">
        <v>1</v>
      </c>
      <c r="D59">
        <v>1</v>
      </c>
      <c r="E59" t="s">
        <v>37</v>
      </c>
      <c r="F59" t="s">
        <v>148</v>
      </c>
      <c r="G59">
        <v>154.38</v>
      </c>
      <c r="H59">
        <v>164.84</v>
      </c>
      <c r="I59">
        <v>174.9</v>
      </c>
      <c r="J59">
        <v>180.79</v>
      </c>
      <c r="K59">
        <v>171.8</v>
      </c>
      <c r="L59">
        <v>168.58</v>
      </c>
      <c r="M59">
        <v>162.52000000000001</v>
      </c>
    </row>
    <row r="60" spans="1:13" x14ac:dyDescent="0.35">
      <c r="A60" t="s">
        <v>39</v>
      </c>
      <c r="B60" t="s">
        <v>149</v>
      </c>
      <c r="C60">
        <v>1</v>
      </c>
      <c r="D60">
        <v>1</v>
      </c>
      <c r="E60" t="s">
        <v>37</v>
      </c>
      <c r="F60" t="s">
        <v>150</v>
      </c>
      <c r="G60">
        <v>34.4</v>
      </c>
      <c r="H60">
        <v>27.05</v>
      </c>
      <c r="I60">
        <v>18.63</v>
      </c>
      <c r="J60">
        <v>15.85</v>
      </c>
      <c r="K60">
        <v>18.34</v>
      </c>
      <c r="L60">
        <v>14.75</v>
      </c>
      <c r="M60">
        <v>14.42</v>
      </c>
    </row>
    <row r="61" spans="1:13" x14ac:dyDescent="0.35">
      <c r="A61" t="s">
        <v>41</v>
      </c>
      <c r="B61" t="s">
        <v>151</v>
      </c>
      <c r="C61">
        <v>1</v>
      </c>
      <c r="D61">
        <v>1</v>
      </c>
      <c r="E61" t="s">
        <v>37</v>
      </c>
      <c r="F61" t="s">
        <v>152</v>
      </c>
      <c r="G61">
        <v>29.15</v>
      </c>
      <c r="H61">
        <v>29.31</v>
      </c>
      <c r="I61">
        <v>29.11</v>
      </c>
      <c r="J61">
        <v>29.42</v>
      </c>
      <c r="K61">
        <v>28.06</v>
      </c>
      <c r="L61">
        <v>30.07</v>
      </c>
      <c r="M61">
        <v>29.14</v>
      </c>
    </row>
    <row r="62" spans="1:13" x14ac:dyDescent="0.35">
      <c r="A62" t="s">
        <v>47</v>
      </c>
      <c r="B62" t="s">
        <v>153</v>
      </c>
      <c r="C62">
        <v>1</v>
      </c>
      <c r="D62">
        <v>1</v>
      </c>
      <c r="E62" t="s">
        <v>37</v>
      </c>
      <c r="F62" t="s">
        <v>154</v>
      </c>
      <c r="G62">
        <v>0.22</v>
      </c>
      <c r="H62">
        <v>0.23</v>
      </c>
      <c r="I62">
        <v>0.21</v>
      </c>
      <c r="J62">
        <v>0.23</v>
      </c>
      <c r="K62">
        <v>0.22</v>
      </c>
      <c r="L62">
        <v>0.18</v>
      </c>
      <c r="M62">
        <v>0.18</v>
      </c>
    </row>
    <row r="63" spans="1:13" x14ac:dyDescent="0.35">
      <c r="A63" t="s">
        <v>86</v>
      </c>
      <c r="B63" t="s">
        <v>87</v>
      </c>
      <c r="C63">
        <v>1</v>
      </c>
      <c r="D63">
        <v>1</v>
      </c>
      <c r="E63" t="s">
        <v>37</v>
      </c>
      <c r="F63" t="s">
        <v>155</v>
      </c>
      <c r="G63">
        <v>3.72</v>
      </c>
      <c r="H63">
        <v>5.2</v>
      </c>
      <c r="I63">
        <v>6.13</v>
      </c>
      <c r="J63">
        <v>8.2799999999999994</v>
      </c>
      <c r="K63">
        <v>11</v>
      </c>
      <c r="L63">
        <v>12.76</v>
      </c>
      <c r="M63">
        <v>15.69</v>
      </c>
    </row>
    <row r="64" spans="1:13" x14ac:dyDescent="0.35">
      <c r="A64" t="s">
        <v>89</v>
      </c>
      <c r="B64" t="s">
        <v>156</v>
      </c>
      <c r="C64">
        <v>1</v>
      </c>
      <c r="D64">
        <v>1</v>
      </c>
      <c r="E64" t="s">
        <v>37</v>
      </c>
      <c r="F64" t="s">
        <v>157</v>
      </c>
      <c r="G64">
        <v>2.88</v>
      </c>
      <c r="H64">
        <v>3.55</v>
      </c>
      <c r="I64">
        <v>3.14</v>
      </c>
      <c r="J64">
        <v>3.26</v>
      </c>
      <c r="K64">
        <v>2.79</v>
      </c>
      <c r="L64">
        <v>2.89</v>
      </c>
      <c r="M64">
        <v>2.91</v>
      </c>
    </row>
    <row r="65" spans="1:13" x14ac:dyDescent="0.35">
      <c r="A65" t="s">
        <v>92</v>
      </c>
      <c r="B65" t="s">
        <v>158</v>
      </c>
      <c r="C65">
        <v>1</v>
      </c>
      <c r="D65">
        <v>1</v>
      </c>
      <c r="E65" t="s">
        <v>37</v>
      </c>
      <c r="F65" t="s">
        <v>159</v>
      </c>
      <c r="G65">
        <v>224.75</v>
      </c>
      <c r="H65">
        <v>230.18</v>
      </c>
      <c r="I65">
        <v>232.12</v>
      </c>
      <c r="J65">
        <v>237.84</v>
      </c>
      <c r="K65">
        <v>232.2</v>
      </c>
      <c r="L65">
        <v>229.24</v>
      </c>
      <c r="M65">
        <v>224.86</v>
      </c>
    </row>
    <row r="66" spans="1:13" x14ac:dyDescent="0.35">
      <c r="A66" t="s">
        <v>95</v>
      </c>
      <c r="B66" t="s">
        <v>160</v>
      </c>
      <c r="C66">
        <v>1</v>
      </c>
      <c r="D66">
        <v>1</v>
      </c>
      <c r="E66" t="s">
        <v>37</v>
      </c>
      <c r="F66" t="s">
        <v>161</v>
      </c>
      <c r="G66">
        <v>230.55</v>
      </c>
      <c r="H66">
        <v>233.34</v>
      </c>
      <c r="I66">
        <v>226.54</v>
      </c>
      <c r="J66">
        <v>244.05</v>
      </c>
      <c r="K66">
        <v>244.11</v>
      </c>
      <c r="L66">
        <v>236.77</v>
      </c>
      <c r="M66">
        <v>231.36</v>
      </c>
    </row>
    <row r="67" spans="1:13" x14ac:dyDescent="0.35">
      <c r="A67" t="s">
        <v>162</v>
      </c>
      <c r="B67" t="s">
        <v>162</v>
      </c>
      <c r="C67">
        <v>0</v>
      </c>
      <c r="D67">
        <v>0</v>
      </c>
    </row>
    <row r="68" spans="1:13" x14ac:dyDescent="0.35">
      <c r="A68" t="s">
        <v>35</v>
      </c>
      <c r="B68" t="s">
        <v>163</v>
      </c>
      <c r="C68">
        <v>1</v>
      </c>
      <c r="D68">
        <v>1</v>
      </c>
      <c r="E68" t="s">
        <v>37</v>
      </c>
      <c r="F68" t="s">
        <v>164</v>
      </c>
      <c r="G68">
        <v>133.56</v>
      </c>
      <c r="H68">
        <v>157.37</v>
      </c>
      <c r="I68">
        <v>176.93</v>
      </c>
      <c r="J68">
        <v>182.87</v>
      </c>
      <c r="K68">
        <v>169.7</v>
      </c>
      <c r="L68">
        <v>178.65</v>
      </c>
      <c r="M68">
        <v>181.09</v>
      </c>
    </row>
    <row r="69" spans="1:13" x14ac:dyDescent="0.35">
      <c r="A69" t="s">
        <v>39</v>
      </c>
      <c r="B69" t="s">
        <v>165</v>
      </c>
      <c r="C69">
        <v>1</v>
      </c>
      <c r="D69">
        <v>1</v>
      </c>
      <c r="E69" t="s">
        <v>37</v>
      </c>
      <c r="F69" t="s">
        <v>166</v>
      </c>
      <c r="G69">
        <v>326.52999999999997</v>
      </c>
      <c r="H69">
        <v>337.75</v>
      </c>
      <c r="I69">
        <v>275.88</v>
      </c>
      <c r="J69">
        <v>218.37</v>
      </c>
      <c r="K69">
        <v>267.75</v>
      </c>
      <c r="L69">
        <v>263.69</v>
      </c>
      <c r="M69">
        <v>245.47</v>
      </c>
    </row>
    <row r="70" spans="1:13" x14ac:dyDescent="0.35">
      <c r="A70" t="s">
        <v>41</v>
      </c>
      <c r="B70" t="s">
        <v>167</v>
      </c>
      <c r="C70">
        <v>1</v>
      </c>
      <c r="D70">
        <v>1</v>
      </c>
      <c r="E70" t="s">
        <v>37</v>
      </c>
      <c r="F70" t="s">
        <v>168</v>
      </c>
      <c r="G70">
        <v>95.67</v>
      </c>
      <c r="H70">
        <v>98.29</v>
      </c>
      <c r="I70">
        <v>102.26</v>
      </c>
      <c r="J70">
        <v>95.11</v>
      </c>
      <c r="K70">
        <v>95.69</v>
      </c>
      <c r="L70">
        <v>91.87</v>
      </c>
      <c r="M70">
        <v>89.67</v>
      </c>
    </row>
    <row r="71" spans="1:13" x14ac:dyDescent="0.35">
      <c r="A71" t="s">
        <v>47</v>
      </c>
      <c r="B71" t="s">
        <v>169</v>
      </c>
      <c r="C71">
        <v>1</v>
      </c>
      <c r="D71">
        <v>1</v>
      </c>
      <c r="E71" t="s">
        <v>37</v>
      </c>
      <c r="F71" t="s">
        <v>170</v>
      </c>
      <c r="G71">
        <v>10.18</v>
      </c>
      <c r="H71">
        <v>9.18</v>
      </c>
      <c r="I71">
        <v>10.92</v>
      </c>
      <c r="J71">
        <v>11.14</v>
      </c>
      <c r="K71">
        <v>10.67</v>
      </c>
      <c r="L71">
        <v>10.72</v>
      </c>
      <c r="M71">
        <v>10.130000000000001</v>
      </c>
    </row>
    <row r="72" spans="1:13" x14ac:dyDescent="0.35">
      <c r="A72" t="s">
        <v>86</v>
      </c>
      <c r="B72" t="s">
        <v>87</v>
      </c>
      <c r="C72">
        <v>1</v>
      </c>
      <c r="D72">
        <v>1</v>
      </c>
      <c r="E72" t="s">
        <v>37</v>
      </c>
      <c r="F72" t="s">
        <v>171</v>
      </c>
      <c r="G72">
        <v>60.07</v>
      </c>
      <c r="H72">
        <v>58.42</v>
      </c>
      <c r="I72">
        <v>64.45</v>
      </c>
      <c r="J72">
        <v>79.19</v>
      </c>
      <c r="K72">
        <v>93.1</v>
      </c>
      <c r="L72">
        <v>105.96</v>
      </c>
      <c r="M72">
        <v>111.85</v>
      </c>
    </row>
    <row r="73" spans="1:13" x14ac:dyDescent="0.35">
      <c r="A73" t="s">
        <v>89</v>
      </c>
      <c r="B73" t="s">
        <v>172</v>
      </c>
      <c r="C73">
        <v>1</v>
      </c>
      <c r="D73">
        <v>1</v>
      </c>
      <c r="E73" t="s">
        <v>37</v>
      </c>
      <c r="F73" t="s">
        <v>173</v>
      </c>
      <c r="G73">
        <v>7.65</v>
      </c>
      <c r="H73">
        <v>7.16</v>
      </c>
      <c r="I73">
        <v>6.07</v>
      </c>
      <c r="J73">
        <v>5.28</v>
      </c>
      <c r="K73">
        <v>6.4</v>
      </c>
      <c r="L73">
        <v>5.61</v>
      </c>
      <c r="M73">
        <v>5.62</v>
      </c>
    </row>
    <row r="74" spans="1:13" x14ac:dyDescent="0.35">
      <c r="A74" t="s">
        <v>92</v>
      </c>
      <c r="B74" t="s">
        <v>174</v>
      </c>
      <c r="C74">
        <v>1</v>
      </c>
      <c r="D74">
        <v>1</v>
      </c>
      <c r="E74" t="s">
        <v>37</v>
      </c>
      <c r="F74" t="s">
        <v>175</v>
      </c>
      <c r="G74">
        <v>633.65</v>
      </c>
      <c r="H74">
        <v>668.17</v>
      </c>
      <c r="I74">
        <v>636.52</v>
      </c>
      <c r="J74">
        <v>591.96</v>
      </c>
      <c r="K74">
        <v>643.32000000000005</v>
      </c>
      <c r="L74">
        <v>656.5</v>
      </c>
      <c r="M74">
        <v>643.83000000000004</v>
      </c>
    </row>
    <row r="75" spans="1:13" x14ac:dyDescent="0.35">
      <c r="A75" t="s">
        <v>95</v>
      </c>
      <c r="B75" t="s">
        <v>176</v>
      </c>
      <c r="C75">
        <v>1</v>
      </c>
      <c r="D75">
        <v>1</v>
      </c>
      <c r="E75" t="s">
        <v>37</v>
      </c>
      <c r="F75" t="s">
        <v>177</v>
      </c>
      <c r="G75">
        <v>630.46</v>
      </c>
      <c r="H75">
        <v>661.86</v>
      </c>
      <c r="I75">
        <v>645.85</v>
      </c>
      <c r="J75">
        <v>617.28</v>
      </c>
      <c r="K75">
        <v>647.26</v>
      </c>
      <c r="L75">
        <v>667.09</v>
      </c>
      <c r="M75">
        <v>669.87</v>
      </c>
    </row>
    <row r="76" spans="1:13" x14ac:dyDescent="0.35">
      <c r="A76" t="s">
        <v>178</v>
      </c>
      <c r="B76" t="s">
        <v>178</v>
      </c>
      <c r="C76">
        <v>0</v>
      </c>
      <c r="D76">
        <v>0</v>
      </c>
    </row>
    <row r="77" spans="1:13" x14ac:dyDescent="0.35">
      <c r="A77" t="s">
        <v>35</v>
      </c>
      <c r="B77" t="s">
        <v>179</v>
      </c>
      <c r="C77">
        <v>1</v>
      </c>
      <c r="D77">
        <v>1</v>
      </c>
      <c r="E77" t="s">
        <v>37</v>
      </c>
      <c r="F77" t="s">
        <v>180</v>
      </c>
      <c r="G77">
        <v>48.09</v>
      </c>
      <c r="H77">
        <v>63.61</v>
      </c>
      <c r="I77">
        <v>69.430000000000007</v>
      </c>
      <c r="J77">
        <v>68.900000000000006</v>
      </c>
      <c r="K77">
        <v>56.32</v>
      </c>
      <c r="L77">
        <v>57.42</v>
      </c>
      <c r="M77">
        <v>55.63</v>
      </c>
    </row>
    <row r="78" spans="1:13" x14ac:dyDescent="0.35">
      <c r="A78" t="s">
        <v>39</v>
      </c>
      <c r="B78" t="s">
        <v>181</v>
      </c>
      <c r="C78">
        <v>1</v>
      </c>
      <c r="D78">
        <v>1</v>
      </c>
      <c r="E78" t="s">
        <v>37</v>
      </c>
      <c r="F78" t="s">
        <v>182</v>
      </c>
      <c r="G78">
        <v>116.28</v>
      </c>
      <c r="H78">
        <v>104.35</v>
      </c>
      <c r="I78">
        <v>83.93</v>
      </c>
      <c r="J78">
        <v>70.8</v>
      </c>
      <c r="K78">
        <v>92.02</v>
      </c>
      <c r="L78">
        <v>86.18</v>
      </c>
      <c r="M78">
        <v>84.57</v>
      </c>
    </row>
    <row r="79" spans="1:13" x14ac:dyDescent="0.35">
      <c r="A79" t="s">
        <v>41</v>
      </c>
      <c r="B79" t="s">
        <v>183</v>
      </c>
      <c r="C79">
        <v>1</v>
      </c>
      <c r="D79">
        <v>1</v>
      </c>
      <c r="E79" t="s">
        <v>37</v>
      </c>
      <c r="F79" t="s">
        <v>184</v>
      </c>
      <c r="G79">
        <v>17.559999999999999</v>
      </c>
      <c r="H79">
        <v>14.8</v>
      </c>
      <c r="I79">
        <v>16.2</v>
      </c>
      <c r="J79">
        <v>16.77</v>
      </c>
      <c r="K79">
        <v>15.46</v>
      </c>
      <c r="L79">
        <v>15.22</v>
      </c>
      <c r="M79">
        <v>17.350000000000001</v>
      </c>
    </row>
    <row r="80" spans="1:13" x14ac:dyDescent="0.35">
      <c r="A80" t="s">
        <v>47</v>
      </c>
      <c r="B80" t="s">
        <v>185</v>
      </c>
      <c r="C80">
        <v>1</v>
      </c>
      <c r="D80">
        <v>1</v>
      </c>
      <c r="E80" t="s">
        <v>37</v>
      </c>
      <c r="F80" t="s">
        <v>186</v>
      </c>
      <c r="G80">
        <v>14.14</v>
      </c>
      <c r="H80">
        <v>15.52</v>
      </c>
      <c r="I80">
        <v>20.54</v>
      </c>
      <c r="J80">
        <v>16.84</v>
      </c>
      <c r="K80">
        <v>15.55</v>
      </c>
      <c r="L80">
        <v>16.05</v>
      </c>
      <c r="M80">
        <v>16.34</v>
      </c>
    </row>
    <row r="81" spans="1:13" x14ac:dyDescent="0.35">
      <c r="A81" t="s">
        <v>86</v>
      </c>
      <c r="B81" t="s">
        <v>87</v>
      </c>
      <c r="C81">
        <v>1</v>
      </c>
      <c r="D81">
        <v>1</v>
      </c>
      <c r="E81" t="s">
        <v>37</v>
      </c>
      <c r="F81" t="s">
        <v>187</v>
      </c>
      <c r="G81">
        <v>60.42</v>
      </c>
      <c r="H81">
        <v>70.19</v>
      </c>
      <c r="I81">
        <v>77.22</v>
      </c>
      <c r="J81">
        <v>84.67</v>
      </c>
      <c r="K81">
        <v>93.63</v>
      </c>
      <c r="L81">
        <v>108.62</v>
      </c>
      <c r="M81">
        <v>114.53</v>
      </c>
    </row>
    <row r="82" spans="1:13" x14ac:dyDescent="0.35">
      <c r="A82" t="s">
        <v>89</v>
      </c>
      <c r="B82" t="s">
        <v>188</v>
      </c>
      <c r="C82">
        <v>1</v>
      </c>
      <c r="D82">
        <v>1</v>
      </c>
      <c r="E82" t="s">
        <v>37</v>
      </c>
      <c r="F82" t="s">
        <v>189</v>
      </c>
      <c r="G82">
        <v>0.81</v>
      </c>
      <c r="H82">
        <v>1.19</v>
      </c>
      <c r="I82">
        <v>1.29</v>
      </c>
      <c r="J82">
        <v>0.92</v>
      </c>
      <c r="K82">
        <v>0.67</v>
      </c>
      <c r="L82">
        <v>0.62</v>
      </c>
      <c r="M82">
        <v>0.64</v>
      </c>
    </row>
    <row r="83" spans="1:13" x14ac:dyDescent="0.35">
      <c r="A83" t="s">
        <v>92</v>
      </c>
      <c r="B83" t="s">
        <v>190</v>
      </c>
      <c r="C83">
        <v>1</v>
      </c>
      <c r="D83">
        <v>1</v>
      </c>
      <c r="E83" t="s">
        <v>37</v>
      </c>
      <c r="F83" t="s">
        <v>191</v>
      </c>
      <c r="G83">
        <v>257.3</v>
      </c>
      <c r="H83">
        <v>269.67</v>
      </c>
      <c r="I83">
        <v>268.62</v>
      </c>
      <c r="J83">
        <v>258.89999999999998</v>
      </c>
      <c r="K83">
        <v>273.64</v>
      </c>
      <c r="L83">
        <v>284.11</v>
      </c>
      <c r="M83">
        <v>289.05</v>
      </c>
    </row>
    <row r="84" spans="1:13" x14ac:dyDescent="0.35">
      <c r="A84" t="s">
        <v>95</v>
      </c>
      <c r="B84" t="s">
        <v>192</v>
      </c>
      <c r="C84">
        <v>1</v>
      </c>
      <c r="D84">
        <v>1</v>
      </c>
      <c r="E84" t="s">
        <v>37</v>
      </c>
      <c r="F84" t="s">
        <v>193</v>
      </c>
      <c r="G84">
        <v>254.33</v>
      </c>
      <c r="H84">
        <v>268.39</v>
      </c>
      <c r="I84">
        <v>268.57</v>
      </c>
      <c r="J84">
        <v>262.49</v>
      </c>
      <c r="K84">
        <v>271.55</v>
      </c>
      <c r="L84">
        <v>275.89999999999998</v>
      </c>
      <c r="M84">
        <v>275.11</v>
      </c>
    </row>
    <row r="85" spans="1:13" x14ac:dyDescent="0.35">
      <c r="A85" t="s">
        <v>194</v>
      </c>
      <c r="B85" t="s">
        <v>194</v>
      </c>
      <c r="C85">
        <v>0</v>
      </c>
      <c r="D85">
        <v>0</v>
      </c>
    </row>
    <row r="86" spans="1:13" x14ac:dyDescent="0.35">
      <c r="A86" t="s">
        <v>35</v>
      </c>
      <c r="B86" t="s">
        <v>195</v>
      </c>
      <c r="C86">
        <v>1</v>
      </c>
      <c r="D86">
        <v>1</v>
      </c>
      <c r="E86" t="s">
        <v>37</v>
      </c>
      <c r="F86" t="s">
        <v>196</v>
      </c>
      <c r="G86">
        <v>141.66</v>
      </c>
      <c r="H86">
        <v>166.77</v>
      </c>
      <c r="I86">
        <v>181.74</v>
      </c>
      <c r="J86">
        <v>174.09</v>
      </c>
      <c r="K86">
        <v>164.18</v>
      </c>
      <c r="L86">
        <v>153.96</v>
      </c>
      <c r="M86">
        <v>132.21</v>
      </c>
    </row>
    <row r="87" spans="1:13" x14ac:dyDescent="0.35">
      <c r="A87" t="s">
        <v>39</v>
      </c>
      <c r="B87" t="s">
        <v>197</v>
      </c>
      <c r="C87">
        <v>1</v>
      </c>
      <c r="D87">
        <v>1</v>
      </c>
      <c r="E87" t="s">
        <v>37</v>
      </c>
      <c r="F87" t="s">
        <v>198</v>
      </c>
      <c r="G87">
        <v>113.38</v>
      </c>
      <c r="H87">
        <v>87.39</v>
      </c>
      <c r="I87">
        <v>72.83</v>
      </c>
      <c r="J87">
        <v>64.78</v>
      </c>
      <c r="K87">
        <v>74.510000000000005</v>
      </c>
      <c r="L87">
        <v>75.989999999999995</v>
      </c>
      <c r="M87">
        <v>74.959999999999994</v>
      </c>
    </row>
    <row r="88" spans="1:13" x14ac:dyDescent="0.35">
      <c r="A88" t="s">
        <v>41</v>
      </c>
      <c r="B88" t="s">
        <v>199</v>
      </c>
      <c r="C88">
        <v>1</v>
      </c>
      <c r="D88">
        <v>1</v>
      </c>
      <c r="E88" t="s">
        <v>37</v>
      </c>
      <c r="F88" t="s">
        <v>200</v>
      </c>
      <c r="G88">
        <v>38.58</v>
      </c>
      <c r="H88">
        <v>41.19</v>
      </c>
      <c r="I88">
        <v>41.3</v>
      </c>
      <c r="J88">
        <v>41.44</v>
      </c>
      <c r="K88">
        <v>40.21</v>
      </c>
      <c r="L88">
        <v>42.44</v>
      </c>
      <c r="M88">
        <v>40.83</v>
      </c>
    </row>
    <row r="89" spans="1:13" x14ac:dyDescent="0.35">
      <c r="A89" t="s">
        <v>47</v>
      </c>
      <c r="B89" t="s">
        <v>201</v>
      </c>
      <c r="C89">
        <v>1</v>
      </c>
      <c r="D89">
        <v>1</v>
      </c>
      <c r="E89" t="s">
        <v>37</v>
      </c>
      <c r="F89" t="s">
        <v>202</v>
      </c>
      <c r="G89">
        <v>0.84</v>
      </c>
      <c r="H89">
        <v>0.81</v>
      </c>
      <c r="I89">
        <v>0.85</v>
      </c>
      <c r="J89">
        <v>0.62</v>
      </c>
      <c r="K89">
        <v>0.61</v>
      </c>
      <c r="L89">
        <v>0.65</v>
      </c>
      <c r="M89">
        <v>0.62</v>
      </c>
    </row>
    <row r="90" spans="1:13" x14ac:dyDescent="0.35">
      <c r="A90" t="s">
        <v>86</v>
      </c>
      <c r="B90" t="s">
        <v>87</v>
      </c>
      <c r="C90">
        <v>1</v>
      </c>
      <c r="D90">
        <v>1</v>
      </c>
      <c r="E90" t="s">
        <v>37</v>
      </c>
      <c r="F90" t="s">
        <v>203</v>
      </c>
      <c r="G90">
        <v>63.79</v>
      </c>
      <c r="H90">
        <v>71.12</v>
      </c>
      <c r="I90">
        <v>78.89</v>
      </c>
      <c r="J90">
        <v>90.71</v>
      </c>
      <c r="K90">
        <v>106.25</v>
      </c>
      <c r="L90">
        <v>133.38</v>
      </c>
      <c r="M90">
        <v>149.37</v>
      </c>
    </row>
    <row r="91" spans="1:13" x14ac:dyDescent="0.35">
      <c r="A91" t="s">
        <v>89</v>
      </c>
      <c r="B91" t="s">
        <v>204</v>
      </c>
      <c r="C91">
        <v>1</v>
      </c>
      <c r="D91">
        <v>1</v>
      </c>
      <c r="E91" t="s">
        <v>37</v>
      </c>
      <c r="F91" t="s">
        <v>205</v>
      </c>
      <c r="G91">
        <v>1.41</v>
      </c>
      <c r="H91">
        <v>1.33</v>
      </c>
      <c r="I91">
        <v>1.63</v>
      </c>
      <c r="J91">
        <v>1.53</v>
      </c>
      <c r="K91">
        <v>1.37</v>
      </c>
      <c r="L91">
        <v>1.4</v>
      </c>
      <c r="M91">
        <v>1.35</v>
      </c>
    </row>
    <row r="92" spans="1:13" x14ac:dyDescent="0.35">
      <c r="A92" t="s">
        <v>92</v>
      </c>
      <c r="B92" t="s">
        <v>206</v>
      </c>
      <c r="C92">
        <v>1</v>
      </c>
      <c r="D92">
        <v>1</v>
      </c>
      <c r="E92" t="s">
        <v>37</v>
      </c>
      <c r="F92" t="s">
        <v>207</v>
      </c>
      <c r="G92">
        <v>359.66</v>
      </c>
      <c r="H92">
        <v>368.6</v>
      </c>
      <c r="I92">
        <v>377.24</v>
      </c>
      <c r="J92">
        <v>373.17</v>
      </c>
      <c r="K92">
        <v>387.13</v>
      </c>
      <c r="L92">
        <v>407.82</v>
      </c>
      <c r="M92">
        <v>399.34</v>
      </c>
    </row>
    <row r="93" spans="1:13" x14ac:dyDescent="0.35">
      <c r="A93" t="s">
        <v>95</v>
      </c>
      <c r="B93" t="s">
        <v>208</v>
      </c>
      <c r="C93">
        <v>1</v>
      </c>
      <c r="D93">
        <v>1</v>
      </c>
      <c r="E93" t="s">
        <v>37</v>
      </c>
      <c r="F93" t="s">
        <v>209</v>
      </c>
      <c r="G93">
        <v>359.66</v>
      </c>
      <c r="H93">
        <v>368.6</v>
      </c>
      <c r="I93">
        <v>377.24</v>
      </c>
      <c r="J93">
        <v>373.17</v>
      </c>
      <c r="K93">
        <v>387.13</v>
      </c>
      <c r="L93">
        <v>407.82</v>
      </c>
      <c r="M93">
        <v>399.34</v>
      </c>
    </row>
    <row r="94" spans="1:13" x14ac:dyDescent="0.35">
      <c r="A94" t="s">
        <v>210</v>
      </c>
      <c r="B94" t="s">
        <v>210</v>
      </c>
      <c r="C94">
        <v>0</v>
      </c>
      <c r="D94">
        <v>0</v>
      </c>
    </row>
    <row r="95" spans="1:13" x14ac:dyDescent="0.35">
      <c r="A95" t="s">
        <v>35</v>
      </c>
      <c r="B95" t="s">
        <v>211</v>
      </c>
      <c r="C95">
        <v>1</v>
      </c>
      <c r="D95">
        <v>1</v>
      </c>
      <c r="E95" t="s">
        <v>37</v>
      </c>
      <c r="F95" t="s">
        <v>212</v>
      </c>
      <c r="G95">
        <v>72.86</v>
      </c>
      <c r="H95">
        <v>83.17</v>
      </c>
      <c r="I95">
        <v>92.85</v>
      </c>
      <c r="J95">
        <v>91.37</v>
      </c>
      <c r="K95">
        <v>90.24</v>
      </c>
      <c r="L95">
        <v>95.42</v>
      </c>
      <c r="M95">
        <v>88.52</v>
      </c>
    </row>
    <row r="96" spans="1:13" x14ac:dyDescent="0.35">
      <c r="A96" t="s">
        <v>39</v>
      </c>
      <c r="B96" t="s">
        <v>213</v>
      </c>
      <c r="C96">
        <v>1</v>
      </c>
      <c r="D96">
        <v>1</v>
      </c>
      <c r="E96" t="s">
        <v>37</v>
      </c>
      <c r="F96" t="s">
        <v>214</v>
      </c>
      <c r="G96">
        <v>110.47</v>
      </c>
      <c r="H96">
        <v>116.25</v>
      </c>
      <c r="I96">
        <v>114.9</v>
      </c>
      <c r="J96">
        <v>94.54</v>
      </c>
      <c r="K96">
        <v>90.46</v>
      </c>
      <c r="L96">
        <v>85.35</v>
      </c>
      <c r="M96">
        <v>79.459999999999994</v>
      </c>
    </row>
    <row r="97" spans="1:13" x14ac:dyDescent="0.35">
      <c r="A97" t="s">
        <v>41</v>
      </c>
      <c r="B97" t="s">
        <v>215</v>
      </c>
      <c r="C97">
        <v>1</v>
      </c>
      <c r="D97">
        <v>1</v>
      </c>
      <c r="E97" t="s">
        <v>37</v>
      </c>
      <c r="F97" t="s">
        <v>216</v>
      </c>
      <c r="G97">
        <v>8.1300000000000008</v>
      </c>
      <c r="H97">
        <v>9.7100000000000009</v>
      </c>
      <c r="I97">
        <v>8.8699999999999992</v>
      </c>
      <c r="J97">
        <v>9.43</v>
      </c>
      <c r="K97">
        <v>8.51</v>
      </c>
      <c r="L97">
        <v>9.74</v>
      </c>
      <c r="M97">
        <v>8.35</v>
      </c>
    </row>
    <row r="98" spans="1:13" x14ac:dyDescent="0.35">
      <c r="A98" t="s">
        <v>47</v>
      </c>
      <c r="B98" t="s">
        <v>217</v>
      </c>
      <c r="C98">
        <v>1</v>
      </c>
      <c r="D98">
        <v>1</v>
      </c>
      <c r="E98" t="s">
        <v>37</v>
      </c>
      <c r="F98" t="s">
        <v>218</v>
      </c>
      <c r="G98">
        <v>147.06</v>
      </c>
      <c r="H98">
        <v>142.91999999999999</v>
      </c>
      <c r="I98">
        <v>120.83</v>
      </c>
      <c r="J98">
        <v>132.6</v>
      </c>
      <c r="K98">
        <v>120.97</v>
      </c>
      <c r="L98">
        <v>138.29</v>
      </c>
      <c r="M98">
        <v>132.16999999999999</v>
      </c>
    </row>
    <row r="99" spans="1:13" x14ac:dyDescent="0.35">
      <c r="A99" t="s">
        <v>86</v>
      </c>
      <c r="B99" t="s">
        <v>87</v>
      </c>
      <c r="C99">
        <v>1</v>
      </c>
      <c r="D99">
        <v>1</v>
      </c>
      <c r="E99" t="s">
        <v>37</v>
      </c>
      <c r="F99" t="s">
        <v>219</v>
      </c>
      <c r="G99">
        <v>43.72</v>
      </c>
      <c r="H99">
        <v>46.45</v>
      </c>
      <c r="I99">
        <v>46.06</v>
      </c>
      <c r="J99">
        <v>56.85</v>
      </c>
      <c r="K99">
        <v>65.52</v>
      </c>
      <c r="L99">
        <v>70.59</v>
      </c>
      <c r="M99">
        <v>75.56</v>
      </c>
    </row>
    <row r="100" spans="1:13" x14ac:dyDescent="0.35">
      <c r="A100" t="s">
        <v>89</v>
      </c>
      <c r="B100" t="s">
        <v>220</v>
      </c>
      <c r="C100">
        <v>1</v>
      </c>
      <c r="D100">
        <v>1</v>
      </c>
      <c r="E100" t="s">
        <v>37</v>
      </c>
      <c r="F100" t="s">
        <v>221</v>
      </c>
      <c r="G100">
        <v>0.8</v>
      </c>
      <c r="H100">
        <v>0.51</v>
      </c>
      <c r="I100">
        <v>0.13</v>
      </c>
      <c r="J100">
        <v>-0.02</v>
      </c>
      <c r="K100">
        <v>0.73</v>
      </c>
      <c r="L100">
        <v>0.65</v>
      </c>
      <c r="M100">
        <v>0.6</v>
      </c>
    </row>
    <row r="101" spans="1:13" x14ac:dyDescent="0.35">
      <c r="A101" t="s">
        <v>92</v>
      </c>
      <c r="B101" t="s">
        <v>222</v>
      </c>
      <c r="C101">
        <v>1</v>
      </c>
      <c r="D101">
        <v>1</v>
      </c>
      <c r="E101" t="s">
        <v>37</v>
      </c>
      <c r="F101" t="s">
        <v>223</v>
      </c>
      <c r="G101">
        <v>383.05</v>
      </c>
      <c r="H101">
        <v>399.01</v>
      </c>
      <c r="I101">
        <v>383.64</v>
      </c>
      <c r="J101">
        <v>384.78</v>
      </c>
      <c r="K101">
        <v>376.44</v>
      </c>
      <c r="L101">
        <v>400.03</v>
      </c>
      <c r="M101">
        <v>384.66</v>
      </c>
    </row>
    <row r="102" spans="1:13" x14ac:dyDescent="0.35">
      <c r="A102" t="s">
        <v>95</v>
      </c>
      <c r="B102" t="s">
        <v>224</v>
      </c>
      <c r="C102">
        <v>1</v>
      </c>
      <c r="D102">
        <v>1</v>
      </c>
      <c r="E102" t="s">
        <v>37</v>
      </c>
      <c r="F102" t="s">
        <v>225</v>
      </c>
      <c r="G102">
        <v>352.21</v>
      </c>
      <c r="H102">
        <v>368.73</v>
      </c>
      <c r="I102">
        <v>371.88</v>
      </c>
      <c r="J102">
        <v>368.67</v>
      </c>
      <c r="K102">
        <v>363.45</v>
      </c>
      <c r="L102">
        <v>361.41</v>
      </c>
      <c r="M102">
        <v>359.59</v>
      </c>
    </row>
    <row r="103" spans="1:13" x14ac:dyDescent="0.35">
      <c r="A103" t="s">
        <v>226</v>
      </c>
      <c r="B103" t="s">
        <v>226</v>
      </c>
      <c r="C103">
        <v>0</v>
      </c>
      <c r="D103">
        <v>0</v>
      </c>
    </row>
    <row r="104" spans="1:13" x14ac:dyDescent="0.35">
      <c r="A104" t="s">
        <v>35</v>
      </c>
      <c r="B104" t="s">
        <v>227</v>
      </c>
      <c r="C104">
        <v>1</v>
      </c>
      <c r="D104">
        <v>1</v>
      </c>
      <c r="E104" t="s">
        <v>37</v>
      </c>
      <c r="F104" t="s">
        <v>228</v>
      </c>
      <c r="G104">
        <v>36.51</v>
      </c>
      <c r="H104">
        <v>46.51</v>
      </c>
      <c r="I104">
        <v>55.49</v>
      </c>
      <c r="J104">
        <v>60.23</v>
      </c>
      <c r="K104">
        <v>56.83</v>
      </c>
      <c r="L104">
        <v>47.17</v>
      </c>
      <c r="M104">
        <v>44.98</v>
      </c>
    </row>
    <row r="105" spans="1:13" x14ac:dyDescent="0.35">
      <c r="A105" t="s">
        <v>39</v>
      </c>
      <c r="B105" t="s">
        <v>229</v>
      </c>
      <c r="C105">
        <v>1</v>
      </c>
      <c r="D105">
        <v>1</v>
      </c>
      <c r="E105" t="s">
        <v>37</v>
      </c>
      <c r="F105" t="s">
        <v>230</v>
      </c>
      <c r="G105">
        <v>48.71</v>
      </c>
      <c r="H105">
        <v>45.32</v>
      </c>
      <c r="I105">
        <v>39.11</v>
      </c>
      <c r="J105">
        <v>28.32</v>
      </c>
      <c r="K105">
        <v>26.84</v>
      </c>
      <c r="L105">
        <v>24.31</v>
      </c>
      <c r="M105">
        <v>21.24</v>
      </c>
    </row>
    <row r="106" spans="1:13" x14ac:dyDescent="0.35">
      <c r="A106" t="s">
        <v>41</v>
      </c>
      <c r="B106" t="s">
        <v>231</v>
      </c>
      <c r="C106">
        <v>1</v>
      </c>
      <c r="D106">
        <v>1</v>
      </c>
      <c r="E106" t="s">
        <v>37</v>
      </c>
      <c r="F106" t="s">
        <v>232</v>
      </c>
      <c r="G106">
        <v>32.340000000000003</v>
      </c>
      <c r="H106">
        <v>31.1</v>
      </c>
      <c r="I106">
        <v>31.92</v>
      </c>
      <c r="J106">
        <v>31.55</v>
      </c>
      <c r="K106">
        <v>31.63</v>
      </c>
      <c r="L106">
        <v>31.74</v>
      </c>
      <c r="M106">
        <v>31.97</v>
      </c>
    </row>
    <row r="107" spans="1:13" x14ac:dyDescent="0.35">
      <c r="A107" t="s">
        <v>47</v>
      </c>
      <c r="B107" t="s">
        <v>233</v>
      </c>
      <c r="C107">
        <v>1</v>
      </c>
      <c r="D107">
        <v>1</v>
      </c>
      <c r="E107" t="s">
        <v>37</v>
      </c>
      <c r="F107" t="s">
        <v>234</v>
      </c>
      <c r="G107">
        <v>8.57</v>
      </c>
      <c r="H107">
        <v>8.8000000000000007</v>
      </c>
      <c r="I107">
        <v>8.3800000000000008</v>
      </c>
      <c r="J107">
        <v>8.2899999999999991</v>
      </c>
      <c r="K107">
        <v>7.72</v>
      </c>
      <c r="L107">
        <v>8.2799999999999994</v>
      </c>
      <c r="M107">
        <v>8.73</v>
      </c>
    </row>
    <row r="108" spans="1:13" x14ac:dyDescent="0.35">
      <c r="A108" t="s">
        <v>86</v>
      </c>
      <c r="B108" t="s">
        <v>87</v>
      </c>
      <c r="C108">
        <v>1</v>
      </c>
      <c r="D108">
        <v>1</v>
      </c>
      <c r="E108" t="s">
        <v>37</v>
      </c>
      <c r="F108" t="s">
        <v>235</v>
      </c>
      <c r="G108">
        <v>7.25</v>
      </c>
      <c r="H108">
        <v>9.01</v>
      </c>
      <c r="I108">
        <v>10.09</v>
      </c>
      <c r="J108">
        <v>11.07</v>
      </c>
      <c r="K108">
        <v>13.97</v>
      </c>
      <c r="L108">
        <v>20.27</v>
      </c>
      <c r="M108">
        <v>21.48</v>
      </c>
    </row>
    <row r="109" spans="1:13" x14ac:dyDescent="0.35">
      <c r="A109" t="s">
        <v>89</v>
      </c>
      <c r="B109" t="s">
        <v>236</v>
      </c>
      <c r="C109">
        <v>1</v>
      </c>
      <c r="D109">
        <v>1</v>
      </c>
      <c r="E109" t="s">
        <v>37</v>
      </c>
      <c r="F109" t="s">
        <v>237</v>
      </c>
      <c r="G109">
        <v>0.05</v>
      </c>
      <c r="H109">
        <v>0.06</v>
      </c>
      <c r="I109">
        <v>0.24</v>
      </c>
      <c r="J109">
        <v>0.13</v>
      </c>
      <c r="K109">
        <v>0.15</v>
      </c>
      <c r="L109">
        <v>0.2</v>
      </c>
      <c r="M109">
        <v>0.15</v>
      </c>
    </row>
    <row r="110" spans="1:13" x14ac:dyDescent="0.35">
      <c r="A110" t="s">
        <v>92</v>
      </c>
      <c r="B110" t="s">
        <v>238</v>
      </c>
      <c r="C110">
        <v>1</v>
      </c>
      <c r="D110">
        <v>1</v>
      </c>
      <c r="E110" t="s">
        <v>37</v>
      </c>
      <c r="F110" t="s">
        <v>239</v>
      </c>
      <c r="G110">
        <v>133.43</v>
      </c>
      <c r="H110">
        <v>140.80000000000001</v>
      </c>
      <c r="I110">
        <v>145.22999999999999</v>
      </c>
      <c r="J110">
        <v>139.6</v>
      </c>
      <c r="K110">
        <v>137.15</v>
      </c>
      <c r="L110">
        <v>131.97</v>
      </c>
      <c r="M110">
        <v>128.55000000000001</v>
      </c>
    </row>
    <row r="111" spans="1:13" x14ac:dyDescent="0.35">
      <c r="A111" t="s">
        <v>95</v>
      </c>
      <c r="B111" t="s">
        <v>240</v>
      </c>
      <c r="C111">
        <v>1</v>
      </c>
      <c r="D111">
        <v>1</v>
      </c>
      <c r="E111" t="s">
        <v>37</v>
      </c>
      <c r="F111" t="s">
        <v>241</v>
      </c>
      <c r="G111">
        <v>108.77</v>
      </c>
      <c r="H111">
        <v>101.77</v>
      </c>
      <c r="I111">
        <v>97.88</v>
      </c>
      <c r="J111">
        <v>102.09</v>
      </c>
      <c r="K111">
        <v>102.51</v>
      </c>
      <c r="L111">
        <v>105.39</v>
      </c>
      <c r="M111">
        <v>105.92</v>
      </c>
    </row>
    <row r="112" spans="1:13" x14ac:dyDescent="0.35">
      <c r="A112" t="s">
        <v>242</v>
      </c>
      <c r="B112" t="s">
        <v>242</v>
      </c>
      <c r="C112">
        <v>0</v>
      </c>
      <c r="D112">
        <v>0</v>
      </c>
    </row>
    <row r="113" spans="1:40" x14ac:dyDescent="0.35">
      <c r="A113" t="s">
        <v>35</v>
      </c>
      <c r="B113" t="s">
        <v>243</v>
      </c>
      <c r="C113">
        <v>1</v>
      </c>
      <c r="D113">
        <v>1</v>
      </c>
      <c r="E113" t="s">
        <v>37</v>
      </c>
      <c r="F113" t="s">
        <v>244</v>
      </c>
      <c r="G113">
        <v>76.959999999999994</v>
      </c>
      <c r="H113">
        <v>79.180000000000007</v>
      </c>
      <c r="I113">
        <v>74.77</v>
      </c>
      <c r="J113">
        <v>80.930000000000007</v>
      </c>
      <c r="K113">
        <v>85.64</v>
      </c>
      <c r="L113">
        <v>77.97</v>
      </c>
      <c r="M113">
        <v>74.19</v>
      </c>
    </row>
    <row r="114" spans="1:40" x14ac:dyDescent="0.35">
      <c r="A114" t="s">
        <v>39</v>
      </c>
      <c r="B114" t="s">
        <v>245</v>
      </c>
      <c r="C114">
        <v>1</v>
      </c>
      <c r="D114">
        <v>1</v>
      </c>
      <c r="E114" t="s">
        <v>37</v>
      </c>
      <c r="F114" t="s">
        <v>246</v>
      </c>
      <c r="G114">
        <v>8.39</v>
      </c>
      <c r="H114">
        <v>8.48</v>
      </c>
      <c r="I114">
        <v>7.54</v>
      </c>
      <c r="J114">
        <v>6.74</v>
      </c>
      <c r="K114">
        <v>7.56</v>
      </c>
      <c r="L114">
        <v>6.27</v>
      </c>
      <c r="M114">
        <v>6.92</v>
      </c>
    </row>
    <row r="115" spans="1:40" x14ac:dyDescent="0.35">
      <c r="A115" t="s">
        <v>41</v>
      </c>
      <c r="B115" t="s">
        <v>247</v>
      </c>
      <c r="C115">
        <v>1</v>
      </c>
      <c r="D115">
        <v>1</v>
      </c>
      <c r="E115" t="s">
        <v>37</v>
      </c>
      <c r="F115" t="s">
        <v>248</v>
      </c>
      <c r="G115">
        <v>17.899999999999999</v>
      </c>
      <c r="H115">
        <v>18.21</v>
      </c>
      <c r="I115">
        <v>16.170000000000002</v>
      </c>
      <c r="J115">
        <v>16.260000000000002</v>
      </c>
      <c r="K115">
        <v>16.48</v>
      </c>
      <c r="L115">
        <v>17.07</v>
      </c>
      <c r="M115">
        <v>17.96</v>
      </c>
    </row>
    <row r="116" spans="1:40" x14ac:dyDescent="0.35">
      <c r="A116" t="s">
        <v>47</v>
      </c>
      <c r="B116" t="s">
        <v>249</v>
      </c>
      <c r="C116">
        <v>1</v>
      </c>
      <c r="D116">
        <v>1</v>
      </c>
      <c r="E116" t="s">
        <v>37</v>
      </c>
      <c r="F116" t="s">
        <v>250</v>
      </c>
      <c r="G116">
        <v>41.95</v>
      </c>
      <c r="H116">
        <v>26.05</v>
      </c>
      <c r="I116">
        <v>38.020000000000003</v>
      </c>
      <c r="J116">
        <v>21.12</v>
      </c>
      <c r="K116">
        <v>14.38</v>
      </c>
      <c r="L116">
        <v>15.55</v>
      </c>
      <c r="M116">
        <v>22.77</v>
      </c>
    </row>
    <row r="117" spans="1:40" x14ac:dyDescent="0.35">
      <c r="A117" t="s">
        <v>86</v>
      </c>
      <c r="B117" t="s">
        <v>87</v>
      </c>
      <c r="C117">
        <v>1</v>
      </c>
      <c r="D117">
        <v>1</v>
      </c>
      <c r="E117" t="s">
        <v>37</v>
      </c>
      <c r="F117" t="s">
        <v>251</v>
      </c>
      <c r="G117">
        <v>57.61</v>
      </c>
      <c r="H117">
        <v>61.6</v>
      </c>
      <c r="I117">
        <v>61.75</v>
      </c>
      <c r="J117">
        <v>64.36</v>
      </c>
      <c r="K117">
        <v>71.14</v>
      </c>
      <c r="L117">
        <v>75.47</v>
      </c>
      <c r="M117">
        <v>83.26</v>
      </c>
    </row>
    <row r="118" spans="1:40" x14ac:dyDescent="0.35">
      <c r="A118" t="s">
        <v>89</v>
      </c>
      <c r="B118" t="s">
        <v>252</v>
      </c>
      <c r="C118">
        <v>1</v>
      </c>
      <c r="D118">
        <v>1</v>
      </c>
      <c r="E118" t="s">
        <v>37</v>
      </c>
      <c r="F118" t="s">
        <v>253</v>
      </c>
      <c r="G118">
        <v>0.67</v>
      </c>
      <c r="H118">
        <v>0.05</v>
      </c>
      <c r="I118">
        <v>0.18</v>
      </c>
      <c r="J118">
        <v>0.17</v>
      </c>
      <c r="K118">
        <v>-0.2</v>
      </c>
      <c r="L118">
        <v>-0.16</v>
      </c>
      <c r="M118">
        <v>0.17</v>
      </c>
    </row>
    <row r="119" spans="1:40" x14ac:dyDescent="0.35">
      <c r="A119" t="s">
        <v>92</v>
      </c>
      <c r="B119" t="s">
        <v>254</v>
      </c>
      <c r="C119">
        <v>1</v>
      </c>
      <c r="D119">
        <v>1</v>
      </c>
      <c r="E119" t="s">
        <v>37</v>
      </c>
      <c r="F119" t="s">
        <v>255</v>
      </c>
      <c r="G119">
        <v>203.48</v>
      </c>
      <c r="H119">
        <v>193.57</v>
      </c>
      <c r="I119">
        <v>198.42</v>
      </c>
      <c r="J119">
        <v>189.57</v>
      </c>
      <c r="K119">
        <v>195</v>
      </c>
      <c r="L119">
        <v>192.18</v>
      </c>
      <c r="M119">
        <v>205.27</v>
      </c>
    </row>
    <row r="120" spans="1:40" x14ac:dyDescent="0.35">
      <c r="A120" t="s">
        <v>95</v>
      </c>
      <c r="B120" t="s">
        <v>256</v>
      </c>
      <c r="C120">
        <v>1</v>
      </c>
      <c r="D120">
        <v>1</v>
      </c>
      <c r="E120" t="s">
        <v>37</v>
      </c>
      <c r="F120" t="s">
        <v>257</v>
      </c>
      <c r="G120">
        <v>258.97000000000003</v>
      </c>
      <c r="H120">
        <v>262.89</v>
      </c>
      <c r="I120">
        <v>257.54000000000002</v>
      </c>
      <c r="J120">
        <v>243.19</v>
      </c>
      <c r="K120">
        <v>254.96</v>
      </c>
      <c r="L120">
        <v>250.88</v>
      </c>
      <c r="M120">
        <v>252.97</v>
      </c>
    </row>
    <row r="124" spans="1:40" x14ac:dyDescent="0.35">
      <c r="A124" s="1" t="s">
        <v>282</v>
      </c>
      <c r="E124" s="1" t="s">
        <v>283</v>
      </c>
    </row>
    <row r="125" spans="1:40" x14ac:dyDescent="0.35">
      <c r="A125">
        <v>2020</v>
      </c>
      <c r="B125">
        <v>2021</v>
      </c>
      <c r="C125">
        <v>2022</v>
      </c>
      <c r="E125">
        <v>2020</v>
      </c>
      <c r="F125">
        <v>2021</v>
      </c>
      <c r="G125">
        <v>2022</v>
      </c>
    </row>
    <row r="128" spans="1:40" x14ac:dyDescent="0.35">
      <c r="A128">
        <f>SUM(J130,J139)</f>
        <v>1579.181</v>
      </c>
      <c r="B128">
        <f t="shared" ref="B128:C128" si="1">SUM(K130,K139)</f>
        <v>1440.0340000000001</v>
      </c>
      <c r="C128">
        <f t="shared" si="1"/>
        <v>1541.2669999999998</v>
      </c>
      <c r="E128">
        <f t="shared" ref="E128:G130" si="2">A128-J8</f>
        <v>59.500999999999976</v>
      </c>
      <c r="F128">
        <f t="shared" si="2"/>
        <v>-33.605999999999995</v>
      </c>
      <c r="G128">
        <f t="shared" si="2"/>
        <v>54.226999999999862</v>
      </c>
      <c r="I128" t="s">
        <v>258</v>
      </c>
      <c r="J128">
        <v>2020</v>
      </c>
      <c r="K128">
        <v>2021</v>
      </c>
      <c r="L128">
        <v>2022</v>
      </c>
      <c r="M128">
        <v>2023</v>
      </c>
      <c r="N128">
        <v>2024</v>
      </c>
      <c r="O128">
        <v>2025</v>
      </c>
      <c r="P128">
        <v>2026</v>
      </c>
      <c r="Q128">
        <v>2027</v>
      </c>
      <c r="R128">
        <v>2028</v>
      </c>
      <c r="S128">
        <v>2029</v>
      </c>
      <c r="T128">
        <v>2030</v>
      </c>
      <c r="U128">
        <v>2031</v>
      </c>
      <c r="V128">
        <v>2032</v>
      </c>
      <c r="W128">
        <v>2033</v>
      </c>
      <c r="X128">
        <v>2034</v>
      </c>
      <c r="Y128">
        <v>2035</v>
      </c>
      <c r="Z128">
        <v>2036</v>
      </c>
      <c r="AA128">
        <v>2037</v>
      </c>
      <c r="AB128">
        <v>2038</v>
      </c>
      <c r="AC128">
        <v>2039</v>
      </c>
      <c r="AD128">
        <v>2040</v>
      </c>
      <c r="AE128">
        <v>2041</v>
      </c>
      <c r="AF128">
        <v>2042</v>
      </c>
      <c r="AG128">
        <v>2043</v>
      </c>
      <c r="AH128">
        <v>2044</v>
      </c>
      <c r="AI128">
        <v>2045</v>
      </c>
      <c r="AJ128">
        <v>2046</v>
      </c>
      <c r="AK128">
        <v>2047</v>
      </c>
      <c r="AL128">
        <v>2048</v>
      </c>
      <c r="AM128">
        <v>2049</v>
      </c>
      <c r="AN128">
        <v>2050</v>
      </c>
    </row>
    <row r="129" spans="1:40" x14ac:dyDescent="0.35">
      <c r="A129">
        <f>SUM(J129,J140)</f>
        <v>803.27210000000002</v>
      </c>
      <c r="B129">
        <f t="shared" ref="B129:C129" si="3">SUM(K129,K140)</f>
        <v>946.13890000000004</v>
      </c>
      <c r="C129">
        <f t="shared" si="3"/>
        <v>804.96040000000005</v>
      </c>
      <c r="E129">
        <f t="shared" si="2"/>
        <v>622.40309999999999</v>
      </c>
      <c r="F129">
        <f t="shared" si="2"/>
        <v>756.45490000000007</v>
      </c>
      <c r="G129">
        <f t="shared" si="2"/>
        <v>599.65240000000006</v>
      </c>
      <c r="I129" t="s">
        <v>265</v>
      </c>
      <c r="J129">
        <v>761.54100000000005</v>
      </c>
      <c r="K129">
        <v>895.44500000000005</v>
      </c>
      <c r="L129">
        <v>759.822</v>
      </c>
      <c r="M129">
        <v>726.36900000000003</v>
      </c>
      <c r="N129">
        <v>700.01300000000003</v>
      </c>
      <c r="O129">
        <v>623.98400000000004</v>
      </c>
      <c r="P129">
        <v>597.62199999999996</v>
      </c>
      <c r="Q129">
        <v>573.23</v>
      </c>
      <c r="R129">
        <v>530.28499999999997</v>
      </c>
      <c r="S129">
        <v>485.60899999999998</v>
      </c>
      <c r="T129">
        <v>459.86500000000001</v>
      </c>
      <c r="U129">
        <v>460.017</v>
      </c>
      <c r="V129">
        <v>452.399</v>
      </c>
      <c r="W129">
        <v>452.02499999999998</v>
      </c>
      <c r="X129">
        <v>432.67099999999999</v>
      </c>
      <c r="Y129">
        <v>426.53899999999999</v>
      </c>
      <c r="Z129">
        <v>424.09199999999998</v>
      </c>
      <c r="AA129">
        <v>423.25</v>
      </c>
      <c r="AB129">
        <v>419.57499999999999</v>
      </c>
      <c r="AC129">
        <v>419.61500000000001</v>
      </c>
      <c r="AD129">
        <v>414.00099999999998</v>
      </c>
      <c r="AE129">
        <v>414.04199999999997</v>
      </c>
      <c r="AF129">
        <v>414.05700000000002</v>
      </c>
      <c r="AG129">
        <v>414.25799999999998</v>
      </c>
      <c r="AH129">
        <v>413.65</v>
      </c>
      <c r="AI129">
        <v>404.43599999999998</v>
      </c>
      <c r="AJ129">
        <v>404.46899999999999</v>
      </c>
      <c r="AK129">
        <v>404.45600000000002</v>
      </c>
      <c r="AL129">
        <v>405.02800000000002</v>
      </c>
      <c r="AM129">
        <v>404.59300000000002</v>
      </c>
      <c r="AN129">
        <v>404.52</v>
      </c>
    </row>
    <row r="130" spans="1:40" x14ac:dyDescent="0.35">
      <c r="A130">
        <f>J131</f>
        <v>782.05700000000002</v>
      </c>
      <c r="B130">
        <f t="shared" ref="B130:C130" si="4">K131</f>
        <v>782.05700000000002</v>
      </c>
      <c r="C130">
        <f t="shared" si="4"/>
        <v>786.10400000000004</v>
      </c>
      <c r="E130">
        <f t="shared" si="2"/>
        <v>-7.8229999999999791</v>
      </c>
      <c r="F130">
        <f t="shared" si="2"/>
        <v>3.9070000000000391</v>
      </c>
      <c r="G130">
        <f t="shared" si="2"/>
        <v>7.8740000000000236</v>
      </c>
      <c r="I130" t="s">
        <v>266</v>
      </c>
      <c r="J130">
        <v>1433.8</v>
      </c>
      <c r="K130">
        <v>1292.67</v>
      </c>
      <c r="L130">
        <v>1392.87</v>
      </c>
      <c r="M130">
        <v>1464.17</v>
      </c>
      <c r="N130">
        <v>1499.58</v>
      </c>
      <c r="O130">
        <v>1536.93</v>
      </c>
      <c r="P130">
        <v>1536.01</v>
      </c>
      <c r="Q130">
        <v>1534.94</v>
      </c>
      <c r="R130">
        <v>1542.8</v>
      </c>
      <c r="S130">
        <v>1555.07</v>
      </c>
      <c r="T130">
        <v>1573.68</v>
      </c>
      <c r="U130">
        <v>1575.66</v>
      </c>
      <c r="V130">
        <v>1574.8</v>
      </c>
      <c r="W130">
        <v>1578.46</v>
      </c>
      <c r="X130">
        <v>1579.96</v>
      </c>
      <c r="Y130">
        <v>1578.17</v>
      </c>
      <c r="Z130">
        <v>1579.82</v>
      </c>
      <c r="AA130">
        <v>1579.21</v>
      </c>
      <c r="AB130">
        <v>1580.54</v>
      </c>
      <c r="AC130">
        <v>1581.69</v>
      </c>
      <c r="AD130">
        <v>1582.35</v>
      </c>
      <c r="AE130">
        <v>1582.84</v>
      </c>
      <c r="AF130">
        <v>1584.44</v>
      </c>
      <c r="AG130">
        <v>1584.33</v>
      </c>
      <c r="AH130">
        <v>1587.56</v>
      </c>
      <c r="AI130">
        <v>1586.59</v>
      </c>
      <c r="AJ130">
        <v>1588.85</v>
      </c>
      <c r="AK130">
        <v>1589.18</v>
      </c>
      <c r="AL130">
        <v>1590.93</v>
      </c>
      <c r="AM130">
        <v>1587.84</v>
      </c>
      <c r="AN130">
        <v>1588.52</v>
      </c>
    </row>
    <row r="131" spans="1:40" x14ac:dyDescent="0.35">
      <c r="A131">
        <f>SUM(J133:J137,J141)</f>
        <v>485.25182799999999</v>
      </c>
      <c r="B131">
        <f t="shared" ref="B131:C131" si="5">SUM(K133:K137,K141)</f>
        <v>603.21673199999998</v>
      </c>
      <c r="C131">
        <f t="shared" si="5"/>
        <v>679.05446999999992</v>
      </c>
      <c r="I131" t="s">
        <v>267</v>
      </c>
      <c r="J131">
        <v>782.05700000000002</v>
      </c>
      <c r="K131">
        <v>782.05700000000002</v>
      </c>
      <c r="L131">
        <v>786.10400000000004</v>
      </c>
      <c r="M131">
        <v>794.19899999999996</v>
      </c>
      <c r="N131">
        <v>794.19899999999996</v>
      </c>
      <c r="O131">
        <v>782.05700000000002</v>
      </c>
      <c r="P131">
        <v>773.96299999999997</v>
      </c>
      <c r="Q131">
        <v>757.77499999999998</v>
      </c>
      <c r="R131">
        <v>717.303</v>
      </c>
      <c r="S131">
        <v>709.20899999999995</v>
      </c>
      <c r="T131">
        <v>701.11500000000001</v>
      </c>
      <c r="U131">
        <v>701.11500000000001</v>
      </c>
      <c r="V131">
        <v>701.11500000000001</v>
      </c>
      <c r="W131">
        <v>660.64400000000001</v>
      </c>
      <c r="X131">
        <v>660.64400000000001</v>
      </c>
      <c r="Y131">
        <v>660.64400000000001</v>
      </c>
      <c r="Z131">
        <v>660.64400000000001</v>
      </c>
      <c r="AA131">
        <v>652.54999999999995</v>
      </c>
      <c r="AB131">
        <v>652.54999999999995</v>
      </c>
      <c r="AC131">
        <v>652.54999999999995</v>
      </c>
      <c r="AD131">
        <v>652.54999999999995</v>
      </c>
      <c r="AE131">
        <v>652.54999999999995</v>
      </c>
      <c r="AF131">
        <v>652.54999999999995</v>
      </c>
      <c r="AG131">
        <v>652.54999999999995</v>
      </c>
      <c r="AH131">
        <v>652.54999999999995</v>
      </c>
      <c r="AI131">
        <v>652.54999999999995</v>
      </c>
      <c r="AJ131">
        <v>652.54999999999995</v>
      </c>
      <c r="AK131">
        <v>652.54999999999995</v>
      </c>
      <c r="AL131">
        <v>644.45500000000004</v>
      </c>
      <c r="AM131">
        <v>644.45500000000004</v>
      </c>
      <c r="AN131">
        <v>644.45500000000004</v>
      </c>
    </row>
    <row r="132" spans="1:40" x14ac:dyDescent="0.35">
      <c r="A132">
        <f>J132</f>
        <v>283.95699999999999</v>
      </c>
      <c r="B132">
        <f t="shared" ref="B132:C132" si="6">K132</f>
        <v>284.34399999999999</v>
      </c>
      <c r="C132">
        <f t="shared" si="6"/>
        <v>284.411</v>
      </c>
      <c r="E132">
        <f t="shared" ref="E132:E141" si="7">A132-J12</f>
        <v>-0.10300000000000864</v>
      </c>
      <c r="F132">
        <f t="shared" ref="F132:F141" si="8">B132-K12</f>
        <v>25.324000000000012</v>
      </c>
      <c r="G132">
        <f t="shared" ref="G132:G141" si="9">C132-L12</f>
        <v>13.661000000000001</v>
      </c>
      <c r="I132" t="s">
        <v>268</v>
      </c>
      <c r="J132">
        <v>283.95699999999999</v>
      </c>
      <c r="K132">
        <v>284.34399999999999</v>
      </c>
      <c r="L132">
        <v>284.411</v>
      </c>
      <c r="M132">
        <v>284.63900000000001</v>
      </c>
      <c r="N132">
        <v>285.00700000000001</v>
      </c>
      <c r="O132">
        <v>284.78899999999999</v>
      </c>
      <c r="P132">
        <v>284.61200000000002</v>
      </c>
      <c r="Q132">
        <v>284.42700000000002</v>
      </c>
      <c r="R132">
        <v>283.40300000000002</v>
      </c>
      <c r="S132">
        <v>282.904</v>
      </c>
      <c r="T132">
        <v>282.83999999999997</v>
      </c>
      <c r="U132">
        <v>282.80099999999999</v>
      </c>
      <c r="V132">
        <v>282.80099999999999</v>
      </c>
      <c r="W132">
        <v>282.64699999999999</v>
      </c>
      <c r="X132">
        <v>282.512</v>
      </c>
      <c r="Y132">
        <v>282.512</v>
      </c>
      <c r="Z132">
        <v>282.512</v>
      </c>
      <c r="AA132">
        <v>282.512</v>
      </c>
      <c r="AB132">
        <v>282.512</v>
      </c>
      <c r="AC132">
        <v>282.512</v>
      </c>
      <c r="AD132">
        <v>282.512</v>
      </c>
      <c r="AE132">
        <v>282.512</v>
      </c>
      <c r="AF132">
        <v>282.512</v>
      </c>
      <c r="AG132">
        <v>282.512</v>
      </c>
      <c r="AH132">
        <v>282.18400000000003</v>
      </c>
      <c r="AI132">
        <v>282.00599999999997</v>
      </c>
      <c r="AJ132">
        <v>281.99900000000002</v>
      </c>
      <c r="AK132">
        <v>281.988</v>
      </c>
      <c r="AL132">
        <v>281.988</v>
      </c>
      <c r="AM132">
        <v>281.93400000000003</v>
      </c>
      <c r="AN132">
        <v>281.92700000000002</v>
      </c>
    </row>
    <row r="133" spans="1:40" x14ac:dyDescent="0.35">
      <c r="A133">
        <f>SUM(J133,J141)</f>
        <v>366.44498799999997</v>
      </c>
      <c r="B133">
        <f t="shared" ref="B133:C133" si="10">SUM(K133,K141)</f>
        <v>418.88861200000002</v>
      </c>
      <c r="C133">
        <f t="shared" si="10"/>
        <v>445.45905000000005</v>
      </c>
      <c r="E133">
        <f t="shared" si="7"/>
        <v>29.294987999999989</v>
      </c>
      <c r="F133">
        <f t="shared" si="8"/>
        <v>40.258612000000028</v>
      </c>
      <c r="G133">
        <f t="shared" si="9"/>
        <v>13.98905000000002</v>
      </c>
      <c r="I133" t="s">
        <v>269</v>
      </c>
      <c r="J133">
        <v>366.32</v>
      </c>
      <c r="K133">
        <v>418.72</v>
      </c>
      <c r="L133">
        <v>445.29</v>
      </c>
      <c r="M133">
        <v>460.69</v>
      </c>
      <c r="N133">
        <v>473.49299999999999</v>
      </c>
      <c r="O133">
        <v>528.23</v>
      </c>
      <c r="P133">
        <v>571.28300000000002</v>
      </c>
      <c r="Q133">
        <v>608.92399999999998</v>
      </c>
      <c r="R133">
        <v>668.38</v>
      </c>
      <c r="S133">
        <v>713.10299999999995</v>
      </c>
      <c r="T133">
        <v>744.47400000000005</v>
      </c>
      <c r="U133">
        <v>767.05499999999995</v>
      </c>
      <c r="V133">
        <v>794.41300000000001</v>
      </c>
      <c r="W133">
        <v>836.55100000000004</v>
      </c>
      <c r="X133">
        <v>869.00599999999997</v>
      </c>
      <c r="Y133">
        <v>899.85599999999999</v>
      </c>
      <c r="Z133">
        <v>926.55100000000004</v>
      </c>
      <c r="AA133">
        <v>958.79499999999996</v>
      </c>
      <c r="AB133">
        <v>987.27099999999996</v>
      </c>
      <c r="AC133">
        <v>1012.7</v>
      </c>
      <c r="AD133">
        <v>1037.42</v>
      </c>
      <c r="AE133">
        <v>1063.73</v>
      </c>
      <c r="AF133">
        <v>1089.6300000000001</v>
      </c>
      <c r="AG133">
        <v>1115.76</v>
      </c>
      <c r="AH133">
        <v>1139.32</v>
      </c>
      <c r="AI133">
        <v>1170.1099999999999</v>
      </c>
      <c r="AJ133">
        <v>1195.6300000000001</v>
      </c>
      <c r="AK133">
        <v>1221.5899999999999</v>
      </c>
      <c r="AL133">
        <v>1247.01</v>
      </c>
      <c r="AM133">
        <v>1275.2</v>
      </c>
      <c r="AN133">
        <v>1304.52</v>
      </c>
    </row>
    <row r="134" spans="1:40" x14ac:dyDescent="0.35">
      <c r="A134">
        <f>SUM(J134:J135)</f>
        <v>99.617820000000009</v>
      </c>
      <c r="B134">
        <f t="shared" ref="B134:C134" si="11">SUM(K134:K135)</f>
        <v>134.01141999999999</v>
      </c>
      <c r="C134">
        <f t="shared" si="11"/>
        <v>180.09241999999998</v>
      </c>
      <c r="E134">
        <f t="shared" si="7"/>
        <v>11.107820000000004</v>
      </c>
      <c r="F134">
        <f t="shared" si="8"/>
        <v>20.141419999999982</v>
      </c>
      <c r="G134">
        <f t="shared" si="9"/>
        <v>34.072419999999966</v>
      </c>
      <c r="I134" t="s">
        <v>270</v>
      </c>
      <c r="J134">
        <v>96.445400000000006</v>
      </c>
      <c r="K134">
        <v>130.839</v>
      </c>
      <c r="L134">
        <v>176.92</v>
      </c>
      <c r="M134">
        <v>213.84899999999999</v>
      </c>
      <c r="N134">
        <v>227.583</v>
      </c>
      <c r="O134">
        <v>273.32799999999997</v>
      </c>
      <c r="P134">
        <v>303.31</v>
      </c>
      <c r="Q134">
        <v>334.89400000000001</v>
      </c>
      <c r="R134">
        <v>387.673</v>
      </c>
      <c r="S134">
        <v>430.22500000000002</v>
      </c>
      <c r="T134">
        <v>464.25299999999999</v>
      </c>
      <c r="U134">
        <v>488.63499999999999</v>
      </c>
      <c r="V134">
        <v>520.48599999999999</v>
      </c>
      <c r="W134">
        <v>568.64700000000005</v>
      </c>
      <c r="X134">
        <v>605.66800000000001</v>
      </c>
      <c r="Y134">
        <v>641.38499999999999</v>
      </c>
      <c r="Z134">
        <v>674.428</v>
      </c>
      <c r="AA134">
        <v>712.88699999999994</v>
      </c>
      <c r="AB134">
        <v>746.84699999999998</v>
      </c>
      <c r="AC134">
        <v>777.40599999999995</v>
      </c>
      <c r="AD134">
        <v>809.62800000000004</v>
      </c>
      <c r="AE134">
        <v>841.94899999999996</v>
      </c>
      <c r="AF134">
        <v>873.77300000000002</v>
      </c>
      <c r="AG134">
        <v>906.12800000000004</v>
      </c>
      <c r="AH134">
        <v>937.81899999999996</v>
      </c>
      <c r="AI134">
        <v>976.51800000000003</v>
      </c>
      <c r="AJ134">
        <v>1008.19</v>
      </c>
      <c r="AK134">
        <v>1040.55</v>
      </c>
      <c r="AL134">
        <v>1075.26</v>
      </c>
      <c r="AM134">
        <v>1110.8599999999999</v>
      </c>
      <c r="AN134">
        <v>1147.81</v>
      </c>
    </row>
    <row r="135" spans="1:40" x14ac:dyDescent="0.35">
      <c r="A135">
        <f>J136</f>
        <v>3.9332199999999999</v>
      </c>
      <c r="B135">
        <f t="shared" ref="B135:C136" si="12">K136</f>
        <v>34.801299999999998</v>
      </c>
      <c r="C135">
        <f t="shared" si="12"/>
        <v>37.727899999999998</v>
      </c>
      <c r="E135">
        <f t="shared" si="7"/>
        <v>-22.906780000000001</v>
      </c>
      <c r="F135">
        <f t="shared" si="8"/>
        <v>6.8912999999999975</v>
      </c>
      <c r="G135">
        <f t="shared" si="9"/>
        <v>11.477899999999998</v>
      </c>
      <c r="I135" t="s">
        <v>271</v>
      </c>
      <c r="J135">
        <v>3.1724199999999998</v>
      </c>
      <c r="K135">
        <v>3.1724199999999998</v>
      </c>
      <c r="L135">
        <v>3.1724199999999998</v>
      </c>
      <c r="M135">
        <v>3.1724199999999998</v>
      </c>
      <c r="N135">
        <v>3.1724199999999998</v>
      </c>
      <c r="O135">
        <v>4.7466900000000001</v>
      </c>
      <c r="P135">
        <v>4.7466900000000001</v>
      </c>
      <c r="Q135">
        <v>4.7466900000000001</v>
      </c>
      <c r="R135">
        <v>5.53383</v>
      </c>
      <c r="S135">
        <v>5.53383</v>
      </c>
      <c r="T135">
        <v>5.53383</v>
      </c>
      <c r="U135">
        <v>5.53383</v>
      </c>
      <c r="V135">
        <v>5.53383</v>
      </c>
      <c r="W135">
        <v>5.53383</v>
      </c>
      <c r="X135">
        <v>5.53383</v>
      </c>
      <c r="Y135">
        <v>5.53383</v>
      </c>
      <c r="Z135">
        <v>5.53383</v>
      </c>
      <c r="AA135">
        <v>5.53383</v>
      </c>
      <c r="AB135">
        <v>5.53383</v>
      </c>
      <c r="AC135">
        <v>5.53383</v>
      </c>
      <c r="AD135">
        <v>5.53383</v>
      </c>
      <c r="AE135">
        <v>5.53383</v>
      </c>
      <c r="AF135">
        <v>5.53383</v>
      </c>
      <c r="AG135">
        <v>5.53383</v>
      </c>
      <c r="AH135">
        <v>5.53383</v>
      </c>
      <c r="AI135">
        <v>5.53383</v>
      </c>
      <c r="AJ135">
        <v>5.53383</v>
      </c>
      <c r="AK135">
        <v>5.53383</v>
      </c>
      <c r="AL135">
        <v>5.53383</v>
      </c>
      <c r="AM135">
        <v>5.53383</v>
      </c>
      <c r="AN135">
        <v>5.53383</v>
      </c>
    </row>
    <row r="136" spans="1:40" x14ac:dyDescent="0.35">
      <c r="A136">
        <f>J137</f>
        <v>15.255800000000001</v>
      </c>
      <c r="B136">
        <f t="shared" si="12"/>
        <v>15.5154</v>
      </c>
      <c r="C136">
        <f t="shared" si="12"/>
        <v>15.7751</v>
      </c>
      <c r="E136">
        <f t="shared" si="7"/>
        <v>-0.18419999999999881</v>
      </c>
      <c r="F136">
        <f t="shared" si="8"/>
        <v>-0.22460000000000058</v>
      </c>
      <c r="G136">
        <f t="shared" si="9"/>
        <v>-0.16489999999999938</v>
      </c>
      <c r="I136" t="s">
        <v>272</v>
      </c>
      <c r="J136">
        <v>3.9332199999999999</v>
      </c>
      <c r="K136">
        <v>34.801299999999998</v>
      </c>
      <c r="L136">
        <v>37.727899999999998</v>
      </c>
      <c r="M136">
        <v>37.8643</v>
      </c>
      <c r="N136">
        <v>37.787199999999999</v>
      </c>
      <c r="O136">
        <v>37.749699999999997</v>
      </c>
      <c r="P136">
        <v>37.184199999999997</v>
      </c>
      <c r="Q136">
        <v>35.752400000000002</v>
      </c>
      <c r="R136">
        <v>33.077300000000001</v>
      </c>
      <c r="S136">
        <v>28.914300000000001</v>
      </c>
      <c r="T136">
        <v>23.435199999999998</v>
      </c>
      <c r="U136">
        <v>24.424800000000001</v>
      </c>
      <c r="V136">
        <v>24.7866</v>
      </c>
      <c r="W136">
        <v>25.845800000000001</v>
      </c>
      <c r="X136">
        <v>25.2667</v>
      </c>
      <c r="Y136">
        <v>24.620899999999999</v>
      </c>
      <c r="Z136">
        <v>24.469899999999999</v>
      </c>
      <c r="AA136">
        <v>24.469200000000001</v>
      </c>
      <c r="AB136">
        <v>24.774100000000001</v>
      </c>
      <c r="AC136">
        <v>24.709299999999999</v>
      </c>
      <c r="AD136">
        <v>25.323599999999999</v>
      </c>
      <c r="AE136">
        <v>25.200500000000002</v>
      </c>
      <c r="AF136">
        <v>24.7941</v>
      </c>
      <c r="AG136">
        <v>24.581299999999999</v>
      </c>
      <c r="AH136">
        <v>23.645399999999999</v>
      </c>
      <c r="AI136">
        <v>23.322299999999998</v>
      </c>
      <c r="AJ136">
        <v>23.237300000000001</v>
      </c>
      <c r="AK136">
        <v>22.995899999999999</v>
      </c>
      <c r="AL136">
        <v>23.307200000000002</v>
      </c>
      <c r="AM136">
        <v>22.852</v>
      </c>
      <c r="AN136">
        <v>22.668299999999999</v>
      </c>
    </row>
    <row r="137" spans="1:40" x14ac:dyDescent="0.35">
      <c r="E137">
        <f t="shared" si="7"/>
        <v>5.32</v>
      </c>
      <c r="F137">
        <f t="shared" si="8"/>
        <v>5.1100000000000003</v>
      </c>
      <c r="G137">
        <f t="shared" si="9"/>
        <v>4.97</v>
      </c>
      <c r="I137" t="s">
        <v>273</v>
      </c>
      <c r="J137">
        <v>15.255800000000001</v>
      </c>
      <c r="K137">
        <v>15.5154</v>
      </c>
      <c r="L137">
        <v>15.7751</v>
      </c>
      <c r="M137">
        <v>15.7751</v>
      </c>
      <c r="N137">
        <v>15.7751</v>
      </c>
      <c r="O137">
        <v>16.553999999999998</v>
      </c>
      <c r="P137">
        <v>17.159800000000001</v>
      </c>
      <c r="Q137">
        <v>17.679099999999998</v>
      </c>
      <c r="R137">
        <v>18.458100000000002</v>
      </c>
      <c r="S137">
        <v>18.977399999999999</v>
      </c>
      <c r="T137">
        <v>19.236999999999998</v>
      </c>
      <c r="U137">
        <v>19.4101</v>
      </c>
      <c r="V137">
        <v>19.669799999999999</v>
      </c>
      <c r="W137">
        <v>20.015999999999998</v>
      </c>
      <c r="X137">
        <v>20.275600000000001</v>
      </c>
      <c r="Y137">
        <v>20.5352</v>
      </c>
      <c r="Z137">
        <v>20.708300000000001</v>
      </c>
      <c r="AA137">
        <v>20.968</v>
      </c>
      <c r="AB137">
        <v>21.141100000000002</v>
      </c>
      <c r="AC137">
        <v>21.3142</v>
      </c>
      <c r="AD137">
        <v>21.487300000000001</v>
      </c>
      <c r="AE137">
        <v>21.660399999999999</v>
      </c>
      <c r="AF137">
        <v>21.833500000000001</v>
      </c>
      <c r="AG137">
        <v>22.006599999999999</v>
      </c>
      <c r="AH137">
        <v>22.0931</v>
      </c>
      <c r="AI137">
        <v>22.266200000000001</v>
      </c>
      <c r="AJ137">
        <v>22.352799999999998</v>
      </c>
      <c r="AK137">
        <v>22.439299999999999</v>
      </c>
      <c r="AL137">
        <v>22.5259</v>
      </c>
      <c r="AM137">
        <v>22.612400000000001</v>
      </c>
      <c r="AN137">
        <v>22.699000000000002</v>
      </c>
    </row>
    <row r="138" spans="1:40" x14ac:dyDescent="0.35">
      <c r="A138">
        <f>J138</f>
        <v>12.596299999999999</v>
      </c>
      <c r="B138">
        <f t="shared" ref="B138:C138" si="13">K138</f>
        <v>12.283300000000001</v>
      </c>
      <c r="C138">
        <f t="shared" si="13"/>
        <v>12.2845</v>
      </c>
      <c r="E138">
        <f t="shared" si="7"/>
        <v>-3.7336999999999989</v>
      </c>
      <c r="F138">
        <f t="shared" si="8"/>
        <v>-5.5167000000000002</v>
      </c>
      <c r="G138">
        <f t="shared" si="9"/>
        <v>-5.8955000000000002</v>
      </c>
      <c r="I138" t="s">
        <v>274</v>
      </c>
      <c r="J138">
        <v>12.596299999999999</v>
      </c>
      <c r="K138">
        <v>12.283300000000001</v>
      </c>
      <c r="L138">
        <v>12.2845</v>
      </c>
      <c r="M138">
        <v>12.2813</v>
      </c>
      <c r="N138">
        <v>12.277200000000001</v>
      </c>
      <c r="O138">
        <v>12.271800000000001</v>
      </c>
      <c r="P138">
        <v>12.2989</v>
      </c>
      <c r="Q138">
        <v>12.3444</v>
      </c>
      <c r="R138">
        <v>12.3887</v>
      </c>
      <c r="S138">
        <v>12.431900000000001</v>
      </c>
      <c r="T138">
        <v>12.4628</v>
      </c>
      <c r="U138">
        <v>12.4877</v>
      </c>
      <c r="V138">
        <v>12.5113</v>
      </c>
      <c r="W138">
        <v>12.5252</v>
      </c>
      <c r="X138">
        <v>12.546799999999999</v>
      </c>
      <c r="Y138">
        <v>12.567399999999999</v>
      </c>
      <c r="Z138">
        <v>12.586600000000001</v>
      </c>
      <c r="AA138">
        <v>12.603</v>
      </c>
      <c r="AB138">
        <v>12.619400000000001</v>
      </c>
      <c r="AC138">
        <v>12.633800000000001</v>
      </c>
      <c r="AD138">
        <v>12.6485</v>
      </c>
      <c r="AE138">
        <v>12.661099999999999</v>
      </c>
      <c r="AF138">
        <v>12.6736</v>
      </c>
      <c r="AG138">
        <v>12.684900000000001</v>
      </c>
      <c r="AH138">
        <v>12.697900000000001</v>
      </c>
      <c r="AI138">
        <v>12.7103</v>
      </c>
      <c r="AJ138">
        <v>12.7212</v>
      </c>
      <c r="AK138">
        <v>12.7326</v>
      </c>
      <c r="AL138">
        <v>12.742699999999999</v>
      </c>
      <c r="AM138">
        <v>12.7538</v>
      </c>
      <c r="AN138">
        <v>12.764900000000001</v>
      </c>
    </row>
    <row r="139" spans="1:40" x14ac:dyDescent="0.35">
      <c r="E139">
        <f t="shared" si="7"/>
        <v>-3.17</v>
      </c>
      <c r="F139">
        <f t="shared" si="8"/>
        <v>-3.17</v>
      </c>
      <c r="G139">
        <f t="shared" si="9"/>
        <v>-3.31</v>
      </c>
      <c r="I139" t="s">
        <v>275</v>
      </c>
      <c r="J139">
        <v>145.381</v>
      </c>
      <c r="K139">
        <v>147.364</v>
      </c>
      <c r="L139">
        <v>148.39699999999999</v>
      </c>
      <c r="M139">
        <v>150.11099999999999</v>
      </c>
      <c r="N139">
        <v>150.904</v>
      </c>
      <c r="O139">
        <v>150.89099999999999</v>
      </c>
      <c r="P139">
        <v>157.23699999999999</v>
      </c>
      <c r="Q139">
        <v>167.62899999999999</v>
      </c>
      <c r="R139">
        <v>178.76900000000001</v>
      </c>
      <c r="S139">
        <v>191.74600000000001</v>
      </c>
      <c r="T139">
        <v>201.892</v>
      </c>
      <c r="U139">
        <v>210.899</v>
      </c>
      <c r="V139">
        <v>219.90700000000001</v>
      </c>
      <c r="W139">
        <v>225.71100000000001</v>
      </c>
      <c r="X139">
        <v>234.69399999999999</v>
      </c>
      <c r="Y139">
        <v>243.93</v>
      </c>
      <c r="Z139">
        <v>252.80099999999999</v>
      </c>
      <c r="AA139">
        <v>261.577</v>
      </c>
      <c r="AB139">
        <v>270.55399999999997</v>
      </c>
      <c r="AC139">
        <v>278.82799999999997</v>
      </c>
      <c r="AD139">
        <v>287.67200000000003</v>
      </c>
      <c r="AE139">
        <v>295.459</v>
      </c>
      <c r="AF139">
        <v>303.733</v>
      </c>
      <c r="AG139">
        <v>311.99400000000003</v>
      </c>
      <c r="AH139">
        <v>321.60000000000002</v>
      </c>
      <c r="AI139">
        <v>331.34</v>
      </c>
      <c r="AJ139">
        <v>340.68299999999999</v>
      </c>
      <c r="AK139">
        <v>350.476</v>
      </c>
      <c r="AL139">
        <v>359.697</v>
      </c>
      <c r="AM139">
        <v>370.17700000000002</v>
      </c>
      <c r="AN139">
        <v>381.23099999999999</v>
      </c>
    </row>
    <row r="140" spans="1:40" x14ac:dyDescent="0.35">
      <c r="A140">
        <f>J144</f>
        <v>13.8758</v>
      </c>
      <c r="B140">
        <f t="shared" ref="B140:C140" si="14">K144</f>
        <v>13.8758</v>
      </c>
      <c r="C140">
        <f t="shared" si="14"/>
        <v>13.8758</v>
      </c>
      <c r="E140">
        <f t="shared" si="7"/>
        <v>6.2858000000000001</v>
      </c>
      <c r="F140">
        <f t="shared" si="8"/>
        <v>6.6958000000000002</v>
      </c>
      <c r="G140">
        <f t="shared" si="9"/>
        <v>6.9257999999999997</v>
      </c>
      <c r="I140" t="s">
        <v>276</v>
      </c>
      <c r="J140">
        <v>41.731099999999998</v>
      </c>
      <c r="K140">
        <v>50.693899999999999</v>
      </c>
      <c r="L140">
        <v>45.138399999999997</v>
      </c>
      <c r="M140">
        <v>45.113999999999997</v>
      </c>
      <c r="N140">
        <v>44.234400000000001</v>
      </c>
      <c r="O140">
        <v>43.505099999999999</v>
      </c>
      <c r="P140">
        <v>42.593200000000003</v>
      </c>
      <c r="Q140">
        <v>40.847900000000003</v>
      </c>
      <c r="R140">
        <v>38.600900000000003</v>
      </c>
      <c r="S140">
        <v>35.323599999999999</v>
      </c>
      <c r="T140">
        <v>31.584599999999998</v>
      </c>
      <c r="U140">
        <v>32.316600000000001</v>
      </c>
      <c r="V140">
        <v>32.840800000000002</v>
      </c>
      <c r="W140">
        <v>33.621099999999998</v>
      </c>
      <c r="X140">
        <v>33.438800000000001</v>
      </c>
      <c r="Y140">
        <v>33.341799999999999</v>
      </c>
      <c r="Z140">
        <v>33.6265</v>
      </c>
      <c r="AA140">
        <v>33.739100000000001</v>
      </c>
      <c r="AB140">
        <v>33.947400000000002</v>
      </c>
      <c r="AC140">
        <v>33.970500000000001</v>
      </c>
      <c r="AD140">
        <v>34.274900000000002</v>
      </c>
      <c r="AE140">
        <v>34.295699999999997</v>
      </c>
      <c r="AF140">
        <v>34.2864</v>
      </c>
      <c r="AG140">
        <v>34.411200000000001</v>
      </c>
      <c r="AH140">
        <v>33.941200000000002</v>
      </c>
      <c r="AI140">
        <v>33.806899999999999</v>
      </c>
      <c r="AJ140">
        <v>33.850299999999997</v>
      </c>
      <c r="AK140">
        <v>33.826999999999998</v>
      </c>
      <c r="AL140">
        <v>34.224800000000002</v>
      </c>
      <c r="AM140">
        <v>33.896599999999999</v>
      </c>
      <c r="AN140">
        <v>33.837800000000001</v>
      </c>
    </row>
    <row r="141" spans="1:40" x14ac:dyDescent="0.35">
      <c r="A141">
        <f>SUM(J129:J144)</f>
        <v>3960.1910279999997</v>
      </c>
      <c r="B141">
        <f t="shared" ref="B141:C141" si="15">SUM(K129:K144)</f>
        <v>4081.9497320000009</v>
      </c>
      <c r="C141">
        <f t="shared" si="15"/>
        <v>4121.9571700000006</v>
      </c>
      <c r="E141">
        <f t="shared" si="7"/>
        <v>109.16102799999953</v>
      </c>
      <c r="F141">
        <f t="shared" si="8"/>
        <v>119.15973200000099</v>
      </c>
      <c r="G141">
        <f t="shared" si="9"/>
        <v>80.117170000000442</v>
      </c>
      <c r="I141" t="s">
        <v>277</v>
      </c>
      <c r="J141">
        <v>0.124988</v>
      </c>
      <c r="K141">
        <v>0.16861200000000001</v>
      </c>
      <c r="L141">
        <v>0.16905000000000001</v>
      </c>
      <c r="M141">
        <v>0.169488</v>
      </c>
      <c r="N141">
        <v>8.8709699999999998</v>
      </c>
      <c r="O141">
        <v>11.2661</v>
      </c>
      <c r="P141">
        <v>13.839700000000001</v>
      </c>
      <c r="Q141">
        <v>21.648299999999999</v>
      </c>
      <c r="R141">
        <v>24.893899999999999</v>
      </c>
      <c r="S141">
        <v>26.225100000000001</v>
      </c>
      <c r="T141">
        <v>27.1266</v>
      </c>
      <c r="U141">
        <v>27.718900000000001</v>
      </c>
      <c r="V141">
        <v>28.530999999999999</v>
      </c>
      <c r="W141">
        <v>29.751999999999999</v>
      </c>
      <c r="X141">
        <v>30.686699999999998</v>
      </c>
      <c r="Y141">
        <v>31.610800000000001</v>
      </c>
      <c r="Z141">
        <v>32.433900000000001</v>
      </c>
      <c r="AA141">
        <v>33.440300000000001</v>
      </c>
      <c r="AB141">
        <v>34.294600000000003</v>
      </c>
      <c r="AC141">
        <v>35.119</v>
      </c>
      <c r="AD141">
        <v>35.932000000000002</v>
      </c>
      <c r="AE141">
        <v>36.814</v>
      </c>
      <c r="AF141">
        <v>37.633800000000001</v>
      </c>
      <c r="AG141">
        <v>38.549599999999998</v>
      </c>
      <c r="AH141">
        <v>39.376300000000001</v>
      </c>
      <c r="AI141">
        <v>40.377000000000002</v>
      </c>
      <c r="AJ141">
        <v>41.307299999999998</v>
      </c>
      <c r="AK141">
        <v>42.168399999999998</v>
      </c>
      <c r="AL141">
        <v>43.106299999999997</v>
      </c>
      <c r="AM141">
        <v>44.149900000000002</v>
      </c>
      <c r="AN141">
        <v>45.145099999999999</v>
      </c>
    </row>
    <row r="142" spans="1:40" x14ac:dyDescent="0.35">
      <c r="I142" t="s">
        <v>278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</row>
    <row r="143" spans="1:40" x14ac:dyDescent="0.35">
      <c r="I143" t="s">
        <v>279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</row>
    <row r="144" spans="1:40" x14ac:dyDescent="0.35">
      <c r="I144" t="s">
        <v>280</v>
      </c>
      <c r="J144">
        <v>13.8758</v>
      </c>
      <c r="K144">
        <v>13.8758</v>
      </c>
      <c r="L144">
        <v>13.8758</v>
      </c>
      <c r="M144">
        <v>13.8758</v>
      </c>
      <c r="N144">
        <v>13.8758</v>
      </c>
      <c r="O144">
        <v>14.254300000000001</v>
      </c>
      <c r="P144">
        <v>14.6327</v>
      </c>
      <c r="Q144">
        <v>14.885</v>
      </c>
      <c r="R144">
        <v>15.1373</v>
      </c>
      <c r="S144">
        <v>15.3896</v>
      </c>
      <c r="T144">
        <v>15.515700000000001</v>
      </c>
      <c r="U144">
        <v>15.6419</v>
      </c>
      <c r="V144">
        <v>15.768000000000001</v>
      </c>
      <c r="W144">
        <v>15.8941</v>
      </c>
      <c r="X144">
        <v>16.020299999999999</v>
      </c>
      <c r="Y144">
        <v>16.1464</v>
      </c>
      <c r="Z144">
        <v>16.272600000000001</v>
      </c>
      <c r="AA144">
        <v>16.398700000000002</v>
      </c>
      <c r="AB144">
        <v>16.524899999999999</v>
      </c>
      <c r="AC144">
        <v>16.524899999999999</v>
      </c>
      <c r="AD144">
        <v>16.524899999999999</v>
      </c>
      <c r="AE144">
        <v>16.524899999999999</v>
      </c>
      <c r="AF144">
        <v>16.524899999999999</v>
      </c>
      <c r="AG144">
        <v>16.524899999999999</v>
      </c>
      <c r="AH144">
        <v>16.524899999999999</v>
      </c>
      <c r="AI144">
        <v>16.524899999999999</v>
      </c>
      <c r="AJ144">
        <v>16.524899999999999</v>
      </c>
      <c r="AK144">
        <v>16.524899999999999</v>
      </c>
      <c r="AL144">
        <v>16.524899999999999</v>
      </c>
      <c r="AM144">
        <v>16.524899999999999</v>
      </c>
      <c r="AN144">
        <v>16.524899999999999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E568DE-48BA-4A53-AD96-D707A1A92561}">
  <dimension ref="A1:AF17"/>
  <sheetViews>
    <sheetView workbookViewId="0">
      <selection activeCell="C25" sqref="C25"/>
    </sheetView>
  </sheetViews>
  <sheetFormatPr defaultColWidth="8.81640625" defaultRowHeight="14.5" x14ac:dyDescent="0.35"/>
  <cols>
    <col min="1" max="1" width="55.453125" customWidth="1"/>
  </cols>
  <sheetData>
    <row r="1" spans="1:32" x14ac:dyDescent="0.35">
      <c r="A1" t="s">
        <v>286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35">
      <c r="A2" t="s">
        <v>287</v>
      </c>
      <c r="B2">
        <v>92.825999999999993</v>
      </c>
      <c r="C2">
        <v>119.91500000000001</v>
      </c>
      <c r="D2">
        <v>146.74100000000001</v>
      </c>
      <c r="E2">
        <v>173.83</v>
      </c>
      <c r="F2">
        <v>201.18199999999999</v>
      </c>
      <c r="G2">
        <v>225.904</v>
      </c>
      <c r="H2">
        <v>250.88900000000001</v>
      </c>
      <c r="I2">
        <v>275.87400000000002</v>
      </c>
      <c r="J2">
        <v>300.33300000000003</v>
      </c>
      <c r="K2">
        <v>324.529</v>
      </c>
      <c r="L2">
        <v>348.46199999999999</v>
      </c>
      <c r="M2">
        <v>348.46199999999999</v>
      </c>
      <c r="N2">
        <v>348.46199999999999</v>
      </c>
      <c r="O2">
        <v>348.46199999999999</v>
      </c>
      <c r="P2">
        <v>348.46199999999999</v>
      </c>
      <c r="Q2">
        <v>348.46199999999999</v>
      </c>
      <c r="R2">
        <v>348.46199999999999</v>
      </c>
      <c r="S2">
        <v>348.46199999999999</v>
      </c>
      <c r="T2">
        <v>348.46199999999999</v>
      </c>
      <c r="U2">
        <v>348.46199999999999</v>
      </c>
      <c r="V2">
        <v>348.46199999999999</v>
      </c>
      <c r="W2">
        <v>348.46199999999999</v>
      </c>
      <c r="X2">
        <v>348.46199999999999</v>
      </c>
      <c r="Y2">
        <v>348.46199999999999</v>
      </c>
      <c r="Z2">
        <v>348.46199999999999</v>
      </c>
      <c r="AA2">
        <v>348.46199999999999</v>
      </c>
      <c r="AB2">
        <v>348.46199999999999</v>
      </c>
      <c r="AC2">
        <v>348.46199999999999</v>
      </c>
      <c r="AD2">
        <v>348.46199999999999</v>
      </c>
      <c r="AE2">
        <v>348.46199999999999</v>
      </c>
      <c r="AF2">
        <v>348.46199999999999</v>
      </c>
    </row>
    <row r="3" spans="1:32" x14ac:dyDescent="0.35">
      <c r="A3" t="s">
        <v>288</v>
      </c>
      <c r="B3">
        <v>17.04</v>
      </c>
      <c r="C3">
        <v>23.748000000000001</v>
      </c>
      <c r="D3">
        <v>30.923999999999999</v>
      </c>
      <c r="E3">
        <v>38.256</v>
      </c>
      <c r="F3">
        <v>45.276000000000003</v>
      </c>
      <c r="G3">
        <v>51.515999999999998</v>
      </c>
      <c r="H3">
        <v>57.444000000000003</v>
      </c>
      <c r="I3">
        <v>63.372</v>
      </c>
      <c r="J3">
        <v>69.611999999999995</v>
      </c>
      <c r="K3">
        <v>75.852000000000004</v>
      </c>
      <c r="L3">
        <v>82.091999999999999</v>
      </c>
      <c r="M3">
        <v>82.091999999999999</v>
      </c>
      <c r="N3">
        <v>82.091999999999999</v>
      </c>
      <c r="O3">
        <v>82.091999999999999</v>
      </c>
      <c r="P3">
        <v>82.091999999999999</v>
      </c>
      <c r="Q3">
        <v>82.091999999999999</v>
      </c>
      <c r="R3">
        <v>82.091999999999999</v>
      </c>
      <c r="S3">
        <v>82.091999999999999</v>
      </c>
      <c r="T3">
        <v>82.091999999999999</v>
      </c>
      <c r="U3">
        <v>82.091999999999999</v>
      </c>
      <c r="V3">
        <v>82.091999999999999</v>
      </c>
      <c r="W3">
        <v>82.091999999999999</v>
      </c>
      <c r="X3">
        <v>82.091999999999999</v>
      </c>
      <c r="Y3">
        <v>82.091999999999999</v>
      </c>
      <c r="Z3">
        <v>82.091999999999999</v>
      </c>
      <c r="AA3">
        <v>82.091999999999999</v>
      </c>
      <c r="AB3">
        <v>82.091999999999999</v>
      </c>
      <c r="AC3">
        <v>82.091999999999999</v>
      </c>
      <c r="AD3">
        <v>82.091999999999999</v>
      </c>
      <c r="AE3">
        <v>82.091999999999999</v>
      </c>
      <c r="AF3">
        <v>82.091999999999999</v>
      </c>
    </row>
    <row r="4" spans="1:32" x14ac:dyDescent="0.35">
      <c r="A4" t="s">
        <v>289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35">
      <c r="A5" t="s">
        <v>290</v>
      </c>
      <c r="B5">
        <v>5.5750000000000002</v>
      </c>
      <c r="C5">
        <v>6.1189999999999998</v>
      </c>
      <c r="D5">
        <v>6.3259999999999996</v>
      </c>
      <c r="E5">
        <v>6.7350000000000003</v>
      </c>
      <c r="F5">
        <v>7.1109999999999998</v>
      </c>
      <c r="G5">
        <v>9.7780000000000005</v>
      </c>
      <c r="H5">
        <v>10.148</v>
      </c>
      <c r="I5">
        <v>10.647</v>
      </c>
      <c r="J5">
        <v>12.26</v>
      </c>
      <c r="K5">
        <v>14.051</v>
      </c>
      <c r="L5">
        <v>16.007000000000001</v>
      </c>
      <c r="M5">
        <v>16.007000000000001</v>
      </c>
      <c r="N5">
        <v>16.007000000000001</v>
      </c>
      <c r="O5">
        <v>16.007000000000001</v>
      </c>
      <c r="P5">
        <v>16.007000000000001</v>
      </c>
      <c r="Q5">
        <v>16.007000000000001</v>
      </c>
      <c r="R5">
        <v>16.007000000000001</v>
      </c>
      <c r="S5">
        <v>16.007000000000001</v>
      </c>
      <c r="T5">
        <v>16.007000000000001</v>
      </c>
      <c r="U5">
        <v>16.007000000000001</v>
      </c>
      <c r="V5">
        <v>16.007000000000001</v>
      </c>
      <c r="W5">
        <v>16.007000000000001</v>
      </c>
      <c r="X5">
        <v>16.007000000000001</v>
      </c>
      <c r="Y5">
        <v>16.007000000000001</v>
      </c>
      <c r="Z5">
        <v>16.007000000000001</v>
      </c>
      <c r="AA5">
        <v>16.007000000000001</v>
      </c>
      <c r="AB5">
        <v>16.007000000000001</v>
      </c>
      <c r="AC5">
        <v>16.007000000000001</v>
      </c>
      <c r="AD5">
        <v>16.007000000000001</v>
      </c>
      <c r="AE5">
        <v>16.007000000000001</v>
      </c>
      <c r="AF5">
        <v>16.007000000000001</v>
      </c>
    </row>
    <row r="6" spans="1:32" x14ac:dyDescent="0.35">
      <c r="A6" t="s">
        <v>291</v>
      </c>
      <c r="B6">
        <v>0.154</v>
      </c>
      <c r="C6">
        <v>0.154</v>
      </c>
      <c r="D6">
        <v>0.154</v>
      </c>
      <c r="E6">
        <v>0.184</v>
      </c>
      <c r="F6">
        <v>0.51900000000000002</v>
      </c>
      <c r="G6">
        <v>0.67400000000000004</v>
      </c>
      <c r="H6">
        <v>0.74399999999999999</v>
      </c>
      <c r="I6">
        <v>0.81399999999999995</v>
      </c>
      <c r="J6">
        <v>0.88400000000000001</v>
      </c>
      <c r="K6">
        <v>0.95399999999999996</v>
      </c>
      <c r="L6">
        <v>1.024</v>
      </c>
      <c r="M6">
        <v>1.024</v>
      </c>
      <c r="N6">
        <v>1.024</v>
      </c>
      <c r="O6">
        <v>1.024</v>
      </c>
      <c r="P6">
        <v>1.024</v>
      </c>
      <c r="Q6">
        <v>1.024</v>
      </c>
      <c r="R6">
        <v>1.024</v>
      </c>
      <c r="S6">
        <v>1.024</v>
      </c>
      <c r="T6">
        <v>1.024</v>
      </c>
      <c r="U6">
        <v>1.024</v>
      </c>
      <c r="V6">
        <v>1.024</v>
      </c>
      <c r="W6">
        <v>1.024</v>
      </c>
      <c r="X6">
        <v>1.024</v>
      </c>
      <c r="Y6">
        <v>1.024</v>
      </c>
      <c r="Z6">
        <v>1.024</v>
      </c>
      <c r="AA6">
        <v>1.024</v>
      </c>
      <c r="AB6">
        <v>1.024</v>
      </c>
      <c r="AC6">
        <v>1.024</v>
      </c>
      <c r="AD6">
        <v>1.024</v>
      </c>
      <c r="AE6">
        <v>1.024</v>
      </c>
      <c r="AF6">
        <v>1.024</v>
      </c>
    </row>
    <row r="7" spans="1:32" x14ac:dyDescent="0.35">
      <c r="A7" t="s">
        <v>292</v>
      </c>
      <c r="B7">
        <v>0.16500000000000001</v>
      </c>
      <c r="C7">
        <v>0.22500000000000001</v>
      </c>
      <c r="D7">
        <v>0.51100000000000001</v>
      </c>
      <c r="E7">
        <v>1.819</v>
      </c>
      <c r="F7">
        <v>2.4430000000000001</v>
      </c>
      <c r="G7">
        <v>4.0730000000000004</v>
      </c>
      <c r="H7">
        <v>4.1989999999999998</v>
      </c>
      <c r="I7">
        <v>4.3470000000000004</v>
      </c>
      <c r="J7">
        <v>4.5110000000000001</v>
      </c>
      <c r="K7">
        <v>4.6829999999999998</v>
      </c>
      <c r="L7">
        <v>4.8390000000000004</v>
      </c>
      <c r="M7">
        <v>4.8390000000000004</v>
      </c>
      <c r="N7">
        <v>4.8390000000000004</v>
      </c>
      <c r="O7">
        <v>4.8390000000000004</v>
      </c>
      <c r="P7">
        <v>4.8390000000000004</v>
      </c>
      <c r="Q7">
        <v>4.8390000000000004</v>
      </c>
      <c r="R7">
        <v>4.8390000000000004</v>
      </c>
      <c r="S7">
        <v>4.8390000000000004</v>
      </c>
      <c r="T7">
        <v>4.8390000000000004</v>
      </c>
      <c r="U7">
        <v>4.8390000000000004</v>
      </c>
      <c r="V7">
        <v>4.8390000000000004</v>
      </c>
      <c r="W7">
        <v>4.8390000000000004</v>
      </c>
      <c r="X7">
        <v>4.8390000000000004</v>
      </c>
      <c r="Y7">
        <v>4.8390000000000004</v>
      </c>
      <c r="Z7">
        <v>4.8390000000000004</v>
      </c>
      <c r="AA7">
        <v>4.8390000000000004</v>
      </c>
      <c r="AB7">
        <v>4.8390000000000004</v>
      </c>
      <c r="AC7">
        <v>4.8390000000000004</v>
      </c>
      <c r="AD7">
        <v>4.8390000000000004</v>
      </c>
      <c r="AE7">
        <v>4.8390000000000004</v>
      </c>
      <c r="AF7">
        <v>4.8390000000000004</v>
      </c>
    </row>
    <row r="8" spans="1:32" x14ac:dyDescent="0.35">
      <c r="A8" t="s">
        <v>293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2" x14ac:dyDescent="0.35">
      <c r="A9" t="s">
        <v>294</v>
      </c>
      <c r="B9">
        <v>0.14699999999999999</v>
      </c>
      <c r="C9">
        <v>0.14699999999999999</v>
      </c>
      <c r="D9">
        <v>0.183</v>
      </c>
      <c r="E9">
        <v>0.255</v>
      </c>
      <c r="F9">
        <v>0.435</v>
      </c>
      <c r="G9">
        <v>0.65100000000000002</v>
      </c>
      <c r="H9">
        <v>0.66900000000000004</v>
      </c>
      <c r="I9">
        <v>0.68700000000000006</v>
      </c>
      <c r="J9">
        <v>0.70499999999999996</v>
      </c>
      <c r="K9">
        <v>0.72299999999999998</v>
      </c>
      <c r="L9">
        <v>0.74099999999999999</v>
      </c>
      <c r="M9">
        <v>0.74099999999999999</v>
      </c>
      <c r="N9">
        <v>0.74099999999999999</v>
      </c>
      <c r="O9">
        <v>0.74099999999999999</v>
      </c>
      <c r="P9">
        <v>0.74099999999999999</v>
      </c>
      <c r="Q9">
        <v>0.74099999999999999</v>
      </c>
      <c r="R9">
        <v>0.74099999999999999</v>
      </c>
      <c r="S9">
        <v>0.74099999999999999</v>
      </c>
      <c r="T9">
        <v>0.74099999999999999</v>
      </c>
      <c r="U9">
        <v>0.74099999999999999</v>
      </c>
      <c r="V9">
        <v>0.74099999999999999</v>
      </c>
      <c r="W9">
        <v>0.74099999999999999</v>
      </c>
      <c r="X9">
        <v>0.74099999999999999</v>
      </c>
      <c r="Y9">
        <v>0.74099999999999999</v>
      </c>
      <c r="Z9">
        <v>0.74099999999999999</v>
      </c>
      <c r="AA9">
        <v>0.74099999999999999</v>
      </c>
      <c r="AB9">
        <v>0.74099999999999999</v>
      </c>
      <c r="AC9">
        <v>0.74099999999999999</v>
      </c>
      <c r="AD9">
        <v>0.74099999999999999</v>
      </c>
      <c r="AE9">
        <v>0.74099999999999999</v>
      </c>
      <c r="AF9">
        <v>0.74099999999999999</v>
      </c>
    </row>
    <row r="10" spans="1:32" x14ac:dyDescent="0.35">
      <c r="A10" t="s">
        <v>295</v>
      </c>
      <c r="B10">
        <v>2.2610000000000001</v>
      </c>
      <c r="C10">
        <v>2.391</v>
      </c>
      <c r="D10">
        <v>2.4950000000000001</v>
      </c>
      <c r="E10">
        <v>2.677</v>
      </c>
      <c r="F10">
        <v>2.8069999999999999</v>
      </c>
      <c r="G10">
        <v>3.665</v>
      </c>
      <c r="H10">
        <v>3.9510000000000001</v>
      </c>
      <c r="I10">
        <v>4.0679999999999996</v>
      </c>
      <c r="J10">
        <v>4.51</v>
      </c>
      <c r="K10">
        <v>4.7439999999999998</v>
      </c>
      <c r="L10">
        <v>5.55</v>
      </c>
      <c r="M10">
        <v>5.55</v>
      </c>
      <c r="N10">
        <v>5.55</v>
      </c>
      <c r="O10">
        <v>5.55</v>
      </c>
      <c r="P10">
        <v>5.55</v>
      </c>
      <c r="Q10">
        <v>5.55</v>
      </c>
      <c r="R10">
        <v>5.55</v>
      </c>
      <c r="S10">
        <v>5.55</v>
      </c>
      <c r="T10">
        <v>5.55</v>
      </c>
      <c r="U10">
        <v>5.55</v>
      </c>
      <c r="V10">
        <v>5.55</v>
      </c>
      <c r="W10">
        <v>5.55</v>
      </c>
      <c r="X10">
        <v>5.55</v>
      </c>
      <c r="Y10">
        <v>5.55</v>
      </c>
      <c r="Z10">
        <v>5.55</v>
      </c>
      <c r="AA10">
        <v>5.55</v>
      </c>
      <c r="AB10">
        <v>5.55</v>
      </c>
      <c r="AC10">
        <v>5.55</v>
      </c>
      <c r="AD10">
        <v>5.55</v>
      </c>
      <c r="AE10">
        <v>5.55</v>
      </c>
      <c r="AF10">
        <v>5.55</v>
      </c>
    </row>
    <row r="11" spans="1:32" x14ac:dyDescent="0.35">
      <c r="A11" t="s">
        <v>296</v>
      </c>
      <c r="B11">
        <v>4.78</v>
      </c>
      <c r="C11">
        <v>4.78</v>
      </c>
      <c r="D11">
        <v>4.78</v>
      </c>
      <c r="E11">
        <v>4.78</v>
      </c>
      <c r="F11">
        <v>4.78</v>
      </c>
      <c r="G11">
        <v>4.78</v>
      </c>
      <c r="H11">
        <v>4.78</v>
      </c>
      <c r="I11">
        <v>4.78</v>
      </c>
      <c r="J11">
        <v>4.78</v>
      </c>
      <c r="K11">
        <v>4.78</v>
      </c>
      <c r="L11">
        <v>4.78</v>
      </c>
      <c r="M11">
        <v>4.78</v>
      </c>
      <c r="N11">
        <v>4.78</v>
      </c>
      <c r="O11">
        <v>4.78</v>
      </c>
      <c r="P11">
        <v>4.78</v>
      </c>
      <c r="Q11">
        <v>4.78</v>
      </c>
      <c r="R11">
        <v>4.78</v>
      </c>
      <c r="S11">
        <v>4.78</v>
      </c>
      <c r="T11">
        <v>4.78</v>
      </c>
      <c r="U11">
        <v>4.78</v>
      </c>
      <c r="V11">
        <v>4.78</v>
      </c>
      <c r="W11">
        <v>4.78</v>
      </c>
      <c r="X11">
        <v>4.78</v>
      </c>
      <c r="Y11">
        <v>4.78</v>
      </c>
      <c r="Z11">
        <v>4.78</v>
      </c>
      <c r="AA11">
        <v>4.78</v>
      </c>
      <c r="AB11">
        <v>4.78</v>
      </c>
      <c r="AC11">
        <v>4.78</v>
      </c>
      <c r="AD11">
        <v>4.78</v>
      </c>
      <c r="AE11">
        <v>4.78</v>
      </c>
      <c r="AF11">
        <v>4.78</v>
      </c>
    </row>
    <row r="12" spans="1:32" x14ac:dyDescent="0.35">
      <c r="A12" t="s">
        <v>297</v>
      </c>
      <c r="B12">
        <v>2.8420000000000001</v>
      </c>
      <c r="C12">
        <v>2.8420000000000001</v>
      </c>
      <c r="D12">
        <v>2.8420000000000001</v>
      </c>
      <c r="E12">
        <v>2.8420000000000001</v>
      </c>
      <c r="F12">
        <v>2.8420000000000001</v>
      </c>
      <c r="G12">
        <v>2.8420000000000001</v>
      </c>
      <c r="H12">
        <v>2.8420000000000001</v>
      </c>
      <c r="I12">
        <v>2.8420000000000001</v>
      </c>
      <c r="J12">
        <v>2.8420000000000001</v>
      </c>
      <c r="K12">
        <v>2.8420000000000001</v>
      </c>
      <c r="L12">
        <v>2.8420000000000001</v>
      </c>
      <c r="M12">
        <v>2.8420000000000001</v>
      </c>
      <c r="N12">
        <v>2.8420000000000001</v>
      </c>
      <c r="O12">
        <v>2.8420000000000001</v>
      </c>
      <c r="P12">
        <v>2.8420000000000001</v>
      </c>
      <c r="Q12">
        <v>2.8420000000000001</v>
      </c>
      <c r="R12">
        <v>2.8420000000000001</v>
      </c>
      <c r="S12">
        <v>2.8420000000000001</v>
      </c>
      <c r="T12">
        <v>2.8420000000000001</v>
      </c>
      <c r="U12">
        <v>2.8420000000000001</v>
      </c>
      <c r="V12">
        <v>2.8420000000000001</v>
      </c>
      <c r="W12">
        <v>2.8420000000000001</v>
      </c>
      <c r="X12">
        <v>2.8420000000000001</v>
      </c>
      <c r="Y12">
        <v>2.8420000000000001</v>
      </c>
      <c r="Z12">
        <v>2.8420000000000001</v>
      </c>
      <c r="AA12">
        <v>2.8420000000000001</v>
      </c>
      <c r="AB12">
        <v>2.8420000000000001</v>
      </c>
      <c r="AC12">
        <v>2.8420000000000001</v>
      </c>
      <c r="AD12">
        <v>2.8420000000000001</v>
      </c>
      <c r="AE12">
        <v>2.8420000000000001</v>
      </c>
      <c r="AF12">
        <v>2.8420000000000001</v>
      </c>
    </row>
    <row r="13" spans="1:32" x14ac:dyDescent="0.35">
      <c r="A13" t="s">
        <v>298</v>
      </c>
      <c r="B13">
        <v>4.2000000000000003E-2</v>
      </c>
      <c r="C13">
        <v>4.2000000000000003E-2</v>
      </c>
      <c r="D13">
        <v>4.2000000000000003E-2</v>
      </c>
      <c r="E13">
        <v>4.2000000000000003E-2</v>
      </c>
      <c r="F13">
        <v>4.2000000000000003E-2</v>
      </c>
      <c r="G13">
        <v>4.2000000000000003E-2</v>
      </c>
      <c r="H13">
        <v>4.2000000000000003E-2</v>
      </c>
      <c r="I13">
        <v>4.2000000000000003E-2</v>
      </c>
      <c r="J13">
        <v>4.2000000000000003E-2</v>
      </c>
      <c r="K13">
        <v>4.2000000000000003E-2</v>
      </c>
      <c r="L13">
        <v>4.2000000000000003E-2</v>
      </c>
      <c r="M13">
        <v>4.2000000000000003E-2</v>
      </c>
      <c r="N13">
        <v>4.2000000000000003E-2</v>
      </c>
      <c r="O13">
        <v>4.2000000000000003E-2</v>
      </c>
      <c r="P13">
        <v>4.2000000000000003E-2</v>
      </c>
      <c r="Q13">
        <v>4.2000000000000003E-2</v>
      </c>
      <c r="R13">
        <v>4.2000000000000003E-2</v>
      </c>
      <c r="S13">
        <v>4.2000000000000003E-2</v>
      </c>
      <c r="T13">
        <v>4.2000000000000003E-2</v>
      </c>
      <c r="U13">
        <v>4.2000000000000003E-2</v>
      </c>
      <c r="V13">
        <v>4.2000000000000003E-2</v>
      </c>
      <c r="W13">
        <v>4.2000000000000003E-2</v>
      </c>
      <c r="X13">
        <v>4.2000000000000003E-2</v>
      </c>
      <c r="Y13">
        <v>4.2000000000000003E-2</v>
      </c>
      <c r="Z13">
        <v>4.2000000000000003E-2</v>
      </c>
      <c r="AA13">
        <v>4.2000000000000003E-2</v>
      </c>
      <c r="AB13">
        <v>4.2000000000000003E-2</v>
      </c>
      <c r="AC13">
        <v>4.2000000000000003E-2</v>
      </c>
      <c r="AD13">
        <v>4.2000000000000003E-2</v>
      </c>
      <c r="AE13">
        <v>4.2000000000000003E-2</v>
      </c>
      <c r="AF13">
        <v>4.2000000000000003E-2</v>
      </c>
    </row>
    <row r="14" spans="1:32" x14ac:dyDescent="0.35">
      <c r="A14" t="s">
        <v>299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</row>
    <row r="15" spans="1:32" x14ac:dyDescent="0.35">
      <c r="A15" t="s">
        <v>300</v>
      </c>
      <c r="B15">
        <v>1.417</v>
      </c>
      <c r="C15">
        <v>2.8340000000000001</v>
      </c>
      <c r="D15">
        <v>4.056</v>
      </c>
      <c r="E15">
        <v>4.6669999999999998</v>
      </c>
      <c r="F15">
        <v>4.8620000000000001</v>
      </c>
      <c r="G15">
        <v>5.0179999999999998</v>
      </c>
      <c r="H15">
        <v>5.1740000000000004</v>
      </c>
      <c r="I15">
        <v>5.33</v>
      </c>
      <c r="J15">
        <v>5.4859999999999998</v>
      </c>
      <c r="K15">
        <v>5.6420000000000003</v>
      </c>
      <c r="L15">
        <v>5.798</v>
      </c>
      <c r="M15">
        <v>5.798</v>
      </c>
      <c r="N15">
        <v>5.798</v>
      </c>
      <c r="O15">
        <v>5.798</v>
      </c>
      <c r="P15">
        <v>5.798</v>
      </c>
      <c r="Q15">
        <v>5.798</v>
      </c>
      <c r="R15">
        <v>5.798</v>
      </c>
      <c r="S15">
        <v>5.798</v>
      </c>
      <c r="T15">
        <v>5.798</v>
      </c>
      <c r="U15">
        <v>5.798</v>
      </c>
      <c r="V15">
        <v>5.798</v>
      </c>
      <c r="W15">
        <v>5.798</v>
      </c>
      <c r="X15">
        <v>5.798</v>
      </c>
      <c r="Y15">
        <v>5.798</v>
      </c>
      <c r="Z15">
        <v>5.798</v>
      </c>
      <c r="AA15">
        <v>5.798</v>
      </c>
      <c r="AB15">
        <v>5.798</v>
      </c>
      <c r="AC15">
        <v>5.798</v>
      </c>
      <c r="AD15">
        <v>5.798</v>
      </c>
      <c r="AE15">
        <v>5.798</v>
      </c>
      <c r="AF15">
        <v>5.798</v>
      </c>
    </row>
    <row r="16" spans="1:32" x14ac:dyDescent="0.35">
      <c r="A16" t="s">
        <v>301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</row>
    <row r="17" spans="1:32" x14ac:dyDescent="0.35">
      <c r="A17" t="s">
        <v>302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F4A00D-FEE1-4109-9021-DF78FFA4A8D5}">
  <dimension ref="A1:AF49"/>
  <sheetViews>
    <sheetView workbookViewId="0">
      <selection sqref="A1:AF49"/>
    </sheetView>
  </sheetViews>
  <sheetFormatPr defaultColWidth="8.81640625" defaultRowHeight="14.5" x14ac:dyDescent="0.35"/>
  <cols>
    <col min="1" max="1" width="63.36328125" customWidth="1"/>
  </cols>
  <sheetData>
    <row r="1" spans="1:32" x14ac:dyDescent="0.35">
      <c r="A1" t="s">
        <v>258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35">
      <c r="A2" t="s">
        <v>303</v>
      </c>
      <c r="B2">
        <v>3854.4</v>
      </c>
      <c r="C2">
        <v>4084.67</v>
      </c>
      <c r="D2">
        <v>3854.4</v>
      </c>
      <c r="E2">
        <v>3854.4</v>
      </c>
      <c r="F2">
        <v>3854.4</v>
      </c>
      <c r="G2">
        <v>3854.4</v>
      </c>
      <c r="H2">
        <v>3854.4</v>
      </c>
      <c r="I2">
        <v>3854.4</v>
      </c>
      <c r="J2">
        <v>3854.4</v>
      </c>
      <c r="K2">
        <v>3854.4</v>
      </c>
      <c r="L2">
        <v>3854.4</v>
      </c>
      <c r="M2">
        <v>3854.4</v>
      </c>
      <c r="N2">
        <v>3854.4</v>
      </c>
      <c r="O2">
        <v>3854.4</v>
      </c>
      <c r="P2">
        <v>3854.4</v>
      </c>
      <c r="Q2">
        <v>3854.4</v>
      </c>
      <c r="R2">
        <v>3854.4</v>
      </c>
      <c r="S2">
        <v>3854.4</v>
      </c>
      <c r="T2">
        <v>3854.4</v>
      </c>
      <c r="U2">
        <v>3854.4</v>
      </c>
      <c r="V2">
        <v>3854.4</v>
      </c>
      <c r="W2">
        <v>3854.4</v>
      </c>
      <c r="X2">
        <v>3854.4</v>
      </c>
      <c r="Y2">
        <v>3854.4</v>
      </c>
      <c r="Z2">
        <v>3854.4</v>
      </c>
      <c r="AA2">
        <v>3854.4</v>
      </c>
      <c r="AB2">
        <v>3854.4</v>
      </c>
      <c r="AC2">
        <v>3854.4</v>
      </c>
      <c r="AD2">
        <v>3854.4</v>
      </c>
      <c r="AE2">
        <v>3854.4</v>
      </c>
      <c r="AF2">
        <v>3854.4</v>
      </c>
    </row>
    <row r="3" spans="1:32" x14ac:dyDescent="0.35">
      <c r="A3" t="s">
        <v>304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35">
      <c r="A4" t="s">
        <v>305</v>
      </c>
      <c r="B4">
        <v>4239.84</v>
      </c>
      <c r="C4">
        <v>4493.1400000000003</v>
      </c>
      <c r="D4">
        <v>4239.84</v>
      </c>
      <c r="E4">
        <v>4239.84</v>
      </c>
      <c r="F4">
        <v>4239.84</v>
      </c>
      <c r="G4">
        <v>4239.84</v>
      </c>
      <c r="H4">
        <v>4239.84</v>
      </c>
      <c r="I4">
        <v>4239.84</v>
      </c>
      <c r="J4">
        <v>4239.84</v>
      </c>
      <c r="K4">
        <v>4239.84</v>
      </c>
      <c r="L4">
        <v>4239.84</v>
      </c>
      <c r="M4">
        <v>4239.84</v>
      </c>
      <c r="N4">
        <v>4239.84</v>
      </c>
      <c r="O4">
        <v>4239.84</v>
      </c>
      <c r="P4">
        <v>4239.84</v>
      </c>
      <c r="Q4">
        <v>4239.84</v>
      </c>
      <c r="R4">
        <v>4239.84</v>
      </c>
      <c r="S4">
        <v>4239.84</v>
      </c>
      <c r="T4">
        <v>4239.84</v>
      </c>
      <c r="U4">
        <v>4239.84</v>
      </c>
      <c r="V4">
        <v>4239.84</v>
      </c>
      <c r="W4">
        <v>4239.84</v>
      </c>
      <c r="X4">
        <v>4239.84</v>
      </c>
      <c r="Y4">
        <v>4239.84</v>
      </c>
      <c r="Z4">
        <v>4239.84</v>
      </c>
      <c r="AA4">
        <v>4239.84</v>
      </c>
      <c r="AB4">
        <v>4239.84</v>
      </c>
      <c r="AC4">
        <v>4239.84</v>
      </c>
      <c r="AD4">
        <v>4239.84</v>
      </c>
      <c r="AE4">
        <v>4239.84</v>
      </c>
      <c r="AF4">
        <v>4239.84</v>
      </c>
    </row>
    <row r="5" spans="1:32" x14ac:dyDescent="0.35">
      <c r="A5" t="s">
        <v>306</v>
      </c>
      <c r="B5">
        <v>7884</v>
      </c>
      <c r="C5">
        <v>7884</v>
      </c>
      <c r="D5">
        <v>7884</v>
      </c>
      <c r="E5">
        <v>7884</v>
      </c>
      <c r="F5">
        <v>7884</v>
      </c>
      <c r="G5">
        <v>7884</v>
      </c>
      <c r="H5">
        <v>7884</v>
      </c>
      <c r="I5">
        <v>7884</v>
      </c>
      <c r="J5">
        <v>7884</v>
      </c>
      <c r="K5">
        <v>7884</v>
      </c>
      <c r="L5">
        <v>7884</v>
      </c>
      <c r="M5">
        <v>7884</v>
      </c>
      <c r="N5">
        <v>7884</v>
      </c>
      <c r="O5">
        <v>7884</v>
      </c>
      <c r="P5">
        <v>7884</v>
      </c>
      <c r="Q5">
        <v>7884</v>
      </c>
      <c r="R5">
        <v>7884</v>
      </c>
      <c r="S5">
        <v>7884</v>
      </c>
      <c r="T5">
        <v>7884</v>
      </c>
      <c r="U5">
        <v>7884</v>
      </c>
      <c r="V5">
        <v>7884</v>
      </c>
      <c r="W5">
        <v>7884</v>
      </c>
      <c r="X5">
        <v>7884</v>
      </c>
      <c r="Y5">
        <v>7884</v>
      </c>
      <c r="Z5">
        <v>7884</v>
      </c>
      <c r="AA5">
        <v>7884</v>
      </c>
      <c r="AB5">
        <v>7884</v>
      </c>
      <c r="AC5">
        <v>7884</v>
      </c>
      <c r="AD5">
        <v>7884</v>
      </c>
      <c r="AE5">
        <v>7884</v>
      </c>
      <c r="AF5">
        <v>7884</v>
      </c>
    </row>
    <row r="6" spans="1:32" x14ac:dyDescent="0.35">
      <c r="A6" t="s">
        <v>307</v>
      </c>
      <c r="B6">
        <v>7884</v>
      </c>
      <c r="C6">
        <v>7884</v>
      </c>
      <c r="D6">
        <v>7884</v>
      </c>
      <c r="E6">
        <v>7884</v>
      </c>
      <c r="F6">
        <v>7884</v>
      </c>
      <c r="G6">
        <v>7884</v>
      </c>
      <c r="H6">
        <v>7884</v>
      </c>
      <c r="I6">
        <v>7884</v>
      </c>
      <c r="J6">
        <v>7884</v>
      </c>
      <c r="K6">
        <v>7884</v>
      </c>
      <c r="L6">
        <v>7884</v>
      </c>
      <c r="M6">
        <v>7884</v>
      </c>
      <c r="N6">
        <v>7884</v>
      </c>
      <c r="O6">
        <v>7884</v>
      </c>
      <c r="P6">
        <v>7884</v>
      </c>
      <c r="Q6">
        <v>7884</v>
      </c>
      <c r="R6">
        <v>7884</v>
      </c>
      <c r="S6">
        <v>7884</v>
      </c>
      <c r="T6">
        <v>7884</v>
      </c>
      <c r="U6">
        <v>7884</v>
      </c>
      <c r="V6">
        <v>7884</v>
      </c>
      <c r="W6">
        <v>7884</v>
      </c>
      <c r="X6">
        <v>7884</v>
      </c>
      <c r="Y6">
        <v>7884</v>
      </c>
      <c r="Z6">
        <v>7884</v>
      </c>
      <c r="AA6">
        <v>7884</v>
      </c>
      <c r="AB6">
        <v>7884</v>
      </c>
      <c r="AC6">
        <v>7884</v>
      </c>
      <c r="AD6">
        <v>7884</v>
      </c>
      <c r="AE6">
        <v>7884</v>
      </c>
      <c r="AF6">
        <v>7884</v>
      </c>
    </row>
    <row r="7" spans="1:32" x14ac:dyDescent="0.35">
      <c r="A7" t="s">
        <v>308</v>
      </c>
      <c r="B7">
        <v>7884</v>
      </c>
      <c r="C7">
        <v>7884</v>
      </c>
      <c r="D7">
        <v>7884</v>
      </c>
      <c r="E7">
        <v>7884</v>
      </c>
      <c r="F7">
        <v>7884</v>
      </c>
      <c r="G7">
        <v>7884</v>
      </c>
      <c r="H7">
        <v>7884</v>
      </c>
      <c r="I7">
        <v>7884</v>
      </c>
      <c r="J7">
        <v>7884</v>
      </c>
      <c r="K7">
        <v>7884</v>
      </c>
      <c r="L7">
        <v>7884</v>
      </c>
      <c r="M7">
        <v>7884</v>
      </c>
      <c r="N7">
        <v>7884</v>
      </c>
      <c r="O7">
        <v>7884</v>
      </c>
      <c r="P7">
        <v>7884</v>
      </c>
      <c r="Q7">
        <v>7884</v>
      </c>
      <c r="R7">
        <v>7884</v>
      </c>
      <c r="S7">
        <v>7884</v>
      </c>
      <c r="T7">
        <v>7884</v>
      </c>
      <c r="U7">
        <v>7884</v>
      </c>
      <c r="V7">
        <v>7884</v>
      </c>
      <c r="W7">
        <v>7884</v>
      </c>
      <c r="X7">
        <v>7884</v>
      </c>
      <c r="Y7">
        <v>7884</v>
      </c>
      <c r="Z7">
        <v>7884</v>
      </c>
      <c r="AA7">
        <v>7884</v>
      </c>
      <c r="AB7">
        <v>7884</v>
      </c>
      <c r="AC7">
        <v>7884</v>
      </c>
      <c r="AD7">
        <v>7884</v>
      </c>
      <c r="AE7">
        <v>7884</v>
      </c>
      <c r="AF7">
        <v>7884</v>
      </c>
    </row>
    <row r="8" spans="1:32" x14ac:dyDescent="0.35">
      <c r="A8" t="s">
        <v>309</v>
      </c>
      <c r="B8">
        <v>8094.24</v>
      </c>
      <c r="C8">
        <v>8094.24</v>
      </c>
      <c r="D8">
        <v>8094.24</v>
      </c>
      <c r="E8">
        <v>8094.24</v>
      </c>
      <c r="F8">
        <v>8094.24</v>
      </c>
      <c r="G8">
        <v>8094.24</v>
      </c>
      <c r="H8">
        <v>8094.24</v>
      </c>
      <c r="I8">
        <v>8094.24</v>
      </c>
      <c r="J8">
        <v>8094.24</v>
      </c>
      <c r="K8">
        <v>8094.24</v>
      </c>
      <c r="L8">
        <v>8094.24</v>
      </c>
      <c r="M8">
        <v>8094.24</v>
      </c>
      <c r="N8">
        <v>8094.24</v>
      </c>
      <c r="O8">
        <v>8094.24</v>
      </c>
      <c r="P8">
        <v>8094.24</v>
      </c>
      <c r="Q8">
        <v>8094.24</v>
      </c>
      <c r="R8">
        <v>8094.24</v>
      </c>
      <c r="S8">
        <v>8094.24</v>
      </c>
      <c r="T8">
        <v>8094.24</v>
      </c>
      <c r="U8">
        <v>8094.24</v>
      </c>
      <c r="V8">
        <v>8094.24</v>
      </c>
      <c r="W8">
        <v>8094.24</v>
      </c>
      <c r="X8">
        <v>8094.24</v>
      </c>
      <c r="Y8">
        <v>8094.24</v>
      </c>
      <c r="Z8">
        <v>8094.24</v>
      </c>
      <c r="AA8">
        <v>8094.24</v>
      </c>
      <c r="AB8">
        <v>8094.24</v>
      </c>
      <c r="AC8">
        <v>8094.24</v>
      </c>
      <c r="AD8">
        <v>8094.24</v>
      </c>
      <c r="AE8">
        <v>8094.24</v>
      </c>
      <c r="AF8">
        <v>8094.24</v>
      </c>
    </row>
    <row r="9" spans="1:32" x14ac:dyDescent="0.35">
      <c r="A9" t="s">
        <v>310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</row>
    <row r="10" spans="1:32" x14ac:dyDescent="0.35">
      <c r="A10" t="s">
        <v>311</v>
      </c>
      <c r="B10">
        <v>8094.24</v>
      </c>
      <c r="C10">
        <v>8094.24</v>
      </c>
      <c r="D10">
        <v>8094.24</v>
      </c>
      <c r="E10">
        <v>8094.24</v>
      </c>
      <c r="F10">
        <v>8094.24</v>
      </c>
      <c r="G10">
        <v>8094.24</v>
      </c>
      <c r="H10">
        <v>8094.24</v>
      </c>
      <c r="I10">
        <v>8094.24</v>
      </c>
      <c r="J10">
        <v>8094.24</v>
      </c>
      <c r="K10">
        <v>8094.24</v>
      </c>
      <c r="L10">
        <v>8094.24</v>
      </c>
      <c r="M10">
        <v>8094.24</v>
      </c>
      <c r="N10">
        <v>8094.24</v>
      </c>
      <c r="O10">
        <v>8094.24</v>
      </c>
      <c r="P10">
        <v>8094.24</v>
      </c>
      <c r="Q10">
        <v>8094.24</v>
      </c>
      <c r="R10">
        <v>8094.24</v>
      </c>
      <c r="S10">
        <v>8094.24</v>
      </c>
      <c r="T10">
        <v>8094.24</v>
      </c>
      <c r="U10">
        <v>8094.24</v>
      </c>
      <c r="V10">
        <v>8094.24</v>
      </c>
      <c r="W10">
        <v>8094.24</v>
      </c>
      <c r="X10">
        <v>8094.24</v>
      </c>
      <c r="Y10">
        <v>8094.24</v>
      </c>
      <c r="Z10">
        <v>8094.24</v>
      </c>
      <c r="AA10">
        <v>8094.24</v>
      </c>
      <c r="AB10">
        <v>8094.24</v>
      </c>
      <c r="AC10">
        <v>8094.24</v>
      </c>
      <c r="AD10">
        <v>8094.24</v>
      </c>
      <c r="AE10">
        <v>8094.24</v>
      </c>
      <c r="AF10">
        <v>8094.24</v>
      </c>
    </row>
    <row r="11" spans="1:32" x14ac:dyDescent="0.35">
      <c r="A11" t="s">
        <v>312</v>
      </c>
      <c r="B11">
        <v>3565.32</v>
      </c>
      <c r="C11">
        <v>3565.32</v>
      </c>
      <c r="D11">
        <v>3565.32</v>
      </c>
      <c r="E11">
        <v>3565.32</v>
      </c>
      <c r="F11">
        <v>3565.32</v>
      </c>
      <c r="G11">
        <v>3565.32</v>
      </c>
      <c r="H11">
        <v>3565.32</v>
      </c>
      <c r="I11">
        <v>3565.32</v>
      </c>
      <c r="J11">
        <v>3565.32</v>
      </c>
      <c r="K11">
        <v>3565.32</v>
      </c>
      <c r="L11">
        <v>3565.32</v>
      </c>
      <c r="M11">
        <v>3565.32</v>
      </c>
      <c r="N11">
        <v>3565.32</v>
      </c>
      <c r="O11">
        <v>3565.32</v>
      </c>
      <c r="P11">
        <v>3565.32</v>
      </c>
      <c r="Q11">
        <v>3565.32</v>
      </c>
      <c r="R11">
        <v>3565.32</v>
      </c>
      <c r="S11">
        <v>3565.32</v>
      </c>
      <c r="T11">
        <v>3565.32</v>
      </c>
      <c r="U11">
        <v>3565.32</v>
      </c>
      <c r="V11">
        <v>3565.32</v>
      </c>
      <c r="W11">
        <v>3565.32</v>
      </c>
      <c r="X11">
        <v>3565.32</v>
      </c>
      <c r="Y11">
        <v>3565.32</v>
      </c>
      <c r="Z11">
        <v>3565.32</v>
      </c>
      <c r="AA11">
        <v>3565.32</v>
      </c>
      <c r="AB11">
        <v>3565.32</v>
      </c>
      <c r="AC11">
        <v>3565.32</v>
      </c>
      <c r="AD11">
        <v>3565.32</v>
      </c>
      <c r="AE11">
        <v>3565.32</v>
      </c>
      <c r="AF11">
        <v>3565.32</v>
      </c>
    </row>
    <row r="12" spans="1:32" x14ac:dyDescent="0.35">
      <c r="A12" t="s">
        <v>313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</row>
    <row r="13" spans="1:32" x14ac:dyDescent="0.35">
      <c r="A13" t="s">
        <v>314</v>
      </c>
      <c r="B13">
        <v>3924.48</v>
      </c>
      <c r="C13">
        <v>3924.48</v>
      </c>
      <c r="D13">
        <v>3924.48</v>
      </c>
      <c r="E13">
        <v>3924.48</v>
      </c>
      <c r="F13">
        <v>3924.48</v>
      </c>
      <c r="G13">
        <v>3924.48</v>
      </c>
      <c r="H13">
        <v>3924.48</v>
      </c>
      <c r="I13">
        <v>3924.48</v>
      </c>
      <c r="J13">
        <v>3924.48</v>
      </c>
      <c r="K13">
        <v>3924.48</v>
      </c>
      <c r="L13">
        <v>3924.48</v>
      </c>
      <c r="M13">
        <v>3924.48</v>
      </c>
      <c r="N13">
        <v>3924.48</v>
      </c>
      <c r="O13">
        <v>3924.48</v>
      </c>
      <c r="P13">
        <v>3924.48</v>
      </c>
      <c r="Q13">
        <v>3924.48</v>
      </c>
      <c r="R13">
        <v>3924.48</v>
      </c>
      <c r="S13">
        <v>3924.48</v>
      </c>
      <c r="T13">
        <v>3924.48</v>
      </c>
      <c r="U13">
        <v>3924.48</v>
      </c>
      <c r="V13">
        <v>3924.48</v>
      </c>
      <c r="W13">
        <v>3924.48</v>
      </c>
      <c r="X13">
        <v>3924.48</v>
      </c>
      <c r="Y13">
        <v>3924.48</v>
      </c>
      <c r="Z13">
        <v>3924.48</v>
      </c>
      <c r="AA13">
        <v>3924.48</v>
      </c>
      <c r="AB13">
        <v>3924.48</v>
      </c>
      <c r="AC13">
        <v>3924.48</v>
      </c>
      <c r="AD13">
        <v>3924.48</v>
      </c>
      <c r="AE13">
        <v>3924.48</v>
      </c>
      <c r="AF13">
        <v>3924.48</v>
      </c>
    </row>
    <row r="14" spans="1:32" x14ac:dyDescent="0.35">
      <c r="A14" t="s">
        <v>315</v>
      </c>
      <c r="B14">
        <v>3047.38</v>
      </c>
      <c r="C14">
        <v>3038.13</v>
      </c>
      <c r="D14">
        <v>3029.15</v>
      </c>
      <c r="E14">
        <v>3025.35</v>
      </c>
      <c r="F14">
        <v>3023.79</v>
      </c>
      <c r="G14">
        <v>3023.69</v>
      </c>
      <c r="H14">
        <v>3018.59</v>
      </c>
      <c r="I14">
        <v>3016.36</v>
      </c>
      <c r="J14">
        <v>3017.38</v>
      </c>
      <c r="K14">
        <v>3011.77</v>
      </c>
      <c r="L14">
        <v>3012.27</v>
      </c>
      <c r="M14">
        <v>3013.78</v>
      </c>
      <c r="N14">
        <v>3016.18</v>
      </c>
      <c r="O14">
        <v>3016.36</v>
      </c>
      <c r="P14">
        <v>3013.05</v>
      </c>
      <c r="Q14">
        <v>3013.59</v>
      </c>
      <c r="R14">
        <v>3013.18</v>
      </c>
      <c r="S14">
        <v>3013.73</v>
      </c>
      <c r="T14">
        <v>3014.1</v>
      </c>
      <c r="U14">
        <v>3014.82</v>
      </c>
      <c r="V14">
        <v>3015.36</v>
      </c>
      <c r="W14">
        <v>3016.2</v>
      </c>
      <c r="X14">
        <v>3016.67</v>
      </c>
      <c r="Y14">
        <v>3017.77</v>
      </c>
      <c r="Z14">
        <v>3018.27</v>
      </c>
      <c r="AA14">
        <v>3019</v>
      </c>
      <c r="AB14">
        <v>3019.38</v>
      </c>
      <c r="AC14">
        <v>3019.73</v>
      </c>
      <c r="AD14">
        <v>3020.39</v>
      </c>
      <c r="AE14">
        <v>3021.57</v>
      </c>
      <c r="AF14">
        <v>3022.18</v>
      </c>
    </row>
    <row r="15" spans="1:32" x14ac:dyDescent="0.35">
      <c r="A15" t="s">
        <v>316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</row>
    <row r="16" spans="1:32" x14ac:dyDescent="0.35">
      <c r="A16" t="s">
        <v>317</v>
      </c>
      <c r="B16">
        <v>3461.75</v>
      </c>
      <c r="C16">
        <v>3477.07</v>
      </c>
      <c r="D16">
        <v>3492.53</v>
      </c>
      <c r="E16">
        <v>3513.86</v>
      </c>
      <c r="F16">
        <v>3537.75</v>
      </c>
      <c r="G16">
        <v>3554.77</v>
      </c>
      <c r="H16">
        <v>3574.43</v>
      </c>
      <c r="I16">
        <v>3597.41</v>
      </c>
      <c r="J16">
        <v>3624.28</v>
      </c>
      <c r="K16">
        <v>3643.13</v>
      </c>
      <c r="L16">
        <v>3669.34</v>
      </c>
      <c r="M16">
        <v>3679.72</v>
      </c>
      <c r="N16">
        <v>3682.64</v>
      </c>
      <c r="O16">
        <v>3691.41</v>
      </c>
      <c r="P16">
        <v>3695.9</v>
      </c>
      <c r="Q16">
        <v>3705.09</v>
      </c>
      <c r="R16">
        <v>3704.59</v>
      </c>
      <c r="S16">
        <v>3713.81</v>
      </c>
      <c r="T16">
        <v>3722.79</v>
      </c>
      <c r="U16">
        <v>3732.23</v>
      </c>
      <c r="V16">
        <v>3732.89</v>
      </c>
      <c r="W16">
        <v>3742.47</v>
      </c>
      <c r="X16">
        <v>3751.61</v>
      </c>
      <c r="Y16">
        <v>3761.53</v>
      </c>
      <c r="Z16">
        <v>3762.15</v>
      </c>
      <c r="AA16">
        <v>3771.61</v>
      </c>
      <c r="AB16">
        <v>3780.64</v>
      </c>
      <c r="AC16">
        <v>3789.64</v>
      </c>
      <c r="AD16">
        <v>3790.47</v>
      </c>
      <c r="AE16">
        <v>3800.5</v>
      </c>
      <c r="AF16">
        <v>3809.83</v>
      </c>
    </row>
    <row r="17" spans="1:32" x14ac:dyDescent="0.35">
      <c r="A17" t="s">
        <v>318</v>
      </c>
      <c r="B17">
        <v>2103.9299999999998</v>
      </c>
      <c r="C17">
        <v>2097.92</v>
      </c>
      <c r="D17">
        <v>2089.9299999999998</v>
      </c>
      <c r="E17">
        <v>2078.75</v>
      </c>
      <c r="F17">
        <v>2069.08</v>
      </c>
      <c r="G17">
        <v>2065.63</v>
      </c>
      <c r="H17">
        <v>2059.5100000000002</v>
      </c>
      <c r="I17">
        <v>2056.11</v>
      </c>
      <c r="J17">
        <v>2054.67</v>
      </c>
      <c r="K17">
        <v>2045.67</v>
      </c>
      <c r="L17">
        <v>2043.08</v>
      </c>
      <c r="M17">
        <v>2041.87</v>
      </c>
      <c r="N17">
        <v>2042.02</v>
      </c>
      <c r="O17">
        <v>2039.38</v>
      </c>
      <c r="P17">
        <v>2031.62</v>
      </c>
      <c r="Q17">
        <v>2029.24</v>
      </c>
      <c r="R17">
        <v>2025.52</v>
      </c>
      <c r="S17">
        <v>2023.19</v>
      </c>
      <c r="T17">
        <v>2020.76</v>
      </c>
      <c r="U17">
        <v>2018.82</v>
      </c>
      <c r="V17">
        <v>2016.77</v>
      </c>
      <c r="W17">
        <v>2015.05</v>
      </c>
      <c r="X17">
        <v>2012.83</v>
      </c>
      <c r="Y17">
        <v>2011.6</v>
      </c>
      <c r="Z17">
        <v>2009.56</v>
      </c>
      <c r="AA17">
        <v>2007.92</v>
      </c>
      <c r="AB17">
        <v>2005.57</v>
      </c>
      <c r="AC17">
        <v>2003.29</v>
      </c>
      <c r="AD17">
        <v>2001.6</v>
      </c>
      <c r="AE17">
        <v>2000.89</v>
      </c>
      <c r="AF17">
        <v>1999.24</v>
      </c>
    </row>
    <row r="18" spans="1:32" x14ac:dyDescent="0.35">
      <c r="A18" t="s">
        <v>319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</row>
    <row r="19" spans="1:32" x14ac:dyDescent="0.35">
      <c r="A19" t="s">
        <v>320</v>
      </c>
      <c r="B19">
        <v>2112.63</v>
      </c>
      <c r="C19">
        <v>2123.9299999999998</v>
      </c>
      <c r="D19">
        <v>2133.11</v>
      </c>
      <c r="E19">
        <v>2138.87</v>
      </c>
      <c r="F19">
        <v>2154.58</v>
      </c>
      <c r="G19">
        <v>2168.06</v>
      </c>
      <c r="H19">
        <v>2178.66</v>
      </c>
      <c r="I19">
        <v>2200.54</v>
      </c>
      <c r="J19">
        <v>2215.98</v>
      </c>
      <c r="K19">
        <v>2223.1799999999998</v>
      </c>
      <c r="L19">
        <v>2245.6999999999998</v>
      </c>
      <c r="M19">
        <v>2252.81</v>
      </c>
      <c r="N19">
        <v>2261.41</v>
      </c>
      <c r="O19">
        <v>2266.92</v>
      </c>
      <c r="P19">
        <v>2266.69</v>
      </c>
      <c r="Q19">
        <v>2272.42</v>
      </c>
      <c r="R19">
        <v>2276.62</v>
      </c>
      <c r="S19">
        <v>2282.36</v>
      </c>
      <c r="T19">
        <v>2287.96</v>
      </c>
      <c r="U19">
        <v>2294.12</v>
      </c>
      <c r="V19">
        <v>2300.11</v>
      </c>
      <c r="W19">
        <v>2306.48</v>
      </c>
      <c r="X19">
        <v>2312.2600000000002</v>
      </c>
      <c r="Y19">
        <v>2319.16</v>
      </c>
      <c r="Z19">
        <v>2325.11</v>
      </c>
      <c r="AA19">
        <v>2331.5100000000002</v>
      </c>
      <c r="AB19">
        <v>2337.0700000000002</v>
      </c>
      <c r="AC19">
        <v>2342.69</v>
      </c>
      <c r="AD19">
        <v>2348.9899999999998</v>
      </c>
      <c r="AE19">
        <v>2356.42</v>
      </c>
      <c r="AF19">
        <v>2362.7399999999998</v>
      </c>
    </row>
    <row r="20" spans="1:32" x14ac:dyDescent="0.35">
      <c r="A20" t="s">
        <v>321</v>
      </c>
      <c r="B20">
        <v>1804.56</v>
      </c>
      <c r="C20">
        <v>1804.56</v>
      </c>
      <c r="D20">
        <v>1804.56</v>
      </c>
      <c r="E20">
        <v>1804.56</v>
      </c>
      <c r="F20">
        <v>1804.56</v>
      </c>
      <c r="G20">
        <v>1804.56</v>
      </c>
      <c r="H20">
        <v>1804.56</v>
      </c>
      <c r="I20">
        <v>1804.56</v>
      </c>
      <c r="J20">
        <v>1804.56</v>
      </c>
      <c r="K20">
        <v>1804.56</v>
      </c>
      <c r="L20">
        <v>1804.56</v>
      </c>
      <c r="M20">
        <v>1804.56</v>
      </c>
      <c r="N20">
        <v>1804.56</v>
      </c>
      <c r="O20">
        <v>1804.56</v>
      </c>
      <c r="P20">
        <v>1804.56</v>
      </c>
      <c r="Q20">
        <v>1804.56</v>
      </c>
      <c r="R20">
        <v>1804.56</v>
      </c>
      <c r="S20">
        <v>1804.56</v>
      </c>
      <c r="T20">
        <v>1804.56</v>
      </c>
      <c r="U20">
        <v>1804.56</v>
      </c>
      <c r="V20">
        <v>1804.56</v>
      </c>
      <c r="W20">
        <v>1804.56</v>
      </c>
      <c r="X20">
        <v>1804.56</v>
      </c>
      <c r="Y20">
        <v>1804.56</v>
      </c>
      <c r="Z20">
        <v>1804.56</v>
      </c>
      <c r="AA20">
        <v>1804.56</v>
      </c>
      <c r="AB20">
        <v>1804.56</v>
      </c>
      <c r="AC20">
        <v>1804.56</v>
      </c>
      <c r="AD20">
        <v>1804.56</v>
      </c>
      <c r="AE20">
        <v>1804.56</v>
      </c>
      <c r="AF20">
        <v>1804.56</v>
      </c>
    </row>
    <row r="21" spans="1:32" x14ac:dyDescent="0.35">
      <c r="A21" t="s">
        <v>322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</row>
    <row r="22" spans="1:32" x14ac:dyDescent="0.35">
      <c r="A22" t="s">
        <v>323</v>
      </c>
      <c r="B22">
        <v>5045.76</v>
      </c>
      <c r="C22">
        <v>5045.76</v>
      </c>
      <c r="D22">
        <v>5045.76</v>
      </c>
      <c r="E22">
        <v>5045.76</v>
      </c>
      <c r="F22">
        <v>5045.76</v>
      </c>
      <c r="G22">
        <v>5045.76</v>
      </c>
      <c r="H22">
        <v>5045.76</v>
      </c>
      <c r="I22">
        <v>5045.76</v>
      </c>
      <c r="J22">
        <v>5045.76</v>
      </c>
      <c r="K22">
        <v>5045.76</v>
      </c>
      <c r="L22">
        <v>5045.76</v>
      </c>
      <c r="M22">
        <v>5045.76</v>
      </c>
      <c r="N22">
        <v>5045.76</v>
      </c>
      <c r="O22">
        <v>5045.76</v>
      </c>
      <c r="P22">
        <v>5045.76</v>
      </c>
      <c r="Q22">
        <v>5045.76</v>
      </c>
      <c r="R22">
        <v>5045.76</v>
      </c>
      <c r="S22">
        <v>5045.76</v>
      </c>
      <c r="T22">
        <v>5045.76</v>
      </c>
      <c r="U22">
        <v>5045.76</v>
      </c>
      <c r="V22">
        <v>5045.76</v>
      </c>
      <c r="W22">
        <v>5045.76</v>
      </c>
      <c r="X22">
        <v>5045.76</v>
      </c>
      <c r="Y22">
        <v>5045.76</v>
      </c>
      <c r="Z22">
        <v>5045.76</v>
      </c>
      <c r="AA22">
        <v>5045.76</v>
      </c>
      <c r="AB22">
        <v>5045.76</v>
      </c>
      <c r="AC22">
        <v>5045.76</v>
      </c>
      <c r="AD22">
        <v>5045.76</v>
      </c>
      <c r="AE22">
        <v>5045.76</v>
      </c>
      <c r="AF22">
        <v>5045.76</v>
      </c>
    </row>
    <row r="23" spans="1:32" x14ac:dyDescent="0.35">
      <c r="A23" t="s">
        <v>324</v>
      </c>
      <c r="B23">
        <v>7577.4</v>
      </c>
      <c r="C23">
        <v>7577.4</v>
      </c>
      <c r="D23">
        <v>7577.4</v>
      </c>
      <c r="E23">
        <v>7577.4</v>
      </c>
      <c r="F23">
        <v>7577.4</v>
      </c>
      <c r="G23">
        <v>7577.4</v>
      </c>
      <c r="H23">
        <v>7577.4</v>
      </c>
      <c r="I23">
        <v>7577.4</v>
      </c>
      <c r="J23">
        <v>7577.4</v>
      </c>
      <c r="K23">
        <v>7577.4</v>
      </c>
      <c r="L23">
        <v>7577.4</v>
      </c>
      <c r="M23">
        <v>7577.4</v>
      </c>
      <c r="N23">
        <v>7577.4</v>
      </c>
      <c r="O23">
        <v>7577.4</v>
      </c>
      <c r="P23">
        <v>7577.4</v>
      </c>
      <c r="Q23">
        <v>7577.4</v>
      </c>
      <c r="R23">
        <v>7577.4</v>
      </c>
      <c r="S23">
        <v>7577.4</v>
      </c>
      <c r="T23">
        <v>7577.4</v>
      </c>
      <c r="U23">
        <v>7577.4</v>
      </c>
      <c r="V23">
        <v>7577.4</v>
      </c>
      <c r="W23">
        <v>7577.4</v>
      </c>
      <c r="X23">
        <v>7577.4</v>
      </c>
      <c r="Y23">
        <v>7577.4</v>
      </c>
      <c r="Z23">
        <v>7577.4</v>
      </c>
      <c r="AA23">
        <v>7577.4</v>
      </c>
      <c r="AB23">
        <v>7577.4</v>
      </c>
      <c r="AC23">
        <v>7577.4</v>
      </c>
      <c r="AD23">
        <v>7577.4</v>
      </c>
      <c r="AE23">
        <v>7577.4</v>
      </c>
      <c r="AF23">
        <v>7577.4</v>
      </c>
    </row>
    <row r="24" spans="1:32" x14ac:dyDescent="0.35">
      <c r="A24" t="s">
        <v>325</v>
      </c>
      <c r="B24">
        <v>7577.4</v>
      </c>
      <c r="C24">
        <v>7577.4</v>
      </c>
      <c r="D24">
        <v>7577.4</v>
      </c>
      <c r="E24">
        <v>7577.4</v>
      </c>
      <c r="F24">
        <v>7577.4</v>
      </c>
      <c r="G24">
        <v>7577.4</v>
      </c>
      <c r="H24">
        <v>7577.4</v>
      </c>
      <c r="I24">
        <v>7577.4</v>
      </c>
      <c r="J24">
        <v>7577.4</v>
      </c>
      <c r="K24">
        <v>7577.4</v>
      </c>
      <c r="L24">
        <v>7577.4</v>
      </c>
      <c r="M24">
        <v>7577.4</v>
      </c>
      <c r="N24">
        <v>7577.4</v>
      </c>
      <c r="O24">
        <v>7577.4</v>
      </c>
      <c r="P24">
        <v>7577.4</v>
      </c>
      <c r="Q24">
        <v>7577.4</v>
      </c>
      <c r="R24">
        <v>7577.4</v>
      </c>
      <c r="S24">
        <v>7577.4</v>
      </c>
      <c r="T24">
        <v>7577.4</v>
      </c>
      <c r="U24">
        <v>7577.4</v>
      </c>
      <c r="V24">
        <v>7577.4</v>
      </c>
      <c r="W24">
        <v>7577.4</v>
      </c>
      <c r="X24">
        <v>7577.4</v>
      </c>
      <c r="Y24">
        <v>7577.4</v>
      </c>
      <c r="Z24">
        <v>7577.4</v>
      </c>
      <c r="AA24">
        <v>7577.4</v>
      </c>
      <c r="AB24">
        <v>7577.4</v>
      </c>
      <c r="AC24">
        <v>7577.4</v>
      </c>
      <c r="AD24">
        <v>7577.4</v>
      </c>
      <c r="AE24">
        <v>7577.4</v>
      </c>
      <c r="AF24">
        <v>7577.4</v>
      </c>
    </row>
    <row r="25" spans="1:32" x14ac:dyDescent="0.35">
      <c r="A25" t="s">
        <v>326</v>
      </c>
      <c r="B25">
        <v>7577.4</v>
      </c>
      <c r="C25">
        <v>7577.4</v>
      </c>
      <c r="D25">
        <v>7577.4</v>
      </c>
      <c r="E25">
        <v>7577.4</v>
      </c>
      <c r="F25">
        <v>7577.4</v>
      </c>
      <c r="G25">
        <v>7577.4</v>
      </c>
      <c r="H25">
        <v>7577.4</v>
      </c>
      <c r="I25">
        <v>7577.4</v>
      </c>
      <c r="J25">
        <v>7577.4</v>
      </c>
      <c r="K25">
        <v>7577.4</v>
      </c>
      <c r="L25">
        <v>7577.4</v>
      </c>
      <c r="M25">
        <v>7577.4</v>
      </c>
      <c r="N25">
        <v>7577.4</v>
      </c>
      <c r="O25">
        <v>7577.4</v>
      </c>
      <c r="P25">
        <v>7577.4</v>
      </c>
      <c r="Q25">
        <v>7577.4</v>
      </c>
      <c r="R25">
        <v>7577.4</v>
      </c>
      <c r="S25">
        <v>7577.4</v>
      </c>
      <c r="T25">
        <v>7577.4</v>
      </c>
      <c r="U25">
        <v>7577.4</v>
      </c>
      <c r="V25">
        <v>7577.4</v>
      </c>
      <c r="W25">
        <v>7577.4</v>
      </c>
      <c r="X25">
        <v>7577.4</v>
      </c>
      <c r="Y25">
        <v>7577.4</v>
      </c>
      <c r="Z25">
        <v>7577.4</v>
      </c>
      <c r="AA25">
        <v>7577.4</v>
      </c>
      <c r="AB25">
        <v>7577.4</v>
      </c>
      <c r="AC25">
        <v>7577.4</v>
      </c>
      <c r="AD25">
        <v>7577.4</v>
      </c>
      <c r="AE25">
        <v>7577.4</v>
      </c>
      <c r="AF25">
        <v>7577.4</v>
      </c>
    </row>
    <row r="26" spans="1:32" x14ac:dyDescent="0.35">
      <c r="A26" t="s">
        <v>327</v>
      </c>
      <c r="B26">
        <v>6053.16</v>
      </c>
      <c r="C26">
        <v>6053.16</v>
      </c>
      <c r="D26">
        <v>6053.16</v>
      </c>
      <c r="E26">
        <v>6053.16</v>
      </c>
      <c r="F26">
        <v>6053.16</v>
      </c>
      <c r="G26">
        <v>6053.16</v>
      </c>
      <c r="H26">
        <v>6053.16</v>
      </c>
      <c r="I26">
        <v>6053.16</v>
      </c>
      <c r="J26">
        <v>6053.16</v>
      </c>
      <c r="K26">
        <v>6053.16</v>
      </c>
      <c r="L26">
        <v>6053.16</v>
      </c>
      <c r="M26">
        <v>6053.16</v>
      </c>
      <c r="N26">
        <v>6053.16</v>
      </c>
      <c r="O26">
        <v>6053.16</v>
      </c>
      <c r="P26">
        <v>6053.16</v>
      </c>
      <c r="Q26">
        <v>6053.16</v>
      </c>
      <c r="R26">
        <v>6053.16</v>
      </c>
      <c r="S26">
        <v>6053.16</v>
      </c>
      <c r="T26">
        <v>6053.16</v>
      </c>
      <c r="U26">
        <v>6053.16</v>
      </c>
      <c r="V26">
        <v>6053.16</v>
      </c>
      <c r="W26">
        <v>6053.16</v>
      </c>
      <c r="X26">
        <v>6053.16</v>
      </c>
      <c r="Y26">
        <v>6053.16</v>
      </c>
      <c r="Z26">
        <v>6053.16</v>
      </c>
      <c r="AA26">
        <v>6053.16</v>
      </c>
      <c r="AB26">
        <v>6053.16</v>
      </c>
      <c r="AC26">
        <v>6053.16</v>
      </c>
      <c r="AD26">
        <v>6053.16</v>
      </c>
      <c r="AE26">
        <v>6053.16</v>
      </c>
      <c r="AF26">
        <v>6053.16</v>
      </c>
    </row>
    <row r="27" spans="1:32" x14ac:dyDescent="0.35">
      <c r="A27" t="s">
        <v>328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</row>
    <row r="28" spans="1:32" x14ac:dyDescent="0.35">
      <c r="A28" t="s">
        <v>329</v>
      </c>
      <c r="B28">
        <v>6657.6</v>
      </c>
      <c r="C28">
        <v>6657.6</v>
      </c>
      <c r="D28">
        <v>6657.6</v>
      </c>
      <c r="E28">
        <v>6657.6</v>
      </c>
      <c r="F28">
        <v>6657.6</v>
      </c>
      <c r="G28">
        <v>6657.6</v>
      </c>
      <c r="H28">
        <v>6657.6</v>
      </c>
      <c r="I28">
        <v>6657.6</v>
      </c>
      <c r="J28">
        <v>6657.6</v>
      </c>
      <c r="K28">
        <v>6657.6</v>
      </c>
      <c r="L28">
        <v>6657.6</v>
      </c>
      <c r="M28">
        <v>6657.6</v>
      </c>
      <c r="N28">
        <v>6657.6</v>
      </c>
      <c r="O28">
        <v>6657.6</v>
      </c>
      <c r="P28">
        <v>6657.6</v>
      </c>
      <c r="Q28">
        <v>6657.6</v>
      </c>
      <c r="R28">
        <v>6657.6</v>
      </c>
      <c r="S28">
        <v>6657.6</v>
      </c>
      <c r="T28">
        <v>6657.6</v>
      </c>
      <c r="U28">
        <v>6657.6</v>
      </c>
      <c r="V28">
        <v>6657.6</v>
      </c>
      <c r="W28">
        <v>6657.6</v>
      </c>
      <c r="X28">
        <v>6657.6</v>
      </c>
      <c r="Y28">
        <v>6657.6</v>
      </c>
      <c r="Z28">
        <v>6657.6</v>
      </c>
      <c r="AA28">
        <v>6657.6</v>
      </c>
      <c r="AB28">
        <v>6657.6</v>
      </c>
      <c r="AC28">
        <v>6657.6</v>
      </c>
      <c r="AD28">
        <v>6657.6</v>
      </c>
      <c r="AE28">
        <v>6657.6</v>
      </c>
      <c r="AF28">
        <v>6657.6</v>
      </c>
    </row>
    <row r="29" spans="1:32" x14ac:dyDescent="0.35">
      <c r="A29" t="s">
        <v>330</v>
      </c>
      <c r="B29">
        <v>490.56</v>
      </c>
      <c r="C29">
        <v>490.56</v>
      </c>
      <c r="D29">
        <v>490.56</v>
      </c>
      <c r="E29">
        <v>490.56</v>
      </c>
      <c r="F29">
        <v>490.56</v>
      </c>
      <c r="G29">
        <v>490.56</v>
      </c>
      <c r="H29">
        <v>490.56</v>
      </c>
      <c r="I29">
        <v>490.56</v>
      </c>
      <c r="J29">
        <v>490.56</v>
      </c>
      <c r="K29">
        <v>490.56</v>
      </c>
      <c r="L29">
        <v>490.56</v>
      </c>
      <c r="M29">
        <v>490.56</v>
      </c>
      <c r="N29">
        <v>490.56</v>
      </c>
      <c r="O29">
        <v>490.56</v>
      </c>
      <c r="P29">
        <v>490.56</v>
      </c>
      <c r="Q29">
        <v>490.56</v>
      </c>
      <c r="R29">
        <v>490.56</v>
      </c>
      <c r="S29">
        <v>490.56</v>
      </c>
      <c r="T29">
        <v>490.56</v>
      </c>
      <c r="U29">
        <v>490.56</v>
      </c>
      <c r="V29">
        <v>490.56</v>
      </c>
      <c r="W29">
        <v>490.56</v>
      </c>
      <c r="X29">
        <v>490.56</v>
      </c>
      <c r="Y29">
        <v>490.56</v>
      </c>
      <c r="Z29">
        <v>490.56</v>
      </c>
      <c r="AA29">
        <v>490.56</v>
      </c>
      <c r="AB29">
        <v>490.56</v>
      </c>
      <c r="AC29">
        <v>490.56</v>
      </c>
      <c r="AD29">
        <v>490.56</v>
      </c>
      <c r="AE29">
        <v>490.56</v>
      </c>
      <c r="AF29">
        <v>490.56</v>
      </c>
    </row>
    <row r="30" spans="1:32" x14ac:dyDescent="0.35">
      <c r="A30" t="s">
        <v>331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</row>
    <row r="31" spans="1:32" x14ac:dyDescent="0.35">
      <c r="A31" t="s">
        <v>332</v>
      </c>
      <c r="B31">
        <v>543.12</v>
      </c>
      <c r="C31">
        <v>543.12</v>
      </c>
      <c r="D31">
        <v>543.12</v>
      </c>
      <c r="E31">
        <v>543.12</v>
      </c>
      <c r="F31">
        <v>543.12</v>
      </c>
      <c r="G31">
        <v>543.12</v>
      </c>
      <c r="H31">
        <v>543.12</v>
      </c>
      <c r="I31">
        <v>543.12</v>
      </c>
      <c r="J31">
        <v>543.12</v>
      </c>
      <c r="K31">
        <v>543.12</v>
      </c>
      <c r="L31">
        <v>543.12</v>
      </c>
      <c r="M31">
        <v>543.12</v>
      </c>
      <c r="N31">
        <v>543.12</v>
      </c>
      <c r="O31">
        <v>543.12</v>
      </c>
      <c r="P31">
        <v>543.12</v>
      </c>
      <c r="Q31">
        <v>543.12</v>
      </c>
      <c r="R31">
        <v>543.12</v>
      </c>
      <c r="S31">
        <v>543.12</v>
      </c>
      <c r="T31">
        <v>543.12</v>
      </c>
      <c r="U31">
        <v>543.12</v>
      </c>
      <c r="V31">
        <v>543.12</v>
      </c>
      <c r="W31">
        <v>543.12</v>
      </c>
      <c r="X31">
        <v>543.12</v>
      </c>
      <c r="Y31">
        <v>543.12</v>
      </c>
      <c r="Z31">
        <v>543.12</v>
      </c>
      <c r="AA31">
        <v>543.12</v>
      </c>
      <c r="AB31">
        <v>543.12</v>
      </c>
      <c r="AC31">
        <v>543.12</v>
      </c>
      <c r="AD31">
        <v>543.12</v>
      </c>
      <c r="AE31">
        <v>543.12</v>
      </c>
      <c r="AF31">
        <v>543.12</v>
      </c>
    </row>
    <row r="32" spans="1:32" x14ac:dyDescent="0.35">
      <c r="A32" t="s">
        <v>333</v>
      </c>
      <c r="B32">
        <v>1165.08</v>
      </c>
      <c r="C32">
        <v>1165.08</v>
      </c>
      <c r="D32">
        <v>1165.08</v>
      </c>
      <c r="E32">
        <v>1165.08</v>
      </c>
      <c r="F32">
        <v>1165.08</v>
      </c>
      <c r="G32">
        <v>1165.08</v>
      </c>
      <c r="H32">
        <v>1165.08</v>
      </c>
      <c r="I32">
        <v>1165.08</v>
      </c>
      <c r="J32">
        <v>1165.08</v>
      </c>
      <c r="K32">
        <v>1165.08</v>
      </c>
      <c r="L32">
        <v>1165.08</v>
      </c>
      <c r="M32">
        <v>1165.08</v>
      </c>
      <c r="N32">
        <v>1165.08</v>
      </c>
      <c r="O32">
        <v>1165.08</v>
      </c>
      <c r="P32">
        <v>1165.08</v>
      </c>
      <c r="Q32">
        <v>1165.08</v>
      </c>
      <c r="R32">
        <v>1165.08</v>
      </c>
      <c r="S32">
        <v>1165.08</v>
      </c>
      <c r="T32">
        <v>1165.08</v>
      </c>
      <c r="U32">
        <v>1165.08</v>
      </c>
      <c r="V32">
        <v>1165.08</v>
      </c>
      <c r="W32">
        <v>1165.08</v>
      </c>
      <c r="X32">
        <v>1165.08</v>
      </c>
      <c r="Y32">
        <v>1165.08</v>
      </c>
      <c r="Z32">
        <v>1165.08</v>
      </c>
      <c r="AA32">
        <v>1165.08</v>
      </c>
      <c r="AB32">
        <v>1165.08</v>
      </c>
      <c r="AC32">
        <v>1165.08</v>
      </c>
      <c r="AD32">
        <v>1165.08</v>
      </c>
      <c r="AE32">
        <v>1165.08</v>
      </c>
      <c r="AF32">
        <v>1165.08</v>
      </c>
    </row>
    <row r="33" spans="1:32" x14ac:dyDescent="0.35">
      <c r="A33" t="s">
        <v>334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</row>
    <row r="34" spans="1:32" x14ac:dyDescent="0.35">
      <c r="A34" t="s">
        <v>335</v>
      </c>
      <c r="B34">
        <v>1278.96</v>
      </c>
      <c r="C34">
        <v>1278.96</v>
      </c>
      <c r="D34">
        <v>1278.96</v>
      </c>
      <c r="E34">
        <v>1278.96</v>
      </c>
      <c r="F34">
        <v>1278.96</v>
      </c>
      <c r="G34">
        <v>1278.96</v>
      </c>
      <c r="H34">
        <v>1278.96</v>
      </c>
      <c r="I34">
        <v>1278.96</v>
      </c>
      <c r="J34">
        <v>1278.96</v>
      </c>
      <c r="K34">
        <v>1278.96</v>
      </c>
      <c r="L34">
        <v>1278.96</v>
      </c>
      <c r="M34">
        <v>1278.96</v>
      </c>
      <c r="N34">
        <v>1278.96</v>
      </c>
      <c r="O34">
        <v>1278.96</v>
      </c>
      <c r="P34">
        <v>1278.96</v>
      </c>
      <c r="Q34">
        <v>1278.96</v>
      </c>
      <c r="R34">
        <v>1278.96</v>
      </c>
      <c r="S34">
        <v>1278.96</v>
      </c>
      <c r="T34">
        <v>1278.96</v>
      </c>
      <c r="U34">
        <v>1278.96</v>
      </c>
      <c r="V34">
        <v>1278.96</v>
      </c>
      <c r="W34">
        <v>1278.96</v>
      </c>
      <c r="X34">
        <v>1278.96</v>
      </c>
      <c r="Y34">
        <v>1278.96</v>
      </c>
      <c r="Z34">
        <v>1278.96</v>
      </c>
      <c r="AA34">
        <v>1278.96</v>
      </c>
      <c r="AB34">
        <v>1278.96</v>
      </c>
      <c r="AC34">
        <v>1278.96</v>
      </c>
      <c r="AD34">
        <v>1278.96</v>
      </c>
      <c r="AE34">
        <v>1278.96</v>
      </c>
      <c r="AF34">
        <v>1278.96</v>
      </c>
    </row>
    <row r="35" spans="1:32" x14ac:dyDescent="0.35">
      <c r="A35" t="s">
        <v>336</v>
      </c>
      <c r="B35">
        <v>6640.08</v>
      </c>
      <c r="C35">
        <v>7036.78</v>
      </c>
      <c r="D35">
        <v>6640.08</v>
      </c>
      <c r="E35">
        <v>6640.08</v>
      </c>
      <c r="F35">
        <v>6640.08</v>
      </c>
      <c r="G35">
        <v>6640.08</v>
      </c>
      <c r="H35">
        <v>6640.08</v>
      </c>
      <c r="I35">
        <v>6640.08</v>
      </c>
      <c r="J35">
        <v>6640.08</v>
      </c>
      <c r="K35">
        <v>6640.08</v>
      </c>
      <c r="L35">
        <v>6640.08</v>
      </c>
      <c r="M35">
        <v>6640.08</v>
      </c>
      <c r="N35">
        <v>6640.08</v>
      </c>
      <c r="O35">
        <v>6640.08</v>
      </c>
      <c r="P35">
        <v>6640.08</v>
      </c>
      <c r="Q35">
        <v>6640.08</v>
      </c>
      <c r="R35">
        <v>6640.08</v>
      </c>
      <c r="S35">
        <v>6640.08</v>
      </c>
      <c r="T35">
        <v>6640.08</v>
      </c>
      <c r="U35">
        <v>6640.08</v>
      </c>
      <c r="V35">
        <v>6640.08</v>
      </c>
      <c r="W35">
        <v>6640.08</v>
      </c>
      <c r="X35">
        <v>6640.08</v>
      </c>
      <c r="Y35">
        <v>6640.08</v>
      </c>
      <c r="Z35">
        <v>6640.08</v>
      </c>
      <c r="AA35">
        <v>6640.08</v>
      </c>
      <c r="AB35">
        <v>6640.08</v>
      </c>
      <c r="AC35">
        <v>6640.08</v>
      </c>
      <c r="AD35">
        <v>6640.08</v>
      </c>
      <c r="AE35">
        <v>6640.08</v>
      </c>
      <c r="AF35">
        <v>6640.08</v>
      </c>
    </row>
    <row r="36" spans="1:32" x14ac:dyDescent="0.35">
      <c r="A36" t="s">
        <v>337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</row>
    <row r="37" spans="1:32" x14ac:dyDescent="0.35">
      <c r="A37" t="s">
        <v>338</v>
      </c>
      <c r="B37">
        <v>7305.84</v>
      </c>
      <c r="C37">
        <v>7742.31</v>
      </c>
      <c r="D37">
        <v>7305.84</v>
      </c>
      <c r="E37">
        <v>7305.84</v>
      </c>
      <c r="F37">
        <v>7305.84</v>
      </c>
      <c r="G37">
        <v>7305.84</v>
      </c>
      <c r="H37">
        <v>7305.84</v>
      </c>
      <c r="I37">
        <v>7305.84</v>
      </c>
      <c r="J37">
        <v>7305.84</v>
      </c>
      <c r="K37">
        <v>7305.84</v>
      </c>
      <c r="L37">
        <v>7305.84</v>
      </c>
      <c r="M37">
        <v>7305.84</v>
      </c>
      <c r="N37">
        <v>7305.84</v>
      </c>
      <c r="O37">
        <v>7305.84</v>
      </c>
      <c r="P37">
        <v>7305.84</v>
      </c>
      <c r="Q37">
        <v>7305.84</v>
      </c>
      <c r="R37">
        <v>7305.84</v>
      </c>
      <c r="S37">
        <v>7305.84</v>
      </c>
      <c r="T37">
        <v>7305.84</v>
      </c>
      <c r="U37">
        <v>7305.84</v>
      </c>
      <c r="V37">
        <v>7305.84</v>
      </c>
      <c r="W37">
        <v>7305.84</v>
      </c>
      <c r="X37">
        <v>7305.84</v>
      </c>
      <c r="Y37">
        <v>7305.84</v>
      </c>
      <c r="Z37">
        <v>7305.84</v>
      </c>
      <c r="AA37">
        <v>7305.84</v>
      </c>
      <c r="AB37">
        <v>7305.84</v>
      </c>
      <c r="AC37">
        <v>7305.84</v>
      </c>
      <c r="AD37">
        <v>7305.84</v>
      </c>
      <c r="AE37">
        <v>7305.84</v>
      </c>
      <c r="AF37">
        <v>7305.84</v>
      </c>
    </row>
    <row r="38" spans="1:32" x14ac:dyDescent="0.35">
      <c r="A38" t="s">
        <v>339</v>
      </c>
      <c r="B38">
        <v>4309.92</v>
      </c>
      <c r="C38">
        <v>4309.92</v>
      </c>
      <c r="D38">
        <v>4309.92</v>
      </c>
      <c r="E38">
        <v>4309.92</v>
      </c>
      <c r="F38">
        <v>4309.92</v>
      </c>
      <c r="G38">
        <v>4309.92</v>
      </c>
      <c r="H38">
        <v>4309.92</v>
      </c>
      <c r="I38">
        <v>4309.92</v>
      </c>
      <c r="J38">
        <v>4309.92</v>
      </c>
      <c r="K38">
        <v>4309.92</v>
      </c>
      <c r="L38">
        <v>4309.92</v>
      </c>
      <c r="M38">
        <v>4309.92</v>
      </c>
      <c r="N38">
        <v>4309.92</v>
      </c>
      <c r="O38">
        <v>4309.92</v>
      </c>
      <c r="P38">
        <v>4309.92</v>
      </c>
      <c r="Q38">
        <v>4309.92</v>
      </c>
      <c r="R38">
        <v>4309.92</v>
      </c>
      <c r="S38">
        <v>4309.92</v>
      </c>
      <c r="T38">
        <v>4309.92</v>
      </c>
      <c r="U38">
        <v>4309.92</v>
      </c>
      <c r="V38">
        <v>4309.92</v>
      </c>
      <c r="W38">
        <v>4309.92</v>
      </c>
      <c r="X38">
        <v>4309.92</v>
      </c>
      <c r="Y38">
        <v>4309.92</v>
      </c>
      <c r="Z38">
        <v>4309.92</v>
      </c>
      <c r="AA38">
        <v>4309.92</v>
      </c>
      <c r="AB38">
        <v>4309.92</v>
      </c>
      <c r="AC38">
        <v>4309.92</v>
      </c>
      <c r="AD38">
        <v>4309.92</v>
      </c>
      <c r="AE38">
        <v>4309.92</v>
      </c>
      <c r="AF38">
        <v>4309.92</v>
      </c>
    </row>
    <row r="39" spans="1:32" x14ac:dyDescent="0.35">
      <c r="A39" t="s">
        <v>340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</row>
    <row r="40" spans="1:32" x14ac:dyDescent="0.35">
      <c r="A40" t="s">
        <v>341</v>
      </c>
      <c r="B40">
        <v>4309.92</v>
      </c>
      <c r="C40">
        <v>4362.4799999999996</v>
      </c>
      <c r="D40">
        <v>4406.28</v>
      </c>
      <c r="E40">
        <v>4450.08</v>
      </c>
      <c r="F40">
        <v>4485.12</v>
      </c>
      <c r="G40">
        <v>4528.92</v>
      </c>
      <c r="H40">
        <v>4563.96</v>
      </c>
      <c r="I40">
        <v>4599</v>
      </c>
      <c r="J40">
        <v>4634.04</v>
      </c>
      <c r="K40">
        <v>4669.08</v>
      </c>
      <c r="L40">
        <v>4704.12</v>
      </c>
      <c r="M40">
        <v>4712.88</v>
      </c>
      <c r="N40">
        <v>4730.3999999999996</v>
      </c>
      <c r="O40">
        <v>4747.92</v>
      </c>
      <c r="P40">
        <v>4756.68</v>
      </c>
      <c r="Q40">
        <v>4774.2</v>
      </c>
      <c r="R40">
        <v>4782.96</v>
      </c>
      <c r="S40">
        <v>4800.4799999999996</v>
      </c>
      <c r="T40">
        <v>4809.24</v>
      </c>
      <c r="U40">
        <v>4826.76</v>
      </c>
      <c r="V40">
        <v>4835.5200000000004</v>
      </c>
      <c r="W40">
        <v>4853.04</v>
      </c>
      <c r="X40">
        <v>4861.8</v>
      </c>
      <c r="Y40">
        <v>4879.32</v>
      </c>
      <c r="Z40">
        <v>4888.08</v>
      </c>
      <c r="AA40">
        <v>4896.84</v>
      </c>
      <c r="AB40">
        <v>4914.3599999999997</v>
      </c>
      <c r="AC40">
        <v>4923.12</v>
      </c>
      <c r="AD40">
        <v>4931.88</v>
      </c>
      <c r="AE40">
        <v>4949.3999999999996</v>
      </c>
      <c r="AF40">
        <v>4958.16</v>
      </c>
    </row>
    <row r="41" spans="1:32" x14ac:dyDescent="0.35">
      <c r="A41" t="s">
        <v>342</v>
      </c>
      <c r="B41">
        <v>490.56</v>
      </c>
      <c r="C41">
        <v>490.56</v>
      </c>
      <c r="D41">
        <v>490.56</v>
      </c>
      <c r="E41">
        <v>490.56</v>
      </c>
      <c r="F41">
        <v>490.56</v>
      </c>
      <c r="G41">
        <v>490.56</v>
      </c>
      <c r="H41">
        <v>490.56</v>
      </c>
      <c r="I41">
        <v>490.56</v>
      </c>
      <c r="J41">
        <v>490.56</v>
      </c>
      <c r="K41">
        <v>490.56</v>
      </c>
      <c r="L41">
        <v>490.56</v>
      </c>
      <c r="M41">
        <v>490.56</v>
      </c>
      <c r="N41">
        <v>490.56</v>
      </c>
      <c r="O41">
        <v>490.56</v>
      </c>
      <c r="P41">
        <v>490.56</v>
      </c>
      <c r="Q41">
        <v>490.56</v>
      </c>
      <c r="R41">
        <v>490.56</v>
      </c>
      <c r="S41">
        <v>490.56</v>
      </c>
      <c r="T41">
        <v>490.56</v>
      </c>
      <c r="U41">
        <v>490.56</v>
      </c>
      <c r="V41">
        <v>490.56</v>
      </c>
      <c r="W41">
        <v>490.56</v>
      </c>
      <c r="X41">
        <v>490.56</v>
      </c>
      <c r="Y41">
        <v>490.56</v>
      </c>
      <c r="Z41">
        <v>490.56</v>
      </c>
      <c r="AA41">
        <v>490.56</v>
      </c>
      <c r="AB41">
        <v>490.56</v>
      </c>
      <c r="AC41">
        <v>490.56</v>
      </c>
      <c r="AD41">
        <v>490.56</v>
      </c>
      <c r="AE41">
        <v>490.56</v>
      </c>
      <c r="AF41">
        <v>490.56</v>
      </c>
    </row>
    <row r="42" spans="1:32" x14ac:dyDescent="0.35">
      <c r="A42" t="s">
        <v>343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</row>
    <row r="43" spans="1:32" x14ac:dyDescent="0.35">
      <c r="A43" t="s">
        <v>344</v>
      </c>
      <c r="B43">
        <v>543.12</v>
      </c>
      <c r="C43">
        <v>543.12</v>
      </c>
      <c r="D43">
        <v>543.12</v>
      </c>
      <c r="E43">
        <v>543.12</v>
      </c>
      <c r="F43">
        <v>543.12</v>
      </c>
      <c r="G43">
        <v>543.12</v>
      </c>
      <c r="H43">
        <v>543.12</v>
      </c>
      <c r="I43">
        <v>543.12</v>
      </c>
      <c r="J43">
        <v>543.12</v>
      </c>
      <c r="K43">
        <v>543.12</v>
      </c>
      <c r="L43">
        <v>543.12</v>
      </c>
      <c r="M43">
        <v>543.12</v>
      </c>
      <c r="N43">
        <v>543.12</v>
      </c>
      <c r="O43">
        <v>543.12</v>
      </c>
      <c r="P43">
        <v>543.12</v>
      </c>
      <c r="Q43">
        <v>543.12</v>
      </c>
      <c r="R43">
        <v>543.12</v>
      </c>
      <c r="S43">
        <v>543.12</v>
      </c>
      <c r="T43">
        <v>543.12</v>
      </c>
      <c r="U43">
        <v>543.12</v>
      </c>
      <c r="V43">
        <v>543.12</v>
      </c>
      <c r="W43">
        <v>543.12</v>
      </c>
      <c r="X43">
        <v>543.12</v>
      </c>
      <c r="Y43">
        <v>543.12</v>
      </c>
      <c r="Z43">
        <v>543.12</v>
      </c>
      <c r="AA43">
        <v>543.12</v>
      </c>
      <c r="AB43">
        <v>543.12</v>
      </c>
      <c r="AC43">
        <v>543.12</v>
      </c>
      <c r="AD43">
        <v>543.12</v>
      </c>
      <c r="AE43">
        <v>543.12</v>
      </c>
      <c r="AF43">
        <v>543.12</v>
      </c>
    </row>
    <row r="44" spans="1:32" x14ac:dyDescent="0.35">
      <c r="A44" t="s">
        <v>345</v>
      </c>
      <c r="B44">
        <v>490.56</v>
      </c>
      <c r="C44">
        <v>490.56</v>
      </c>
      <c r="D44">
        <v>490.56</v>
      </c>
      <c r="E44">
        <v>490.56</v>
      </c>
      <c r="F44">
        <v>490.56</v>
      </c>
      <c r="G44">
        <v>490.56</v>
      </c>
      <c r="H44">
        <v>490.56</v>
      </c>
      <c r="I44">
        <v>490.56</v>
      </c>
      <c r="J44">
        <v>490.56</v>
      </c>
      <c r="K44">
        <v>490.56</v>
      </c>
      <c r="L44">
        <v>490.56</v>
      </c>
      <c r="M44">
        <v>490.56</v>
      </c>
      <c r="N44">
        <v>490.56</v>
      </c>
      <c r="O44">
        <v>490.56</v>
      </c>
      <c r="P44">
        <v>490.56</v>
      </c>
      <c r="Q44">
        <v>490.56</v>
      </c>
      <c r="R44">
        <v>490.56</v>
      </c>
      <c r="S44">
        <v>490.56</v>
      </c>
      <c r="T44">
        <v>490.56</v>
      </c>
      <c r="U44">
        <v>490.56</v>
      </c>
      <c r="V44">
        <v>490.56</v>
      </c>
      <c r="W44">
        <v>490.56</v>
      </c>
      <c r="X44">
        <v>490.56</v>
      </c>
      <c r="Y44">
        <v>490.56</v>
      </c>
      <c r="Z44">
        <v>490.56</v>
      </c>
      <c r="AA44">
        <v>490.56</v>
      </c>
      <c r="AB44">
        <v>490.56</v>
      </c>
      <c r="AC44">
        <v>490.56</v>
      </c>
      <c r="AD44">
        <v>490.56</v>
      </c>
      <c r="AE44">
        <v>490.56</v>
      </c>
      <c r="AF44">
        <v>490.56</v>
      </c>
    </row>
    <row r="45" spans="1:32" x14ac:dyDescent="0.35">
      <c r="A45" t="s">
        <v>346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</row>
    <row r="46" spans="1:32" x14ac:dyDescent="0.35">
      <c r="A46" t="s">
        <v>347</v>
      </c>
      <c r="B46">
        <v>543.12</v>
      </c>
      <c r="C46">
        <v>543.12</v>
      </c>
      <c r="D46">
        <v>543.12</v>
      </c>
      <c r="E46">
        <v>543.12</v>
      </c>
      <c r="F46">
        <v>543.12</v>
      </c>
      <c r="G46">
        <v>543.12</v>
      </c>
      <c r="H46">
        <v>543.12</v>
      </c>
      <c r="I46">
        <v>543.12</v>
      </c>
      <c r="J46">
        <v>543.12</v>
      </c>
      <c r="K46">
        <v>543.12</v>
      </c>
      <c r="L46">
        <v>543.12</v>
      </c>
      <c r="M46">
        <v>543.12</v>
      </c>
      <c r="N46">
        <v>543.12</v>
      </c>
      <c r="O46">
        <v>543.12</v>
      </c>
      <c r="P46">
        <v>543.12</v>
      </c>
      <c r="Q46">
        <v>543.12</v>
      </c>
      <c r="R46">
        <v>543.12</v>
      </c>
      <c r="S46">
        <v>543.12</v>
      </c>
      <c r="T46">
        <v>543.12</v>
      </c>
      <c r="U46">
        <v>543.12</v>
      </c>
      <c r="V46">
        <v>543.12</v>
      </c>
      <c r="W46">
        <v>543.12</v>
      </c>
      <c r="X46">
        <v>543.12</v>
      </c>
      <c r="Y46">
        <v>543.12</v>
      </c>
      <c r="Z46">
        <v>543.12</v>
      </c>
      <c r="AA46">
        <v>543.12</v>
      </c>
      <c r="AB46">
        <v>543.12</v>
      </c>
      <c r="AC46">
        <v>543.12</v>
      </c>
      <c r="AD46">
        <v>543.12</v>
      </c>
      <c r="AE46">
        <v>543.12</v>
      </c>
      <c r="AF46">
        <v>543.12</v>
      </c>
    </row>
    <row r="47" spans="1:32" x14ac:dyDescent="0.35">
      <c r="A47" t="s">
        <v>348</v>
      </c>
      <c r="B47">
        <v>7884</v>
      </c>
      <c r="C47">
        <v>7884</v>
      </c>
      <c r="D47">
        <v>7884</v>
      </c>
      <c r="E47">
        <v>7884</v>
      </c>
      <c r="F47">
        <v>7884</v>
      </c>
      <c r="G47">
        <v>7884</v>
      </c>
      <c r="H47">
        <v>7884</v>
      </c>
      <c r="I47">
        <v>7884</v>
      </c>
      <c r="J47">
        <v>7884</v>
      </c>
      <c r="K47">
        <v>7884</v>
      </c>
      <c r="L47">
        <v>7884</v>
      </c>
      <c r="M47">
        <v>7884</v>
      </c>
      <c r="N47">
        <v>7884</v>
      </c>
      <c r="O47">
        <v>7884</v>
      </c>
      <c r="P47">
        <v>7884</v>
      </c>
      <c r="Q47">
        <v>7884</v>
      </c>
      <c r="R47">
        <v>7884</v>
      </c>
      <c r="S47">
        <v>7884</v>
      </c>
      <c r="T47">
        <v>7884</v>
      </c>
      <c r="U47">
        <v>7884</v>
      </c>
      <c r="V47">
        <v>7884</v>
      </c>
      <c r="W47">
        <v>7884</v>
      </c>
      <c r="X47">
        <v>7884</v>
      </c>
      <c r="Y47">
        <v>7884</v>
      </c>
      <c r="Z47">
        <v>7884</v>
      </c>
      <c r="AA47">
        <v>7884</v>
      </c>
      <c r="AB47">
        <v>7884</v>
      </c>
      <c r="AC47">
        <v>7884</v>
      </c>
      <c r="AD47">
        <v>7884</v>
      </c>
      <c r="AE47">
        <v>7884</v>
      </c>
      <c r="AF47">
        <v>7884</v>
      </c>
    </row>
    <row r="48" spans="1:32" x14ac:dyDescent="0.35">
      <c r="A48" t="s">
        <v>349</v>
      </c>
      <c r="B48">
        <v>7884</v>
      </c>
      <c r="C48">
        <v>7884</v>
      </c>
      <c r="D48">
        <v>7884</v>
      </c>
      <c r="E48">
        <v>7884</v>
      </c>
      <c r="F48">
        <v>7884</v>
      </c>
      <c r="G48">
        <v>7884</v>
      </c>
      <c r="H48">
        <v>7884</v>
      </c>
      <c r="I48">
        <v>7884</v>
      </c>
      <c r="J48">
        <v>7884</v>
      </c>
      <c r="K48">
        <v>7884</v>
      </c>
      <c r="L48">
        <v>7884</v>
      </c>
      <c r="M48">
        <v>7884</v>
      </c>
      <c r="N48">
        <v>7884</v>
      </c>
      <c r="O48">
        <v>7884</v>
      </c>
      <c r="P48">
        <v>7884</v>
      </c>
      <c r="Q48">
        <v>7884</v>
      </c>
      <c r="R48">
        <v>7884</v>
      </c>
      <c r="S48">
        <v>7884</v>
      </c>
      <c r="T48">
        <v>7884</v>
      </c>
      <c r="U48">
        <v>7884</v>
      </c>
      <c r="V48">
        <v>7884</v>
      </c>
      <c r="W48">
        <v>7884</v>
      </c>
      <c r="X48">
        <v>7884</v>
      </c>
      <c r="Y48">
        <v>7884</v>
      </c>
      <c r="Z48">
        <v>7884</v>
      </c>
      <c r="AA48">
        <v>7884</v>
      </c>
      <c r="AB48">
        <v>7884</v>
      </c>
      <c r="AC48">
        <v>7884</v>
      </c>
      <c r="AD48">
        <v>7884</v>
      </c>
      <c r="AE48">
        <v>7884</v>
      </c>
      <c r="AF48">
        <v>7884</v>
      </c>
    </row>
    <row r="49" spans="1:32" x14ac:dyDescent="0.35">
      <c r="A49" t="s">
        <v>350</v>
      </c>
      <c r="B49">
        <v>7884</v>
      </c>
      <c r="C49">
        <v>7884</v>
      </c>
      <c r="D49">
        <v>7884</v>
      </c>
      <c r="E49">
        <v>7884</v>
      </c>
      <c r="F49">
        <v>7884</v>
      </c>
      <c r="G49">
        <v>7884</v>
      </c>
      <c r="H49">
        <v>7884</v>
      </c>
      <c r="I49">
        <v>7884</v>
      </c>
      <c r="J49">
        <v>7884</v>
      </c>
      <c r="K49">
        <v>7884</v>
      </c>
      <c r="L49">
        <v>7884</v>
      </c>
      <c r="M49">
        <v>7884</v>
      </c>
      <c r="N49">
        <v>7884</v>
      </c>
      <c r="O49">
        <v>7884</v>
      </c>
      <c r="P49">
        <v>7884</v>
      </c>
      <c r="Q49">
        <v>7884</v>
      </c>
      <c r="R49">
        <v>7884</v>
      </c>
      <c r="S49">
        <v>7884</v>
      </c>
      <c r="T49">
        <v>7884</v>
      </c>
      <c r="U49">
        <v>7884</v>
      </c>
      <c r="V49">
        <v>7884</v>
      </c>
      <c r="W49">
        <v>7884</v>
      </c>
      <c r="X49">
        <v>7884</v>
      </c>
      <c r="Y49">
        <v>7884</v>
      </c>
      <c r="Z49">
        <v>7884</v>
      </c>
      <c r="AA49">
        <v>7884</v>
      </c>
      <c r="AB49">
        <v>7884</v>
      </c>
      <c r="AC49">
        <v>7884</v>
      </c>
      <c r="AD49">
        <v>7884</v>
      </c>
      <c r="AE49">
        <v>7884</v>
      </c>
      <c r="AF49">
        <v>7884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2F2634-68D9-4A99-92F0-3688E66AA3CB}">
  <dimension ref="A1:AF6"/>
  <sheetViews>
    <sheetView workbookViewId="0">
      <selection activeCell="C2" sqref="C2"/>
    </sheetView>
  </sheetViews>
  <sheetFormatPr defaultColWidth="8.81640625" defaultRowHeight="14.5" x14ac:dyDescent="0.35"/>
  <cols>
    <col min="1" max="1" width="23.1796875" customWidth="1"/>
  </cols>
  <sheetData>
    <row r="1" spans="1:32" x14ac:dyDescent="0.35"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35">
      <c r="A2" t="s">
        <v>259</v>
      </c>
      <c r="B2">
        <f>'STEO 7d'!J9/(SUM(Capacity!B2*'Capacity Factors'!B2,Capacity!B35*'Capacity Factors'!B35))*1000*B5</f>
        <v>0.4676053280482092</v>
      </c>
      <c r="C2">
        <f>'STEO 7d'!K9/(SUM(Capacity!C2*'Capacity Factors'!C2,Capacity!C35*'Capacity Factors'!C35))*1000</f>
        <v>0.38725783384127582</v>
      </c>
      <c r="D2">
        <f>'STEO 7d'!L9/(SUM(Capacity!D2*'Capacity Factors'!D2,Capacity!D35*'Capacity Factors'!D35))*1000</f>
        <v>0.36299246943702695</v>
      </c>
      <c r="E2">
        <f>'STEO 7d'!M9/(SUM(Capacity!E2*'Capacity Factors'!E2,Capacity!E35*'Capacity Factors'!E35))*1000</f>
        <v>0.3235427622169037</v>
      </c>
      <c r="F2">
        <f>'STEO 7d'!N9/(SUM(Capacity!F2*'Capacity Factors'!F2,Capacity!F13*'Capacity Factors'!F35))*1000</f>
        <v>0.29232541068905493</v>
      </c>
      <c r="G2">
        <f>'STEO 7d'!O9/(SUM(Capacity!G2*'Capacity Factors'!G2,Capacity!G13*'Capacity Factors'!G35))*1000</f>
        <v>0.27314691896863608</v>
      </c>
      <c r="H2">
        <f>'STEO 7d'!P9/(SUM(Capacity!H2*'Capacity Factors'!H2,Capacity!H13*'Capacity Factors'!H35))*1000</f>
        <v>0.25748079133253876</v>
      </c>
      <c r="I2">
        <f>'STEO 7d'!Q9/(SUM(Capacity!I2*'Capacity Factors'!I2,Capacity!I13*'Capacity Factors'!I35))*1000</f>
        <v>0.24465157886158045</v>
      </c>
      <c r="J2">
        <f>'STEO 7d'!R9/(SUM(Capacity!J2*'Capacity Factors'!J2,Capacity!J13*'Capacity Factors'!J35))*1000</f>
        <v>0.23436231549722417</v>
      </c>
      <c r="K2">
        <f>'STEO 7d'!S9/(SUM(Capacity!K2*'Capacity Factors'!K2,Capacity!K13*'Capacity Factors'!K35))*1000</f>
        <v>0.22580521187310026</v>
      </c>
      <c r="L2">
        <f>'STEO 7d'!T9/(SUM(Capacity!L2*'Capacity Factors'!L2,Capacity!L13*'Capacity Factors'!L35))*1000</f>
        <v>0.21860014601771138</v>
      </c>
      <c r="M2">
        <f>'STEO 7d'!U9/(SUM(Capacity!M2*'Capacity Factors'!M2,Capacity!M13*'Capacity Factors'!M35))*1000</f>
        <v>0.22690057069799094</v>
      </c>
      <c r="N2">
        <f>'STEO 7d'!V9/(SUM(Capacity!N2*'Capacity Factors'!N2,Capacity!N13*'Capacity Factors'!N35))*1000</f>
        <v>0.23520099537827049</v>
      </c>
      <c r="O2">
        <f>'STEO 7d'!W9/(SUM(Capacity!O2*'Capacity Factors'!O2,Capacity!O13*'Capacity Factors'!O35))*1000</f>
        <v>0.24350142005854736</v>
      </c>
      <c r="P2">
        <f>'STEO 7d'!X9/(SUM(Capacity!P2*'Capacity Factors'!P2,Capacity!P13*'Capacity Factors'!P35))*1000</f>
        <v>0.25180184473882694</v>
      </c>
      <c r="Q2">
        <f>'STEO 7d'!Y9/(SUM(Capacity!Q2*'Capacity Factors'!Q2,Capacity!Q13*'Capacity Factors'!Q35))*1000</f>
        <v>0.26010226941910647</v>
      </c>
      <c r="R2">
        <f>'STEO 7d'!Z9/(SUM(Capacity!R2*'Capacity Factors'!R2,Capacity!R13*'Capacity Factors'!R35))*1000</f>
        <v>0.26840269409938605</v>
      </c>
      <c r="S2">
        <f>'STEO 7d'!AA9/(SUM(Capacity!S2*'Capacity Factors'!S2,Capacity!S13*'Capacity Factors'!S35))*1000</f>
        <v>0.27670311877966286</v>
      </c>
      <c r="T2">
        <f>'STEO 7d'!AB9/(SUM(Capacity!T2*'Capacity Factors'!T2,Capacity!T13*'Capacity Factors'!T35))*1000</f>
        <v>0.28500354345994244</v>
      </c>
      <c r="U2">
        <f>'STEO 7d'!AC9/(SUM(Capacity!U2*'Capacity Factors'!U2,Capacity!U13*'Capacity Factors'!U35))*1000</f>
        <v>0.29330396814022197</v>
      </c>
      <c r="V2">
        <f>'STEO 7d'!AD9/(SUM(Capacity!V2*'Capacity Factors'!V2,Capacity!V13*'Capacity Factors'!V35))*1000</f>
        <v>0.30160439282049883</v>
      </c>
      <c r="W2">
        <f>'STEO 7d'!AE9/(SUM(Capacity!W2*'Capacity Factors'!W2,Capacity!W13*'Capacity Factors'!W35))*1000</f>
        <v>0.30990481750077842</v>
      </c>
      <c r="X2">
        <f>'STEO 7d'!AF9/(SUM(Capacity!X2*'Capacity Factors'!X2,Capacity!X13*'Capacity Factors'!X35))*1000</f>
        <v>0.318205242181058</v>
      </c>
      <c r="Y2">
        <f>'STEO 7d'!AG9/(SUM(Capacity!Y2*'Capacity Factors'!Y2,Capacity!Y13*'Capacity Factors'!Y35))*1000</f>
        <v>0.32650566686133481</v>
      </c>
      <c r="Z2">
        <f>'STEO 7d'!AH9/(SUM(Capacity!Z2*'Capacity Factors'!Z2,Capacity!Z13*'Capacity Factors'!Z35))*1000</f>
        <v>0.33480609154161439</v>
      </c>
      <c r="AA2">
        <f>'STEO 7d'!AI9/(SUM(Capacity!AA2*'Capacity Factors'!AA2,Capacity!AA13*'Capacity Factors'!AA35))*1000</f>
        <v>0.34310651622189392</v>
      </c>
      <c r="AB2">
        <f>'STEO 7d'!AJ9/(SUM(Capacity!AB2*'Capacity Factors'!AB2,Capacity!AB13*'Capacity Factors'!AB35))*1000</f>
        <v>0.3514069409021735</v>
      </c>
      <c r="AC2">
        <f>'STEO 7d'!AK9/(SUM(Capacity!AC2*'Capacity Factors'!AC2,Capacity!AC13*'Capacity Factors'!AC35))*1000</f>
        <v>0.35970736558245037</v>
      </c>
      <c r="AD2">
        <f>'STEO 7d'!AL9/(SUM(Capacity!AD2*'Capacity Factors'!AD2,Capacity!AD13*'Capacity Factors'!AD35))*1000</f>
        <v>0.36800779026272995</v>
      </c>
      <c r="AE2">
        <f>'STEO 7d'!AM9/(SUM(Capacity!AE2*'Capacity Factors'!AE2,Capacity!AE13*'Capacity Factors'!AE35))*1000</f>
        <v>0.37630821494300948</v>
      </c>
      <c r="AF2">
        <f>'STEO 7d'!AN9/(SUM(Capacity!AF2*'Capacity Factors'!AF2,Capacity!AF13*'Capacity Factors'!AF35))*1000</f>
        <v>0.38460863962328634</v>
      </c>
    </row>
    <row r="3" spans="1:32" x14ac:dyDescent="0.35">
      <c r="A3" t="s">
        <v>17</v>
      </c>
      <c r="B3">
        <f>'STEO 7d'!J9/(SUM(Capacity!B2*'Capacity Factors'!B2,Capacity!B35*'Capacity Factors'!B35))*1000*B6</f>
        <v>0.40441541885250526</v>
      </c>
      <c r="C3">
        <f>C2</f>
        <v>0.38725783384127582</v>
      </c>
      <c r="D3">
        <f>D2</f>
        <v>0.36299246943702695</v>
      </c>
      <c r="E3">
        <f>E2</f>
        <v>0.3235427622169037</v>
      </c>
      <c r="F3">
        <f t="shared" ref="F3:AF3" si="0">F2</f>
        <v>0.29232541068905493</v>
      </c>
      <c r="G3">
        <f t="shared" si="0"/>
        <v>0.27314691896863608</v>
      </c>
      <c r="H3">
        <f t="shared" si="0"/>
        <v>0.25748079133253876</v>
      </c>
      <c r="I3">
        <f t="shared" si="0"/>
        <v>0.24465157886158045</v>
      </c>
      <c r="J3">
        <f t="shared" si="0"/>
        <v>0.23436231549722417</v>
      </c>
      <c r="K3">
        <f t="shared" si="0"/>
        <v>0.22580521187310026</v>
      </c>
      <c r="L3">
        <f t="shared" si="0"/>
        <v>0.21860014601771138</v>
      </c>
      <c r="M3">
        <f t="shared" si="0"/>
        <v>0.22690057069799094</v>
      </c>
      <c r="N3">
        <f t="shared" si="0"/>
        <v>0.23520099537827049</v>
      </c>
      <c r="O3">
        <f t="shared" si="0"/>
        <v>0.24350142005854736</v>
      </c>
      <c r="P3">
        <f t="shared" si="0"/>
        <v>0.25180184473882694</v>
      </c>
      <c r="Q3">
        <f t="shared" si="0"/>
        <v>0.26010226941910647</v>
      </c>
      <c r="R3">
        <f t="shared" si="0"/>
        <v>0.26840269409938605</v>
      </c>
      <c r="S3">
        <f t="shared" si="0"/>
        <v>0.27670311877966286</v>
      </c>
      <c r="T3">
        <f t="shared" si="0"/>
        <v>0.28500354345994244</v>
      </c>
      <c r="U3">
        <f t="shared" si="0"/>
        <v>0.29330396814022197</v>
      </c>
      <c r="V3">
        <f t="shared" si="0"/>
        <v>0.30160439282049883</v>
      </c>
      <c r="W3">
        <f t="shared" si="0"/>
        <v>0.30990481750077842</v>
      </c>
      <c r="X3">
        <f t="shared" si="0"/>
        <v>0.318205242181058</v>
      </c>
      <c r="Y3">
        <f t="shared" si="0"/>
        <v>0.32650566686133481</v>
      </c>
      <c r="Z3">
        <f t="shared" si="0"/>
        <v>0.33480609154161439</v>
      </c>
      <c r="AA3">
        <f t="shared" si="0"/>
        <v>0.34310651622189392</v>
      </c>
      <c r="AB3">
        <f t="shared" si="0"/>
        <v>0.3514069409021735</v>
      </c>
      <c r="AC3">
        <f t="shared" si="0"/>
        <v>0.35970736558245037</v>
      </c>
      <c r="AD3">
        <f t="shared" si="0"/>
        <v>0.36800779026272995</v>
      </c>
      <c r="AE3">
        <f t="shared" si="0"/>
        <v>0.37630821494300948</v>
      </c>
      <c r="AF3">
        <f t="shared" si="0"/>
        <v>0.38460863962328634</v>
      </c>
    </row>
    <row r="5" spans="1:32" ht="58" x14ac:dyDescent="0.35">
      <c r="A5" s="5" t="s">
        <v>284</v>
      </c>
      <c r="B5">
        <v>0.92500000000000004</v>
      </c>
    </row>
    <row r="6" spans="1:32" ht="58" x14ac:dyDescent="0.35">
      <c r="A6" s="5" t="s">
        <v>284</v>
      </c>
      <c r="B6">
        <v>0.8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/>
  </sheetPr>
  <dimension ref="A1:BE32"/>
  <sheetViews>
    <sheetView tabSelected="1" workbookViewId="0">
      <selection activeCell="G41" sqref="G41"/>
    </sheetView>
  </sheetViews>
  <sheetFormatPr defaultColWidth="8.81640625" defaultRowHeight="14.5" x14ac:dyDescent="0.35"/>
  <cols>
    <col min="1" max="1" width="23.453125" customWidth="1"/>
    <col min="2" max="2" width="11.36328125" customWidth="1"/>
  </cols>
  <sheetData>
    <row r="1" spans="1:57" ht="29" x14ac:dyDescent="0.35">
      <c r="A1" s="3" t="s">
        <v>24</v>
      </c>
      <c r="B1" s="2">
        <v>2015</v>
      </c>
      <c r="C1">
        <v>2016</v>
      </c>
      <c r="D1">
        <v>2017</v>
      </c>
      <c r="E1">
        <v>2018</v>
      </c>
      <c r="F1">
        <v>2019</v>
      </c>
      <c r="G1">
        <v>2020</v>
      </c>
      <c r="H1">
        <v>2021</v>
      </c>
      <c r="I1">
        <v>2022</v>
      </c>
      <c r="J1">
        <v>2023</v>
      </c>
      <c r="K1">
        <v>2024</v>
      </c>
      <c r="L1">
        <v>2025</v>
      </c>
      <c r="M1">
        <v>2026</v>
      </c>
      <c r="N1">
        <v>2027</v>
      </c>
      <c r="O1">
        <v>2028</v>
      </c>
      <c r="P1">
        <v>2029</v>
      </c>
      <c r="Q1">
        <v>2030</v>
      </c>
      <c r="R1">
        <v>2031</v>
      </c>
      <c r="S1">
        <v>2032</v>
      </c>
      <c r="T1">
        <v>2033</v>
      </c>
      <c r="U1">
        <v>2034</v>
      </c>
      <c r="V1">
        <v>2035</v>
      </c>
      <c r="W1">
        <v>2036</v>
      </c>
      <c r="X1">
        <v>2037</v>
      </c>
      <c r="Y1">
        <v>2038</v>
      </c>
      <c r="Z1">
        <v>2039</v>
      </c>
      <c r="AA1">
        <v>2040</v>
      </c>
      <c r="AB1">
        <v>2041</v>
      </c>
      <c r="AC1">
        <v>2042</v>
      </c>
      <c r="AD1">
        <v>2043</v>
      </c>
      <c r="AE1">
        <v>2044</v>
      </c>
      <c r="AF1">
        <v>2045</v>
      </c>
      <c r="AG1">
        <v>2046</v>
      </c>
      <c r="AH1">
        <v>2047</v>
      </c>
      <c r="AI1">
        <v>2048</v>
      </c>
      <c r="AJ1">
        <v>2049</v>
      </c>
      <c r="AK1">
        <v>2050</v>
      </c>
      <c r="AL1">
        <v>2051</v>
      </c>
      <c r="AM1">
        <v>2052</v>
      </c>
      <c r="AN1">
        <v>2053</v>
      </c>
      <c r="AO1">
        <v>2054</v>
      </c>
      <c r="AP1">
        <v>2055</v>
      </c>
      <c r="AQ1">
        <v>2056</v>
      </c>
      <c r="AR1">
        <v>2057</v>
      </c>
      <c r="AS1">
        <v>2058</v>
      </c>
      <c r="AT1">
        <v>2059</v>
      </c>
      <c r="AU1">
        <v>2060</v>
      </c>
      <c r="AV1">
        <v>2061</v>
      </c>
      <c r="AW1">
        <v>2062</v>
      </c>
      <c r="AX1">
        <v>2063</v>
      </c>
      <c r="AY1">
        <v>2064</v>
      </c>
      <c r="AZ1">
        <v>2065</v>
      </c>
      <c r="BA1">
        <v>2066</v>
      </c>
      <c r="BB1">
        <v>2067</v>
      </c>
      <c r="BC1">
        <v>2068</v>
      </c>
      <c r="BD1">
        <v>2069</v>
      </c>
      <c r="BE1">
        <v>2070</v>
      </c>
    </row>
    <row r="2" spans="1:57" x14ac:dyDescent="0.35">
      <c r="A2" t="s">
        <v>18</v>
      </c>
      <c r="B2" s="9">
        <v>0</v>
      </c>
      <c r="C2" s="9">
        <v>0</v>
      </c>
      <c r="D2" s="9">
        <v>0</v>
      </c>
      <c r="E2" s="9">
        <v>0</v>
      </c>
      <c r="F2" s="9">
        <v>0</v>
      </c>
      <c r="G2" s="9">
        <v>0</v>
      </c>
      <c r="H2" s="9">
        <v>0</v>
      </c>
      <c r="I2" s="9">
        <v>0</v>
      </c>
      <c r="J2" s="9">
        <v>0</v>
      </c>
      <c r="K2" s="9">
        <v>0</v>
      </c>
      <c r="L2" s="9">
        <v>0</v>
      </c>
      <c r="M2" s="9">
        <v>0</v>
      </c>
      <c r="N2" s="9">
        <v>0</v>
      </c>
      <c r="O2" s="9">
        <v>0</v>
      </c>
      <c r="P2" s="9">
        <v>0</v>
      </c>
      <c r="Q2" s="9">
        <v>0</v>
      </c>
      <c r="R2" s="9">
        <v>0</v>
      </c>
      <c r="S2" s="9">
        <v>0</v>
      </c>
      <c r="T2" s="9">
        <v>0</v>
      </c>
      <c r="U2" s="9">
        <v>0</v>
      </c>
      <c r="V2" s="9">
        <v>0</v>
      </c>
      <c r="W2" s="9">
        <v>0</v>
      </c>
      <c r="X2" s="9">
        <v>0</v>
      </c>
      <c r="Y2" s="9">
        <v>0</v>
      </c>
      <c r="Z2" s="9">
        <v>0</v>
      </c>
      <c r="AA2" s="9">
        <v>0</v>
      </c>
      <c r="AB2" s="9">
        <v>0</v>
      </c>
      <c r="AC2" s="9">
        <v>0</v>
      </c>
      <c r="AD2" s="9">
        <v>0</v>
      </c>
      <c r="AE2" s="9">
        <v>0</v>
      </c>
      <c r="AF2" s="9">
        <v>0</v>
      </c>
      <c r="AG2" s="9">
        <v>0</v>
      </c>
      <c r="AH2" s="9">
        <v>0</v>
      </c>
      <c r="AI2" s="9">
        <v>0</v>
      </c>
      <c r="AJ2" s="9">
        <v>0</v>
      </c>
      <c r="AK2" s="9">
        <v>0</v>
      </c>
      <c r="AL2" s="9">
        <v>0</v>
      </c>
      <c r="AM2" s="9">
        <v>0</v>
      </c>
      <c r="AN2" s="9">
        <v>0</v>
      </c>
      <c r="AO2" s="9">
        <v>0</v>
      </c>
      <c r="AP2" s="9">
        <v>0</v>
      </c>
      <c r="AQ2" s="9">
        <v>0</v>
      </c>
      <c r="AR2" s="9">
        <v>0</v>
      </c>
      <c r="AS2" s="9">
        <v>0</v>
      </c>
      <c r="AT2" s="9">
        <v>0</v>
      </c>
      <c r="AU2" s="9">
        <v>0</v>
      </c>
      <c r="AV2" s="9">
        <v>0</v>
      </c>
      <c r="AW2" s="9">
        <v>0</v>
      </c>
      <c r="AX2" s="9">
        <v>0</v>
      </c>
      <c r="AY2" s="9">
        <v>0</v>
      </c>
      <c r="AZ2" s="9">
        <v>0</v>
      </c>
      <c r="BA2" s="9">
        <v>0</v>
      </c>
      <c r="BB2" s="9">
        <v>0</v>
      </c>
      <c r="BC2" s="9">
        <v>0</v>
      </c>
      <c r="BD2" s="9">
        <v>0</v>
      </c>
      <c r="BE2" s="9">
        <v>0</v>
      </c>
    </row>
    <row r="3" spans="1:57" x14ac:dyDescent="0.35">
      <c r="A3" t="s">
        <v>353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  <c r="Z3" s="9">
        <v>0</v>
      </c>
      <c r="AA3" s="9">
        <v>0</v>
      </c>
      <c r="AB3" s="9">
        <v>0</v>
      </c>
      <c r="AC3" s="9">
        <v>0</v>
      </c>
      <c r="AD3" s="9">
        <v>0</v>
      </c>
      <c r="AE3" s="9">
        <v>0</v>
      </c>
      <c r="AF3" s="9">
        <v>0</v>
      </c>
      <c r="AG3" s="9">
        <v>0</v>
      </c>
      <c r="AH3" s="9">
        <v>0</v>
      </c>
      <c r="AI3" s="9">
        <v>0</v>
      </c>
      <c r="AJ3" s="9">
        <v>0</v>
      </c>
      <c r="AK3" s="9">
        <v>0</v>
      </c>
      <c r="AL3" s="9">
        <v>0</v>
      </c>
      <c r="AM3" s="9">
        <v>0</v>
      </c>
      <c r="AN3" s="9">
        <v>0</v>
      </c>
      <c r="AO3" s="9">
        <v>0</v>
      </c>
      <c r="AP3" s="9">
        <v>0</v>
      </c>
      <c r="AQ3" s="9">
        <v>0</v>
      </c>
      <c r="AR3" s="9">
        <v>0</v>
      </c>
      <c r="AS3" s="9">
        <v>0</v>
      </c>
      <c r="AT3" s="9">
        <v>0</v>
      </c>
      <c r="AU3" s="9">
        <v>0</v>
      </c>
      <c r="AV3" s="9">
        <v>0</v>
      </c>
      <c r="AW3" s="9">
        <v>0</v>
      </c>
      <c r="AX3" s="9">
        <v>0</v>
      </c>
      <c r="AY3" s="9">
        <v>0</v>
      </c>
      <c r="AZ3" s="9">
        <v>0</v>
      </c>
      <c r="BA3" s="9">
        <v>0</v>
      </c>
      <c r="BB3" s="9">
        <v>0</v>
      </c>
      <c r="BC3" s="9">
        <v>0</v>
      </c>
      <c r="BD3" s="9">
        <v>0</v>
      </c>
      <c r="BE3" s="9">
        <v>0</v>
      </c>
    </row>
    <row r="4" spans="1:57" x14ac:dyDescent="0.35">
      <c r="A4" t="s">
        <v>354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  <c r="Z4" s="9">
        <v>0</v>
      </c>
      <c r="AA4" s="9">
        <v>0</v>
      </c>
      <c r="AB4" s="9">
        <v>0</v>
      </c>
      <c r="AC4" s="9">
        <v>0</v>
      </c>
      <c r="AD4" s="9">
        <v>0</v>
      </c>
      <c r="AE4" s="9">
        <v>0</v>
      </c>
      <c r="AF4" s="9">
        <v>0</v>
      </c>
      <c r="AG4" s="9">
        <v>0</v>
      </c>
      <c r="AH4" s="9">
        <v>0</v>
      </c>
      <c r="AI4" s="9">
        <v>0</v>
      </c>
      <c r="AJ4" s="9">
        <v>0</v>
      </c>
      <c r="AK4" s="9">
        <v>0</v>
      </c>
      <c r="AL4" s="9">
        <v>0</v>
      </c>
      <c r="AM4" s="9">
        <v>0</v>
      </c>
      <c r="AN4" s="9">
        <v>0</v>
      </c>
      <c r="AO4" s="9">
        <v>0</v>
      </c>
      <c r="AP4" s="9">
        <v>0</v>
      </c>
      <c r="AQ4" s="9">
        <v>0</v>
      </c>
      <c r="AR4" s="9">
        <v>0</v>
      </c>
      <c r="AS4" s="9">
        <v>0</v>
      </c>
      <c r="AT4" s="9">
        <v>0</v>
      </c>
      <c r="AU4" s="9">
        <v>0</v>
      </c>
      <c r="AV4" s="9">
        <v>0</v>
      </c>
      <c r="AW4" s="9">
        <v>0</v>
      </c>
      <c r="AX4" s="9">
        <v>0</v>
      </c>
      <c r="AY4" s="9">
        <v>0</v>
      </c>
      <c r="AZ4" s="9">
        <v>0</v>
      </c>
      <c r="BA4" s="9">
        <v>0</v>
      </c>
      <c r="BB4" s="9">
        <v>0</v>
      </c>
      <c r="BC4" s="9">
        <v>0</v>
      </c>
      <c r="BD4" s="9">
        <v>0</v>
      </c>
      <c r="BE4" s="9">
        <v>0</v>
      </c>
    </row>
    <row r="5" spans="1:57" x14ac:dyDescent="0.35">
      <c r="A5" t="s">
        <v>1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  <c r="Z5" s="9">
        <v>0</v>
      </c>
      <c r="AA5" s="9">
        <v>0</v>
      </c>
      <c r="AB5" s="9">
        <v>0</v>
      </c>
      <c r="AC5" s="9">
        <v>0</v>
      </c>
      <c r="AD5" s="9">
        <v>0</v>
      </c>
      <c r="AE5" s="9">
        <v>0</v>
      </c>
      <c r="AF5" s="9">
        <v>0</v>
      </c>
      <c r="AG5" s="9">
        <v>0</v>
      </c>
      <c r="AH5" s="9">
        <v>0</v>
      </c>
      <c r="AI5" s="9">
        <v>0</v>
      </c>
      <c r="AJ5" s="9">
        <v>0</v>
      </c>
      <c r="AK5" s="9">
        <v>0</v>
      </c>
      <c r="AL5" s="9">
        <v>0</v>
      </c>
      <c r="AM5" s="9">
        <v>0</v>
      </c>
      <c r="AN5" s="9">
        <v>0</v>
      </c>
      <c r="AO5" s="9">
        <v>0</v>
      </c>
      <c r="AP5" s="9">
        <v>0</v>
      </c>
      <c r="AQ5" s="9">
        <v>0</v>
      </c>
      <c r="AR5" s="9">
        <v>0</v>
      </c>
      <c r="AS5" s="9">
        <v>0</v>
      </c>
      <c r="AT5" s="9">
        <v>0</v>
      </c>
      <c r="AU5" s="9">
        <v>0</v>
      </c>
      <c r="AV5" s="9">
        <v>0</v>
      </c>
      <c r="AW5" s="9">
        <v>0</v>
      </c>
      <c r="AX5" s="9">
        <v>0</v>
      </c>
      <c r="AY5" s="9">
        <v>0</v>
      </c>
      <c r="AZ5" s="9">
        <v>0</v>
      </c>
      <c r="BA5" s="9">
        <v>0</v>
      </c>
      <c r="BB5" s="9">
        <v>0</v>
      </c>
      <c r="BC5" s="9">
        <v>0</v>
      </c>
      <c r="BD5" s="9">
        <v>0</v>
      </c>
      <c r="BE5" s="9">
        <v>0</v>
      </c>
    </row>
    <row r="6" spans="1:57" x14ac:dyDescent="0.35">
      <c r="A6" t="s">
        <v>2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  <c r="Z6" s="9">
        <v>0</v>
      </c>
      <c r="AA6" s="9">
        <v>0</v>
      </c>
      <c r="AB6" s="9">
        <v>0</v>
      </c>
      <c r="AC6" s="9">
        <v>0</v>
      </c>
      <c r="AD6" s="9">
        <v>0</v>
      </c>
      <c r="AE6" s="9">
        <v>0</v>
      </c>
      <c r="AF6" s="9">
        <v>0</v>
      </c>
      <c r="AG6" s="9">
        <v>0</v>
      </c>
      <c r="AH6" s="9">
        <v>0</v>
      </c>
      <c r="AI6" s="9">
        <v>0</v>
      </c>
      <c r="AJ6" s="9">
        <v>0</v>
      </c>
      <c r="AK6" s="9">
        <v>0</v>
      </c>
      <c r="AL6" s="9">
        <v>0</v>
      </c>
      <c r="AM6" s="9">
        <v>0</v>
      </c>
      <c r="AN6" s="9">
        <v>0</v>
      </c>
      <c r="AO6" s="9">
        <v>0</v>
      </c>
      <c r="AP6" s="9">
        <v>0</v>
      </c>
      <c r="AQ6" s="9">
        <v>0</v>
      </c>
      <c r="AR6" s="9">
        <v>0</v>
      </c>
      <c r="AS6" s="9">
        <v>0</v>
      </c>
      <c r="AT6" s="9">
        <v>0</v>
      </c>
      <c r="AU6" s="9">
        <v>0</v>
      </c>
      <c r="AV6" s="9">
        <v>0</v>
      </c>
      <c r="AW6" s="9">
        <v>0</v>
      </c>
      <c r="AX6" s="9">
        <v>0</v>
      </c>
      <c r="AY6" s="9">
        <v>0</v>
      </c>
      <c r="AZ6" s="9">
        <v>0</v>
      </c>
      <c r="BA6" s="9">
        <v>0</v>
      </c>
      <c r="BB6" s="9">
        <v>0</v>
      </c>
      <c r="BC6" s="9">
        <v>0</v>
      </c>
      <c r="BD6" s="9">
        <v>0</v>
      </c>
      <c r="BE6" s="9">
        <v>0</v>
      </c>
    </row>
    <row r="7" spans="1:57" x14ac:dyDescent="0.35">
      <c r="A7" t="s">
        <v>19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  <c r="Z7" s="9">
        <v>0</v>
      </c>
      <c r="AA7" s="9">
        <v>0</v>
      </c>
      <c r="AB7" s="9">
        <v>0</v>
      </c>
      <c r="AC7" s="9">
        <v>0</v>
      </c>
      <c r="AD7" s="9">
        <v>0</v>
      </c>
      <c r="AE7" s="9">
        <v>0</v>
      </c>
      <c r="AF7" s="9">
        <v>0</v>
      </c>
      <c r="AG7" s="9">
        <v>0</v>
      </c>
      <c r="AH7" s="9">
        <v>0</v>
      </c>
      <c r="AI7" s="9">
        <v>0</v>
      </c>
      <c r="AJ7" s="9">
        <v>0</v>
      </c>
      <c r="AK7" s="9">
        <v>0</v>
      </c>
      <c r="AL7" s="9">
        <v>0</v>
      </c>
      <c r="AM7" s="9">
        <v>0</v>
      </c>
      <c r="AN7" s="9">
        <v>0</v>
      </c>
      <c r="AO7" s="9">
        <v>0</v>
      </c>
      <c r="AP7" s="9">
        <v>0</v>
      </c>
      <c r="AQ7" s="9">
        <v>0</v>
      </c>
      <c r="AR7" s="9">
        <v>0</v>
      </c>
      <c r="AS7" s="9">
        <v>0</v>
      </c>
      <c r="AT7" s="9">
        <v>0</v>
      </c>
      <c r="AU7" s="9">
        <v>0</v>
      </c>
      <c r="AV7" s="9">
        <v>0</v>
      </c>
      <c r="AW7" s="9">
        <v>0</v>
      </c>
      <c r="AX7" s="9">
        <v>0</v>
      </c>
      <c r="AY7" s="9">
        <v>0</v>
      </c>
      <c r="AZ7" s="9">
        <v>0</v>
      </c>
      <c r="BA7" s="9">
        <v>0</v>
      </c>
      <c r="BB7" s="9">
        <v>0</v>
      </c>
      <c r="BC7" s="9">
        <v>0</v>
      </c>
      <c r="BD7" s="9">
        <v>0</v>
      </c>
      <c r="BE7" s="9">
        <v>0</v>
      </c>
    </row>
    <row r="8" spans="1:57" x14ac:dyDescent="0.35">
      <c r="A8" t="s">
        <v>3</v>
      </c>
      <c r="B8" s="9">
        <v>0</v>
      </c>
      <c r="C8" s="9">
        <v>0</v>
      </c>
      <c r="D8" s="9">
        <v>0</v>
      </c>
      <c r="E8" s="9">
        <v>0</v>
      </c>
      <c r="F8" s="9">
        <v>0</v>
      </c>
      <c r="G8" s="9">
        <v>0</v>
      </c>
      <c r="H8" s="9">
        <v>0</v>
      </c>
      <c r="I8" s="9">
        <v>0</v>
      </c>
      <c r="J8" s="9">
        <v>0</v>
      </c>
      <c r="K8" s="9">
        <v>0</v>
      </c>
      <c r="L8" s="9">
        <v>0</v>
      </c>
      <c r="M8" s="9">
        <v>0</v>
      </c>
      <c r="N8" s="9">
        <v>0</v>
      </c>
      <c r="O8" s="9">
        <v>0</v>
      </c>
      <c r="P8" s="9">
        <v>0</v>
      </c>
      <c r="Q8" s="9">
        <v>0</v>
      </c>
      <c r="R8" s="9">
        <v>0</v>
      </c>
      <c r="S8" s="9">
        <v>0</v>
      </c>
      <c r="T8" s="9">
        <v>0</v>
      </c>
      <c r="U8" s="9">
        <v>0</v>
      </c>
      <c r="V8" s="9">
        <v>0</v>
      </c>
      <c r="W8" s="9">
        <v>0</v>
      </c>
      <c r="X8" s="9">
        <v>0</v>
      </c>
      <c r="Y8" s="9">
        <v>0</v>
      </c>
      <c r="Z8" s="9">
        <v>0</v>
      </c>
      <c r="AA8" s="9">
        <v>0</v>
      </c>
      <c r="AB8" s="9">
        <v>0</v>
      </c>
      <c r="AC8" s="9">
        <v>0</v>
      </c>
      <c r="AD8" s="9">
        <v>0</v>
      </c>
      <c r="AE8" s="9">
        <v>0</v>
      </c>
      <c r="AF8" s="9">
        <v>0</v>
      </c>
      <c r="AG8" s="9">
        <v>0</v>
      </c>
      <c r="AH8" s="9">
        <v>0</v>
      </c>
      <c r="AI8" s="9">
        <v>0</v>
      </c>
      <c r="AJ8" s="9">
        <v>0</v>
      </c>
      <c r="AK8" s="9">
        <v>0</v>
      </c>
      <c r="AL8" s="9">
        <v>0</v>
      </c>
      <c r="AM8" s="9">
        <v>0</v>
      </c>
      <c r="AN8" s="9">
        <v>0</v>
      </c>
      <c r="AO8" s="9">
        <v>0</v>
      </c>
      <c r="AP8" s="9">
        <v>0</v>
      </c>
      <c r="AQ8" s="9">
        <v>0</v>
      </c>
      <c r="AR8" s="9">
        <v>0</v>
      </c>
      <c r="AS8" s="9">
        <v>0</v>
      </c>
      <c r="AT8" s="9">
        <v>0</v>
      </c>
      <c r="AU8" s="9">
        <v>0</v>
      </c>
      <c r="AV8" s="9">
        <v>0</v>
      </c>
      <c r="AW8" s="9">
        <v>0</v>
      </c>
      <c r="AX8" s="9">
        <v>0</v>
      </c>
      <c r="AY8" s="9">
        <v>0</v>
      </c>
      <c r="AZ8" s="9">
        <v>0</v>
      </c>
      <c r="BA8" s="9">
        <v>0</v>
      </c>
      <c r="BB8" s="9">
        <v>0</v>
      </c>
      <c r="BC8" s="9">
        <v>0</v>
      </c>
      <c r="BD8" s="9">
        <v>0</v>
      </c>
      <c r="BE8" s="9">
        <v>0</v>
      </c>
    </row>
    <row r="9" spans="1:57" x14ac:dyDescent="0.35">
      <c r="A9" t="s">
        <v>4</v>
      </c>
      <c r="B9" s="9">
        <v>0</v>
      </c>
      <c r="C9" s="9">
        <v>0</v>
      </c>
      <c r="D9" s="9">
        <v>0</v>
      </c>
      <c r="E9" s="9">
        <v>0</v>
      </c>
      <c r="F9" s="9">
        <v>0</v>
      </c>
      <c r="G9" s="9">
        <v>0</v>
      </c>
      <c r="H9" s="9">
        <v>0</v>
      </c>
      <c r="I9" s="9">
        <v>0</v>
      </c>
      <c r="J9" s="9">
        <v>0</v>
      </c>
      <c r="K9" s="9">
        <v>0</v>
      </c>
      <c r="L9" s="9">
        <v>0</v>
      </c>
      <c r="M9" s="9">
        <v>0</v>
      </c>
      <c r="N9" s="9">
        <v>0</v>
      </c>
      <c r="O9" s="9">
        <v>0</v>
      </c>
      <c r="P9" s="9">
        <v>0</v>
      </c>
      <c r="Q9" s="9">
        <v>0</v>
      </c>
      <c r="R9" s="9">
        <v>0</v>
      </c>
      <c r="S9" s="9">
        <v>0</v>
      </c>
      <c r="T9" s="9">
        <v>0</v>
      </c>
      <c r="U9" s="9">
        <v>0</v>
      </c>
      <c r="V9" s="9">
        <v>0</v>
      </c>
      <c r="W9" s="9">
        <v>0</v>
      </c>
      <c r="X9" s="9">
        <v>0</v>
      </c>
      <c r="Y9" s="9">
        <v>0</v>
      </c>
      <c r="Z9" s="9">
        <v>0</v>
      </c>
      <c r="AA9" s="9">
        <v>0</v>
      </c>
      <c r="AB9" s="9">
        <v>0</v>
      </c>
      <c r="AC9" s="9">
        <v>0</v>
      </c>
      <c r="AD9" s="9">
        <v>0</v>
      </c>
      <c r="AE9" s="9">
        <v>0</v>
      </c>
      <c r="AF9" s="9">
        <v>0</v>
      </c>
      <c r="AG9" s="9">
        <v>0</v>
      </c>
      <c r="AH9" s="9">
        <v>0</v>
      </c>
      <c r="AI9" s="9">
        <v>0</v>
      </c>
      <c r="AJ9" s="9">
        <v>0</v>
      </c>
      <c r="AK9" s="9">
        <v>0</v>
      </c>
      <c r="AL9" s="9">
        <v>0</v>
      </c>
      <c r="AM9" s="9">
        <v>0</v>
      </c>
      <c r="AN9" s="9">
        <v>0</v>
      </c>
      <c r="AO9" s="9">
        <v>0</v>
      </c>
      <c r="AP9" s="9">
        <v>0</v>
      </c>
      <c r="AQ9" s="9">
        <v>0</v>
      </c>
      <c r="AR9" s="9">
        <v>0</v>
      </c>
      <c r="AS9" s="9">
        <v>0</v>
      </c>
      <c r="AT9" s="9">
        <v>0</v>
      </c>
      <c r="AU9" s="9">
        <v>0</v>
      </c>
      <c r="AV9" s="9">
        <v>0</v>
      </c>
      <c r="AW9" s="9">
        <v>0</v>
      </c>
      <c r="AX9" s="9">
        <v>0</v>
      </c>
      <c r="AY9" s="9">
        <v>0</v>
      </c>
      <c r="AZ9" s="9">
        <v>0</v>
      </c>
      <c r="BA9" s="9">
        <v>0</v>
      </c>
      <c r="BB9" s="9">
        <v>0</v>
      </c>
      <c r="BC9" s="9">
        <v>0</v>
      </c>
      <c r="BD9" s="9">
        <v>0</v>
      </c>
      <c r="BE9" s="9">
        <v>0</v>
      </c>
    </row>
    <row r="10" spans="1:57" x14ac:dyDescent="0.35">
      <c r="A10" t="s">
        <v>5</v>
      </c>
      <c r="B10" s="9">
        <v>0</v>
      </c>
      <c r="C10" s="9">
        <v>0</v>
      </c>
      <c r="D10" s="9">
        <v>0</v>
      </c>
      <c r="E10" s="9">
        <v>0</v>
      </c>
      <c r="F10" s="9">
        <v>0</v>
      </c>
      <c r="G10" s="9">
        <v>0</v>
      </c>
      <c r="H10" s="9">
        <v>0</v>
      </c>
      <c r="I10" s="9">
        <v>0</v>
      </c>
      <c r="J10" s="9">
        <v>0</v>
      </c>
      <c r="K10" s="9">
        <v>0</v>
      </c>
      <c r="L10" s="9">
        <v>0</v>
      </c>
      <c r="M10" s="9">
        <v>0</v>
      </c>
      <c r="N10" s="9">
        <v>0</v>
      </c>
      <c r="O10" s="9">
        <v>0</v>
      </c>
      <c r="P10" s="9">
        <v>0</v>
      </c>
      <c r="Q10" s="9">
        <v>0</v>
      </c>
      <c r="R10" s="9">
        <v>0</v>
      </c>
      <c r="S10" s="9">
        <v>0</v>
      </c>
      <c r="T10" s="9">
        <v>0</v>
      </c>
      <c r="U10" s="9">
        <v>0</v>
      </c>
      <c r="V10" s="9">
        <v>0</v>
      </c>
      <c r="W10" s="9">
        <v>0</v>
      </c>
      <c r="X10" s="9">
        <v>0</v>
      </c>
      <c r="Y10" s="9">
        <v>0</v>
      </c>
      <c r="Z10" s="9">
        <v>0</v>
      </c>
      <c r="AA10" s="9">
        <v>0</v>
      </c>
      <c r="AB10" s="9">
        <v>0</v>
      </c>
      <c r="AC10" s="9">
        <v>0</v>
      </c>
      <c r="AD10" s="9">
        <v>0</v>
      </c>
      <c r="AE10" s="9">
        <v>0</v>
      </c>
      <c r="AF10" s="9">
        <v>0</v>
      </c>
      <c r="AG10" s="9">
        <v>0</v>
      </c>
      <c r="AH10" s="9">
        <v>0</v>
      </c>
      <c r="AI10" s="9">
        <v>0</v>
      </c>
      <c r="AJ10" s="9">
        <v>0</v>
      </c>
      <c r="AK10" s="9">
        <v>0</v>
      </c>
      <c r="AL10" s="9">
        <v>0</v>
      </c>
      <c r="AM10" s="9">
        <v>0</v>
      </c>
      <c r="AN10" s="9">
        <v>0</v>
      </c>
      <c r="AO10" s="9">
        <v>0</v>
      </c>
      <c r="AP10" s="9">
        <v>0</v>
      </c>
      <c r="AQ10" s="9">
        <v>0</v>
      </c>
      <c r="AR10" s="9">
        <v>0</v>
      </c>
      <c r="AS10" s="9">
        <v>0</v>
      </c>
      <c r="AT10" s="9">
        <v>0</v>
      </c>
      <c r="AU10" s="9">
        <v>0</v>
      </c>
      <c r="AV10" s="9">
        <v>0</v>
      </c>
      <c r="AW10" s="9">
        <v>0</v>
      </c>
      <c r="AX10" s="9">
        <v>0</v>
      </c>
      <c r="AY10" s="9">
        <v>0</v>
      </c>
      <c r="AZ10" s="9">
        <v>0</v>
      </c>
      <c r="BA10" s="9">
        <v>0</v>
      </c>
      <c r="BB10" s="9">
        <v>0</v>
      </c>
      <c r="BC10" s="9">
        <v>0</v>
      </c>
      <c r="BD10" s="9">
        <v>0</v>
      </c>
      <c r="BE10" s="9">
        <v>0</v>
      </c>
    </row>
    <row r="11" spans="1:57" x14ac:dyDescent="0.35">
      <c r="A11" t="s">
        <v>7</v>
      </c>
      <c r="B11" s="9">
        <v>0</v>
      </c>
      <c r="C11" s="9">
        <v>0</v>
      </c>
      <c r="D11" s="9">
        <v>0</v>
      </c>
      <c r="E11" s="9">
        <v>0</v>
      </c>
      <c r="F11" s="9">
        <v>0</v>
      </c>
      <c r="G11" s="9">
        <v>0</v>
      </c>
      <c r="H11" s="9">
        <v>0</v>
      </c>
      <c r="I11" s="9">
        <v>0</v>
      </c>
      <c r="J11" s="9">
        <v>0</v>
      </c>
      <c r="K11" s="9">
        <v>0</v>
      </c>
      <c r="L11" s="9">
        <v>0</v>
      </c>
      <c r="M11" s="9">
        <v>0</v>
      </c>
      <c r="N11" s="9">
        <v>0</v>
      </c>
      <c r="O11" s="9">
        <v>0</v>
      </c>
      <c r="P11" s="9">
        <v>0</v>
      </c>
      <c r="Q11" s="9">
        <v>0</v>
      </c>
      <c r="R11" s="9">
        <v>0</v>
      </c>
      <c r="S11" s="9">
        <v>0</v>
      </c>
      <c r="T11" s="9">
        <v>0</v>
      </c>
      <c r="U11" s="9">
        <v>0</v>
      </c>
      <c r="V11" s="9">
        <v>0</v>
      </c>
      <c r="W11" s="9">
        <v>0</v>
      </c>
      <c r="X11" s="9">
        <v>0</v>
      </c>
      <c r="Y11" s="9">
        <v>0</v>
      </c>
      <c r="Z11" s="9">
        <v>0</v>
      </c>
      <c r="AA11" s="9">
        <v>0</v>
      </c>
      <c r="AB11" s="9">
        <v>0</v>
      </c>
      <c r="AC11" s="9">
        <v>0</v>
      </c>
      <c r="AD11" s="9">
        <v>0</v>
      </c>
      <c r="AE11" s="9">
        <v>0</v>
      </c>
      <c r="AF11" s="9">
        <v>0</v>
      </c>
      <c r="AG11" s="9">
        <v>0</v>
      </c>
      <c r="AH11" s="9">
        <v>0</v>
      </c>
      <c r="AI11" s="9">
        <v>0</v>
      </c>
      <c r="AJ11" s="9">
        <v>0</v>
      </c>
      <c r="AK11" s="9">
        <v>0</v>
      </c>
      <c r="AL11" s="9">
        <v>0</v>
      </c>
      <c r="AM11" s="9">
        <v>0</v>
      </c>
      <c r="AN11" s="9">
        <v>0</v>
      </c>
      <c r="AO11" s="9">
        <v>0</v>
      </c>
      <c r="AP11" s="9">
        <v>0</v>
      </c>
      <c r="AQ11" s="9">
        <v>0</v>
      </c>
      <c r="AR11" s="9">
        <v>0</v>
      </c>
      <c r="AS11" s="9">
        <v>0</v>
      </c>
      <c r="AT11" s="9">
        <v>0</v>
      </c>
      <c r="AU11" s="9">
        <v>0</v>
      </c>
      <c r="AV11" s="9">
        <v>0</v>
      </c>
      <c r="AW11" s="9">
        <v>0</v>
      </c>
      <c r="AX11" s="9">
        <v>0</v>
      </c>
      <c r="AY11" s="9">
        <v>0</v>
      </c>
      <c r="AZ11" s="9">
        <v>0</v>
      </c>
      <c r="BA11" s="9">
        <v>0</v>
      </c>
      <c r="BB11" s="9">
        <v>0</v>
      </c>
      <c r="BC11" s="9">
        <v>0</v>
      </c>
      <c r="BD11" s="9">
        <v>0</v>
      </c>
      <c r="BE11" s="9">
        <v>0</v>
      </c>
    </row>
    <row r="12" spans="1:57" x14ac:dyDescent="0.35">
      <c r="A12" t="s">
        <v>8</v>
      </c>
      <c r="B12" s="9">
        <v>0</v>
      </c>
      <c r="C12" s="9">
        <v>0</v>
      </c>
      <c r="D12" s="9">
        <v>0</v>
      </c>
      <c r="E12" s="9">
        <v>0</v>
      </c>
      <c r="F12" s="9">
        <v>0</v>
      </c>
      <c r="G12" s="9">
        <v>0</v>
      </c>
      <c r="H12" s="9">
        <v>0</v>
      </c>
      <c r="I12" s="9">
        <v>0</v>
      </c>
      <c r="J12" s="9">
        <v>0</v>
      </c>
      <c r="K12" s="9">
        <v>0</v>
      </c>
      <c r="L12" s="9">
        <v>0</v>
      </c>
      <c r="M12" s="9">
        <v>0</v>
      </c>
      <c r="N12" s="9">
        <v>0</v>
      </c>
      <c r="O12" s="9">
        <v>0</v>
      </c>
      <c r="P12" s="9">
        <v>0</v>
      </c>
      <c r="Q12" s="9">
        <v>0</v>
      </c>
      <c r="R12" s="9">
        <v>0</v>
      </c>
      <c r="S12" s="9">
        <v>0</v>
      </c>
      <c r="T12" s="9">
        <v>0</v>
      </c>
      <c r="U12" s="9">
        <v>0</v>
      </c>
      <c r="V12" s="9">
        <v>0</v>
      </c>
      <c r="W12" s="9">
        <v>0</v>
      </c>
      <c r="X12" s="9">
        <v>0</v>
      </c>
      <c r="Y12" s="9">
        <v>0</v>
      </c>
      <c r="Z12" s="9">
        <v>0</v>
      </c>
      <c r="AA12" s="9">
        <v>0</v>
      </c>
      <c r="AB12" s="9">
        <v>0</v>
      </c>
      <c r="AC12" s="9">
        <v>0</v>
      </c>
      <c r="AD12" s="9">
        <v>0</v>
      </c>
      <c r="AE12" s="9">
        <v>0</v>
      </c>
      <c r="AF12" s="9">
        <v>0</v>
      </c>
      <c r="AG12" s="9">
        <v>0</v>
      </c>
      <c r="AH12" s="9">
        <v>0</v>
      </c>
      <c r="AI12" s="9">
        <v>0</v>
      </c>
      <c r="AJ12" s="9">
        <v>0</v>
      </c>
      <c r="AK12" s="9">
        <v>0</v>
      </c>
      <c r="AL12" s="9">
        <v>0</v>
      </c>
      <c r="AM12" s="9">
        <v>0</v>
      </c>
      <c r="AN12" s="9">
        <v>0</v>
      </c>
      <c r="AO12" s="9">
        <v>0</v>
      </c>
      <c r="AP12" s="9">
        <v>0</v>
      </c>
      <c r="AQ12" s="9">
        <v>0</v>
      </c>
      <c r="AR12" s="9">
        <v>0</v>
      </c>
      <c r="AS12" s="9">
        <v>0</v>
      </c>
      <c r="AT12" s="9">
        <v>0</v>
      </c>
      <c r="AU12" s="9">
        <v>0</v>
      </c>
      <c r="AV12" s="9">
        <v>0</v>
      </c>
      <c r="AW12" s="9">
        <v>0</v>
      </c>
      <c r="AX12" s="9">
        <v>0</v>
      </c>
      <c r="AY12" s="9">
        <v>0</v>
      </c>
      <c r="AZ12" s="9">
        <v>0</v>
      </c>
      <c r="BA12" s="9">
        <v>0</v>
      </c>
      <c r="BB12" s="9">
        <v>0</v>
      </c>
      <c r="BC12" s="9">
        <v>0</v>
      </c>
      <c r="BD12" s="9">
        <v>0</v>
      </c>
      <c r="BE12" s="9">
        <v>0</v>
      </c>
    </row>
    <row r="13" spans="1:57" x14ac:dyDescent="0.35">
      <c r="A13" t="s">
        <v>9</v>
      </c>
      <c r="B13" s="9">
        <v>0</v>
      </c>
      <c r="C13" s="9">
        <v>0</v>
      </c>
      <c r="D13" s="9">
        <v>0</v>
      </c>
      <c r="E13" s="9">
        <v>0</v>
      </c>
      <c r="F13" s="9">
        <v>0</v>
      </c>
      <c r="G13" s="9">
        <v>0</v>
      </c>
      <c r="H13" s="9">
        <v>0</v>
      </c>
      <c r="I13" s="9">
        <v>0</v>
      </c>
      <c r="J13" s="9">
        <v>0</v>
      </c>
      <c r="K13" s="9">
        <v>0</v>
      </c>
      <c r="L13" s="9">
        <v>0</v>
      </c>
      <c r="M13" s="9">
        <v>0</v>
      </c>
      <c r="N13" s="9">
        <v>0</v>
      </c>
      <c r="O13" s="9">
        <v>0</v>
      </c>
      <c r="P13" s="9">
        <v>0</v>
      </c>
      <c r="Q13" s="9">
        <v>0</v>
      </c>
      <c r="R13" s="9">
        <v>0</v>
      </c>
      <c r="S13" s="9">
        <v>0</v>
      </c>
      <c r="T13" s="9">
        <v>0</v>
      </c>
      <c r="U13" s="9">
        <v>0</v>
      </c>
      <c r="V13" s="9">
        <v>0</v>
      </c>
      <c r="W13" s="9">
        <v>0</v>
      </c>
      <c r="X13" s="9">
        <v>0</v>
      </c>
      <c r="Y13" s="9">
        <v>0</v>
      </c>
      <c r="Z13" s="9">
        <v>0</v>
      </c>
      <c r="AA13" s="9">
        <v>0</v>
      </c>
      <c r="AB13" s="9">
        <v>0</v>
      </c>
      <c r="AC13" s="9">
        <v>0</v>
      </c>
      <c r="AD13" s="9">
        <v>0</v>
      </c>
      <c r="AE13" s="9">
        <v>0</v>
      </c>
      <c r="AF13" s="9">
        <v>0</v>
      </c>
      <c r="AG13" s="9">
        <v>0</v>
      </c>
      <c r="AH13" s="9">
        <v>0</v>
      </c>
      <c r="AI13" s="9">
        <v>0</v>
      </c>
      <c r="AJ13" s="9">
        <v>0</v>
      </c>
      <c r="AK13" s="9">
        <v>0</v>
      </c>
      <c r="AL13" s="9">
        <v>0</v>
      </c>
      <c r="AM13" s="9">
        <v>0</v>
      </c>
      <c r="AN13" s="9">
        <v>0</v>
      </c>
      <c r="AO13" s="9">
        <v>0</v>
      </c>
      <c r="AP13" s="9">
        <v>0</v>
      </c>
      <c r="AQ13" s="9">
        <v>0</v>
      </c>
      <c r="AR13" s="9">
        <v>0</v>
      </c>
      <c r="AS13" s="9">
        <v>0</v>
      </c>
      <c r="AT13" s="9">
        <v>0</v>
      </c>
      <c r="AU13" s="9">
        <v>0</v>
      </c>
      <c r="AV13" s="9">
        <v>0</v>
      </c>
      <c r="AW13" s="9">
        <v>0</v>
      </c>
      <c r="AX13" s="9">
        <v>0</v>
      </c>
      <c r="AY13" s="9">
        <v>0</v>
      </c>
      <c r="AZ13" s="9">
        <v>0</v>
      </c>
      <c r="BA13" s="9">
        <v>0</v>
      </c>
      <c r="BB13" s="9">
        <v>0</v>
      </c>
      <c r="BC13" s="9">
        <v>0</v>
      </c>
      <c r="BD13" s="9">
        <v>0</v>
      </c>
      <c r="BE13" s="9">
        <v>0</v>
      </c>
    </row>
    <row r="14" spans="1:57" x14ac:dyDescent="0.35">
      <c r="A14" t="s">
        <v>17</v>
      </c>
      <c r="B14" s="9">
        <v>0</v>
      </c>
      <c r="C14" s="9">
        <v>0</v>
      </c>
      <c r="D14" s="9">
        <v>0</v>
      </c>
      <c r="E14" s="9">
        <v>0</v>
      </c>
      <c r="F14" s="9">
        <v>0</v>
      </c>
      <c r="G14" s="9">
        <v>0</v>
      </c>
      <c r="H14" s="9">
        <v>0</v>
      </c>
      <c r="I14" s="9">
        <v>0</v>
      </c>
      <c r="J14" s="9">
        <v>0</v>
      </c>
      <c r="K14" s="9">
        <v>0</v>
      </c>
      <c r="L14" s="9">
        <v>0</v>
      </c>
      <c r="M14" s="9">
        <v>0</v>
      </c>
      <c r="N14" s="9">
        <v>0</v>
      </c>
      <c r="O14" s="9">
        <v>0</v>
      </c>
      <c r="P14" s="9">
        <v>0</v>
      </c>
      <c r="Q14" s="9">
        <v>0</v>
      </c>
      <c r="R14" s="9">
        <v>0</v>
      </c>
      <c r="S14" s="9">
        <v>0</v>
      </c>
      <c r="T14" s="9">
        <v>0</v>
      </c>
      <c r="U14" s="9">
        <v>0</v>
      </c>
      <c r="V14" s="9">
        <v>0</v>
      </c>
      <c r="W14" s="9">
        <v>0</v>
      </c>
      <c r="X14" s="9">
        <v>0</v>
      </c>
      <c r="Y14" s="9">
        <v>0</v>
      </c>
      <c r="Z14" s="9">
        <v>0</v>
      </c>
      <c r="AA14" s="9">
        <v>0</v>
      </c>
      <c r="AB14" s="9">
        <v>0</v>
      </c>
      <c r="AC14" s="9">
        <v>0</v>
      </c>
      <c r="AD14" s="9">
        <v>0</v>
      </c>
      <c r="AE14" s="9">
        <v>0</v>
      </c>
      <c r="AF14" s="9">
        <v>0</v>
      </c>
      <c r="AG14" s="9">
        <v>0</v>
      </c>
      <c r="AH14" s="9">
        <v>0</v>
      </c>
      <c r="AI14" s="9">
        <v>0</v>
      </c>
      <c r="AJ14" s="9">
        <v>0</v>
      </c>
      <c r="AK14" s="9">
        <v>0</v>
      </c>
      <c r="AL14" s="9">
        <v>0</v>
      </c>
      <c r="AM14" s="9">
        <v>0</v>
      </c>
      <c r="AN14" s="9">
        <v>0</v>
      </c>
      <c r="AO14" s="9">
        <v>0</v>
      </c>
      <c r="AP14" s="9">
        <v>0</v>
      </c>
      <c r="AQ14" s="9">
        <v>0</v>
      </c>
      <c r="AR14" s="9">
        <v>0</v>
      </c>
      <c r="AS14" s="9">
        <v>0</v>
      </c>
      <c r="AT14" s="9">
        <v>0</v>
      </c>
      <c r="AU14" s="9">
        <v>0</v>
      </c>
      <c r="AV14" s="9">
        <v>0</v>
      </c>
      <c r="AW14" s="9">
        <v>0</v>
      </c>
      <c r="AX14" s="9">
        <v>0</v>
      </c>
      <c r="AY14" s="9">
        <v>0</v>
      </c>
      <c r="AZ14" s="9">
        <v>0</v>
      </c>
      <c r="BA14" s="9">
        <v>0</v>
      </c>
      <c r="BB14" s="9">
        <v>0</v>
      </c>
      <c r="BC14" s="9">
        <v>0</v>
      </c>
      <c r="BD14" s="9">
        <v>0</v>
      </c>
      <c r="BE14" s="9">
        <v>0</v>
      </c>
    </row>
    <row r="15" spans="1:57" x14ac:dyDescent="0.35">
      <c r="A15" t="s">
        <v>20</v>
      </c>
      <c r="B15" s="9">
        <v>0</v>
      </c>
      <c r="C15" s="9">
        <v>0</v>
      </c>
      <c r="D15" s="9">
        <v>0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  <c r="Y15" s="9">
        <v>0</v>
      </c>
      <c r="Z15" s="9">
        <v>0</v>
      </c>
      <c r="AA15" s="9">
        <v>0</v>
      </c>
      <c r="AB15" s="9">
        <v>0</v>
      </c>
      <c r="AC15" s="9">
        <v>0</v>
      </c>
      <c r="AD15" s="9">
        <v>0</v>
      </c>
      <c r="AE15" s="9">
        <v>0</v>
      </c>
      <c r="AF15" s="9">
        <v>0</v>
      </c>
      <c r="AG15" s="9">
        <v>0</v>
      </c>
      <c r="AH15" s="9">
        <v>0</v>
      </c>
      <c r="AI15" s="9">
        <v>0</v>
      </c>
      <c r="AJ15" s="9">
        <v>0</v>
      </c>
      <c r="AK15" s="9">
        <v>0</v>
      </c>
      <c r="AL15" s="9">
        <v>0</v>
      </c>
      <c r="AM15" s="9">
        <v>0</v>
      </c>
      <c r="AN15" s="9">
        <v>0</v>
      </c>
      <c r="AO15" s="9">
        <v>0</v>
      </c>
      <c r="AP15" s="9">
        <v>0</v>
      </c>
      <c r="AQ15" s="9">
        <v>0</v>
      </c>
      <c r="AR15" s="9">
        <v>0</v>
      </c>
      <c r="AS15" s="9">
        <v>0</v>
      </c>
      <c r="AT15" s="9">
        <v>0</v>
      </c>
      <c r="AU15" s="9">
        <v>0</v>
      </c>
      <c r="AV15" s="9">
        <v>0</v>
      </c>
      <c r="AW15" s="9">
        <v>0</v>
      </c>
      <c r="AX15" s="9">
        <v>0</v>
      </c>
      <c r="AY15" s="9">
        <v>0</v>
      </c>
      <c r="AZ15" s="9">
        <v>0</v>
      </c>
      <c r="BA15" s="9">
        <v>0</v>
      </c>
      <c r="BB15" s="9">
        <v>0</v>
      </c>
      <c r="BC15" s="9">
        <v>0</v>
      </c>
      <c r="BD15" s="9">
        <v>0</v>
      </c>
      <c r="BE15" s="9">
        <v>0</v>
      </c>
    </row>
    <row r="16" spans="1:57" x14ac:dyDescent="0.35">
      <c r="A16" t="s">
        <v>21</v>
      </c>
      <c r="B16" s="9">
        <v>0</v>
      </c>
      <c r="C16" s="9">
        <v>0</v>
      </c>
      <c r="D16" s="9">
        <v>0</v>
      </c>
      <c r="E16" s="9">
        <v>0</v>
      </c>
      <c r="F16" s="9">
        <v>0</v>
      </c>
      <c r="G16" s="9">
        <v>0</v>
      </c>
      <c r="H16" s="9">
        <v>0</v>
      </c>
      <c r="I16" s="9">
        <v>0</v>
      </c>
      <c r="J16" s="9">
        <v>0</v>
      </c>
      <c r="K16" s="9">
        <v>0</v>
      </c>
      <c r="L16" s="9">
        <v>0</v>
      </c>
      <c r="M16" s="9">
        <v>0</v>
      </c>
      <c r="N16" s="9">
        <v>0</v>
      </c>
      <c r="O16" s="9">
        <v>0</v>
      </c>
      <c r="P16" s="9">
        <v>0</v>
      </c>
      <c r="Q16" s="9">
        <v>0</v>
      </c>
      <c r="R16" s="9">
        <v>0</v>
      </c>
      <c r="S16" s="9">
        <v>0</v>
      </c>
      <c r="T16" s="9">
        <v>0</v>
      </c>
      <c r="U16" s="9">
        <v>0</v>
      </c>
      <c r="V16" s="9">
        <v>0</v>
      </c>
      <c r="W16" s="9">
        <v>0</v>
      </c>
      <c r="X16" s="9">
        <v>0</v>
      </c>
      <c r="Y16" s="9">
        <v>0</v>
      </c>
      <c r="Z16" s="9">
        <v>0</v>
      </c>
      <c r="AA16" s="9">
        <v>0</v>
      </c>
      <c r="AB16" s="9">
        <v>0</v>
      </c>
      <c r="AC16" s="9">
        <v>0</v>
      </c>
      <c r="AD16" s="9">
        <v>0</v>
      </c>
      <c r="AE16" s="9">
        <v>0</v>
      </c>
      <c r="AF16" s="9">
        <v>0</v>
      </c>
      <c r="AG16" s="9">
        <v>0</v>
      </c>
      <c r="AH16" s="9">
        <v>0</v>
      </c>
      <c r="AI16" s="9">
        <v>0</v>
      </c>
      <c r="AJ16" s="9">
        <v>0</v>
      </c>
      <c r="AK16" s="9">
        <v>0</v>
      </c>
      <c r="AL16" s="9">
        <v>0</v>
      </c>
      <c r="AM16" s="9">
        <v>0</v>
      </c>
      <c r="AN16" s="9">
        <v>0</v>
      </c>
      <c r="AO16" s="9">
        <v>0</v>
      </c>
      <c r="AP16" s="9">
        <v>0</v>
      </c>
      <c r="AQ16" s="9">
        <v>0</v>
      </c>
      <c r="AR16" s="9">
        <v>0</v>
      </c>
      <c r="AS16" s="9">
        <v>0</v>
      </c>
      <c r="AT16" s="9">
        <v>0</v>
      </c>
      <c r="AU16" s="9">
        <v>0</v>
      </c>
      <c r="AV16" s="9">
        <v>0</v>
      </c>
      <c r="AW16" s="9">
        <v>0</v>
      </c>
      <c r="AX16" s="9">
        <v>0</v>
      </c>
      <c r="AY16" s="9">
        <v>0</v>
      </c>
      <c r="AZ16" s="9">
        <v>0</v>
      </c>
      <c r="BA16" s="9">
        <v>0</v>
      </c>
      <c r="BB16" s="9">
        <v>0</v>
      </c>
      <c r="BC16" s="9">
        <v>0</v>
      </c>
      <c r="BD16" s="9">
        <v>0</v>
      </c>
      <c r="BE16" s="9">
        <v>0</v>
      </c>
    </row>
    <row r="17" spans="1:57" x14ac:dyDescent="0.35">
      <c r="A17" t="s">
        <v>22</v>
      </c>
      <c r="B17" s="9">
        <v>0</v>
      </c>
      <c r="C17" s="9">
        <v>0</v>
      </c>
      <c r="D17" s="9">
        <v>0</v>
      </c>
      <c r="E17" s="9">
        <v>0</v>
      </c>
      <c r="F17" s="9">
        <v>0</v>
      </c>
      <c r="G17" s="9">
        <v>0</v>
      </c>
      <c r="H17" s="9">
        <v>0</v>
      </c>
      <c r="I17" s="9">
        <v>0</v>
      </c>
      <c r="J17" s="9">
        <v>0</v>
      </c>
      <c r="K17" s="9">
        <v>0</v>
      </c>
      <c r="L17" s="9">
        <v>0</v>
      </c>
      <c r="M17" s="9">
        <v>0</v>
      </c>
      <c r="N17" s="9">
        <v>0</v>
      </c>
      <c r="O17" s="9">
        <v>0</v>
      </c>
      <c r="P17" s="9">
        <v>0</v>
      </c>
      <c r="Q17" s="9">
        <v>0</v>
      </c>
      <c r="R17" s="9">
        <v>0</v>
      </c>
      <c r="S17" s="9">
        <v>0</v>
      </c>
      <c r="T17" s="9">
        <v>0</v>
      </c>
      <c r="U17" s="9">
        <v>0</v>
      </c>
      <c r="V17" s="9">
        <v>0</v>
      </c>
      <c r="W17" s="9">
        <v>0</v>
      </c>
      <c r="X17" s="9">
        <v>0</v>
      </c>
      <c r="Y17" s="9">
        <v>0</v>
      </c>
      <c r="Z17" s="9">
        <v>0</v>
      </c>
      <c r="AA17" s="9">
        <v>0</v>
      </c>
      <c r="AB17" s="9">
        <v>0</v>
      </c>
      <c r="AC17" s="9">
        <v>0</v>
      </c>
      <c r="AD17" s="9">
        <v>0</v>
      </c>
      <c r="AE17" s="9">
        <v>0</v>
      </c>
      <c r="AF17" s="9">
        <v>0</v>
      </c>
      <c r="AG17" s="9">
        <v>0</v>
      </c>
      <c r="AH17" s="9">
        <v>0</v>
      </c>
      <c r="AI17" s="9">
        <v>0</v>
      </c>
      <c r="AJ17" s="9">
        <v>0</v>
      </c>
      <c r="AK17" s="9">
        <v>0</v>
      </c>
      <c r="AL17" s="9">
        <v>0</v>
      </c>
      <c r="AM17" s="9">
        <v>0</v>
      </c>
      <c r="AN17" s="9">
        <v>0</v>
      </c>
      <c r="AO17" s="9">
        <v>0</v>
      </c>
      <c r="AP17" s="9">
        <v>0</v>
      </c>
      <c r="AQ17" s="9">
        <v>0</v>
      </c>
      <c r="AR17" s="9">
        <v>0</v>
      </c>
      <c r="AS17" s="9">
        <v>0</v>
      </c>
      <c r="AT17" s="9">
        <v>0</v>
      </c>
      <c r="AU17" s="9">
        <v>0</v>
      </c>
      <c r="AV17" s="9">
        <v>0</v>
      </c>
      <c r="AW17" s="9">
        <v>0</v>
      </c>
      <c r="AX17" s="9">
        <v>0</v>
      </c>
      <c r="AY17" s="9">
        <v>0</v>
      </c>
      <c r="AZ17" s="9">
        <v>0</v>
      </c>
      <c r="BA17" s="9">
        <v>0</v>
      </c>
      <c r="BB17" s="9">
        <v>0</v>
      </c>
      <c r="BC17" s="9">
        <v>0</v>
      </c>
      <c r="BD17" s="9">
        <v>0</v>
      </c>
      <c r="BE17" s="9">
        <v>0</v>
      </c>
    </row>
    <row r="18" spans="1:57" x14ac:dyDescent="0.35">
      <c r="A18" t="s">
        <v>23</v>
      </c>
      <c r="B18" s="9">
        <v>0</v>
      </c>
      <c r="C18" s="9">
        <v>0</v>
      </c>
      <c r="D18" s="9">
        <v>0</v>
      </c>
      <c r="E18" s="9">
        <v>0</v>
      </c>
      <c r="F18" s="9">
        <v>0</v>
      </c>
      <c r="G18" s="9">
        <v>0</v>
      </c>
      <c r="H18" s="9">
        <v>0</v>
      </c>
      <c r="I18" s="9">
        <v>0</v>
      </c>
      <c r="J18" s="9">
        <v>0</v>
      </c>
      <c r="K18" s="9">
        <v>0</v>
      </c>
      <c r="L18" s="9">
        <v>0</v>
      </c>
      <c r="M18" s="9">
        <v>0</v>
      </c>
      <c r="N18" s="9">
        <v>0</v>
      </c>
      <c r="O18" s="9">
        <v>0</v>
      </c>
      <c r="P18" s="9">
        <v>0</v>
      </c>
      <c r="Q18" s="9">
        <v>0</v>
      </c>
      <c r="R18" s="9">
        <v>0</v>
      </c>
      <c r="S18" s="9">
        <v>0</v>
      </c>
      <c r="T18" s="9">
        <v>0</v>
      </c>
      <c r="U18" s="9">
        <v>0</v>
      </c>
      <c r="V18" s="9">
        <v>0</v>
      </c>
      <c r="W18" s="9">
        <v>0</v>
      </c>
      <c r="X18" s="9">
        <v>0</v>
      </c>
      <c r="Y18" s="9">
        <v>0</v>
      </c>
      <c r="Z18" s="9">
        <v>0</v>
      </c>
      <c r="AA18" s="9">
        <v>0</v>
      </c>
      <c r="AB18" s="9">
        <v>0</v>
      </c>
      <c r="AC18" s="9">
        <v>0</v>
      </c>
      <c r="AD18" s="9">
        <v>0</v>
      </c>
      <c r="AE18" s="9">
        <v>0</v>
      </c>
      <c r="AF18" s="9">
        <v>0</v>
      </c>
      <c r="AG18" s="9">
        <v>0</v>
      </c>
      <c r="AH18" s="9">
        <v>0</v>
      </c>
      <c r="AI18" s="9">
        <v>0</v>
      </c>
      <c r="AJ18" s="9">
        <v>0</v>
      </c>
      <c r="AK18" s="9">
        <v>0</v>
      </c>
      <c r="AL18" s="9">
        <v>0</v>
      </c>
      <c r="AM18" s="9">
        <v>0</v>
      </c>
      <c r="AN18" s="9">
        <v>0</v>
      </c>
      <c r="AO18" s="9">
        <v>0</v>
      </c>
      <c r="AP18" s="9">
        <v>0</v>
      </c>
      <c r="AQ18" s="9">
        <v>0</v>
      </c>
      <c r="AR18" s="9">
        <v>0</v>
      </c>
      <c r="AS18" s="9">
        <v>0</v>
      </c>
      <c r="AT18" s="9">
        <v>0</v>
      </c>
      <c r="AU18" s="9">
        <v>0</v>
      </c>
      <c r="AV18" s="9">
        <v>0</v>
      </c>
      <c r="AW18" s="9">
        <v>0</v>
      </c>
      <c r="AX18" s="9">
        <v>0</v>
      </c>
      <c r="AY18" s="9">
        <v>0</v>
      </c>
      <c r="AZ18" s="9">
        <v>0</v>
      </c>
      <c r="BA18" s="9">
        <v>0</v>
      </c>
      <c r="BB18" s="9">
        <v>0</v>
      </c>
      <c r="BC18" s="9">
        <v>0</v>
      </c>
      <c r="BD18" s="9">
        <v>0</v>
      </c>
      <c r="BE18" s="9">
        <v>0</v>
      </c>
    </row>
    <row r="19" spans="1:57" x14ac:dyDescent="0.35">
      <c r="A19" t="s">
        <v>355</v>
      </c>
      <c r="B19" s="9">
        <v>0</v>
      </c>
      <c r="C19" s="9">
        <v>0</v>
      </c>
      <c r="D19" s="9">
        <v>0</v>
      </c>
      <c r="E19" s="9">
        <v>0</v>
      </c>
      <c r="F19" s="9">
        <v>0</v>
      </c>
      <c r="G19" s="9">
        <v>0</v>
      </c>
      <c r="H19" s="9">
        <v>0</v>
      </c>
      <c r="I19" s="9">
        <v>0</v>
      </c>
      <c r="J19" s="9">
        <v>0</v>
      </c>
      <c r="K19" s="9">
        <v>0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  <c r="Y19" s="9">
        <v>0</v>
      </c>
      <c r="Z19" s="9">
        <v>0</v>
      </c>
      <c r="AA19" s="9">
        <v>0</v>
      </c>
      <c r="AB19" s="9">
        <v>0</v>
      </c>
      <c r="AC19" s="9">
        <v>0</v>
      </c>
      <c r="AD19" s="9">
        <v>0</v>
      </c>
      <c r="AE19" s="9">
        <v>0</v>
      </c>
      <c r="AF19" s="9">
        <v>0</v>
      </c>
      <c r="AG19" s="9">
        <v>0</v>
      </c>
      <c r="AH19" s="9">
        <v>0</v>
      </c>
      <c r="AI19" s="9">
        <v>0</v>
      </c>
      <c r="AJ19" s="9">
        <v>0</v>
      </c>
      <c r="AK19" s="9">
        <v>0</v>
      </c>
      <c r="AL19" s="9">
        <v>0</v>
      </c>
      <c r="AM19" s="9">
        <v>0</v>
      </c>
      <c r="AN19" s="9">
        <v>0</v>
      </c>
      <c r="AO19" s="9">
        <v>0</v>
      </c>
      <c r="AP19" s="9">
        <v>0</v>
      </c>
      <c r="AQ19" s="9">
        <v>0</v>
      </c>
      <c r="AR19" s="9">
        <v>0</v>
      </c>
      <c r="AS19" s="9">
        <v>0</v>
      </c>
      <c r="AT19" s="9">
        <v>0</v>
      </c>
      <c r="AU19" s="9">
        <v>0</v>
      </c>
      <c r="AV19" s="9">
        <v>0</v>
      </c>
      <c r="AW19" s="9">
        <v>0</v>
      </c>
      <c r="AX19" s="9">
        <v>0</v>
      </c>
      <c r="AY19" s="9">
        <v>0</v>
      </c>
      <c r="AZ19" s="9">
        <v>0</v>
      </c>
      <c r="BA19" s="9">
        <v>0</v>
      </c>
      <c r="BB19" s="9">
        <v>0</v>
      </c>
      <c r="BC19" s="9">
        <v>0</v>
      </c>
      <c r="BD19" s="9">
        <v>0</v>
      </c>
      <c r="BE19" s="9">
        <v>0</v>
      </c>
    </row>
    <row r="20" spans="1:57" x14ac:dyDescent="0.35">
      <c r="A20" t="s">
        <v>356</v>
      </c>
      <c r="B20" s="9">
        <v>0</v>
      </c>
      <c r="C20" s="9">
        <v>0</v>
      </c>
      <c r="D20" s="9">
        <v>0</v>
      </c>
      <c r="E20" s="9">
        <v>0</v>
      </c>
      <c r="F20" s="9">
        <v>0</v>
      </c>
      <c r="G20" s="9">
        <v>0</v>
      </c>
      <c r="H20" s="9">
        <v>0</v>
      </c>
      <c r="I20" s="9">
        <v>0</v>
      </c>
      <c r="J20" s="9">
        <v>0</v>
      </c>
      <c r="K20" s="9">
        <v>0</v>
      </c>
      <c r="L20" s="9">
        <v>0</v>
      </c>
      <c r="M20" s="9">
        <v>0</v>
      </c>
      <c r="N20" s="9">
        <v>0</v>
      </c>
      <c r="O20" s="9">
        <v>0</v>
      </c>
      <c r="P20" s="9">
        <v>0</v>
      </c>
      <c r="Q20" s="9">
        <v>0</v>
      </c>
      <c r="R20" s="9">
        <v>0</v>
      </c>
      <c r="S20" s="9">
        <v>0</v>
      </c>
      <c r="T20" s="9">
        <v>0</v>
      </c>
      <c r="U20" s="9">
        <v>0</v>
      </c>
      <c r="V20" s="9">
        <v>0</v>
      </c>
      <c r="W20" s="9">
        <v>0</v>
      </c>
      <c r="X20" s="9">
        <v>0</v>
      </c>
      <c r="Y20" s="9">
        <v>0</v>
      </c>
      <c r="Z20" s="9">
        <v>0</v>
      </c>
      <c r="AA20" s="9">
        <v>0</v>
      </c>
      <c r="AB20" s="9">
        <v>0</v>
      </c>
      <c r="AC20" s="9">
        <v>0</v>
      </c>
      <c r="AD20" s="9">
        <v>0</v>
      </c>
      <c r="AE20" s="9">
        <v>0</v>
      </c>
      <c r="AF20" s="9">
        <v>0</v>
      </c>
      <c r="AG20" s="9">
        <v>0</v>
      </c>
      <c r="AH20" s="9">
        <v>0</v>
      </c>
      <c r="AI20" s="9">
        <v>0</v>
      </c>
      <c r="AJ20" s="9">
        <v>0</v>
      </c>
      <c r="AK20" s="9">
        <v>0</v>
      </c>
      <c r="AL20" s="9">
        <v>0</v>
      </c>
      <c r="AM20" s="9">
        <v>0</v>
      </c>
      <c r="AN20" s="9">
        <v>0</v>
      </c>
      <c r="AO20" s="9">
        <v>0</v>
      </c>
      <c r="AP20" s="9">
        <v>0</v>
      </c>
      <c r="AQ20" s="9">
        <v>0</v>
      </c>
      <c r="AR20" s="9">
        <v>0</v>
      </c>
      <c r="AS20" s="9">
        <v>0</v>
      </c>
      <c r="AT20" s="9">
        <v>0</v>
      </c>
      <c r="AU20" s="9">
        <v>0</v>
      </c>
      <c r="AV20" s="9">
        <v>0</v>
      </c>
      <c r="AW20" s="9">
        <v>0</v>
      </c>
      <c r="AX20" s="9">
        <v>0</v>
      </c>
      <c r="AY20" s="9">
        <v>0</v>
      </c>
      <c r="AZ20" s="9">
        <v>0</v>
      </c>
      <c r="BA20" s="9">
        <v>0</v>
      </c>
      <c r="BB20" s="9">
        <v>0</v>
      </c>
      <c r="BC20" s="9">
        <v>0</v>
      </c>
      <c r="BD20" s="9">
        <v>0</v>
      </c>
      <c r="BE20" s="9">
        <v>0</v>
      </c>
    </row>
    <row r="21" spans="1:57" x14ac:dyDescent="0.35">
      <c r="A21" t="s">
        <v>357</v>
      </c>
      <c r="B21" s="9">
        <v>0</v>
      </c>
      <c r="C21" s="9">
        <v>0</v>
      </c>
      <c r="D21" s="9">
        <v>0</v>
      </c>
      <c r="E21" s="9">
        <v>0</v>
      </c>
      <c r="F21" s="9">
        <v>0</v>
      </c>
      <c r="G21" s="9">
        <v>0</v>
      </c>
      <c r="H21" s="9">
        <v>0</v>
      </c>
      <c r="I21" s="9">
        <v>0</v>
      </c>
      <c r="J21" s="9">
        <v>0</v>
      </c>
      <c r="K21" s="9">
        <v>0</v>
      </c>
      <c r="L21" s="9">
        <v>0</v>
      </c>
      <c r="M21" s="9">
        <v>0</v>
      </c>
      <c r="N21" s="9">
        <v>0</v>
      </c>
      <c r="O21" s="9">
        <v>0</v>
      </c>
      <c r="P21" s="9">
        <v>0</v>
      </c>
      <c r="Q21" s="9">
        <v>0</v>
      </c>
      <c r="R21" s="9">
        <v>0</v>
      </c>
      <c r="S21" s="9">
        <v>0</v>
      </c>
      <c r="T21" s="9">
        <v>0</v>
      </c>
      <c r="U21" s="9">
        <v>0</v>
      </c>
      <c r="V21" s="9">
        <v>0</v>
      </c>
      <c r="W21" s="9">
        <v>0</v>
      </c>
      <c r="X21" s="9">
        <v>0</v>
      </c>
      <c r="Y21" s="9">
        <v>0</v>
      </c>
      <c r="Z21" s="9">
        <v>0</v>
      </c>
      <c r="AA21" s="9">
        <v>0</v>
      </c>
      <c r="AB21" s="9">
        <v>0</v>
      </c>
      <c r="AC21" s="9">
        <v>0</v>
      </c>
      <c r="AD21" s="9">
        <v>0</v>
      </c>
      <c r="AE21" s="9">
        <v>0</v>
      </c>
      <c r="AF21" s="9">
        <v>0</v>
      </c>
      <c r="AG21" s="9">
        <v>0</v>
      </c>
      <c r="AH21" s="9">
        <v>0</v>
      </c>
      <c r="AI21" s="9">
        <v>0</v>
      </c>
      <c r="AJ21" s="9">
        <v>0</v>
      </c>
      <c r="AK21" s="9">
        <v>0</v>
      </c>
      <c r="AL21" s="9">
        <v>0</v>
      </c>
      <c r="AM21" s="9">
        <v>0</v>
      </c>
      <c r="AN21" s="9">
        <v>0</v>
      </c>
      <c r="AO21" s="9">
        <v>0</v>
      </c>
      <c r="AP21" s="9">
        <v>0</v>
      </c>
      <c r="AQ21" s="9">
        <v>0</v>
      </c>
      <c r="AR21" s="9">
        <v>0</v>
      </c>
      <c r="AS21" s="9">
        <v>0</v>
      </c>
      <c r="AT21" s="9">
        <v>0</v>
      </c>
      <c r="AU21" s="9">
        <v>0</v>
      </c>
      <c r="AV21" s="9">
        <v>0</v>
      </c>
      <c r="AW21" s="9">
        <v>0</v>
      </c>
      <c r="AX21" s="9">
        <v>0</v>
      </c>
      <c r="AY21" s="9">
        <v>0</v>
      </c>
      <c r="AZ21" s="9">
        <v>0</v>
      </c>
      <c r="BA21" s="9">
        <v>0</v>
      </c>
      <c r="BB21" s="9">
        <v>0</v>
      </c>
      <c r="BC21" s="9">
        <v>0</v>
      </c>
      <c r="BD21" s="9">
        <v>0</v>
      </c>
      <c r="BE21" s="9">
        <v>0</v>
      </c>
    </row>
    <row r="22" spans="1:57" x14ac:dyDescent="0.35">
      <c r="A22" t="s">
        <v>358</v>
      </c>
      <c r="B22" s="9">
        <v>0</v>
      </c>
      <c r="C22" s="9">
        <v>0</v>
      </c>
      <c r="D22" s="9">
        <v>0</v>
      </c>
      <c r="E22" s="9">
        <v>0</v>
      </c>
      <c r="F22" s="9">
        <v>0</v>
      </c>
      <c r="G22" s="9">
        <v>0</v>
      </c>
      <c r="H22" s="9">
        <v>0</v>
      </c>
      <c r="I22" s="9">
        <v>0</v>
      </c>
      <c r="J22" s="9">
        <v>0</v>
      </c>
      <c r="K22" s="9">
        <v>0</v>
      </c>
      <c r="L22" s="9">
        <v>0</v>
      </c>
      <c r="M22" s="9">
        <v>0</v>
      </c>
      <c r="N22" s="9">
        <v>0</v>
      </c>
      <c r="O22" s="9">
        <v>0</v>
      </c>
      <c r="P22" s="9">
        <v>0</v>
      </c>
      <c r="Q22" s="9">
        <v>0</v>
      </c>
      <c r="R22" s="9">
        <v>0</v>
      </c>
      <c r="S22" s="9">
        <v>0</v>
      </c>
      <c r="T22" s="9">
        <v>0</v>
      </c>
      <c r="U22" s="9">
        <v>0</v>
      </c>
      <c r="V22" s="9">
        <v>0</v>
      </c>
      <c r="W22" s="9">
        <v>0</v>
      </c>
      <c r="X22" s="9">
        <v>0</v>
      </c>
      <c r="Y22" s="9">
        <v>0</v>
      </c>
      <c r="Z22" s="9">
        <v>0</v>
      </c>
      <c r="AA22" s="9">
        <v>0</v>
      </c>
      <c r="AB22" s="9">
        <v>0</v>
      </c>
      <c r="AC22" s="9">
        <v>0</v>
      </c>
      <c r="AD22" s="9">
        <v>0</v>
      </c>
      <c r="AE22" s="9">
        <v>0</v>
      </c>
      <c r="AF22" s="9">
        <v>0</v>
      </c>
      <c r="AG22" s="9">
        <v>0</v>
      </c>
      <c r="AH22" s="9">
        <v>0</v>
      </c>
      <c r="AI22" s="9">
        <v>0</v>
      </c>
      <c r="AJ22" s="9">
        <v>0</v>
      </c>
      <c r="AK22" s="9">
        <v>0</v>
      </c>
      <c r="AL22" s="9">
        <v>0</v>
      </c>
      <c r="AM22" s="9">
        <v>0</v>
      </c>
      <c r="AN22" s="9">
        <v>0</v>
      </c>
      <c r="AO22" s="9">
        <v>0</v>
      </c>
      <c r="AP22" s="9">
        <v>0</v>
      </c>
      <c r="AQ22" s="9">
        <v>0</v>
      </c>
      <c r="AR22" s="9">
        <v>0</v>
      </c>
      <c r="AS22" s="9">
        <v>0</v>
      </c>
      <c r="AT22" s="9">
        <v>0</v>
      </c>
      <c r="AU22" s="9">
        <v>0</v>
      </c>
      <c r="AV22" s="9">
        <v>0</v>
      </c>
      <c r="AW22" s="9">
        <v>0</v>
      </c>
      <c r="AX22" s="9">
        <v>0</v>
      </c>
      <c r="AY22" s="9">
        <v>0</v>
      </c>
      <c r="AZ22" s="9">
        <v>0</v>
      </c>
      <c r="BA22" s="9">
        <v>0</v>
      </c>
      <c r="BB22" s="9">
        <v>0</v>
      </c>
      <c r="BC22" s="9">
        <v>0</v>
      </c>
      <c r="BD22" s="9">
        <v>0</v>
      </c>
      <c r="BE22" s="9">
        <v>0</v>
      </c>
    </row>
    <row r="23" spans="1:57" x14ac:dyDescent="0.35">
      <c r="A23" t="s">
        <v>359</v>
      </c>
      <c r="B23" s="9">
        <v>0</v>
      </c>
      <c r="C23" s="9">
        <v>0</v>
      </c>
      <c r="D23" s="9">
        <v>0</v>
      </c>
      <c r="E23" s="9">
        <v>0</v>
      </c>
      <c r="F23" s="9">
        <v>0</v>
      </c>
      <c r="G23" s="9">
        <v>0</v>
      </c>
      <c r="H23" s="9">
        <v>0</v>
      </c>
      <c r="I23" s="9">
        <v>0</v>
      </c>
      <c r="J23" s="9">
        <v>0</v>
      </c>
      <c r="K23" s="9">
        <v>0</v>
      </c>
      <c r="L23" s="9">
        <v>0</v>
      </c>
      <c r="M23" s="9">
        <v>0</v>
      </c>
      <c r="N23" s="9">
        <v>0</v>
      </c>
      <c r="O23" s="9">
        <v>0</v>
      </c>
      <c r="P23" s="9">
        <v>0</v>
      </c>
      <c r="Q23" s="9">
        <v>0</v>
      </c>
      <c r="R23" s="9">
        <v>0</v>
      </c>
      <c r="S23" s="9">
        <v>0</v>
      </c>
      <c r="T23" s="9">
        <v>0</v>
      </c>
      <c r="U23" s="9">
        <v>0</v>
      </c>
      <c r="V23" s="9">
        <v>0</v>
      </c>
      <c r="W23" s="9">
        <v>0</v>
      </c>
      <c r="X23" s="9">
        <v>0</v>
      </c>
      <c r="Y23" s="9">
        <v>0</v>
      </c>
      <c r="Z23" s="9">
        <v>0</v>
      </c>
      <c r="AA23" s="9">
        <v>0</v>
      </c>
      <c r="AB23" s="9">
        <v>0</v>
      </c>
      <c r="AC23" s="9">
        <v>0</v>
      </c>
      <c r="AD23" s="9">
        <v>0</v>
      </c>
      <c r="AE23" s="9">
        <v>0</v>
      </c>
      <c r="AF23" s="9">
        <v>0</v>
      </c>
      <c r="AG23" s="9">
        <v>0</v>
      </c>
      <c r="AH23" s="9">
        <v>0</v>
      </c>
      <c r="AI23" s="9">
        <v>0</v>
      </c>
      <c r="AJ23" s="9">
        <v>0</v>
      </c>
      <c r="AK23" s="9">
        <v>0</v>
      </c>
      <c r="AL23" s="9">
        <v>0</v>
      </c>
      <c r="AM23" s="9">
        <v>0</v>
      </c>
      <c r="AN23" s="9">
        <v>0</v>
      </c>
      <c r="AO23" s="9">
        <v>0</v>
      </c>
      <c r="AP23" s="9">
        <v>0</v>
      </c>
      <c r="AQ23" s="9">
        <v>0</v>
      </c>
      <c r="AR23" s="9">
        <v>0</v>
      </c>
      <c r="AS23" s="9">
        <v>0</v>
      </c>
      <c r="AT23" s="9">
        <v>0</v>
      </c>
      <c r="AU23" s="9">
        <v>0</v>
      </c>
      <c r="AV23" s="9">
        <v>0</v>
      </c>
      <c r="AW23" s="9">
        <v>0</v>
      </c>
      <c r="AX23" s="9">
        <v>0</v>
      </c>
      <c r="AY23" s="9">
        <v>0</v>
      </c>
      <c r="AZ23" s="9">
        <v>0</v>
      </c>
      <c r="BA23" s="9">
        <v>0</v>
      </c>
      <c r="BB23" s="9">
        <v>0</v>
      </c>
      <c r="BC23" s="9">
        <v>0</v>
      </c>
      <c r="BD23" s="9">
        <v>0</v>
      </c>
      <c r="BE23" s="9">
        <v>0</v>
      </c>
    </row>
    <row r="24" spans="1:57" x14ac:dyDescent="0.35">
      <c r="A24" s="10" t="s">
        <v>360</v>
      </c>
      <c r="B24" s="9">
        <v>0</v>
      </c>
      <c r="C24" s="9">
        <v>0</v>
      </c>
      <c r="D24" s="9">
        <v>0</v>
      </c>
      <c r="E24" s="9">
        <v>0</v>
      </c>
      <c r="F24" s="9">
        <v>0</v>
      </c>
      <c r="G24" s="9">
        <v>0</v>
      </c>
      <c r="H24" s="9">
        <v>0</v>
      </c>
      <c r="I24" s="9">
        <v>0</v>
      </c>
      <c r="J24" s="9">
        <v>0</v>
      </c>
      <c r="K24" s="9">
        <v>0</v>
      </c>
      <c r="L24" s="9">
        <v>0</v>
      </c>
      <c r="M24" s="9">
        <v>0</v>
      </c>
      <c r="N24" s="9">
        <v>0</v>
      </c>
      <c r="O24" s="9">
        <v>0</v>
      </c>
      <c r="P24" s="9">
        <v>0</v>
      </c>
      <c r="Q24" s="9">
        <v>0</v>
      </c>
      <c r="R24" s="9">
        <v>0</v>
      </c>
      <c r="S24" s="9">
        <v>0</v>
      </c>
      <c r="T24" s="9">
        <v>0</v>
      </c>
      <c r="U24" s="9">
        <v>0</v>
      </c>
      <c r="V24" s="9">
        <v>0</v>
      </c>
      <c r="W24" s="9">
        <v>0</v>
      </c>
      <c r="X24" s="9">
        <v>0</v>
      </c>
      <c r="Y24" s="9">
        <v>0</v>
      </c>
      <c r="Z24" s="9">
        <v>0</v>
      </c>
      <c r="AA24" s="9">
        <v>0</v>
      </c>
      <c r="AB24" s="9">
        <v>0</v>
      </c>
      <c r="AC24" s="9">
        <v>0</v>
      </c>
      <c r="AD24" s="9">
        <v>0</v>
      </c>
      <c r="AE24" s="9">
        <v>0</v>
      </c>
      <c r="AF24" s="9">
        <v>0</v>
      </c>
      <c r="AG24" s="9">
        <v>0</v>
      </c>
      <c r="AH24" s="9">
        <v>0</v>
      </c>
      <c r="AI24" s="9">
        <v>0</v>
      </c>
      <c r="AJ24" s="9">
        <v>0</v>
      </c>
      <c r="AK24" s="9">
        <v>0</v>
      </c>
      <c r="AL24" s="9">
        <v>0</v>
      </c>
      <c r="AM24" s="9">
        <v>0</v>
      </c>
      <c r="AN24" s="9">
        <v>0</v>
      </c>
      <c r="AO24" s="9">
        <v>0</v>
      </c>
      <c r="AP24" s="9">
        <v>0</v>
      </c>
      <c r="AQ24" s="9">
        <v>0</v>
      </c>
      <c r="AR24" s="9">
        <v>0</v>
      </c>
      <c r="AS24" s="9">
        <v>0</v>
      </c>
      <c r="AT24" s="9">
        <v>0</v>
      </c>
      <c r="AU24" s="9">
        <v>0</v>
      </c>
      <c r="AV24" s="9">
        <v>0</v>
      </c>
      <c r="AW24" s="9">
        <v>0</v>
      </c>
      <c r="AX24" s="9">
        <v>0</v>
      </c>
      <c r="AY24" s="9">
        <v>0</v>
      </c>
      <c r="AZ24" s="9">
        <v>0</v>
      </c>
      <c r="BA24" s="9">
        <v>0</v>
      </c>
      <c r="BB24" s="9">
        <v>0</v>
      </c>
      <c r="BC24" s="9">
        <v>0</v>
      </c>
      <c r="BD24" s="9">
        <v>0</v>
      </c>
      <c r="BE24" s="9">
        <v>0</v>
      </c>
    </row>
    <row r="25" spans="1:57" x14ac:dyDescent="0.35">
      <c r="A25" s="10" t="s">
        <v>361</v>
      </c>
      <c r="B25" s="9">
        <v>0</v>
      </c>
      <c r="C25" s="9">
        <v>0</v>
      </c>
      <c r="D25" s="9">
        <v>0</v>
      </c>
      <c r="E25" s="9">
        <v>0</v>
      </c>
      <c r="F25" s="9">
        <v>0</v>
      </c>
      <c r="G25" s="9">
        <v>0</v>
      </c>
      <c r="H25" s="9">
        <v>0</v>
      </c>
      <c r="I25" s="9">
        <v>0</v>
      </c>
      <c r="J25" s="9">
        <v>0</v>
      </c>
      <c r="K25" s="9">
        <v>0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0</v>
      </c>
      <c r="X25" s="9">
        <v>0</v>
      </c>
      <c r="Y25" s="9">
        <v>0</v>
      </c>
      <c r="Z25" s="9">
        <v>0</v>
      </c>
      <c r="AA25" s="9">
        <v>0</v>
      </c>
      <c r="AB25" s="9">
        <v>0</v>
      </c>
      <c r="AC25" s="9">
        <v>0</v>
      </c>
      <c r="AD25" s="9">
        <v>0</v>
      </c>
      <c r="AE25" s="9">
        <v>0</v>
      </c>
      <c r="AF25" s="9">
        <v>0</v>
      </c>
      <c r="AG25" s="9">
        <v>0</v>
      </c>
      <c r="AH25" s="9">
        <v>0</v>
      </c>
      <c r="AI25" s="9">
        <v>0</v>
      </c>
      <c r="AJ25" s="9">
        <v>0</v>
      </c>
      <c r="AK25" s="9">
        <v>0</v>
      </c>
      <c r="AL25" s="9">
        <v>0</v>
      </c>
      <c r="AM25" s="9">
        <v>0</v>
      </c>
      <c r="AN25" s="9">
        <v>0</v>
      </c>
      <c r="AO25" s="9">
        <v>0</v>
      </c>
      <c r="AP25" s="9">
        <v>0</v>
      </c>
      <c r="AQ25" s="9">
        <v>0</v>
      </c>
      <c r="AR25" s="9">
        <v>0</v>
      </c>
      <c r="AS25" s="9">
        <v>0</v>
      </c>
      <c r="AT25" s="9">
        <v>0</v>
      </c>
      <c r="AU25" s="9">
        <v>0</v>
      </c>
      <c r="AV25" s="9">
        <v>0</v>
      </c>
      <c r="AW25" s="9">
        <v>0</v>
      </c>
      <c r="AX25" s="9">
        <v>0</v>
      </c>
      <c r="AY25" s="9">
        <v>0</v>
      </c>
      <c r="AZ25" s="9">
        <v>0</v>
      </c>
      <c r="BA25" s="9">
        <v>0</v>
      </c>
      <c r="BB25" s="9">
        <v>0</v>
      </c>
      <c r="BC25" s="9">
        <v>0</v>
      </c>
      <c r="BD25" s="9">
        <v>0</v>
      </c>
      <c r="BE25" s="9">
        <v>0</v>
      </c>
    </row>
    <row r="26" spans="1:57" x14ac:dyDescent="0.35"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9"/>
      <c r="BA26" s="9"/>
      <c r="BB26" s="9"/>
      <c r="BC26" s="9"/>
      <c r="BD26" s="9"/>
      <c r="BE26" s="9"/>
    </row>
    <row r="27" spans="1:57" x14ac:dyDescent="0.35"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  <c r="AO27" s="9"/>
      <c r="AP27" s="9"/>
      <c r="AQ27" s="9"/>
      <c r="AR27" s="9"/>
      <c r="AS27" s="9"/>
      <c r="AT27" s="9"/>
      <c r="AU27" s="9"/>
      <c r="AV27" s="9"/>
      <c r="AW27" s="9"/>
      <c r="AX27" s="9"/>
      <c r="AY27" s="9"/>
      <c r="AZ27" s="9"/>
      <c r="BA27" s="9"/>
      <c r="BB27" s="9"/>
      <c r="BC27" s="9"/>
      <c r="BD27" s="9"/>
      <c r="BE27" s="9"/>
    </row>
    <row r="28" spans="1:57" x14ac:dyDescent="0.35"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  <c r="AO28" s="9"/>
      <c r="AP28" s="9"/>
      <c r="AQ28" s="9"/>
      <c r="AR28" s="9"/>
      <c r="AS28" s="9"/>
      <c r="AT28" s="9"/>
      <c r="AU28" s="9"/>
      <c r="AV28" s="9"/>
      <c r="AW28" s="9"/>
      <c r="AX28" s="9"/>
      <c r="AY28" s="9"/>
      <c r="AZ28" s="9"/>
      <c r="BA28" s="9"/>
      <c r="BB28" s="9"/>
      <c r="BC28" s="9"/>
      <c r="BD28" s="9"/>
      <c r="BE28" s="9"/>
    </row>
    <row r="29" spans="1:57" x14ac:dyDescent="0.35"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  <c r="AO29" s="9"/>
      <c r="AP29" s="9"/>
      <c r="AQ29" s="9"/>
      <c r="AR29" s="9"/>
      <c r="AS29" s="9"/>
      <c r="AT29" s="9"/>
      <c r="AU29" s="9"/>
      <c r="AV29" s="9"/>
      <c r="AW29" s="9"/>
      <c r="AX29" s="9"/>
      <c r="AY29" s="9"/>
      <c r="AZ29" s="9"/>
      <c r="BA29" s="9"/>
      <c r="BB29" s="9"/>
      <c r="BC29" s="9"/>
      <c r="BD29" s="9"/>
      <c r="BE29" s="9"/>
    </row>
    <row r="30" spans="1:57" x14ac:dyDescent="0.35"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  <c r="AM30" s="9"/>
      <c r="AN30" s="9"/>
      <c r="AO30" s="9"/>
      <c r="AP30" s="9"/>
      <c r="AQ30" s="9"/>
      <c r="AR30" s="9"/>
      <c r="AS30" s="9"/>
      <c r="AT30" s="9"/>
      <c r="AU30" s="9"/>
      <c r="AV30" s="9"/>
      <c r="AW30" s="9"/>
      <c r="AX30" s="9"/>
      <c r="AY30" s="9"/>
      <c r="AZ30" s="9"/>
      <c r="BA30" s="9"/>
      <c r="BB30" s="9"/>
      <c r="BC30" s="9"/>
      <c r="BD30" s="9"/>
      <c r="BE30" s="9"/>
    </row>
    <row r="31" spans="1:57" x14ac:dyDescent="0.35"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  <c r="AN31" s="9"/>
      <c r="AO31" s="9"/>
      <c r="AP31" s="9"/>
      <c r="AQ31" s="9"/>
      <c r="AR31" s="9"/>
      <c r="AS31" s="9"/>
      <c r="AT31" s="9"/>
      <c r="AU31" s="9"/>
      <c r="AV31" s="9"/>
      <c r="AW31" s="9"/>
      <c r="AX31" s="9"/>
      <c r="AY31" s="9"/>
      <c r="AZ31" s="9"/>
      <c r="BA31" s="9"/>
      <c r="BB31" s="9"/>
      <c r="BC31" s="9"/>
      <c r="BD31" s="9"/>
      <c r="BE31" s="9"/>
    </row>
    <row r="32" spans="1:57" x14ac:dyDescent="0.35"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9"/>
      <c r="AL32" s="9"/>
      <c r="AM32" s="9"/>
      <c r="AN32" s="9"/>
      <c r="AO32" s="9"/>
      <c r="AP32" s="9"/>
      <c r="AQ32" s="9"/>
      <c r="AR32" s="9"/>
      <c r="AS32" s="9"/>
      <c r="AT32" s="9"/>
      <c r="AU32" s="9"/>
      <c r="AV32" s="9"/>
      <c r="AW32" s="9"/>
      <c r="AX32" s="9"/>
      <c r="AY32" s="9"/>
      <c r="AZ32" s="9"/>
      <c r="BA32" s="9"/>
      <c r="BB32" s="9"/>
      <c r="BC32" s="9"/>
      <c r="BD32" s="9"/>
      <c r="BE32" s="9"/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041A8AB53924247A2770D65450F5227" ma:contentTypeVersion="4" ma:contentTypeDescription="Create a new document." ma:contentTypeScope="" ma:versionID="90fff4f083191fe75a03dbd50c7739fc">
  <xsd:schema xmlns:xsd="http://www.w3.org/2001/XMLSchema" xmlns:xs="http://www.w3.org/2001/XMLSchema" xmlns:p="http://schemas.microsoft.com/office/2006/metadata/properties" xmlns:ns2="1659011e-6b88-4225-9a61-aaf33aaf19e8" targetNamespace="http://schemas.microsoft.com/office/2006/metadata/properties" ma:root="true" ma:fieldsID="7fee88694a371868130ae0617c69143c" ns2:_="">
    <xsd:import namespace="1659011e-6b88-4225-9a61-aaf33aaf19e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59011e-6b88-4225-9a61-aaf33aaf19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568D68E-3114-4AA7-99B4-D934DA15BD51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2EA4FAD0-6B6F-4F0E-9A73-E0BEB03E866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4EB6DD4-4569-47D9-BB09-671597A0EA0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659011e-6b88-4225-9a61-aaf33aaf19e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About</vt:lpstr>
      <vt:lpstr>STEO 7d</vt:lpstr>
      <vt:lpstr>Capacity</vt:lpstr>
      <vt:lpstr>Capacity Factors</vt:lpstr>
      <vt:lpstr>2020 Calculations</vt:lpstr>
      <vt:lpstr>BGDPbES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Mary Francis Swint</cp:lastModifiedBy>
  <dcterms:created xsi:type="dcterms:W3CDTF">2015-06-13T01:30:20Z</dcterms:created>
  <dcterms:modified xsi:type="dcterms:W3CDTF">2025-04-01T15:29:53Z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0x0101002041A8AB53924247A2770D65450F5227</vt:lpwstr>
  </property>
</Properties>
</file>