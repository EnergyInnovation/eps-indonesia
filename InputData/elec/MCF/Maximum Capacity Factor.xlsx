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MCF\"/>
    </mc:Choice>
  </mc:AlternateContent>
  <xr:revisionPtr revIDLastSave="0" documentId="13_ncr:1_{FB4EA080-2835-46E2-ACAA-C8B525FFB4D2}" xr6:coauthVersionLast="47" xr6:coauthVersionMax="47" xr10:uidLastSave="{00000000-0000-0000-0000-000000000000}"/>
  <bookViews>
    <workbookView xWindow="28680" yWindow="-120" windowWidth="29040" windowHeight="17520" activeTab="4" xr2:uid="{00000000-000D-0000-FFFF-FFFF00000000}"/>
  </bookViews>
  <sheets>
    <sheet name="About" sheetId="12" r:id="rId1"/>
    <sheet name="EPA Rules Summary" sheetId="22" r:id="rId2"/>
    <sheet name="Coal Calculations" sheetId="23" r:id="rId3"/>
    <sheet name="RAF-generation" sheetId="24" r:id="rId4"/>
    <sheet name="MCF" sheetId="21" r:id="rId5"/>
  </sheets>
  <externalReferences>
    <externalReference r:id="rId6"/>
    <externalReference r:id="rId7"/>
    <externalReference r:id="rId8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9" i="23" l="1" a="1"/>
  <c r="Z9" i="23" s="1"/>
  <c r="V9" i="23" a="1"/>
  <c r="V9" i="23" s="1"/>
  <c r="R9" i="23" a="1"/>
  <c r="R9" i="23" s="1"/>
  <c r="S9" i="23" a="1"/>
  <c r="S9" i="23" s="1"/>
  <c r="T9" i="23" a="1"/>
  <c r="T9" i="23" s="1"/>
  <c r="U9" i="23" a="1"/>
  <c r="U9" i="23" s="1"/>
  <c r="Q9" i="23" a="1"/>
  <c r="Q9" i="23" s="1"/>
  <c r="M9" i="23" a="1"/>
  <c r="M9" i="23" s="1"/>
  <c r="N9" i="23" a="1"/>
  <c r="N9" i="23" s="1"/>
  <c r="F9" i="23" a="1"/>
  <c r="F9" i="23" s="1"/>
  <c r="G9" i="23" a="1"/>
  <c r="G9" i="23" s="1"/>
  <c r="H9" i="23" a="1"/>
  <c r="H9" i="23" s="1"/>
  <c r="I9" i="23" a="1"/>
  <c r="I9" i="23" s="1"/>
  <c r="J9" i="23" a="1"/>
  <c r="J9" i="23"/>
  <c r="K9" i="23" a="1"/>
  <c r="K9" i="23" s="1"/>
  <c r="C6" i="23"/>
  <c r="O9" i="23" s="1" a="1"/>
  <c r="O9" i="23" s="1"/>
  <c r="D6" i="23"/>
  <c r="E6" i="23"/>
  <c r="W9" i="23" s="1" a="1"/>
  <c r="W9" i="23" s="1"/>
  <c r="F6" i="23"/>
  <c r="AB9" i="23" s="1" a="1"/>
  <c r="AB9" i="23" s="1"/>
  <c r="G6" i="23"/>
  <c r="H6" i="23"/>
  <c r="B6" i="23"/>
  <c r="B9" i="23" s="1" a="1"/>
  <c r="B9" i="23" s="1"/>
  <c r="C9" i="23" l="1" a="1"/>
  <c r="C9" i="23" s="1"/>
  <c r="Y9" i="23" a="1"/>
  <c r="Y9" i="23" s="1"/>
  <c r="X9" i="23" a="1"/>
  <c r="X9" i="23" s="1"/>
  <c r="D9" i="23" a="1"/>
  <c r="D9" i="23" s="1"/>
  <c r="AD9" i="23" a="1"/>
  <c r="AD9" i="23" s="1"/>
  <c r="P9" i="23" a="1"/>
  <c r="P9" i="23" s="1"/>
  <c r="AC9" i="23" a="1"/>
  <c r="AC9" i="23" s="1"/>
  <c r="E9" i="23" a="1"/>
  <c r="E9" i="23" s="1"/>
  <c r="E19" i="21" s="1"/>
  <c r="AA9" i="23" a="1"/>
  <c r="AA9" i="23" s="1"/>
  <c r="AA19" i="21" s="1"/>
  <c r="L9" i="23" a="1"/>
  <c r="L9" i="23" s="1"/>
  <c r="AE9" i="23" a="1"/>
  <c r="AE9" i="23" s="1"/>
  <c r="AE19" i="21" s="1"/>
  <c r="C3" i="23"/>
  <c r="D3" i="23"/>
  <c r="E3" i="23"/>
  <c r="F3" i="23"/>
  <c r="G3" i="23"/>
  <c r="H3" i="23"/>
  <c r="B3" i="23"/>
  <c r="B2" i="23"/>
  <c r="C2" i="23"/>
  <c r="D2" i="23"/>
  <c r="E2" i="23"/>
  <c r="F2" i="23"/>
  <c r="G2" i="23"/>
  <c r="H2" i="23"/>
  <c r="C19" i="21"/>
  <c r="D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B19" i="21"/>
  <c r="AC19" i="21"/>
  <c r="AD19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B25" i="21"/>
  <c r="B24" i="21"/>
  <c r="B23" i="21"/>
  <c r="B22" i="21"/>
  <c r="B21" i="21"/>
  <c r="B20" i="21"/>
  <c r="B19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VM</author>
  </authors>
  <commentList>
    <comment ref="A9" authorId="0" shapeId="0" xr:uid="{86F6A951-385D-4AE6-90CD-69076AF29682}">
      <text>
        <r>
          <rPr>
            <b/>
            <sz val="9"/>
            <color indexed="81"/>
            <rFont val="Tahoma"/>
            <family val="2"/>
          </rPr>
          <t xml:space="preserve">ICFI:
</t>
        </r>
        <r>
          <rPr>
            <sz val="9"/>
            <color indexed="81"/>
            <rFont val="Tahoma"/>
            <family val="2"/>
          </rPr>
          <t>All tons are SHORT tons, unless otherwise noted as metric
Mtons : thousand tons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<sst xmlns="http://schemas.openxmlformats.org/spreadsheetml/2006/main" count="221" uniqueCount="135">
  <si>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</si>
  <si>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</si>
  <si>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</si>
  <si>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</si>
  <si>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</si>
  <si>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</si>
  <si>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</si>
  <si>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</si>
  <si>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</si>
  <si>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</si>
  <si>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</si>
  <si>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</si>
  <si>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</si>
  <si>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</si>
  <si>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</si>
  <si>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</si>
  <si>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</si>
  <si>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</si>
  <si>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</si>
  <si>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</si>
  <si>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This represents the maximum capacity factor a plant type can achieve</t>
  </si>
  <si>
    <t>a 5% penalty to represent that plants are not typically available 100% of the</t>
  </si>
  <si>
    <t>The Myth of the 24/7/365 Power Plant</t>
  </si>
  <si>
    <t>National Resources Defense Council</t>
  </si>
  <si>
    <t>https://www.nrdc.org/bio/rachel-fakhry/myth-247365-power-plant</t>
  </si>
  <si>
    <t>year due to factors like plant maintenance, based on the value for gas plants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</si>
  <si>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</si>
  <si>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</si>
  <si>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</si>
  <si>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</si>
  <si>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</si>
  <si>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</si>
  <si>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</si>
  <si>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</si>
  <si>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in any given hour. This is used for non-variable plant types, including hydro. We apply</t>
  </si>
  <si>
    <t xml:space="preserve">                                       EPA IPM Summary Run Results</t>
  </si>
  <si>
    <t xml:space="preserve">                                                 Projections for Continental U.S.</t>
  </si>
  <si>
    <t>Final Rule Sens Vehicle Rules MATS and ELG</t>
  </si>
  <si>
    <t>All costs and prices are in 2022-year dollars</t>
  </si>
  <si>
    <t>Values in red are rounded to zero, not equal to zero</t>
  </si>
  <si>
    <t>NATIONWIDE EMISSIONS</t>
  </si>
  <si>
    <t>SO2 (million tons)</t>
  </si>
  <si>
    <t>NOx (million tons)</t>
  </si>
  <si>
    <t>CO2 (million metric tons)</t>
  </si>
  <si>
    <t>Hg (tons)</t>
  </si>
  <si>
    <t>HCL (Mtons)</t>
  </si>
  <si>
    <t>TOTAL COSTS</t>
  </si>
  <si>
    <t>Total Costs (billion $)</t>
  </si>
  <si>
    <t>PRICES</t>
  </si>
  <si>
    <t>National Wholesale Electricity Price (mills/kWh)</t>
  </si>
  <si>
    <t>Natural Gas Prices (2022 $/MMBtu)</t>
  </si>
  <si>
    <t>Henry Hub</t>
  </si>
  <si>
    <t>Delivered</t>
  </si>
  <si>
    <t>Minemouth Coal Prices (2022 $/MMBtu)</t>
  </si>
  <si>
    <t>Appalachia</t>
  </si>
  <si>
    <t>Imports</t>
  </si>
  <si>
    <t>Interior</t>
  </si>
  <si>
    <t>Waste Coal</t>
  </si>
  <si>
    <t>West</t>
  </si>
  <si>
    <t>National</t>
  </si>
  <si>
    <t>TOTAL CAPACITY (Cumulative GW)</t>
  </si>
  <si>
    <t>Hydro</t>
  </si>
  <si>
    <t>Non-Hydro Renewables</t>
  </si>
  <si>
    <t xml:space="preserve">     Biomass</t>
  </si>
  <si>
    <t xml:space="preserve">     Geothermal</t>
  </si>
  <si>
    <t xml:space="preserve">     Landfill Gas</t>
  </si>
  <si>
    <t xml:space="preserve">     Solar</t>
  </si>
  <si>
    <t xml:space="preserve">     Wind</t>
  </si>
  <si>
    <t xml:space="preserve">     Distributed Solar PV</t>
  </si>
  <si>
    <t>Coal</t>
  </si>
  <si>
    <t xml:space="preserve">     Coal without CCS</t>
  </si>
  <si>
    <t xml:space="preserve">     IGCC without CCS</t>
  </si>
  <si>
    <t xml:space="preserve">     Coal with CCS</t>
  </si>
  <si>
    <t>Energy Storage</t>
  </si>
  <si>
    <t>Nuclear</t>
  </si>
  <si>
    <t>Natural Gas</t>
  </si>
  <si>
    <t xml:space="preserve">     CC without CCS</t>
  </si>
  <si>
    <t xml:space="preserve">     CC with CCS</t>
  </si>
  <si>
    <t xml:space="preserve">     CT</t>
  </si>
  <si>
    <t>Oil/Gas Steam</t>
  </si>
  <si>
    <t>Other</t>
  </si>
  <si>
    <t>Grand Total</t>
  </si>
  <si>
    <t>NEW MODELED CAPACITY  (Cumulative GW)</t>
  </si>
  <si>
    <t>NEW HARDWIRED CAPACITY  (Cumulative GW)</t>
  </si>
  <si>
    <t>RETIREMENTS (GW)</t>
  </si>
  <si>
    <t>CC Retirements</t>
  </si>
  <si>
    <t>Coal Retirements</t>
  </si>
  <si>
    <t>CT Retirements</t>
  </si>
  <si>
    <t>Nuclear Retirements</t>
  </si>
  <si>
    <t>O/G Retirements</t>
  </si>
  <si>
    <t>IGCC Retirements</t>
  </si>
  <si>
    <t>Biomass Retirements</t>
  </si>
  <si>
    <t>Fuel Cell Retirements</t>
  </si>
  <si>
    <t>Fossil_Other Retirements</t>
  </si>
  <si>
    <t>Geothermal Retirements</t>
  </si>
  <si>
    <t>Hydro Retirements</t>
  </si>
  <si>
    <t>Landfill Gas Retirements</t>
  </si>
  <si>
    <t>Non Fossil_Other Retirements</t>
  </si>
  <si>
    <t>Energy Storage Retirements</t>
  </si>
  <si>
    <t>GENERATION MIX (thousand GWh)</t>
  </si>
  <si>
    <t xml:space="preserve">     Biomass Co-firing</t>
  </si>
  <si>
    <t xml:space="preserve">     Coal without CCS (Biomass Co-firing is included)</t>
  </si>
  <si>
    <t>FUEL SUPPLY AND CONSUMPTION</t>
  </si>
  <si>
    <t>Coal Use by Region (million tons)</t>
  </si>
  <si>
    <t xml:space="preserve">     Power Sector</t>
  </si>
  <si>
    <t xml:space="preserve">          Appalachia</t>
  </si>
  <si>
    <t xml:space="preserve">          Imports</t>
  </si>
  <si>
    <t xml:space="preserve">          Interior</t>
  </si>
  <si>
    <t xml:space="preserve">          Waste Coal</t>
  </si>
  <si>
    <t xml:space="preserve">          West</t>
  </si>
  <si>
    <t xml:space="preserve">     Non-Power Sector</t>
  </si>
  <si>
    <t>Power Sector Coal Use by Rank (million tons)</t>
  </si>
  <si>
    <t xml:space="preserve">     Bituminous</t>
  </si>
  <si>
    <t xml:space="preserve">     Subbituminous</t>
  </si>
  <si>
    <t xml:space="preserve">     Lignite</t>
  </si>
  <si>
    <t>Natural Gas Use (Trillion cubic feet)</t>
  </si>
  <si>
    <t>Note: Distributed Solar PV are not included in the Grand Total of "Total Capacity" and "Generation Mix"</t>
  </si>
  <si>
    <t>Coal without CCS Capacity Factor</t>
  </si>
  <si>
    <t>Coal with CCS Capacity Factor</t>
  </si>
  <si>
    <t>Extrapolated</t>
  </si>
  <si>
    <t>See EPA file elec/RAF</t>
  </si>
  <si>
    <t>Unit: dimensionless (% of capacity available)</t>
  </si>
  <si>
    <t>natural gas combustion turbine</t>
  </si>
  <si>
    <t>geothermal</t>
  </si>
  <si>
    <t>Adjusted for RAF</t>
  </si>
  <si>
    <t xml:space="preserve">in the NRDC source above. </t>
  </si>
  <si>
    <t xml:space="preserve">For coal, we apply a 15% penalty based on NRDC starting in 2021. We also adjust the </t>
  </si>
  <si>
    <t>maximum capacity factor after 2028 based on EPA's projected impacts of their 111</t>
  </si>
  <si>
    <t>Rules for existing coal plants.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</si>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</sst>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20"/>
      <color theme="3"/>
      <name val="Arial"/>
      <family val="2"/>
    </font>
    <font>
      <b/>
      <sz val="14"/>
      <color theme="3"/>
      <name val="Arial"/>
      <family val="2"/>
    </font>
    <font>
      <b/>
      <sz val="12"/>
      <color rgb="FF004178"/>
      <name val="Arial"/>
      <family val="2"/>
    </font>
    <font>
      <b/>
      <sz val="9"/>
      <color theme="3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3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0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9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left"/>
    </xf>
    <xf numFmtId="0" fontId="17" fillId="3" borderId="5" xfId="0" applyFont="1" applyFill="1" applyBorder="1"/>
    <xf numFmtId="0" fontId="18" fillId="3" borderId="6" xfId="0" applyFont="1" applyFill="1" applyBorder="1"/>
    <xf numFmtId="1" fontId="17" fillId="3" borderId="6" xfId="12" applyNumberFormat="1" applyFont="1" applyFill="1" applyBorder="1" applyAlignment="1">
      <alignment horizontal="right"/>
    </xf>
    <xf numFmtId="1" fontId="17" fillId="3" borderId="7" xfId="12" applyNumberFormat="1" applyFont="1" applyFill="1" applyBorder="1" applyAlignment="1">
      <alignment horizontal="right"/>
    </xf>
    <xf numFmtId="1" fontId="20" fillId="0" borderId="0" xfId="12" applyNumberFormat="1" applyFont="1" applyFill="1" applyBorder="1" applyAlignment="1">
      <alignment horizontal="right"/>
    </xf>
    <xf numFmtId="0" fontId="21" fillId="0" borderId="8" xfId="0" applyFont="1" applyBorder="1"/>
    <xf numFmtId="0" fontId="21" fillId="0" borderId="0" xfId="0" applyFont="1"/>
    <xf numFmtId="165" fontId="10" fillId="0" borderId="0" xfId="12" applyNumberFormat="1" applyFont="1" applyFill="1" applyBorder="1" applyAlignment="1">
      <alignment horizontal="right"/>
    </xf>
    <xf numFmtId="165" fontId="22" fillId="0" borderId="0" xfId="12" applyNumberFormat="1" applyFont="1" applyFill="1" applyBorder="1" applyAlignment="1">
      <alignment horizontal="right"/>
    </xf>
    <xf numFmtId="165" fontId="22" fillId="0" borderId="0" xfId="0" applyNumberFormat="1" applyFont="1" applyAlignment="1">
      <alignment horizontal="right"/>
    </xf>
    <xf numFmtId="165" fontId="22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0" fontId="21" fillId="4" borderId="8" xfId="0" applyFont="1" applyFill="1" applyBorder="1"/>
    <xf numFmtId="0" fontId="21" fillId="4" borderId="0" xfId="0" applyFont="1" applyFill="1"/>
    <xf numFmtId="165" fontId="10" fillId="4" borderId="0" xfId="12" applyNumberFormat="1" applyFont="1" applyFill="1" applyBorder="1" applyAlignment="1">
      <alignment horizontal="right"/>
    </xf>
    <xf numFmtId="165" fontId="10" fillId="4" borderId="9" xfId="12" applyNumberFormat="1" applyFont="1" applyFill="1" applyBorder="1" applyAlignment="1">
      <alignment horizontal="right"/>
    </xf>
    <xf numFmtId="165" fontId="9" fillId="0" borderId="0" xfId="12" applyNumberFormat="1" applyFont="1" applyFill="1" applyBorder="1" applyAlignment="1">
      <alignment horizontal="right"/>
    </xf>
    <xf numFmtId="1" fontId="10" fillId="0" borderId="0" xfId="0" applyNumberFormat="1" applyFont="1" applyAlignment="1">
      <alignment horizontal="right"/>
    </xf>
    <xf numFmtId="1" fontId="10" fillId="0" borderId="9" xfId="0" applyNumberFormat="1" applyFont="1" applyBorder="1" applyAlignment="1">
      <alignment horizontal="right"/>
    </xf>
    <xf numFmtId="1" fontId="9" fillId="0" borderId="0" xfId="0" applyNumberFormat="1" applyFont="1" applyAlignment="1">
      <alignment horizontal="right"/>
    </xf>
    <xf numFmtId="1" fontId="10" fillId="4" borderId="0" xfId="12" applyNumberFormat="1" applyFont="1" applyFill="1" applyBorder="1" applyAlignment="1">
      <alignment horizontal="right"/>
    </xf>
    <xf numFmtId="1" fontId="10" fillId="4" borderId="9" xfId="12" applyNumberFormat="1" applyFont="1" applyFill="1" applyBorder="1" applyAlignment="1">
      <alignment horizontal="right"/>
    </xf>
    <xf numFmtId="1" fontId="9" fillId="0" borderId="0" xfId="12" applyNumberFormat="1" applyFont="1" applyFill="1" applyBorder="1" applyAlignment="1">
      <alignment horizontal="right"/>
    </xf>
    <xf numFmtId="0" fontId="21" fillId="0" borderId="10" xfId="0" applyFont="1" applyBorder="1"/>
    <xf numFmtId="0" fontId="21" fillId="0" borderId="11" xfId="0" applyFont="1" applyBorder="1"/>
    <xf numFmtId="1" fontId="10" fillId="0" borderId="11" xfId="12" applyNumberFormat="1" applyFont="1" applyFill="1" applyBorder="1" applyAlignment="1">
      <alignment horizontal="right"/>
    </xf>
    <xf numFmtId="1" fontId="22" fillId="0" borderId="11" xfId="12" applyNumberFormat="1" applyFont="1" applyFill="1" applyBorder="1" applyAlignment="1">
      <alignment horizontal="right"/>
    </xf>
    <xf numFmtId="1" fontId="22" fillId="0" borderId="12" xfId="12" applyNumberFormat="1" applyFont="1" applyFill="1" applyBorder="1" applyAlignment="1">
      <alignment horizontal="right"/>
    </xf>
    <xf numFmtId="39" fontId="10" fillId="0" borderId="0" xfId="12" applyNumberFormat="1" applyFont="1" applyFill="1" applyBorder="1" applyAlignment="1">
      <alignment horizontal="right"/>
    </xf>
    <xf numFmtId="37" fontId="10" fillId="0" borderId="0" xfId="12" applyNumberFormat="1" applyFont="1" applyFill="1" applyBorder="1" applyAlignment="1">
      <alignment horizontal="right"/>
    </xf>
    <xf numFmtId="0" fontId="21" fillId="4" borderId="10" xfId="0" applyFont="1" applyFill="1" applyBorder="1"/>
    <xf numFmtId="0" fontId="21" fillId="4" borderId="11" xfId="0" applyFont="1" applyFill="1" applyBorder="1"/>
    <xf numFmtId="2" fontId="10" fillId="4" borderId="11" xfId="12" applyNumberFormat="1" applyFont="1" applyFill="1" applyBorder="1" applyAlignment="1">
      <alignment horizontal="right"/>
    </xf>
    <xf numFmtId="2" fontId="10" fillId="4" borderId="12" xfId="12" applyNumberFormat="1" applyFont="1" applyFill="1" applyBorder="1" applyAlignment="1">
      <alignment horizontal="right"/>
    </xf>
    <xf numFmtId="2" fontId="9" fillId="0" borderId="0" xfId="12" applyNumberFormat="1" applyFont="1" applyFill="1" applyBorder="1" applyAlignment="1">
      <alignment horizontal="right"/>
    </xf>
    <xf numFmtId="1" fontId="21" fillId="0" borderId="0" xfId="12" applyNumberFormat="1" applyFont="1" applyFill="1" applyBorder="1" applyAlignment="1">
      <alignment horizontal="right"/>
    </xf>
    <xf numFmtId="1" fontId="10" fillId="0" borderId="0" xfId="12" applyNumberFormat="1" applyFont="1" applyFill="1" applyBorder="1" applyAlignment="1">
      <alignment horizontal="right"/>
    </xf>
    <xf numFmtId="4" fontId="10" fillId="0" borderId="0" xfId="12" applyNumberFormat="1" applyFont="1" applyFill="1" applyBorder="1" applyAlignment="1">
      <alignment horizontal="right"/>
    </xf>
    <xf numFmtId="4" fontId="10" fillId="0" borderId="9" xfId="12" applyNumberFormat="1" applyFont="1" applyFill="1" applyBorder="1" applyAlignment="1">
      <alignment horizontal="right"/>
    </xf>
    <xf numFmtId="4" fontId="9" fillId="0" borderId="0" xfId="12" applyNumberFormat="1" applyFont="1" applyFill="1" applyBorder="1" applyAlignment="1">
      <alignment horizontal="right"/>
    </xf>
    <xf numFmtId="4" fontId="10" fillId="4" borderId="0" xfId="12" applyNumberFormat="1" applyFont="1" applyFill="1" applyBorder="1" applyAlignment="1">
      <alignment horizontal="right"/>
    </xf>
    <xf numFmtId="4" fontId="10" fillId="4" borderId="9" xfId="12" applyNumberFormat="1" applyFont="1" applyFill="1" applyBorder="1" applyAlignment="1">
      <alignment horizontal="right"/>
    </xf>
    <xf numFmtId="0" fontId="10" fillId="0" borderId="8" xfId="0" applyFont="1" applyBorder="1"/>
    <xf numFmtId="0" fontId="10" fillId="0" borderId="0" xfId="0" applyFont="1"/>
    <xf numFmtId="0" fontId="10" fillId="4" borderId="8" xfId="0" applyFont="1" applyFill="1" applyBorder="1"/>
    <xf numFmtId="0" fontId="10" fillId="4" borderId="0" xfId="0" applyFont="1" applyFill="1"/>
    <xf numFmtId="0" fontId="10" fillId="0" borderId="10" xfId="0" applyFont="1" applyBorder="1"/>
    <xf numFmtId="0" fontId="10" fillId="0" borderId="11" xfId="0" applyFont="1" applyBorder="1"/>
    <xf numFmtId="4" fontId="10" fillId="0" borderId="11" xfId="12" applyNumberFormat="1" applyFont="1" applyFill="1" applyBorder="1" applyAlignment="1">
      <alignment horizontal="right"/>
    </xf>
    <xf numFmtId="4" fontId="10" fillId="0" borderId="12" xfId="12" applyNumberFormat="1" applyFont="1" applyFill="1" applyBorder="1" applyAlignment="1">
      <alignment horizontal="right"/>
    </xf>
    <xf numFmtId="37" fontId="21" fillId="0" borderId="0" xfId="12" applyNumberFormat="1" applyFont="1" applyFill="1" applyBorder="1" applyAlignment="1">
      <alignment horizontal="right"/>
    </xf>
    <xf numFmtId="3" fontId="10" fillId="0" borderId="0" xfId="12" applyNumberFormat="1" applyFont="1" applyFill="1" applyBorder="1" applyAlignment="1">
      <alignment horizontal="right"/>
    </xf>
    <xf numFmtId="3" fontId="10" fillId="0" borderId="9" xfId="12" applyNumberFormat="1" applyFont="1" applyFill="1" applyBorder="1" applyAlignment="1">
      <alignment horizontal="right"/>
    </xf>
    <xf numFmtId="3" fontId="9" fillId="0" borderId="0" xfId="12" applyNumberFormat="1" applyFont="1" applyFill="1" applyBorder="1" applyAlignment="1">
      <alignment horizontal="right"/>
    </xf>
    <xf numFmtId="3" fontId="10" fillId="4" borderId="0" xfId="12" applyNumberFormat="1" applyFont="1" applyFill="1" applyBorder="1" applyAlignment="1">
      <alignment horizontal="right"/>
    </xf>
    <xf numFmtId="3" fontId="10" fillId="4" borderId="9" xfId="12" applyNumberFormat="1" applyFont="1" applyFill="1" applyBorder="1" applyAlignment="1">
      <alignment horizontal="right"/>
    </xf>
    <xf numFmtId="3" fontId="22" fillId="0" borderId="0" xfId="12" applyNumberFormat="1" applyFont="1" applyFill="1" applyBorder="1" applyAlignment="1">
      <alignment horizontal="right"/>
    </xf>
    <xf numFmtId="3" fontId="22" fillId="0" borderId="9" xfId="12" applyNumberFormat="1" applyFont="1" applyFill="1" applyBorder="1" applyAlignment="1">
      <alignment horizontal="right"/>
    </xf>
    <xf numFmtId="0" fontId="23" fillId="0" borderId="0" xfId="0" applyFont="1"/>
    <xf numFmtId="3" fontId="22" fillId="4" borderId="0" xfId="12" applyNumberFormat="1" applyFont="1" applyFill="1" applyBorder="1" applyAlignment="1">
      <alignment horizontal="right"/>
    </xf>
    <xf numFmtId="3" fontId="22" fillId="4" borderId="9" xfId="12" applyNumberFormat="1" applyFont="1" applyFill="1" applyBorder="1" applyAlignment="1">
      <alignment horizontal="right"/>
    </xf>
    <xf numFmtId="0" fontId="21" fillId="0" borderId="13" xfId="0" applyFont="1" applyBorder="1"/>
    <xf numFmtId="0" fontId="10" fillId="0" borderId="14" xfId="0" applyFont="1" applyBorder="1"/>
    <xf numFmtId="3" fontId="10" fillId="0" borderId="14" xfId="12" applyNumberFormat="1" applyFont="1" applyFill="1" applyBorder="1" applyAlignment="1">
      <alignment horizontal="right"/>
    </xf>
    <xf numFmtId="3" fontId="10" fillId="0" borderId="15" xfId="12" applyNumberFormat="1" applyFont="1" applyFill="1" applyBorder="1" applyAlignment="1">
      <alignment horizontal="right"/>
    </xf>
    <xf numFmtId="1" fontId="10" fillId="0" borderId="9" xfId="12" applyNumberFormat="1" applyFont="1" applyFill="1" applyBorder="1" applyAlignment="1">
      <alignment horizontal="right"/>
    </xf>
    <xf numFmtId="3" fontId="24" fillId="0" borderId="0" xfId="12" applyNumberFormat="1" applyFont="1" applyFill="1" applyBorder="1" applyAlignment="1">
      <alignment horizontal="right"/>
    </xf>
    <xf numFmtId="0" fontId="10" fillId="5" borderId="8" xfId="0" applyFont="1" applyFill="1" applyBorder="1"/>
    <xf numFmtId="3" fontId="10" fillId="5" borderId="8" xfId="0" applyNumberFormat="1" applyFont="1" applyFill="1" applyBorder="1" applyAlignment="1">
      <alignment horizontal="left"/>
    </xf>
    <xf numFmtId="0" fontId="21" fillId="0" borderId="16" xfId="0" applyFont="1" applyBorder="1"/>
    <xf numFmtId="0" fontId="21" fillId="0" borderId="17" xfId="0" applyFont="1" applyBorder="1"/>
    <xf numFmtId="3" fontId="25" fillId="0" borderId="17" xfId="12" applyNumberFormat="1" applyFont="1" applyFill="1" applyBorder="1" applyAlignment="1">
      <alignment horizontal="right"/>
    </xf>
    <xf numFmtId="3" fontId="25" fillId="0" borderId="18" xfId="12" applyNumberFormat="1" applyFont="1" applyFill="1" applyBorder="1" applyAlignment="1">
      <alignment horizontal="right"/>
    </xf>
    <xf numFmtId="3" fontId="25" fillId="0" borderId="11" xfId="12" applyNumberFormat="1" applyFont="1" applyFill="1" applyBorder="1" applyAlignment="1">
      <alignment horizontal="right"/>
    </xf>
    <xf numFmtId="1" fontId="10" fillId="0" borderId="19" xfId="12" applyNumberFormat="1" applyFont="1" applyFill="1" applyBorder="1" applyAlignment="1">
      <alignment horizontal="right"/>
    </xf>
    <xf numFmtId="3" fontId="21" fillId="0" borderId="17" xfId="12" applyNumberFormat="1" applyFont="1" applyFill="1" applyBorder="1" applyAlignment="1">
      <alignment horizontal="right"/>
    </xf>
    <xf numFmtId="3" fontId="21" fillId="0" borderId="18" xfId="12" applyNumberFormat="1" applyFont="1" applyFill="1" applyBorder="1" applyAlignment="1">
      <alignment horizontal="right"/>
    </xf>
    <xf numFmtId="3" fontId="26" fillId="0" borderId="0" xfId="12" applyNumberFormat="1" applyFont="1" applyFill="1" applyBorder="1" applyAlignment="1">
      <alignment horizontal="right"/>
    </xf>
    <xf numFmtId="0" fontId="21" fillId="4" borderId="13" xfId="0" applyFont="1" applyFill="1" applyBorder="1"/>
    <xf numFmtId="0" fontId="10" fillId="4" borderId="14" xfId="0" applyFont="1" applyFill="1" applyBorder="1"/>
    <xf numFmtId="3" fontId="10" fillId="4" borderId="14" xfId="12" applyNumberFormat="1" applyFont="1" applyFill="1" applyBorder="1" applyAlignment="1">
      <alignment horizontal="right"/>
    </xf>
    <xf numFmtId="3" fontId="10" fillId="4" borderId="15" xfId="12" applyNumberFormat="1" applyFont="1" applyFill="1" applyBorder="1" applyAlignment="1">
      <alignment horizontal="right"/>
    </xf>
    <xf numFmtId="3" fontId="10" fillId="0" borderId="11" xfId="12" applyNumberFormat="1" applyFont="1" applyFill="1" applyBorder="1" applyAlignment="1">
      <alignment horizontal="right"/>
    </xf>
    <xf numFmtId="3" fontId="10" fillId="0" borderId="12" xfId="12" applyNumberFormat="1" applyFont="1" applyFill="1" applyBorder="1" applyAlignment="1">
      <alignment horizontal="right"/>
    </xf>
    <xf numFmtId="9" fontId="0" fillId="0" borderId="0" xfId="11" applyFont="1"/>
    <xf numFmtId="0" fontId="0" fillId="6" borderId="0" xfId="0" applyFill="1"/>
    <xf numFmtId="0" fontId="1" fillId="7" borderId="0" xfId="0" applyFont="1" applyFill="1"/>
    <xf numFmtId="0" fontId="11" fillId="0" borderId="0" xfId="0" applyFont="1" applyAlignment="1">
      <alignment horizontal="center"/>
    </xf>
    <xf numFmtId="0" fontId="12" fillId="2" borderId="0" xfId="0" applyFont="1" applyFill="1" applyAlignment="1">
      <alignment horizontal="left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</cellXfs>
  <cellStyles count="13">
    <cellStyle name="Body: normal cell" xfId="5" xr:uid="{00000000-0005-0000-0000-000000000000}"/>
    <cellStyle name="Comma 2" xfId="12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" xfId="11" builtinId="5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650760</xdr:colOff>
      <xdr:row>0</xdr:row>
      <xdr:rowOff>12701</xdr:rowOff>
    </xdr:from>
    <xdr:to>
      <xdr:col>0</xdr:col>
      <xdr:colOff>2466975</xdr:colOff>
      <xdr:row>7</xdr:row>
      <xdr:rowOff>12140</xdr:rowOff>
    </xdr:to>
    <xdr:pic>
      <xdr:nvPicPr>
        <xdr:cNvPr id="2" name="Picture 1" descr="Image result for epa logo">
          <a:extLst>
            <a:ext uri="{FF2B5EF4-FFF2-40B4-BE49-F238E27FC236}">
              <a16:creationId xmlns:a16="http://schemas.microsoft.com/office/drawing/2014/main" id="{A91D448D-1A6E-4DF6-BF1D-ED9F081786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6" r="17544"/>
        <a:stretch/>
      </xdr:blipFill>
      <xdr:spPr bwMode="auto">
        <a:xfrm>
          <a:off x="650760" y="12701"/>
          <a:ext cx="1816215" cy="1599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B9" sqref="B9:B14"/>
    </sheetView>
  </sheetViews>
  <sheetFormatPr defaultRowHeight="1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>
      <c r="A1" s="1" t="s">
        <v>19</v>
      </c>
    </row>
    <row r="2" spans="1:8">
      <c r="G2" s="2"/>
    </row>
    <row r="3" spans="1:8">
      <c r="A3" s="1" t="s">
        <v>8</v>
      </c>
      <c r="B3" s="101" t="s">
        <v>134</v>
      </c>
      <c r="E3" s="1"/>
      <c r="H3" s="1"/>
    </row>
    <row r="4" spans="1:8">
      <c r="A4" s="1"/>
      <c r="B4" t="s">
        <v>22</v>
      </c>
      <c r="E4" s="1"/>
      <c r="H4" s="1"/>
    </row>
    <row r="5" spans="1:8">
      <c r="A5" s="1"/>
      <c r="B5" s="2">
        <v>2019</v>
      </c>
      <c r="E5" s="1"/>
      <c r="H5" s="1"/>
    </row>
    <row r="6" spans="1:8">
      <c r="A6" s="1"/>
      <c r="B6" t="s">
        <v>23</v>
      </c>
      <c r="E6" s="1"/>
      <c r="H6" s="1"/>
    </row>
    <row r="7" spans="1:8">
      <c r="B7" s="4" t="s">
        <v>24</v>
      </c>
      <c r="H7" s="2"/>
    </row>
    <row r="8" spans="1:8">
      <c r="H8" s="2"/>
    </row>
    <row r="9" spans="1:8">
      <c r="B9" s="101" t="s">
        <v>129</v>
      </c>
      <c r="H9" s="2"/>
    </row>
    <row r="10" spans="1:8">
      <c r="B10" t="s">
        <v>130</v>
      </c>
      <c r="H10" s="2"/>
    </row>
    <row r="11" spans="1:8">
      <c r="B11" t="s">
        <v>131</v>
      </c>
      <c r="H11" s="2"/>
    </row>
    <row r="12" spans="1:8">
      <c r="B12" s="2">
        <v>2024</v>
      </c>
      <c r="H12" s="2"/>
    </row>
    <row r="13" spans="1:8">
      <c r="B13" t="s">
        <v>132</v>
      </c>
      <c r="H13" s="2"/>
    </row>
    <row r="14" spans="1:8">
      <c r="B14" t="s">
        <v>133</v>
      </c>
      <c r="H14" s="2"/>
    </row>
    <row r="15" spans="1:8">
      <c r="H15" s="2"/>
    </row>
    <row r="16" spans="1:8">
      <c r="A16" s="1" t="s">
        <v>7</v>
      </c>
      <c r="H16" s="2"/>
    </row>
    <row r="17" spans="1:8">
      <c r="A17" t="s">
        <v>20</v>
      </c>
      <c r="H17" s="2"/>
    </row>
    <row r="18" spans="1:8">
      <c r="A18" t="s">
        <v>34</v>
      </c>
      <c r="H18" s="4"/>
    </row>
    <row r="19" spans="1:8">
      <c r="A19" t="s">
        <v>21</v>
      </c>
      <c r="H19" s="2"/>
    </row>
    <row r="20" spans="1:8">
      <c r="A20" t="s">
        <v>25</v>
      </c>
    </row>
    <row r="21" spans="1:8">
      <c r="A21" t="s">
        <v>125</v>
      </c>
    </row>
    <row r="23" spans="1:8">
      <c r="A23" t="s">
        <v>126</v>
      </c>
    </row>
    <row r="24" spans="1:8">
      <c r="A24" t="s">
        <v>127</v>
      </c>
    </row>
    <row r="25" spans="1:8">
      <c r="A25" t="s">
        <v>128</v>
      </c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863A-DAB8-46CE-A81F-C1B3C520912B}">
  <dimension ref="A1:N158"/>
  <sheetViews>
    <sheetView showGridLines="0" topLeftCell="A28" zoomScale="83" zoomScaleNormal="83" workbookViewId="0">
      <selection activeCell="C33" sqref="C33:I33"/>
    </sheetView>
  </sheetViews>
  <sheetFormatPr defaultRowHeight="15"/>
  <cols>
    <col min="1" max="1" width="65.28515625" style="58" customWidth="1"/>
    <col min="2" max="2" width="2" style="58" customWidth="1"/>
    <col min="3" max="8" width="8.42578125" style="9" customWidth="1"/>
  </cols>
  <sheetData>
    <row r="1" spans="1:14">
      <c r="A1" s="8"/>
      <c r="B1" s="8"/>
      <c r="C1" s="8"/>
      <c r="D1" s="8"/>
      <c r="E1" s="8"/>
      <c r="F1" s="8"/>
      <c r="G1"/>
    </row>
    <row r="2" spans="1:14" ht="26.25">
      <c r="A2" s="102" t="s">
        <v>35</v>
      </c>
      <c r="B2" s="102"/>
      <c r="C2" s="102"/>
      <c r="D2" s="102"/>
      <c r="E2" s="102"/>
      <c r="F2" s="102"/>
      <c r="G2" s="102"/>
    </row>
    <row r="3" spans="1:14" ht="18">
      <c r="A3" s="8"/>
      <c r="B3" s="8"/>
      <c r="C3" s="8"/>
      <c r="D3" s="8"/>
      <c r="E3" s="8"/>
      <c r="F3" s="8"/>
      <c r="G3"/>
      <c r="K3" s="103"/>
      <c r="L3" s="103"/>
      <c r="M3" s="103"/>
      <c r="N3" s="103"/>
    </row>
    <row r="4" spans="1:14" ht="18">
      <c r="A4" s="104" t="s">
        <v>36</v>
      </c>
      <c r="B4" s="104"/>
      <c r="C4" s="104"/>
      <c r="D4" s="104"/>
      <c r="E4" s="104"/>
      <c r="F4" s="104"/>
      <c r="G4" s="104"/>
    </row>
    <row r="5" spans="1:14" ht="18">
      <c r="A5" s="8"/>
      <c r="B5" s="103"/>
      <c r="C5" s="103"/>
      <c r="D5" s="103"/>
      <c r="E5" s="103"/>
      <c r="F5" s="8"/>
      <c r="G5"/>
    </row>
    <row r="6" spans="1:14" ht="15.75">
      <c r="A6" s="10"/>
      <c r="B6" s="10"/>
      <c r="C6" s="10" t="s">
        <v>37</v>
      </c>
      <c r="D6" s="11"/>
      <c r="E6" s="10"/>
      <c r="F6" s="10"/>
      <c r="G6" s="10"/>
    </row>
    <row r="7" spans="1:14">
      <c r="A7" s="105"/>
      <c r="B7" s="105"/>
      <c r="C7" s="105"/>
      <c r="D7" s="105"/>
      <c r="E7" s="105"/>
      <c r="F7" s="105"/>
      <c r="G7" s="105"/>
    </row>
    <row r="8" spans="1:14">
      <c r="A8" s="12"/>
      <c r="B8" s="12"/>
      <c r="C8" s="12"/>
      <c r="D8" s="12"/>
      <c r="E8" s="12"/>
      <c r="F8" s="12"/>
      <c r="G8" s="12"/>
    </row>
    <row r="9" spans="1:14" ht="15.75" thickBot="1">
      <c r="A9" s="13" t="s">
        <v>38</v>
      </c>
      <c r="B9" s="13"/>
      <c r="C9" s="14" t="s">
        <v>39</v>
      </c>
    </row>
    <row r="10" spans="1:14" ht="18.75" thickBot="1">
      <c r="A10" s="15" t="s">
        <v>40</v>
      </c>
      <c r="B10" s="16"/>
      <c r="C10" s="17">
        <v>2028</v>
      </c>
      <c r="D10" s="17">
        <v>2030</v>
      </c>
      <c r="E10" s="17">
        <v>2035</v>
      </c>
      <c r="F10" s="17">
        <v>2040</v>
      </c>
      <c r="G10" s="17">
        <v>2045</v>
      </c>
      <c r="H10" s="17">
        <v>2050</v>
      </c>
      <c r="I10" s="18">
        <v>2055</v>
      </c>
      <c r="J10" s="19"/>
    </row>
    <row r="11" spans="1:14">
      <c r="A11" s="20" t="s">
        <v>41</v>
      </c>
      <c r="B11" s="21"/>
      <c r="C11" s="22">
        <v>0.38178203655590803</v>
      </c>
      <c r="D11" s="22">
        <v>0.28776660432657397</v>
      </c>
      <c r="E11" s="22">
        <v>0.15008061837902698</v>
      </c>
      <c r="F11" s="22">
        <v>0.133750765519183</v>
      </c>
      <c r="G11" s="23">
        <v>1.36601001582439E-2</v>
      </c>
      <c r="H11" s="24">
        <v>1.6605887490001098E-2</v>
      </c>
      <c r="I11" s="25">
        <v>1.70355902300998E-2</v>
      </c>
      <c r="J11" s="26"/>
    </row>
    <row r="12" spans="1:14">
      <c r="A12" s="27" t="s">
        <v>42</v>
      </c>
      <c r="B12" s="28"/>
      <c r="C12" s="29">
        <v>0.41680327636435999</v>
      </c>
      <c r="D12" s="29">
        <v>0.349669757281726</v>
      </c>
      <c r="E12" s="29">
        <v>0.219153065230694</v>
      </c>
      <c r="F12" s="29">
        <v>0.17104617987864601</v>
      </c>
      <c r="G12" s="29">
        <v>8.68620641293711E-2</v>
      </c>
      <c r="H12" s="29">
        <v>0.108901043591679</v>
      </c>
      <c r="I12" s="30">
        <v>0.118691033689307</v>
      </c>
      <c r="J12" s="31"/>
    </row>
    <row r="13" spans="1:14">
      <c r="A13" s="20" t="s">
        <v>43</v>
      </c>
      <c r="B13" s="21"/>
      <c r="C13" s="32">
        <v>1075.7035876597711</v>
      </c>
      <c r="D13" s="32">
        <v>1007.9379903702765</v>
      </c>
      <c r="E13" s="32">
        <v>652.29000898086917</v>
      </c>
      <c r="F13" s="32">
        <v>440.68979404808982</v>
      </c>
      <c r="G13" s="32">
        <v>289.83435719708137</v>
      </c>
      <c r="H13" s="32">
        <v>413.78669060721154</v>
      </c>
      <c r="I13" s="33">
        <v>475.62130707511125</v>
      </c>
      <c r="J13" s="34"/>
    </row>
    <row r="14" spans="1:14">
      <c r="A14" s="27" t="s">
        <v>44</v>
      </c>
      <c r="B14" s="28"/>
      <c r="C14" s="35">
        <v>2.362284207281975</v>
      </c>
      <c r="D14" s="35">
        <v>2.1904470347769851</v>
      </c>
      <c r="E14" s="35">
        <v>1.8558747250900252</v>
      </c>
      <c r="F14" s="35">
        <v>1.7549231047939</v>
      </c>
      <c r="G14" s="35">
        <v>1.2599123568758901</v>
      </c>
      <c r="H14" s="35">
        <v>1.2566786259307752</v>
      </c>
      <c r="I14" s="36">
        <v>1.2690882627550051</v>
      </c>
      <c r="J14" s="37"/>
    </row>
    <row r="15" spans="1:14" ht="15.75" thickBot="1">
      <c r="A15" s="38" t="s">
        <v>45</v>
      </c>
      <c r="B15" s="39"/>
      <c r="C15" s="40">
        <v>2.1144117607940398</v>
      </c>
      <c r="D15" s="40">
        <v>1.7733222674486699</v>
      </c>
      <c r="E15" s="40">
        <v>1.16171800503003</v>
      </c>
      <c r="F15" s="40">
        <v>1.04926780110533</v>
      </c>
      <c r="G15" s="41">
        <v>9.6565890819868994E-2</v>
      </c>
      <c r="H15" s="41">
        <v>0.116990421681148</v>
      </c>
      <c r="I15" s="42">
        <v>0.117155446869056</v>
      </c>
      <c r="J15" s="37"/>
    </row>
    <row r="16" spans="1:14" ht="15.75" thickBot="1">
      <c r="A16" s="21"/>
      <c r="B16" s="21"/>
      <c r="C16" s="43"/>
      <c r="D16" s="43"/>
      <c r="E16" s="43"/>
      <c r="F16" s="43"/>
      <c r="G16" s="43"/>
      <c r="H16" s="44"/>
    </row>
    <row r="17" spans="1:10" ht="18.75" thickBot="1">
      <c r="A17" s="15" t="s">
        <v>46</v>
      </c>
      <c r="B17" s="16"/>
      <c r="C17" s="17">
        <v>2028</v>
      </c>
      <c r="D17" s="17">
        <v>2030</v>
      </c>
      <c r="E17" s="17">
        <v>2035</v>
      </c>
      <c r="F17" s="17">
        <v>2040</v>
      </c>
      <c r="G17" s="17">
        <v>2045</v>
      </c>
      <c r="H17" s="17">
        <v>2050</v>
      </c>
      <c r="I17" s="18">
        <v>2055</v>
      </c>
      <c r="J17" s="19"/>
    </row>
    <row r="18" spans="1:10" ht="15.75" thickBot="1">
      <c r="A18" s="45" t="s">
        <v>47</v>
      </c>
      <c r="B18" s="46"/>
      <c r="C18" s="47">
        <v>132.75368551191599</v>
      </c>
      <c r="D18" s="47">
        <v>141.08152710447899</v>
      </c>
      <c r="E18" s="47">
        <v>155.020271350907</v>
      </c>
      <c r="F18" s="47">
        <v>160.858246941678</v>
      </c>
      <c r="G18" s="47">
        <v>178.05320115219899</v>
      </c>
      <c r="H18" s="47">
        <v>190.13076753082399</v>
      </c>
      <c r="I18" s="48">
        <v>209.24890239405502</v>
      </c>
      <c r="J18" s="49"/>
    </row>
    <row r="19" spans="1:10" ht="15.75" thickBot="1">
      <c r="A19" s="21"/>
      <c r="B19" s="21"/>
      <c r="C19" s="50"/>
      <c r="D19" s="50"/>
      <c r="E19" s="50"/>
      <c r="F19" s="50"/>
      <c r="G19" s="50"/>
      <c r="H19" s="51"/>
    </row>
    <row r="20" spans="1:10" ht="18.75" thickBot="1">
      <c r="A20" s="15" t="s">
        <v>48</v>
      </c>
      <c r="B20" s="16"/>
      <c r="C20" s="17">
        <v>2028</v>
      </c>
      <c r="D20" s="17">
        <v>2030</v>
      </c>
      <c r="E20" s="17">
        <v>2035</v>
      </c>
      <c r="F20" s="17">
        <v>2040</v>
      </c>
      <c r="G20" s="17">
        <v>2045</v>
      </c>
      <c r="H20" s="17">
        <v>2050</v>
      </c>
      <c r="I20" s="18">
        <v>2055</v>
      </c>
      <c r="J20" s="19"/>
    </row>
    <row r="21" spans="1:10">
      <c r="A21" s="20" t="s">
        <v>49</v>
      </c>
      <c r="B21" s="21"/>
      <c r="C21" s="52">
        <v>35.598188541429217</v>
      </c>
      <c r="D21" s="52">
        <v>39.985036219480172</v>
      </c>
      <c r="E21" s="52">
        <v>39.047731613384897</v>
      </c>
      <c r="F21" s="52">
        <v>33.91931662644869</v>
      </c>
      <c r="G21" s="52">
        <v>28.962111214521279</v>
      </c>
      <c r="H21" s="52">
        <v>39.068346058963435</v>
      </c>
      <c r="I21" s="53">
        <v>42.898248554426125</v>
      </c>
      <c r="J21" s="54"/>
    </row>
    <row r="22" spans="1:10">
      <c r="A22" s="27" t="s">
        <v>50</v>
      </c>
      <c r="B22" s="28"/>
      <c r="C22" s="55"/>
      <c r="D22" s="55"/>
      <c r="E22" s="55"/>
      <c r="F22" s="55"/>
      <c r="G22" s="55"/>
      <c r="H22" s="55"/>
      <c r="I22" s="56"/>
      <c r="J22" s="54"/>
    </row>
    <row r="23" spans="1:10">
      <c r="A23" s="57" t="s">
        <v>51</v>
      </c>
      <c r="C23" s="52">
        <v>3.0610043549041901</v>
      </c>
      <c r="D23" s="52">
        <v>3.2856843228489598</v>
      </c>
      <c r="E23" s="52">
        <v>3.5237570753124801</v>
      </c>
      <c r="F23" s="52">
        <v>3.2990908995595798</v>
      </c>
      <c r="G23" s="52">
        <v>3.4962831708508899</v>
      </c>
      <c r="H23" s="52">
        <v>4.2861253331459599</v>
      </c>
      <c r="I23" s="53">
        <v>4.7051272233568202</v>
      </c>
      <c r="J23" s="54"/>
    </row>
    <row r="24" spans="1:10">
      <c r="A24" s="59" t="s">
        <v>52</v>
      </c>
      <c r="B24" s="60"/>
      <c r="C24" s="55">
        <v>3.135364455001687</v>
      </c>
      <c r="D24" s="55">
        <v>3.3594684034249314</v>
      </c>
      <c r="E24" s="55">
        <v>3.545300964638574</v>
      </c>
      <c r="F24" s="55">
        <v>3.267340688402161</v>
      </c>
      <c r="G24" s="55">
        <v>3.4817098767750645</v>
      </c>
      <c r="H24" s="55">
        <v>4.2784840341821608</v>
      </c>
      <c r="I24" s="56">
        <v>4.699949294431363</v>
      </c>
      <c r="J24" s="54"/>
    </row>
    <row r="25" spans="1:10">
      <c r="A25" s="20" t="s">
        <v>53</v>
      </c>
      <c r="B25" s="21"/>
      <c r="C25" s="52"/>
      <c r="D25" s="52"/>
      <c r="E25" s="52"/>
      <c r="F25" s="52"/>
      <c r="G25" s="52"/>
      <c r="H25" s="52"/>
      <c r="I25" s="53"/>
      <c r="J25" s="54"/>
    </row>
    <row r="26" spans="1:10">
      <c r="A26" s="59" t="s">
        <v>54</v>
      </c>
      <c r="B26" s="60"/>
      <c r="C26" s="55">
        <v>1.4549263108832191</v>
      </c>
      <c r="D26" s="55">
        <v>1.4772263982239877</v>
      </c>
      <c r="E26" s="55">
        <v>1.4863063353595951</v>
      </c>
      <c r="F26" s="55">
        <v>1.5516406162024994</v>
      </c>
      <c r="G26" s="55">
        <v>2.2655174759257339</v>
      </c>
      <c r="H26" s="55">
        <v>2.398014249760247</v>
      </c>
      <c r="I26" s="56">
        <v>2.3977365366475563</v>
      </c>
      <c r="J26" s="54"/>
    </row>
    <row r="27" spans="1:10">
      <c r="A27" s="57" t="s">
        <v>55</v>
      </c>
      <c r="C27" s="52">
        <v>4.7290260366364203</v>
      </c>
      <c r="D27" s="52">
        <v>4.4503375120515596</v>
      </c>
      <c r="E27" s="52">
        <v>4.3027965279951701</v>
      </c>
      <c r="F27" s="52"/>
      <c r="G27" s="52"/>
      <c r="H27" s="52"/>
      <c r="I27" s="53"/>
      <c r="J27" s="54"/>
    </row>
    <row r="28" spans="1:10">
      <c r="A28" s="59" t="s">
        <v>56</v>
      </c>
      <c r="B28" s="60"/>
      <c r="C28" s="55">
        <v>1.5183629869401347</v>
      </c>
      <c r="D28" s="55">
        <v>1.5722407750786667</v>
      </c>
      <c r="E28" s="55">
        <v>1.7297246619928095</v>
      </c>
      <c r="F28" s="55">
        <v>1.785977859337492</v>
      </c>
      <c r="G28" s="55">
        <v>1.865233064616137</v>
      </c>
      <c r="H28" s="55">
        <v>1.981952954705549</v>
      </c>
      <c r="I28" s="56">
        <v>2.0035881416414534</v>
      </c>
      <c r="J28" s="54"/>
    </row>
    <row r="29" spans="1:10">
      <c r="A29" s="57" t="s">
        <v>57</v>
      </c>
      <c r="C29" s="52">
        <v>0.54324640800156898</v>
      </c>
      <c r="D29" s="52">
        <v>0.81628239202452102</v>
      </c>
      <c r="E29" s="52">
        <v>0.38324153447818893</v>
      </c>
      <c r="F29" s="52">
        <v>2.0167941066512505</v>
      </c>
      <c r="G29" s="52"/>
      <c r="H29" s="52"/>
      <c r="I29" s="53"/>
      <c r="J29" s="54"/>
    </row>
    <row r="30" spans="1:10">
      <c r="A30" s="59" t="s">
        <v>58</v>
      </c>
      <c r="B30" s="60"/>
      <c r="C30" s="55">
        <v>0.85137438534954457</v>
      </c>
      <c r="D30" s="55">
        <v>0.91585382757538536</v>
      </c>
      <c r="E30" s="55">
        <v>0.99292376539318727</v>
      </c>
      <c r="F30" s="55">
        <v>1.041521245135181</v>
      </c>
      <c r="G30" s="55">
        <v>1.478463609066323</v>
      </c>
      <c r="H30" s="55">
        <v>1.2613478590784684</v>
      </c>
      <c r="I30" s="56">
        <v>1.2721752991441668</v>
      </c>
      <c r="J30" s="54"/>
    </row>
    <row r="31" spans="1:10" ht="15.75" thickBot="1">
      <c r="A31" s="61" t="s">
        <v>59</v>
      </c>
      <c r="B31" s="62"/>
      <c r="C31" s="63">
        <v>1.0780782380882352</v>
      </c>
      <c r="D31" s="63">
        <v>1.1725092425257939</v>
      </c>
      <c r="E31" s="63">
        <v>1.2457788386512954</v>
      </c>
      <c r="F31" s="63">
        <v>1.3783974731248412</v>
      </c>
      <c r="G31" s="63">
        <v>1.6974457565854826</v>
      </c>
      <c r="H31" s="63">
        <v>1.6369370818158655</v>
      </c>
      <c r="I31" s="64">
        <v>1.6490269613718609</v>
      </c>
      <c r="J31" s="54"/>
    </row>
    <row r="32" spans="1:10" ht="15.75" thickBot="1">
      <c r="A32" s="21"/>
      <c r="B32" s="21"/>
      <c r="C32" s="65"/>
      <c r="D32" s="65"/>
      <c r="E32" s="65"/>
      <c r="F32" s="65"/>
      <c r="G32" s="65"/>
      <c r="H32" s="65"/>
    </row>
    <row r="33" spans="1:10" ht="18.75" thickBot="1">
      <c r="A33" s="15" t="s">
        <v>60</v>
      </c>
      <c r="B33" s="16"/>
      <c r="C33" s="17">
        <v>2028</v>
      </c>
      <c r="D33" s="17">
        <v>2030</v>
      </c>
      <c r="E33" s="17">
        <v>2035</v>
      </c>
      <c r="F33" s="17">
        <v>2040</v>
      </c>
      <c r="G33" s="17">
        <v>2045</v>
      </c>
      <c r="H33" s="17">
        <v>2050</v>
      </c>
      <c r="I33" s="18">
        <v>2055</v>
      </c>
      <c r="J33" s="19"/>
    </row>
    <row r="34" spans="1:10">
      <c r="A34" s="20" t="s">
        <v>61</v>
      </c>
      <c r="B34" s="21"/>
      <c r="C34" s="66">
        <v>102.40670000000001</v>
      </c>
      <c r="D34" s="66">
        <v>104.507993438</v>
      </c>
      <c r="E34" s="66">
        <v>108.145155937</v>
      </c>
      <c r="F34" s="66">
        <v>111.82620918900001</v>
      </c>
      <c r="G34" s="66">
        <v>112.26044352100001</v>
      </c>
      <c r="H34" s="66">
        <v>112.26044352100001</v>
      </c>
      <c r="I34" s="67">
        <v>112.26053360200001</v>
      </c>
      <c r="J34" s="68"/>
    </row>
    <row r="35" spans="1:10">
      <c r="A35" s="27" t="s">
        <v>62</v>
      </c>
      <c r="B35" s="28"/>
      <c r="C35" s="69">
        <v>428.534122153</v>
      </c>
      <c r="D35" s="69">
        <v>477.61207899600004</v>
      </c>
      <c r="E35" s="69">
        <v>738.08050350999997</v>
      </c>
      <c r="F35" s="69">
        <v>1032.3573401369999</v>
      </c>
      <c r="G35" s="69">
        <v>1366.256947049</v>
      </c>
      <c r="H35" s="69">
        <v>1400.5869280869999</v>
      </c>
      <c r="I35" s="70">
        <v>1492.8569951569998</v>
      </c>
      <c r="J35" s="68"/>
    </row>
    <row r="36" spans="1:10">
      <c r="A36" s="57" t="s">
        <v>63</v>
      </c>
      <c r="B36" s="21"/>
      <c r="C36" s="71">
        <v>0.2029</v>
      </c>
      <c r="D36" s="71">
        <v>0.2029</v>
      </c>
      <c r="E36" s="71">
        <v>0.19090000000000001</v>
      </c>
      <c r="F36" s="71">
        <v>0.1444</v>
      </c>
      <c r="G36" s="71">
        <v>0.1444</v>
      </c>
      <c r="H36" s="71">
        <v>0.1444</v>
      </c>
      <c r="I36" s="72">
        <v>0.1444</v>
      </c>
      <c r="J36" s="68"/>
    </row>
    <row r="37" spans="1:10">
      <c r="A37" s="59" t="s">
        <v>64</v>
      </c>
      <c r="B37" s="28"/>
      <c r="C37" s="69">
        <v>3.21123</v>
      </c>
      <c r="D37" s="69">
        <v>3.21123</v>
      </c>
      <c r="E37" s="69">
        <v>3.21123</v>
      </c>
      <c r="F37" s="69">
        <v>3.21123</v>
      </c>
      <c r="G37" s="69">
        <v>3.2852800000000002</v>
      </c>
      <c r="H37" s="69">
        <v>3.2852800000000002</v>
      </c>
      <c r="I37" s="70">
        <v>3.2852800000000002</v>
      </c>
      <c r="J37" s="68"/>
    </row>
    <row r="38" spans="1:10" s="73" customFormat="1" ht="14.25">
      <c r="A38" s="57" t="s">
        <v>65</v>
      </c>
      <c r="B38" s="58"/>
      <c r="C38" s="66">
        <v>3.1948999979999999</v>
      </c>
      <c r="D38" s="66">
        <v>3.1948999979999999</v>
      </c>
      <c r="E38" s="66">
        <v>3.0752999979999998</v>
      </c>
      <c r="F38" s="66">
        <v>3.0752999979999998</v>
      </c>
      <c r="G38" s="66">
        <v>3.0752999979999998</v>
      </c>
      <c r="H38" s="66">
        <v>4.609992589</v>
      </c>
      <c r="I38" s="67">
        <v>5.5548313699999996</v>
      </c>
      <c r="J38" s="68"/>
    </row>
    <row r="39" spans="1:10" s="73" customFormat="1" ht="14.25">
      <c r="A39" s="59" t="s">
        <v>66</v>
      </c>
      <c r="B39" s="60"/>
      <c r="C39" s="69">
        <v>184.197865616</v>
      </c>
      <c r="D39" s="69">
        <v>187.349550693</v>
      </c>
      <c r="E39" s="69">
        <v>303.75831319399998</v>
      </c>
      <c r="F39" s="69">
        <v>366.91603864699999</v>
      </c>
      <c r="G39" s="69">
        <v>540.260252541</v>
      </c>
      <c r="H39" s="69">
        <v>565.94633180300002</v>
      </c>
      <c r="I39" s="70">
        <v>604.50261935599997</v>
      </c>
      <c r="J39" s="68"/>
    </row>
    <row r="40" spans="1:10" s="73" customFormat="1" ht="14.25">
      <c r="A40" s="57" t="s">
        <v>67</v>
      </c>
      <c r="B40" s="58"/>
      <c r="C40" s="66">
        <v>237.72722653900001</v>
      </c>
      <c r="D40" s="66">
        <v>283.65349830500003</v>
      </c>
      <c r="E40" s="66">
        <v>427.84476031800006</v>
      </c>
      <c r="F40" s="66">
        <v>659.01037149199999</v>
      </c>
      <c r="G40" s="66">
        <v>819.49171451000007</v>
      </c>
      <c r="H40" s="66">
        <v>826.60092369499989</v>
      </c>
      <c r="I40" s="67">
        <v>879.36986443099988</v>
      </c>
      <c r="J40" s="68"/>
    </row>
    <row r="41" spans="1:10" s="73" customFormat="1" ht="14.25">
      <c r="A41" s="59" t="s">
        <v>68</v>
      </c>
      <c r="B41" s="60"/>
      <c r="C41" s="69">
        <v>81.438517035039894</v>
      </c>
      <c r="D41" s="69">
        <v>92.29553124858991</v>
      </c>
      <c r="E41" s="69">
        <v>120.510155097782</v>
      </c>
      <c r="F41" s="69">
        <v>151.53083064981399</v>
      </c>
      <c r="G41" s="69">
        <v>185.35585913917899</v>
      </c>
      <c r="H41" s="69">
        <v>223.72962451074901</v>
      </c>
      <c r="I41" s="70">
        <v>273.91910155627897</v>
      </c>
      <c r="J41" s="68"/>
    </row>
    <row r="42" spans="1:10">
      <c r="A42" s="20" t="s">
        <v>69</v>
      </c>
      <c r="C42" s="66">
        <v>92.52881696</v>
      </c>
      <c r="D42" s="66">
        <v>63.35454715538021</v>
      </c>
      <c r="E42" s="66">
        <v>20.016060894724191</v>
      </c>
      <c r="F42" s="66">
        <v>18.614682050724191</v>
      </c>
      <c r="G42" s="66">
        <v>0.91530777072419367</v>
      </c>
      <c r="H42" s="66">
        <v>0.86830777072419363</v>
      </c>
      <c r="I42" s="67">
        <v>0.86830777072419363</v>
      </c>
      <c r="J42" s="68"/>
    </row>
    <row r="43" spans="1:10" s="73" customFormat="1" ht="14.25">
      <c r="A43" s="59" t="s">
        <v>70</v>
      </c>
      <c r="B43" s="60"/>
      <c r="C43" s="69">
        <v>92.459169145999994</v>
      </c>
      <c r="D43" s="69">
        <v>62.315999656380214</v>
      </c>
      <c r="E43" s="69">
        <v>0.83908577772419357</v>
      </c>
      <c r="F43" s="74">
        <v>0.17560000972419357</v>
      </c>
      <c r="G43" s="74">
        <v>0.1733000097241936</v>
      </c>
      <c r="H43" s="74">
        <v>0.12630000972419356</v>
      </c>
      <c r="I43" s="75">
        <v>0.12630000972419356</v>
      </c>
      <c r="J43" s="68"/>
    </row>
    <row r="44" spans="1:10" s="73" customFormat="1" ht="14.25">
      <c r="A44" s="57" t="s">
        <v>71</v>
      </c>
      <c r="B44" s="58"/>
      <c r="C44" s="71">
        <v>6.9647814000000002E-2</v>
      </c>
      <c r="D44" s="71">
        <v>6.9647814000000002E-2</v>
      </c>
      <c r="E44" s="66">
        <v>0</v>
      </c>
      <c r="F44" s="66">
        <v>0</v>
      </c>
      <c r="G44" s="66">
        <v>0</v>
      </c>
      <c r="H44" s="66">
        <v>0</v>
      </c>
      <c r="I44" s="67">
        <v>0</v>
      </c>
      <c r="J44" s="68"/>
    </row>
    <row r="45" spans="1:10" s="73" customFormat="1" ht="14.25">
      <c r="A45" s="59" t="s">
        <v>72</v>
      </c>
      <c r="B45" s="60"/>
      <c r="C45" s="69">
        <v>0</v>
      </c>
      <c r="D45" s="69">
        <v>0.96889968500000012</v>
      </c>
      <c r="E45" s="69">
        <v>19.176975116999998</v>
      </c>
      <c r="F45" s="69">
        <v>18.439082040999999</v>
      </c>
      <c r="G45" s="69">
        <v>0.7420077610000001</v>
      </c>
      <c r="H45" s="69">
        <v>0.7420077610000001</v>
      </c>
      <c r="I45" s="70">
        <v>0.7420077610000001</v>
      </c>
      <c r="J45" s="68"/>
    </row>
    <row r="46" spans="1:10">
      <c r="A46" s="20" t="s">
        <v>73</v>
      </c>
      <c r="C46" s="66">
        <v>46.640658471000002</v>
      </c>
      <c r="D46" s="66">
        <v>55.413888983</v>
      </c>
      <c r="E46" s="66">
        <v>122.60925304099999</v>
      </c>
      <c r="F46" s="66">
        <v>142.806186594</v>
      </c>
      <c r="G46" s="66">
        <v>181.98062442299999</v>
      </c>
      <c r="H46" s="66">
        <v>184.92925485599997</v>
      </c>
      <c r="I46" s="67">
        <v>186.09178854799998</v>
      </c>
      <c r="J46" s="68"/>
    </row>
    <row r="47" spans="1:10">
      <c r="A47" s="27" t="s">
        <v>74</v>
      </c>
      <c r="B47" s="60"/>
      <c r="C47" s="69">
        <v>93.569600000000008</v>
      </c>
      <c r="D47" s="69">
        <v>90.882000000000005</v>
      </c>
      <c r="E47" s="69">
        <v>83.694500000000005</v>
      </c>
      <c r="F47" s="69">
        <v>79.061899999999994</v>
      </c>
      <c r="G47" s="69">
        <v>64.843999999999994</v>
      </c>
      <c r="H47" s="69">
        <v>45.617486192000001</v>
      </c>
      <c r="I47" s="70">
        <v>28.784686191999999</v>
      </c>
      <c r="J47" s="68"/>
    </row>
    <row r="48" spans="1:10">
      <c r="A48" s="20" t="s">
        <v>75</v>
      </c>
      <c r="C48" s="66">
        <v>473.69091579600001</v>
      </c>
      <c r="D48" s="66">
        <v>481.12423987500006</v>
      </c>
      <c r="E48" s="66">
        <v>486.19439530767852</v>
      </c>
      <c r="F48" s="66">
        <v>540.41077860867858</v>
      </c>
      <c r="G48" s="66">
        <v>604.18425695967858</v>
      </c>
      <c r="H48" s="66">
        <v>713.90102734067864</v>
      </c>
      <c r="I48" s="67">
        <v>796.5102401676786</v>
      </c>
      <c r="J48" s="68"/>
    </row>
    <row r="49" spans="1:10" s="73" customFormat="1" ht="14.25">
      <c r="A49" s="59" t="s">
        <v>76</v>
      </c>
      <c r="B49" s="60"/>
      <c r="C49" s="69">
        <v>315.52063007100003</v>
      </c>
      <c r="D49" s="69">
        <v>316.57323280400004</v>
      </c>
      <c r="E49" s="69">
        <v>314.22690650667852</v>
      </c>
      <c r="F49" s="69">
        <v>314.24785835967856</v>
      </c>
      <c r="G49" s="69">
        <v>308.28215835967853</v>
      </c>
      <c r="H49" s="69">
        <v>325.23399788767858</v>
      </c>
      <c r="I49" s="70">
        <v>357.05457125667857</v>
      </c>
      <c r="J49" s="68"/>
    </row>
    <row r="50" spans="1:10" s="73" customFormat="1" ht="14.25">
      <c r="A50" s="57" t="s">
        <v>77</v>
      </c>
      <c r="B50" s="58"/>
      <c r="C50" s="66">
        <v>0</v>
      </c>
      <c r="D50" s="66">
        <v>0</v>
      </c>
      <c r="E50" s="66">
        <v>0.90324353000000013</v>
      </c>
      <c r="F50" s="66">
        <v>0.90324353000000013</v>
      </c>
      <c r="G50" s="66">
        <v>0.90324353000000013</v>
      </c>
      <c r="H50" s="66">
        <v>0.90324353000000013</v>
      </c>
      <c r="I50" s="67">
        <v>0.90324353000000013</v>
      </c>
      <c r="J50" s="68"/>
    </row>
    <row r="51" spans="1:10">
      <c r="A51" s="59" t="s">
        <v>78</v>
      </c>
      <c r="B51" s="60"/>
      <c r="C51" s="69">
        <v>158.17028572499999</v>
      </c>
      <c r="D51" s="69">
        <v>164.55100707099999</v>
      </c>
      <c r="E51" s="69">
        <v>171.06424527100003</v>
      </c>
      <c r="F51" s="69">
        <v>225.259676719</v>
      </c>
      <c r="G51" s="69">
        <v>294.99885506999999</v>
      </c>
      <c r="H51" s="69">
        <v>387.763785923</v>
      </c>
      <c r="I51" s="70">
        <v>438.55242538100003</v>
      </c>
      <c r="J51" s="68"/>
    </row>
    <row r="52" spans="1:10">
      <c r="A52" s="20" t="s">
        <v>79</v>
      </c>
      <c r="C52" s="66">
        <v>64.828125279000005</v>
      </c>
      <c r="D52" s="66">
        <v>73.7073028983352</v>
      </c>
      <c r="E52" s="66">
        <v>69.896216854335208</v>
      </c>
      <c r="F52" s="66">
        <v>68.8262168543352</v>
      </c>
      <c r="G52" s="66">
        <v>68.8262168543352</v>
      </c>
      <c r="H52" s="66">
        <v>66.360616854335191</v>
      </c>
      <c r="I52" s="67">
        <v>66.160348294335193</v>
      </c>
      <c r="J52" s="68"/>
    </row>
    <row r="53" spans="1:10">
      <c r="A53" s="27" t="s">
        <v>80</v>
      </c>
      <c r="B53" s="60"/>
      <c r="C53" s="69">
        <v>6.5003000000000002</v>
      </c>
      <c r="D53" s="69">
        <v>6.5003000000000002</v>
      </c>
      <c r="E53" s="69">
        <v>6.5003000000000002</v>
      </c>
      <c r="F53" s="69">
        <v>6.5003000000000002</v>
      </c>
      <c r="G53" s="69">
        <v>6.5003000000000002</v>
      </c>
      <c r="H53" s="69">
        <v>6.5003000000000002</v>
      </c>
      <c r="I53" s="70">
        <v>6.5003000000000002</v>
      </c>
      <c r="J53" s="68"/>
    </row>
    <row r="54" spans="1:10" ht="15.75" thickBot="1">
      <c r="A54" s="76" t="s">
        <v>81</v>
      </c>
      <c r="B54" s="77"/>
      <c r="C54" s="78">
        <v>1308.699238659</v>
      </c>
      <c r="D54" s="78">
        <v>1353.1023513457155</v>
      </c>
      <c r="E54" s="78">
        <v>1635.1363855447378</v>
      </c>
      <c r="F54" s="78">
        <v>2000.4036134337377</v>
      </c>
      <c r="G54" s="78">
        <v>2405.7680965777386</v>
      </c>
      <c r="H54" s="78">
        <v>2531.0243646217377</v>
      </c>
      <c r="I54" s="79">
        <v>2690.033199731738</v>
      </c>
      <c r="J54" s="68"/>
    </row>
    <row r="55" spans="1:10" ht="16.5" thickTop="1" thickBot="1">
      <c r="A55" s="21"/>
      <c r="B55" s="21"/>
      <c r="C55" s="66"/>
      <c r="D55" s="66"/>
      <c r="E55" s="66"/>
      <c r="F55" s="66"/>
      <c r="G55" s="66"/>
      <c r="H55" s="66"/>
    </row>
    <row r="56" spans="1:10" ht="18.75" thickBot="1">
      <c r="A56" s="15" t="s">
        <v>82</v>
      </c>
      <c r="B56" s="16"/>
      <c r="C56" s="17">
        <v>2028</v>
      </c>
      <c r="D56" s="17">
        <v>2030</v>
      </c>
      <c r="E56" s="17">
        <v>2035</v>
      </c>
      <c r="F56" s="17">
        <v>2040</v>
      </c>
      <c r="G56" s="17">
        <v>2045</v>
      </c>
      <c r="H56" s="17">
        <v>2050</v>
      </c>
      <c r="I56" s="18">
        <v>2055</v>
      </c>
      <c r="J56" s="19"/>
    </row>
    <row r="57" spans="1:10">
      <c r="A57" s="20" t="s">
        <v>61</v>
      </c>
      <c r="B57" s="21"/>
      <c r="C57" s="51">
        <v>0</v>
      </c>
      <c r="D57" s="51">
        <v>2.1012934380000003</v>
      </c>
      <c r="E57" s="51">
        <v>5.7384559369999995</v>
      </c>
      <c r="F57" s="51">
        <v>9.4195091890000011</v>
      </c>
      <c r="G57" s="51">
        <v>9.8537435210000002</v>
      </c>
      <c r="H57" s="51">
        <v>9.8537435210000002</v>
      </c>
      <c r="I57" s="80">
        <v>9.8538336019999999</v>
      </c>
      <c r="J57" s="37"/>
    </row>
    <row r="58" spans="1:10">
      <c r="A58" s="27" t="s">
        <v>62</v>
      </c>
      <c r="B58" s="28"/>
      <c r="C58" s="69">
        <v>79.215822153000005</v>
      </c>
      <c r="D58" s="69">
        <v>128.29377899600001</v>
      </c>
      <c r="E58" s="69">
        <v>388.89580351000001</v>
      </c>
      <c r="F58" s="69">
        <v>683.21914013699995</v>
      </c>
      <c r="G58" s="69">
        <v>1017.1187470489999</v>
      </c>
      <c r="H58" s="69">
        <v>1051.4487280870001</v>
      </c>
      <c r="I58" s="70">
        <v>1143.7187951569999</v>
      </c>
      <c r="J58" s="81"/>
    </row>
    <row r="59" spans="1:10">
      <c r="A59" s="57" t="s">
        <v>63</v>
      </c>
      <c r="B59" s="21"/>
      <c r="C59" s="66">
        <v>0</v>
      </c>
      <c r="D59" s="66">
        <v>0</v>
      </c>
      <c r="E59" s="66">
        <v>0</v>
      </c>
      <c r="F59" s="66">
        <v>0</v>
      </c>
      <c r="G59" s="66">
        <v>0</v>
      </c>
      <c r="H59" s="66">
        <v>0</v>
      </c>
      <c r="I59" s="67">
        <v>0</v>
      </c>
      <c r="J59" s="81"/>
    </row>
    <row r="60" spans="1:10">
      <c r="A60" s="59" t="s">
        <v>64</v>
      </c>
      <c r="B60" s="28"/>
      <c r="C60" s="69">
        <v>0.60183000000000009</v>
      </c>
      <c r="D60" s="69">
        <v>0.60183000000000009</v>
      </c>
      <c r="E60" s="69">
        <v>0.60183000000000009</v>
      </c>
      <c r="F60" s="69">
        <v>0.60183000000000009</v>
      </c>
      <c r="G60" s="69">
        <v>0.67588000000000004</v>
      </c>
      <c r="H60" s="69">
        <v>0.67588000000000004</v>
      </c>
      <c r="I60" s="70">
        <v>0.67588000000000004</v>
      </c>
      <c r="J60" s="81"/>
    </row>
    <row r="61" spans="1:10" s="73" customFormat="1" ht="14.25">
      <c r="A61" s="57" t="s">
        <v>65</v>
      </c>
      <c r="B61" s="58"/>
      <c r="C61" s="66">
        <v>1.5419999980000001</v>
      </c>
      <c r="D61" s="66">
        <v>1.5419999980000001</v>
      </c>
      <c r="E61" s="66">
        <v>1.5419999980000001</v>
      </c>
      <c r="F61" s="66">
        <v>1.5419999980000001</v>
      </c>
      <c r="G61" s="66">
        <v>1.5419999980000001</v>
      </c>
      <c r="H61" s="66">
        <v>3.0766925890000003</v>
      </c>
      <c r="I61" s="67">
        <v>4.0215313699999999</v>
      </c>
      <c r="J61" s="81"/>
    </row>
    <row r="62" spans="1:10" s="73" customFormat="1" ht="14.25">
      <c r="A62" s="59" t="s">
        <v>66</v>
      </c>
      <c r="B62" s="60"/>
      <c r="C62" s="69">
        <v>13.431965616000003</v>
      </c>
      <c r="D62" s="69">
        <v>16.583650693000006</v>
      </c>
      <c r="E62" s="69">
        <v>132.994413194</v>
      </c>
      <c r="F62" s="69">
        <v>196.15213864699999</v>
      </c>
      <c r="G62" s="69">
        <v>369.49635254100002</v>
      </c>
      <c r="H62" s="69">
        <v>395.18243180300004</v>
      </c>
      <c r="I62" s="70">
        <v>433.73871935599999</v>
      </c>
      <c r="J62" s="81"/>
    </row>
    <row r="63" spans="1:10" s="73" customFormat="1" ht="14.25">
      <c r="A63" s="57" t="s">
        <v>67</v>
      </c>
      <c r="B63" s="58"/>
      <c r="C63" s="66">
        <v>63.640026538999997</v>
      </c>
      <c r="D63" s="66">
        <v>109.56629830499999</v>
      </c>
      <c r="E63" s="66">
        <v>253.757560318</v>
      </c>
      <c r="F63" s="66">
        <v>484.92317149199999</v>
      </c>
      <c r="G63" s="66">
        <v>645.40451451000001</v>
      </c>
      <c r="H63" s="66">
        <v>652.51372369499995</v>
      </c>
      <c r="I63" s="67">
        <v>705.28266443099994</v>
      </c>
      <c r="J63" s="81"/>
    </row>
    <row r="64" spans="1:10">
      <c r="A64" s="27" t="s">
        <v>69</v>
      </c>
      <c r="B64" s="28"/>
      <c r="C64" s="69">
        <v>0</v>
      </c>
      <c r="D64" s="69">
        <v>0</v>
      </c>
      <c r="E64" s="69">
        <v>0</v>
      </c>
      <c r="F64" s="69">
        <v>0</v>
      </c>
      <c r="G64" s="69">
        <v>0</v>
      </c>
      <c r="H64" s="69">
        <v>0</v>
      </c>
      <c r="I64" s="70">
        <v>0</v>
      </c>
      <c r="J64" s="81"/>
    </row>
    <row r="65" spans="1:10" s="73" customFormat="1" ht="14.25">
      <c r="A65" s="57" t="s">
        <v>70</v>
      </c>
      <c r="B65" s="58"/>
      <c r="C65" s="66">
        <v>0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7">
        <v>0</v>
      </c>
      <c r="J65" s="81"/>
    </row>
    <row r="66" spans="1:10" s="73" customFormat="1" ht="14.25">
      <c r="A66" s="82" t="s">
        <v>71</v>
      </c>
      <c r="B66" s="60"/>
      <c r="C66" s="69">
        <v>0</v>
      </c>
      <c r="D66" s="69">
        <v>0</v>
      </c>
      <c r="E66" s="69">
        <v>0</v>
      </c>
      <c r="F66" s="69">
        <v>0</v>
      </c>
      <c r="G66" s="69">
        <v>0</v>
      </c>
      <c r="H66" s="69">
        <v>0</v>
      </c>
      <c r="I66" s="70">
        <v>0</v>
      </c>
      <c r="J66" s="81"/>
    </row>
    <row r="67" spans="1:10" s="73" customFormat="1" ht="14.25">
      <c r="A67" s="57" t="s">
        <v>72</v>
      </c>
      <c r="B67" s="58"/>
      <c r="C67" s="66">
        <v>0</v>
      </c>
      <c r="D67" s="66">
        <v>0</v>
      </c>
      <c r="E67" s="66">
        <v>0</v>
      </c>
      <c r="F67" s="66">
        <v>0</v>
      </c>
      <c r="G67" s="66">
        <v>0</v>
      </c>
      <c r="H67" s="66">
        <v>0</v>
      </c>
      <c r="I67" s="67">
        <v>0</v>
      </c>
      <c r="J67" s="81"/>
    </row>
    <row r="68" spans="1:10">
      <c r="A68" s="27" t="s">
        <v>73</v>
      </c>
      <c r="B68" s="28"/>
      <c r="C68" s="69">
        <v>3.2073584710000045</v>
      </c>
      <c r="D68" s="69">
        <v>11.980588983000002</v>
      </c>
      <c r="E68" s="69">
        <v>79.175953041</v>
      </c>
      <c r="F68" s="69">
        <v>99.372886594000008</v>
      </c>
      <c r="G68" s="69">
        <v>138.54732442300002</v>
      </c>
      <c r="H68" s="69">
        <v>141.495954856</v>
      </c>
      <c r="I68" s="70">
        <v>142.65848854800001</v>
      </c>
      <c r="J68" s="81"/>
    </row>
    <row r="69" spans="1:10">
      <c r="A69" s="20" t="s">
        <v>74</v>
      </c>
      <c r="B69" s="21"/>
      <c r="C69" s="66">
        <v>0</v>
      </c>
      <c r="D69" s="66">
        <v>0</v>
      </c>
      <c r="E69" s="66">
        <v>0</v>
      </c>
      <c r="F69" s="66">
        <v>0</v>
      </c>
      <c r="G69" s="66">
        <v>0</v>
      </c>
      <c r="H69" s="71">
        <v>0.25308619199999999</v>
      </c>
      <c r="I69" s="72">
        <v>0.25308619199999999</v>
      </c>
      <c r="J69" s="81"/>
    </row>
    <row r="70" spans="1:10">
      <c r="A70" s="27" t="s">
        <v>75</v>
      </c>
      <c r="B70" s="28"/>
      <c r="C70" s="69">
        <v>29.361669660000004</v>
      </c>
      <c r="D70" s="69">
        <v>37.263493739000005</v>
      </c>
      <c r="E70" s="69">
        <v>44.885378494885508</v>
      </c>
      <c r="F70" s="69">
        <v>99.729761795885494</v>
      </c>
      <c r="G70" s="69">
        <v>179.89854014688549</v>
      </c>
      <c r="H70" s="69">
        <v>301.58241052788549</v>
      </c>
      <c r="I70" s="70">
        <v>384.84462335488553</v>
      </c>
      <c r="J70" s="81"/>
    </row>
    <row r="71" spans="1:10" s="73" customFormat="1" ht="14.25">
      <c r="A71" s="57" t="s">
        <v>76</v>
      </c>
      <c r="B71" s="58"/>
      <c r="C71" s="66">
        <v>22.260557637000002</v>
      </c>
      <c r="D71" s="66">
        <v>23.313160370000002</v>
      </c>
      <c r="E71" s="66">
        <v>22.357293137885502</v>
      </c>
      <c r="F71" s="66">
        <v>22.842244990885501</v>
      </c>
      <c r="G71" s="66">
        <v>22.842244990885501</v>
      </c>
      <c r="H71" s="66">
        <v>47.293684518885499</v>
      </c>
      <c r="I71" s="67">
        <v>79.767257887885506</v>
      </c>
      <c r="J71" s="81"/>
    </row>
    <row r="72" spans="1:10" s="73" customFormat="1" ht="14.25">
      <c r="A72" s="83" t="s">
        <v>77</v>
      </c>
      <c r="B72" s="60"/>
      <c r="C72" s="69">
        <v>0</v>
      </c>
      <c r="D72" s="69">
        <v>0</v>
      </c>
      <c r="E72" s="69">
        <v>0.82331378799999999</v>
      </c>
      <c r="F72" s="69">
        <v>0.82331378799999999</v>
      </c>
      <c r="G72" s="69">
        <v>0.82331378799999999</v>
      </c>
      <c r="H72" s="69">
        <v>0.82331378799999999</v>
      </c>
      <c r="I72" s="70">
        <v>0.82331378799999999</v>
      </c>
      <c r="J72" s="81"/>
    </row>
    <row r="73" spans="1:10">
      <c r="A73" s="57" t="s">
        <v>78</v>
      </c>
      <c r="B73" s="21"/>
      <c r="C73" s="66">
        <v>7.1011120230000007</v>
      </c>
      <c r="D73" s="66">
        <v>13.950333369000001</v>
      </c>
      <c r="E73" s="66">
        <v>21.704771568999998</v>
      </c>
      <c r="F73" s="66">
        <v>76.064203016999997</v>
      </c>
      <c r="G73" s="66">
        <v>156.232981368</v>
      </c>
      <c r="H73" s="66">
        <v>253.46541222100001</v>
      </c>
      <c r="I73" s="67">
        <v>304.25405167900004</v>
      </c>
      <c r="J73" s="81"/>
    </row>
    <row r="74" spans="1:10">
      <c r="A74" s="27" t="s">
        <v>80</v>
      </c>
      <c r="B74" s="28"/>
      <c r="C74" s="69">
        <v>0</v>
      </c>
      <c r="D74" s="69">
        <v>0</v>
      </c>
      <c r="E74" s="69">
        <v>0</v>
      </c>
      <c r="F74" s="69">
        <v>0</v>
      </c>
      <c r="G74" s="69">
        <v>0</v>
      </c>
      <c r="H74" s="69">
        <v>0</v>
      </c>
      <c r="I74" s="70">
        <v>0</v>
      </c>
      <c r="J74" s="81"/>
    </row>
    <row r="75" spans="1:10" ht="15.75" thickBot="1">
      <c r="A75" s="84" t="s">
        <v>81</v>
      </c>
      <c r="B75" s="85"/>
      <c r="C75" s="86">
        <v>111.78485028400002</v>
      </c>
      <c r="D75" s="86">
        <v>179.63915515600002</v>
      </c>
      <c r="E75" s="86">
        <v>518.69559098288551</v>
      </c>
      <c r="F75" s="86">
        <v>891.74129771588537</v>
      </c>
      <c r="G75" s="86">
        <v>1345.4183551398855</v>
      </c>
      <c r="H75" s="86">
        <v>1504.6339231838856</v>
      </c>
      <c r="I75" s="87">
        <v>1681.3288268538854</v>
      </c>
      <c r="J75" s="81"/>
    </row>
    <row r="76" spans="1:10" ht="15.75" thickBot="1">
      <c r="A76" s="38"/>
      <c r="B76" s="39"/>
      <c r="C76" s="88"/>
      <c r="D76" s="88"/>
      <c r="E76" s="88"/>
      <c r="F76" s="88"/>
      <c r="G76" s="88"/>
      <c r="H76" s="88"/>
      <c r="I76" s="88"/>
      <c r="J76" s="81"/>
    </row>
    <row r="77" spans="1:10" ht="18.75" thickBot="1">
      <c r="A77" s="15" t="s">
        <v>83</v>
      </c>
      <c r="B77" s="16"/>
      <c r="C77" s="17">
        <v>2028</v>
      </c>
      <c r="D77" s="17">
        <v>2030</v>
      </c>
      <c r="E77" s="17">
        <v>2035</v>
      </c>
      <c r="F77" s="17">
        <v>2040</v>
      </c>
      <c r="G77" s="17">
        <v>2045</v>
      </c>
      <c r="H77" s="17">
        <v>2050</v>
      </c>
      <c r="I77" s="18">
        <v>2055</v>
      </c>
      <c r="J77" s="19"/>
    </row>
    <row r="78" spans="1:10">
      <c r="A78" s="20" t="s">
        <v>61</v>
      </c>
      <c r="B78" s="21"/>
      <c r="C78" s="51">
        <v>0</v>
      </c>
      <c r="D78" s="51">
        <v>0</v>
      </c>
      <c r="E78" s="51">
        <v>0</v>
      </c>
      <c r="F78" s="51">
        <v>0</v>
      </c>
      <c r="G78" s="51">
        <v>0</v>
      </c>
      <c r="H78" s="51">
        <v>0</v>
      </c>
      <c r="I78" s="89">
        <v>0</v>
      </c>
      <c r="J78" s="37"/>
    </row>
    <row r="79" spans="1:10">
      <c r="A79" s="27" t="s">
        <v>62</v>
      </c>
      <c r="B79" s="28"/>
      <c r="C79" s="69">
        <v>34.129499999999993</v>
      </c>
      <c r="D79" s="69">
        <v>34.129499999999993</v>
      </c>
      <c r="E79" s="69">
        <v>34.129499999999993</v>
      </c>
      <c r="F79" s="69">
        <v>34.129499999999993</v>
      </c>
      <c r="G79" s="69">
        <v>34.129499999999993</v>
      </c>
      <c r="H79" s="69">
        <v>34.129499999999993</v>
      </c>
      <c r="I79" s="70">
        <v>34.129499999999993</v>
      </c>
      <c r="J79" s="81"/>
    </row>
    <row r="80" spans="1:10">
      <c r="A80" s="57" t="s">
        <v>63</v>
      </c>
      <c r="B80" s="21"/>
      <c r="C80" s="66">
        <v>0</v>
      </c>
      <c r="D80" s="66">
        <v>0</v>
      </c>
      <c r="E80" s="66">
        <v>0</v>
      </c>
      <c r="F80" s="66">
        <v>0</v>
      </c>
      <c r="G80" s="66">
        <v>0</v>
      </c>
      <c r="H80" s="66">
        <v>0</v>
      </c>
      <c r="I80" s="67">
        <v>0</v>
      </c>
      <c r="J80" s="81"/>
    </row>
    <row r="81" spans="1:10">
      <c r="A81" s="59" t="s">
        <v>64</v>
      </c>
      <c r="B81" s="28"/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70">
        <v>0</v>
      </c>
      <c r="J81" s="81"/>
    </row>
    <row r="82" spans="1:10" s="73" customFormat="1" ht="14.25">
      <c r="A82" s="57" t="s">
        <v>65</v>
      </c>
      <c r="B82" s="58"/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7">
        <v>0</v>
      </c>
      <c r="J82" s="81"/>
    </row>
    <row r="83" spans="1:10" s="73" customFormat="1" ht="14.25">
      <c r="A83" s="59" t="s">
        <v>66</v>
      </c>
      <c r="B83" s="60"/>
      <c r="C83" s="69">
        <v>27.498199999999994</v>
      </c>
      <c r="D83" s="69">
        <v>27.498199999999994</v>
      </c>
      <c r="E83" s="69">
        <v>27.498199999999994</v>
      </c>
      <c r="F83" s="69">
        <v>27.498199999999994</v>
      </c>
      <c r="G83" s="69">
        <v>27.498199999999994</v>
      </c>
      <c r="H83" s="69">
        <v>27.498199999999994</v>
      </c>
      <c r="I83" s="70">
        <v>27.498199999999994</v>
      </c>
      <c r="J83" s="81"/>
    </row>
    <row r="84" spans="1:10" s="73" customFormat="1" ht="14.25">
      <c r="A84" s="57" t="s">
        <v>67</v>
      </c>
      <c r="B84" s="58"/>
      <c r="C84" s="66">
        <v>6.6313000000000004</v>
      </c>
      <c r="D84" s="66">
        <v>6.6313000000000004</v>
      </c>
      <c r="E84" s="66">
        <v>6.6313000000000004</v>
      </c>
      <c r="F84" s="66">
        <v>6.6313000000000004</v>
      </c>
      <c r="G84" s="66">
        <v>6.6313000000000004</v>
      </c>
      <c r="H84" s="66">
        <v>6.6313000000000004</v>
      </c>
      <c r="I84" s="67">
        <v>6.6313000000000004</v>
      </c>
      <c r="J84" s="81"/>
    </row>
    <row r="85" spans="1:10">
      <c r="A85" s="27" t="s">
        <v>69</v>
      </c>
      <c r="B85" s="28"/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70">
        <v>0</v>
      </c>
      <c r="J85" s="81"/>
    </row>
    <row r="86" spans="1:10" s="73" customFormat="1" ht="14.25">
      <c r="A86" s="57" t="s">
        <v>70</v>
      </c>
      <c r="B86" s="58"/>
      <c r="C86" s="66">
        <v>0</v>
      </c>
      <c r="D86" s="66">
        <v>0</v>
      </c>
      <c r="E86" s="66">
        <v>0</v>
      </c>
      <c r="F86" s="66">
        <v>0</v>
      </c>
      <c r="G86" s="66">
        <v>0</v>
      </c>
      <c r="H86" s="66">
        <v>0</v>
      </c>
      <c r="I86" s="67">
        <v>0</v>
      </c>
      <c r="J86" s="81"/>
    </row>
    <row r="87" spans="1:10" s="73" customFormat="1" ht="14.25">
      <c r="A87" s="82" t="s">
        <v>71</v>
      </c>
      <c r="B87" s="60"/>
      <c r="C87" s="69">
        <v>0</v>
      </c>
      <c r="D87" s="69">
        <v>0</v>
      </c>
      <c r="E87" s="69">
        <v>0</v>
      </c>
      <c r="F87" s="69">
        <v>0</v>
      </c>
      <c r="G87" s="69">
        <v>0</v>
      </c>
      <c r="H87" s="69">
        <v>0</v>
      </c>
      <c r="I87" s="70">
        <v>0</v>
      </c>
      <c r="J87" s="81"/>
    </row>
    <row r="88" spans="1:10" s="73" customFormat="1" ht="14.25">
      <c r="A88" s="57" t="s">
        <v>72</v>
      </c>
      <c r="B88" s="58"/>
      <c r="C88" s="66">
        <v>0</v>
      </c>
      <c r="D88" s="66">
        <v>0</v>
      </c>
      <c r="E88" s="66">
        <v>0</v>
      </c>
      <c r="F88" s="66">
        <v>0</v>
      </c>
      <c r="G88" s="66">
        <v>0</v>
      </c>
      <c r="H88" s="66">
        <v>0</v>
      </c>
      <c r="I88" s="67">
        <v>0</v>
      </c>
      <c r="J88" s="81"/>
    </row>
    <row r="89" spans="1:10">
      <c r="A89" s="27" t="s">
        <v>73</v>
      </c>
      <c r="B89" s="28"/>
      <c r="C89" s="69">
        <v>13.384899999999996</v>
      </c>
      <c r="D89" s="69">
        <v>13.384899999999996</v>
      </c>
      <c r="E89" s="69">
        <v>13.384899999999996</v>
      </c>
      <c r="F89" s="69">
        <v>13.384899999999996</v>
      </c>
      <c r="G89" s="69">
        <v>13.384899999999996</v>
      </c>
      <c r="H89" s="69">
        <v>13.384899999999996</v>
      </c>
      <c r="I89" s="70">
        <v>13.384899999999996</v>
      </c>
      <c r="J89" s="81"/>
    </row>
    <row r="90" spans="1:10">
      <c r="A90" s="20" t="s">
        <v>74</v>
      </c>
      <c r="B90" s="21"/>
      <c r="C90" s="66">
        <v>0</v>
      </c>
      <c r="D90" s="66">
        <v>0</v>
      </c>
      <c r="E90" s="66">
        <v>0</v>
      </c>
      <c r="F90" s="66">
        <v>0</v>
      </c>
      <c r="G90" s="66">
        <v>0</v>
      </c>
      <c r="H90" s="66">
        <v>0</v>
      </c>
      <c r="I90" s="67">
        <v>0</v>
      </c>
      <c r="J90" s="81"/>
    </row>
    <row r="91" spans="1:10">
      <c r="A91" s="27" t="s">
        <v>75</v>
      </c>
      <c r="B91" s="28"/>
      <c r="C91" s="69">
        <v>7.5347999999999988</v>
      </c>
      <c r="D91" s="69">
        <v>7.5347999999999988</v>
      </c>
      <c r="E91" s="69">
        <v>7.5347999999999988</v>
      </c>
      <c r="F91" s="69">
        <v>7.5347999999999988</v>
      </c>
      <c r="G91" s="69">
        <v>7.5347999999999988</v>
      </c>
      <c r="H91" s="69">
        <v>7.5347999999999988</v>
      </c>
      <c r="I91" s="70">
        <v>7.5347999999999988</v>
      </c>
      <c r="J91" s="81"/>
    </row>
    <row r="92" spans="1:10" s="73" customFormat="1" ht="14.25">
      <c r="A92" s="57" t="s">
        <v>76</v>
      </c>
      <c r="B92" s="58"/>
      <c r="C92" s="66">
        <v>5.7410999999999994</v>
      </c>
      <c r="D92" s="66">
        <v>5.7410999999999994</v>
      </c>
      <c r="E92" s="66">
        <v>5.7410999999999994</v>
      </c>
      <c r="F92" s="66">
        <v>5.7410999999999994</v>
      </c>
      <c r="G92" s="66">
        <v>5.7410999999999994</v>
      </c>
      <c r="H92" s="66">
        <v>5.7410999999999994</v>
      </c>
      <c r="I92" s="67">
        <v>5.7410999999999994</v>
      </c>
      <c r="J92" s="81"/>
    </row>
    <row r="93" spans="1:10" s="73" customFormat="1" ht="14.25">
      <c r="A93" s="83" t="s">
        <v>77</v>
      </c>
      <c r="B93" s="60"/>
      <c r="C93" s="69">
        <v>0</v>
      </c>
      <c r="D93" s="69">
        <v>0</v>
      </c>
      <c r="E93" s="69">
        <v>0</v>
      </c>
      <c r="F93" s="69">
        <v>0</v>
      </c>
      <c r="G93" s="69">
        <v>0</v>
      </c>
      <c r="H93" s="69">
        <v>0</v>
      </c>
      <c r="I93" s="70">
        <v>0</v>
      </c>
      <c r="J93" s="81"/>
    </row>
    <row r="94" spans="1:10">
      <c r="A94" s="57" t="s">
        <v>78</v>
      </c>
      <c r="B94" s="21"/>
      <c r="C94" s="66">
        <v>1.7936999999999999</v>
      </c>
      <c r="D94" s="66">
        <v>1.7936999999999999</v>
      </c>
      <c r="E94" s="66">
        <v>1.7936999999999999</v>
      </c>
      <c r="F94" s="66">
        <v>1.7936999999999999</v>
      </c>
      <c r="G94" s="66">
        <v>1.7936999999999999</v>
      </c>
      <c r="H94" s="66">
        <v>1.7936999999999999</v>
      </c>
      <c r="I94" s="67">
        <v>1.7936999999999999</v>
      </c>
      <c r="J94" s="81"/>
    </row>
    <row r="95" spans="1:10">
      <c r="A95" s="27" t="s">
        <v>80</v>
      </c>
      <c r="B95" s="28"/>
      <c r="C95" s="69">
        <v>0</v>
      </c>
      <c r="D95" s="69">
        <v>0</v>
      </c>
      <c r="E95" s="69">
        <v>0</v>
      </c>
      <c r="F95" s="69">
        <v>0</v>
      </c>
      <c r="G95" s="69">
        <v>0</v>
      </c>
      <c r="H95" s="69">
        <v>0</v>
      </c>
      <c r="I95" s="70">
        <v>0</v>
      </c>
      <c r="J95" s="81"/>
    </row>
    <row r="96" spans="1:10" ht="15.75" thickBot="1">
      <c r="A96" s="84" t="s">
        <v>81</v>
      </c>
      <c r="B96" s="85"/>
      <c r="C96" s="86">
        <v>55.049199999999985</v>
      </c>
      <c r="D96" s="86">
        <v>55.049199999999985</v>
      </c>
      <c r="E96" s="86">
        <v>55.049199999999985</v>
      </c>
      <c r="F96" s="86">
        <v>55.049199999999985</v>
      </c>
      <c r="G96" s="86">
        <v>55.049199999999985</v>
      </c>
      <c r="H96" s="86">
        <v>55.049199999999985</v>
      </c>
      <c r="I96" s="87">
        <v>55.049199999999985</v>
      </c>
      <c r="J96" s="81"/>
    </row>
    <row r="97" spans="1:10" ht="15.75" thickBot="1">
      <c r="A97" s="21"/>
      <c r="B97" s="21"/>
      <c r="C97" s="66"/>
      <c r="D97" s="66"/>
      <c r="E97" s="66"/>
      <c r="F97" s="66"/>
      <c r="G97" s="66"/>
      <c r="H97" s="66"/>
    </row>
    <row r="98" spans="1:10" ht="18.75" thickBot="1">
      <c r="A98" s="15" t="s">
        <v>84</v>
      </c>
      <c r="B98" s="16"/>
      <c r="C98" s="17">
        <v>2028</v>
      </c>
      <c r="D98" s="17">
        <v>2030</v>
      </c>
      <c r="E98" s="17">
        <v>2035</v>
      </c>
      <c r="F98" s="17">
        <v>2040</v>
      </c>
      <c r="G98" s="17">
        <v>2045</v>
      </c>
      <c r="H98" s="17">
        <v>2050</v>
      </c>
      <c r="I98" s="18">
        <v>2055</v>
      </c>
      <c r="J98" s="19"/>
    </row>
    <row r="99" spans="1:10">
      <c r="A99" s="57" t="s">
        <v>85</v>
      </c>
      <c r="C99" s="66">
        <v>1.209527566</v>
      </c>
      <c r="D99" s="66">
        <v>1.209527566</v>
      </c>
      <c r="E99" s="66">
        <v>2.5068275660000001</v>
      </c>
      <c r="F99" s="66">
        <v>2.9708275660000001</v>
      </c>
      <c r="G99" s="66">
        <v>8.9365275660000005</v>
      </c>
      <c r="H99" s="66">
        <v>16.436127566</v>
      </c>
      <c r="I99" s="67">
        <v>17.089127565999998</v>
      </c>
      <c r="J99" s="81"/>
    </row>
    <row r="100" spans="1:10">
      <c r="A100" s="59" t="s">
        <v>86</v>
      </c>
      <c r="B100" s="60"/>
      <c r="C100" s="69">
        <v>50.050596336000005</v>
      </c>
      <c r="D100" s="69">
        <v>69.181564836000007</v>
      </c>
      <c r="E100" s="69">
        <v>103.72184704599999</v>
      </c>
      <c r="F100" s="69">
        <v>105.12322589</v>
      </c>
      <c r="G100" s="69">
        <v>122.82260017</v>
      </c>
      <c r="H100" s="69">
        <v>122.86960017</v>
      </c>
      <c r="I100" s="70">
        <v>122.86960017</v>
      </c>
      <c r="J100" s="81"/>
    </row>
    <row r="101" spans="1:10">
      <c r="A101" s="57" t="s">
        <v>87</v>
      </c>
      <c r="C101" s="66">
        <v>0.52172629800000003</v>
      </c>
      <c r="D101" s="66">
        <v>0.99022629800000006</v>
      </c>
      <c r="E101" s="66">
        <v>2.2314262979999997</v>
      </c>
      <c r="F101" s="66">
        <v>2.3954262979999998</v>
      </c>
      <c r="G101" s="66">
        <v>12.825026298000001</v>
      </c>
      <c r="H101" s="66">
        <v>17.292526298000002</v>
      </c>
      <c r="I101" s="67">
        <v>17.292526298000002</v>
      </c>
      <c r="J101" s="81"/>
    </row>
    <row r="102" spans="1:10">
      <c r="A102" s="59" t="s">
        <v>88</v>
      </c>
      <c r="B102" s="60"/>
      <c r="C102" s="69">
        <v>0</v>
      </c>
      <c r="D102" s="69">
        <v>2.6875999999999998</v>
      </c>
      <c r="E102" s="69">
        <v>9.8750999999999998</v>
      </c>
      <c r="F102" s="69">
        <v>14.507700000000002</v>
      </c>
      <c r="G102" s="69">
        <v>28.7256</v>
      </c>
      <c r="H102" s="69">
        <v>48.205199999999998</v>
      </c>
      <c r="I102" s="70">
        <v>65.037999999999997</v>
      </c>
      <c r="J102" s="81"/>
    </row>
    <row r="103" spans="1:10">
      <c r="A103" s="57" t="s">
        <v>89</v>
      </c>
      <c r="C103" s="66">
        <v>10.404089239000001</v>
      </c>
      <c r="D103" s="66">
        <v>11.078312765</v>
      </c>
      <c r="E103" s="66">
        <v>14.889398809000001</v>
      </c>
      <c r="F103" s="66">
        <v>15.959398809</v>
      </c>
      <c r="G103" s="66">
        <v>15.959398809</v>
      </c>
      <c r="H103" s="66">
        <v>18.424998809000002</v>
      </c>
      <c r="I103" s="67">
        <v>18.625267368999999</v>
      </c>
      <c r="J103" s="81"/>
    </row>
    <row r="104" spans="1:10">
      <c r="A104" s="59" t="s">
        <v>90</v>
      </c>
      <c r="B104" s="60"/>
      <c r="C104" s="69">
        <v>0.74535218599999997</v>
      </c>
      <c r="D104" s="69">
        <v>0.74535218599999997</v>
      </c>
      <c r="E104" s="69">
        <v>0.81499999999999995</v>
      </c>
      <c r="F104" s="69">
        <v>0.81499999999999995</v>
      </c>
      <c r="G104" s="69">
        <v>0.81499999999999995</v>
      </c>
      <c r="H104" s="69">
        <v>0.81499999999999995</v>
      </c>
      <c r="I104" s="70">
        <v>0.81499999999999995</v>
      </c>
      <c r="J104" s="81"/>
    </row>
    <row r="105" spans="1:10">
      <c r="A105" s="57" t="s">
        <v>91</v>
      </c>
      <c r="C105" s="66">
        <v>2.9400999999999997</v>
      </c>
      <c r="D105" s="66">
        <v>2.9400999999999997</v>
      </c>
      <c r="E105" s="66">
        <v>2.9520999999999997</v>
      </c>
      <c r="F105" s="66">
        <v>2.9985999999999997</v>
      </c>
      <c r="G105" s="66">
        <v>2.9985999999999997</v>
      </c>
      <c r="H105" s="66">
        <v>2.9985999999999997</v>
      </c>
      <c r="I105" s="67">
        <v>2.9985999999999997</v>
      </c>
      <c r="J105" s="81"/>
    </row>
    <row r="106" spans="1:10">
      <c r="A106" s="60" t="s">
        <v>92</v>
      </c>
      <c r="B106" s="60"/>
      <c r="C106" s="69">
        <v>0</v>
      </c>
      <c r="D106" s="69">
        <v>0</v>
      </c>
      <c r="E106" s="69">
        <v>0</v>
      </c>
      <c r="F106" s="69">
        <v>0</v>
      </c>
      <c r="G106" s="69">
        <v>0</v>
      </c>
      <c r="H106" s="69">
        <v>0</v>
      </c>
      <c r="I106" s="70">
        <v>0</v>
      </c>
      <c r="J106" s="81"/>
    </row>
    <row r="107" spans="1:10">
      <c r="A107" s="58" t="s">
        <v>93</v>
      </c>
      <c r="C107" s="66">
        <v>0</v>
      </c>
      <c r="D107" s="66">
        <v>0</v>
      </c>
      <c r="E107" s="66">
        <v>0</v>
      </c>
      <c r="F107" s="66">
        <v>0</v>
      </c>
      <c r="G107" s="66">
        <v>0</v>
      </c>
      <c r="H107" s="66">
        <v>0</v>
      </c>
      <c r="I107" s="67">
        <v>0</v>
      </c>
      <c r="J107" s="68"/>
    </row>
    <row r="108" spans="1:10">
      <c r="A108" s="60" t="s">
        <v>94</v>
      </c>
      <c r="B108" s="60"/>
      <c r="C108" s="69">
        <v>0</v>
      </c>
      <c r="D108" s="69">
        <v>0</v>
      </c>
      <c r="E108" s="69">
        <v>0</v>
      </c>
      <c r="F108" s="69">
        <v>0</v>
      </c>
      <c r="G108" s="69">
        <v>0</v>
      </c>
      <c r="H108" s="69">
        <v>0</v>
      </c>
      <c r="I108" s="70">
        <v>0</v>
      </c>
    </row>
    <row r="109" spans="1:10">
      <c r="A109" s="58" t="s">
        <v>95</v>
      </c>
      <c r="C109" s="71">
        <v>5.5E-2</v>
      </c>
      <c r="D109" s="71">
        <v>5.5E-2</v>
      </c>
      <c r="E109" s="71">
        <v>5.5E-2</v>
      </c>
      <c r="F109" s="71">
        <v>5.5E-2</v>
      </c>
      <c r="G109" s="71">
        <v>5.5E-2</v>
      </c>
      <c r="H109" s="71">
        <v>5.5E-2</v>
      </c>
      <c r="I109" s="72">
        <v>5.5E-2</v>
      </c>
      <c r="J109" s="19"/>
    </row>
    <row r="110" spans="1:10">
      <c r="A110" s="60" t="s">
        <v>96</v>
      </c>
      <c r="B110" s="60"/>
      <c r="C110" s="74">
        <v>6.4000000000000003E-3</v>
      </c>
      <c r="D110" s="74">
        <v>6.4000000000000003E-3</v>
      </c>
      <c r="E110" s="74">
        <v>0.126</v>
      </c>
      <c r="F110" s="74">
        <v>0.126</v>
      </c>
      <c r="G110" s="74">
        <v>0.126</v>
      </c>
      <c r="H110" s="74">
        <v>0.126</v>
      </c>
      <c r="I110" s="75">
        <v>0.126</v>
      </c>
      <c r="J110" s="68"/>
    </row>
    <row r="111" spans="1:10" s="73" customFormat="1" ht="14.25">
      <c r="A111" s="58" t="s">
        <v>97</v>
      </c>
      <c r="B111" s="58"/>
      <c r="C111" s="66">
        <v>0</v>
      </c>
      <c r="D111" s="66">
        <v>0</v>
      </c>
      <c r="E111" s="66">
        <v>0</v>
      </c>
      <c r="F111" s="66">
        <v>0</v>
      </c>
      <c r="G111" s="66">
        <v>0</v>
      </c>
      <c r="H111" s="66">
        <v>0</v>
      </c>
      <c r="I111" s="67">
        <v>0</v>
      </c>
      <c r="J111" s="68"/>
    </row>
    <row r="112" spans="1:10" s="73" customFormat="1" ht="14.25">
      <c r="A112" s="60" t="s">
        <v>98</v>
      </c>
      <c r="B112" s="60"/>
      <c r="C112" s="69">
        <v>0</v>
      </c>
      <c r="D112" s="69">
        <v>0</v>
      </c>
      <c r="E112" s="69">
        <v>0</v>
      </c>
      <c r="F112" s="69">
        <v>0</v>
      </c>
      <c r="G112" s="69">
        <v>0</v>
      </c>
      <c r="H112" s="69">
        <v>0</v>
      </c>
      <c r="I112" s="70">
        <v>0</v>
      </c>
      <c r="J112" s="68"/>
    </row>
    <row r="113" spans="1:10" s="73" customFormat="1" ht="15.75" thickBot="1">
      <c r="A113" s="84" t="s">
        <v>81</v>
      </c>
      <c r="B113" s="85"/>
      <c r="C113" s="90">
        <v>65.932791624999993</v>
      </c>
      <c r="D113" s="90">
        <v>88.894083651000003</v>
      </c>
      <c r="E113" s="90">
        <v>137.17269971900004</v>
      </c>
      <c r="F113" s="90">
        <v>144.95117856299998</v>
      </c>
      <c r="G113" s="90">
        <v>193.26375284300002</v>
      </c>
      <c r="H113" s="90">
        <v>227.223052843</v>
      </c>
      <c r="I113" s="91">
        <v>244.90912140300003</v>
      </c>
      <c r="J113" s="68"/>
    </row>
    <row r="114" spans="1:10" s="73" customFormat="1" ht="15.75" thickBot="1">
      <c r="A114" s="58"/>
      <c r="B114" s="58"/>
      <c r="C114" s="66"/>
      <c r="D114" s="66"/>
      <c r="E114" s="66"/>
      <c r="F114" s="66"/>
      <c r="G114" s="66"/>
      <c r="H114" s="66"/>
      <c r="I114"/>
      <c r="J114" s="68"/>
    </row>
    <row r="115" spans="1:10" s="73" customFormat="1" ht="18.75" thickBot="1">
      <c r="A115" s="15" t="s">
        <v>99</v>
      </c>
      <c r="B115" s="16"/>
      <c r="C115" s="17">
        <v>2028</v>
      </c>
      <c r="D115" s="17">
        <v>2030</v>
      </c>
      <c r="E115" s="17">
        <v>2035</v>
      </c>
      <c r="F115" s="17">
        <v>2040</v>
      </c>
      <c r="G115" s="17">
        <v>2045</v>
      </c>
      <c r="H115" s="17">
        <v>2050</v>
      </c>
      <c r="I115" s="18">
        <v>2055</v>
      </c>
      <c r="J115" s="68"/>
    </row>
    <row r="116" spans="1:10" s="73" customFormat="1">
      <c r="A116" s="20" t="s">
        <v>61</v>
      </c>
      <c r="B116" s="21"/>
      <c r="C116" s="66">
        <v>291.67333946133999</v>
      </c>
      <c r="D116" s="66">
        <v>302.31586745850899</v>
      </c>
      <c r="E116" s="66">
        <v>319.01222201548205</v>
      </c>
      <c r="F116" s="66">
        <v>335.17311011111104</v>
      </c>
      <c r="G116" s="66">
        <v>343.66407909050201</v>
      </c>
      <c r="H116" s="66">
        <v>345.37198050002405</v>
      </c>
      <c r="I116" s="67">
        <v>347.07255238075601</v>
      </c>
      <c r="J116" s="68"/>
    </row>
    <row r="117" spans="1:10">
      <c r="A117" s="27" t="s">
        <v>62</v>
      </c>
      <c r="B117" s="28"/>
      <c r="C117" s="69">
        <v>1271.8986613841384</v>
      </c>
      <c r="D117" s="69">
        <v>1468.7326886515175</v>
      </c>
      <c r="E117" s="69">
        <v>2375.2537077871584</v>
      </c>
      <c r="F117" s="69">
        <v>3403.828461451194</v>
      </c>
      <c r="G117" s="69">
        <v>4492.3579592101478</v>
      </c>
      <c r="H117" s="69">
        <v>4581.9191984315221</v>
      </c>
      <c r="I117" s="70">
        <v>4863.0363164004821</v>
      </c>
      <c r="J117" s="92"/>
    </row>
    <row r="118" spans="1:10" s="73" customFormat="1">
      <c r="A118" s="57" t="s">
        <v>63</v>
      </c>
      <c r="B118" s="21"/>
      <c r="C118" s="71">
        <v>0.28739272899999996</v>
      </c>
      <c r="D118" s="66">
        <v>0.53014457200000009</v>
      </c>
      <c r="E118" s="66">
        <v>0.53768437499999999</v>
      </c>
      <c r="F118" s="71">
        <v>3.9375863999999997E-2</v>
      </c>
      <c r="G118" s="71">
        <v>2.3502777999999998E-2</v>
      </c>
      <c r="H118" s="71">
        <v>0.25564614200000002</v>
      </c>
      <c r="I118" s="72">
        <v>0.475215006</v>
      </c>
      <c r="J118" s="68"/>
    </row>
    <row r="119" spans="1:10" s="73" customFormat="1">
      <c r="A119" s="59" t="s">
        <v>100</v>
      </c>
      <c r="B119" s="28"/>
      <c r="C119" s="69">
        <v>0</v>
      </c>
      <c r="D119" s="69">
        <v>0</v>
      </c>
      <c r="E119" s="69">
        <v>0</v>
      </c>
      <c r="F119" s="69">
        <v>0</v>
      </c>
      <c r="G119" s="69">
        <v>0</v>
      </c>
      <c r="H119" s="69">
        <v>0</v>
      </c>
      <c r="I119" s="70">
        <v>0</v>
      </c>
      <c r="J119" s="68"/>
    </row>
    <row r="120" spans="1:10" s="73" customFormat="1" ht="14.25">
      <c r="A120" s="57" t="s">
        <v>64</v>
      </c>
      <c r="B120" s="58"/>
      <c r="C120" s="66">
        <v>21.270248706395002</v>
      </c>
      <c r="D120" s="66">
        <v>21.270248708202001</v>
      </c>
      <c r="E120" s="66">
        <v>21.270248708419</v>
      </c>
      <c r="F120" s="66">
        <v>21.270248704061</v>
      </c>
      <c r="G120" s="66">
        <v>21.798873821319003</v>
      </c>
      <c r="H120" s="66">
        <v>21.798353205931999</v>
      </c>
      <c r="I120" s="67">
        <v>21.798092897330999</v>
      </c>
      <c r="J120" s="68"/>
    </row>
    <row r="121" spans="1:10">
      <c r="A121" s="59" t="s">
        <v>65</v>
      </c>
      <c r="B121" s="60"/>
      <c r="C121" s="69">
        <v>21.327046258504883</v>
      </c>
      <c r="D121" s="69">
        <v>21.383507349262999</v>
      </c>
      <c r="E121" s="69">
        <v>20.343612209911001</v>
      </c>
      <c r="F121" s="69">
        <v>19.193195760666001</v>
      </c>
      <c r="G121" s="69">
        <v>17.903499468094001</v>
      </c>
      <c r="H121" s="69">
        <v>28.914379823682999</v>
      </c>
      <c r="I121" s="70">
        <v>34.698936355409003</v>
      </c>
      <c r="J121" s="68"/>
    </row>
    <row r="122" spans="1:10">
      <c r="A122" s="57" t="s">
        <v>66</v>
      </c>
      <c r="C122" s="66">
        <v>408.36598957995676</v>
      </c>
      <c r="D122" s="66">
        <v>415.44961452687278</v>
      </c>
      <c r="E122" s="66">
        <v>720.13663913089374</v>
      </c>
      <c r="F122" s="66">
        <v>875.91450676531781</v>
      </c>
      <c r="G122" s="66">
        <v>1312.5386034896985</v>
      </c>
      <c r="H122" s="66">
        <v>1368.6734482915715</v>
      </c>
      <c r="I122" s="67">
        <v>1458.4232032122857</v>
      </c>
      <c r="J122" s="68"/>
    </row>
    <row r="123" spans="1:10">
      <c r="A123" s="59" t="s">
        <v>67</v>
      </c>
      <c r="B123" s="60"/>
      <c r="C123" s="69">
        <v>820.64798411028175</v>
      </c>
      <c r="D123" s="69">
        <v>1010.0991734951797</v>
      </c>
      <c r="E123" s="69">
        <v>1612.9655233629344</v>
      </c>
      <c r="F123" s="69">
        <v>2487.411134357149</v>
      </c>
      <c r="G123" s="69">
        <v>3140.0934796530364</v>
      </c>
      <c r="H123" s="69">
        <v>3162.2773709683361</v>
      </c>
      <c r="I123" s="70">
        <v>3347.6408689294562</v>
      </c>
      <c r="J123" s="68"/>
    </row>
    <row r="124" spans="1:10">
      <c r="A124" s="57" t="s">
        <v>68</v>
      </c>
      <c r="C124" s="66">
        <v>120.99026258056699</v>
      </c>
      <c r="D124" s="66">
        <v>137.51392995872101</v>
      </c>
      <c r="E124" s="66">
        <v>180.13509480935801</v>
      </c>
      <c r="F124" s="66">
        <v>226.38997297282901</v>
      </c>
      <c r="G124" s="66">
        <v>277.27756392128401</v>
      </c>
      <c r="H124" s="66">
        <v>334.73756764006998</v>
      </c>
      <c r="I124" s="67">
        <v>409.667215775378</v>
      </c>
      <c r="J124" s="68"/>
    </row>
    <row r="125" spans="1:10" s="73" customFormat="1">
      <c r="A125" s="27" t="s">
        <v>69</v>
      </c>
      <c r="B125" s="60"/>
      <c r="C125" s="69">
        <v>399.51193267227791</v>
      </c>
      <c r="D125" s="69">
        <v>323.55535531107</v>
      </c>
      <c r="E125" s="69">
        <v>137.11815597321402</v>
      </c>
      <c r="F125" s="69">
        <v>127.75358727706802</v>
      </c>
      <c r="G125" s="69">
        <v>4.1951256060990003</v>
      </c>
      <c r="H125" s="69">
        <v>5.1043248669930001</v>
      </c>
      <c r="I125" s="70">
        <v>5.1610272245309998</v>
      </c>
      <c r="J125" s="68"/>
    </row>
    <row r="126" spans="1:10" s="73" customFormat="1" ht="14.25">
      <c r="A126" s="57" t="s">
        <v>101</v>
      </c>
      <c r="B126" s="58"/>
      <c r="C126" s="66">
        <v>399.09985524013592</v>
      </c>
      <c r="D126" s="66">
        <v>316.44100972059005</v>
      </c>
      <c r="E126" s="66">
        <v>4.5582211337739995</v>
      </c>
      <c r="F126" s="71">
        <v>0.214402394844</v>
      </c>
      <c r="G126" s="71">
        <v>0.170105172931</v>
      </c>
      <c r="H126" s="71">
        <v>0.41740152300900002</v>
      </c>
      <c r="I126" s="72">
        <v>0.47410388054700003</v>
      </c>
      <c r="J126" s="68"/>
    </row>
    <row r="127" spans="1:10">
      <c r="A127" s="59" t="s">
        <v>71</v>
      </c>
      <c r="B127" s="60"/>
      <c r="C127" s="74">
        <v>0.41207743214200004</v>
      </c>
      <c r="D127" s="74">
        <v>0.46532696097600001</v>
      </c>
      <c r="E127" s="69">
        <v>0</v>
      </c>
      <c r="F127" s="69">
        <v>0</v>
      </c>
      <c r="G127" s="69">
        <v>0</v>
      </c>
      <c r="H127" s="69">
        <v>0</v>
      </c>
      <c r="I127" s="70">
        <v>0</v>
      </c>
      <c r="J127" s="68"/>
    </row>
    <row r="128" spans="1:10">
      <c r="A128" s="57" t="s">
        <v>72</v>
      </c>
      <c r="C128" s="66">
        <v>0</v>
      </c>
      <c r="D128" s="66">
        <v>6.649018629503999</v>
      </c>
      <c r="E128" s="66">
        <v>132.55993483944002</v>
      </c>
      <c r="F128" s="66">
        <v>127.53918488222402</v>
      </c>
      <c r="G128" s="66">
        <v>4.0250204331680006</v>
      </c>
      <c r="H128" s="66">
        <v>4.6869233439839997</v>
      </c>
      <c r="I128" s="67">
        <v>4.6869233439839997</v>
      </c>
      <c r="J128" s="68"/>
    </row>
    <row r="129" spans="1:10">
      <c r="A129" s="27" t="s">
        <v>73</v>
      </c>
      <c r="B129" s="60"/>
      <c r="C129" s="69">
        <v>50.203349708674999</v>
      </c>
      <c r="D129" s="69">
        <v>62.744056198719996</v>
      </c>
      <c r="E129" s="69">
        <v>155.41133844405397</v>
      </c>
      <c r="F129" s="69">
        <v>194.20591584810802</v>
      </c>
      <c r="G129" s="69">
        <v>300.49364329747294</v>
      </c>
      <c r="H129" s="69">
        <v>306.82151024175596</v>
      </c>
      <c r="I129" s="70">
        <v>311.35265124965503</v>
      </c>
      <c r="J129" s="68"/>
    </row>
    <row r="130" spans="1:10">
      <c r="A130" s="20" t="s">
        <v>74</v>
      </c>
      <c r="C130" s="66">
        <v>751.09526320442399</v>
      </c>
      <c r="D130" s="66">
        <v>729.11164985160008</v>
      </c>
      <c r="E130" s="66">
        <v>668.39798148190494</v>
      </c>
      <c r="F130" s="66">
        <v>616.04710359672401</v>
      </c>
      <c r="G130" s="66">
        <v>471.23690202376702</v>
      </c>
      <c r="H130" s="66">
        <v>354.983111805889</v>
      </c>
      <c r="I130" s="67">
        <v>219.25433755821999</v>
      </c>
      <c r="J130" s="68"/>
    </row>
    <row r="131" spans="1:10">
      <c r="A131" s="27" t="s">
        <v>75</v>
      </c>
      <c r="B131" s="60"/>
      <c r="C131" s="69">
        <v>1627.590648011841</v>
      </c>
      <c r="D131" s="69">
        <v>1668.911707544501</v>
      </c>
      <c r="E131" s="69">
        <v>1510.8538041252218</v>
      </c>
      <c r="F131" s="69">
        <v>1012.580562219221</v>
      </c>
      <c r="G131" s="69">
        <v>681.79632823737086</v>
      </c>
      <c r="H131" s="69">
        <v>985.39413674079287</v>
      </c>
      <c r="I131" s="70">
        <v>1142.4145580949159</v>
      </c>
      <c r="J131" s="68"/>
    </row>
    <row r="132" spans="1:10">
      <c r="A132" s="57" t="s">
        <v>76</v>
      </c>
      <c r="C132" s="66">
        <v>1589.14493803562</v>
      </c>
      <c r="D132" s="66">
        <v>1633.1518017723151</v>
      </c>
      <c r="E132" s="66">
        <v>1452.6196858528338</v>
      </c>
      <c r="F132" s="66">
        <v>969.33752326568197</v>
      </c>
      <c r="G132" s="66">
        <v>645.12692988158483</v>
      </c>
      <c r="H132" s="66">
        <v>926.36564786264796</v>
      </c>
      <c r="I132" s="67">
        <v>1060.4055484272631</v>
      </c>
    </row>
    <row r="133" spans="1:10">
      <c r="A133" s="59" t="s">
        <v>77</v>
      </c>
      <c r="B133" s="60"/>
      <c r="C133" s="69">
        <v>0</v>
      </c>
      <c r="D133" s="69">
        <v>0</v>
      </c>
      <c r="E133" s="69">
        <v>6.865664816112</v>
      </c>
      <c r="F133" s="69">
        <v>6.865664816112</v>
      </c>
      <c r="G133" s="69">
        <v>5.1658821597699998</v>
      </c>
      <c r="H133" s="69">
        <v>5.8468533701859995</v>
      </c>
      <c r="I133" s="70">
        <v>5.902084321217</v>
      </c>
      <c r="J133" s="19"/>
    </row>
    <row r="134" spans="1:10">
      <c r="A134" s="57" t="s">
        <v>78</v>
      </c>
      <c r="C134" s="66">
        <v>38.445709976220996</v>
      </c>
      <c r="D134" s="66">
        <v>35.759905772186002</v>
      </c>
      <c r="E134" s="66">
        <v>51.368453456276001</v>
      </c>
      <c r="F134" s="66">
        <v>36.377374137427005</v>
      </c>
      <c r="G134" s="66">
        <v>31.503516196015998</v>
      </c>
      <c r="H134" s="66">
        <v>53.181635507958994</v>
      </c>
      <c r="I134" s="67">
        <v>76.106925346436</v>
      </c>
      <c r="J134" s="68"/>
    </row>
    <row r="135" spans="1:10">
      <c r="A135" s="27" t="s">
        <v>79</v>
      </c>
      <c r="B135" s="60"/>
      <c r="C135" s="69">
        <v>27.116287371903997</v>
      </c>
      <c r="D135" s="69">
        <v>25.766633653712201</v>
      </c>
      <c r="E135" s="69">
        <v>11.163161989344001</v>
      </c>
      <c r="F135" s="69">
        <v>6.9011837723519998</v>
      </c>
      <c r="G135" s="69">
        <v>6.1003081773500005</v>
      </c>
      <c r="H135" s="69">
        <v>6.0679660475010007</v>
      </c>
      <c r="I135" s="70">
        <v>6.0955980221239994</v>
      </c>
      <c r="J135" s="68"/>
    </row>
    <row r="136" spans="1:10">
      <c r="A136" s="20" t="s">
        <v>80</v>
      </c>
      <c r="C136" s="66">
        <v>30.927832450214201</v>
      </c>
      <c r="D136" s="66">
        <v>30.824313137773899</v>
      </c>
      <c r="E136" s="66">
        <v>30.718740420106002</v>
      </c>
      <c r="F136" s="66">
        <v>28.844884721614999</v>
      </c>
      <c r="G136" s="66">
        <v>27.757567377906998</v>
      </c>
      <c r="H136" s="66">
        <v>27.88471016766</v>
      </c>
      <c r="I136" s="67">
        <v>28.188635185612998</v>
      </c>
      <c r="J136" s="68"/>
    </row>
    <row r="137" spans="1:10" ht="15.75" thickBot="1">
      <c r="A137" s="93" t="s">
        <v>81</v>
      </c>
      <c r="B137" s="94"/>
      <c r="C137" s="95">
        <v>4450.0173142648146</v>
      </c>
      <c r="D137" s="95">
        <v>4611.9622718074033</v>
      </c>
      <c r="E137" s="95">
        <v>5207.9291122364848</v>
      </c>
      <c r="F137" s="95">
        <v>5725.3348089973933</v>
      </c>
      <c r="G137" s="95">
        <v>6327.6019130206168</v>
      </c>
      <c r="H137" s="95">
        <v>6613.5469388021384</v>
      </c>
      <c r="I137" s="96">
        <v>6922.5756761162966</v>
      </c>
      <c r="J137" s="68"/>
    </row>
    <row r="138" spans="1:10" ht="16.5" thickTop="1" thickBot="1">
      <c r="A138" s="21"/>
      <c r="B138" s="21"/>
      <c r="C138" s="66"/>
      <c r="D138" s="66"/>
      <c r="E138" s="66"/>
      <c r="F138" s="66"/>
      <c r="G138" s="66"/>
      <c r="H138" s="66"/>
      <c r="J138" s="68"/>
    </row>
    <row r="139" spans="1:10" ht="18.75" thickBot="1">
      <c r="A139" s="15" t="s">
        <v>102</v>
      </c>
      <c r="B139" s="16"/>
      <c r="C139" s="17">
        <v>2028</v>
      </c>
      <c r="D139" s="17">
        <v>2030</v>
      </c>
      <c r="E139" s="17">
        <v>2035</v>
      </c>
      <c r="F139" s="17">
        <v>2040</v>
      </c>
      <c r="G139" s="17">
        <v>2045</v>
      </c>
      <c r="H139" s="17">
        <v>2050</v>
      </c>
      <c r="I139" s="18">
        <v>2055</v>
      </c>
      <c r="J139" s="68"/>
    </row>
    <row r="140" spans="1:10">
      <c r="A140" s="20" t="s">
        <v>103</v>
      </c>
      <c r="B140" s="21"/>
      <c r="C140" s="66">
        <v>76.999999911378211</v>
      </c>
      <c r="D140" s="66">
        <v>69.320000028645808</v>
      </c>
      <c r="E140" s="66">
        <v>66.229999941885339</v>
      </c>
      <c r="F140" s="66">
        <v>72.330000030404136</v>
      </c>
      <c r="G140" s="66">
        <v>69.829999951448883</v>
      </c>
      <c r="H140" s="66">
        <v>71.350000057705586</v>
      </c>
      <c r="I140" s="67">
        <v>70.780000008797117</v>
      </c>
      <c r="J140" s="68"/>
    </row>
    <row r="141" spans="1:10">
      <c r="A141" s="59" t="s">
        <v>104</v>
      </c>
      <c r="B141" s="60"/>
      <c r="C141" s="69"/>
      <c r="D141" s="69"/>
      <c r="E141" s="69"/>
      <c r="F141" s="69"/>
      <c r="G141" s="69"/>
      <c r="H141" s="69"/>
      <c r="I141" s="70"/>
      <c r="J141" s="68"/>
    </row>
    <row r="142" spans="1:10">
      <c r="A142" s="57" t="s">
        <v>105</v>
      </c>
      <c r="C142" s="66">
        <v>29.145251707615333</v>
      </c>
      <c r="D142" s="66">
        <v>31.767572196926764</v>
      </c>
      <c r="E142" s="66">
        <v>18.949827893187592</v>
      </c>
      <c r="F142" s="66">
        <v>18.88265690426935</v>
      </c>
      <c r="G142" s="66"/>
      <c r="H142" s="66"/>
      <c r="I142" s="67"/>
      <c r="J142" s="68"/>
    </row>
    <row r="143" spans="1:10">
      <c r="A143" s="59" t="s">
        <v>106</v>
      </c>
      <c r="B143" s="60"/>
      <c r="C143" s="74">
        <v>0.169931388621022</v>
      </c>
      <c r="D143" s="74">
        <v>0.28574276759884298</v>
      </c>
      <c r="E143" s="74">
        <v>2.5662487945998101E-3</v>
      </c>
      <c r="F143" s="69"/>
      <c r="G143" s="69"/>
      <c r="H143" s="69"/>
      <c r="I143" s="70"/>
      <c r="J143" s="68"/>
    </row>
    <row r="144" spans="1:10">
      <c r="A144" s="57" t="s">
        <v>107</v>
      </c>
      <c r="C144" s="66">
        <v>32.529949299780881</v>
      </c>
      <c r="D144" s="66">
        <v>32.335263046613214</v>
      </c>
      <c r="E144" s="66">
        <v>25.094811231531203</v>
      </c>
      <c r="F144" s="66">
        <v>25.052311330253879</v>
      </c>
      <c r="G144" s="66">
        <v>0.68421883523183102</v>
      </c>
      <c r="H144" s="66">
        <v>1.3092278998876901</v>
      </c>
      <c r="I144" s="67">
        <v>1.3092278998876901</v>
      </c>
      <c r="J144" s="68"/>
    </row>
    <row r="145" spans="1:10">
      <c r="A145" s="59" t="s">
        <v>108</v>
      </c>
      <c r="B145" s="60"/>
      <c r="C145" s="69">
        <v>7.270194104477615</v>
      </c>
      <c r="D145" s="69">
        <v>7.145738059701495</v>
      </c>
      <c r="E145" s="69">
        <v>3.173180746268657</v>
      </c>
      <c r="F145" s="69">
        <v>3.173180746268657</v>
      </c>
      <c r="G145" s="69"/>
      <c r="H145" s="69"/>
      <c r="I145" s="70"/>
      <c r="J145" s="68"/>
    </row>
    <row r="146" spans="1:10">
      <c r="A146" s="57" t="s">
        <v>109</v>
      </c>
      <c r="C146" s="66">
        <v>144.02363344409468</v>
      </c>
      <c r="D146" s="66">
        <v>104.27844262885182</v>
      </c>
      <c r="E146" s="66">
        <v>63.729267082869832</v>
      </c>
      <c r="F146" s="66">
        <v>56.2509306047561</v>
      </c>
      <c r="G146" s="66">
        <v>2.9731878805961354</v>
      </c>
      <c r="H146" s="66">
        <v>3.1986121043168865</v>
      </c>
      <c r="I146" s="67">
        <v>3.2371733388603703</v>
      </c>
      <c r="J146" s="68"/>
    </row>
    <row r="147" spans="1:10">
      <c r="A147" s="59" t="s">
        <v>110</v>
      </c>
      <c r="B147" s="60"/>
      <c r="C147" s="69">
        <v>76.999999911378211</v>
      </c>
      <c r="D147" s="69">
        <v>69.320000028645808</v>
      </c>
      <c r="E147" s="69">
        <v>66.229999941885339</v>
      </c>
      <c r="F147" s="69">
        <v>72.330000030404136</v>
      </c>
      <c r="G147" s="69">
        <v>69.829999951448883</v>
      </c>
      <c r="H147" s="69">
        <v>71.350000057705586</v>
      </c>
      <c r="I147" s="70">
        <v>70.780000008797117</v>
      </c>
      <c r="J147" s="68"/>
    </row>
    <row r="148" spans="1:10">
      <c r="A148" s="57" t="s">
        <v>105</v>
      </c>
      <c r="C148" s="66">
        <v>5.2599999715558328</v>
      </c>
      <c r="D148" s="66">
        <v>5.1099999898507473</v>
      </c>
      <c r="E148" s="66">
        <v>4.6899999400649612</v>
      </c>
      <c r="F148" s="66">
        <v>4.1299999970690191</v>
      </c>
      <c r="G148" s="66">
        <v>3.6299999850726783</v>
      </c>
      <c r="H148" s="66">
        <v>3.3700000473159437</v>
      </c>
      <c r="I148" s="67">
        <v>3.3700000300816031</v>
      </c>
      <c r="J148" s="68"/>
    </row>
    <row r="149" spans="1:10">
      <c r="A149" s="59" t="s">
        <v>107</v>
      </c>
      <c r="B149" s="60"/>
      <c r="C149" s="69">
        <v>21.04999999191336</v>
      </c>
      <c r="D149" s="69">
        <v>17.290000007645869</v>
      </c>
      <c r="E149" s="69">
        <v>14.95000000171521</v>
      </c>
      <c r="F149" s="69">
        <v>28.210000001558704</v>
      </c>
      <c r="G149" s="69">
        <v>29.469999981028806</v>
      </c>
      <c r="H149" s="69">
        <v>28.96999998818827</v>
      </c>
      <c r="I149" s="70">
        <v>28.399999969480923</v>
      </c>
      <c r="J149" s="34"/>
    </row>
    <row r="150" spans="1:10">
      <c r="A150" s="57" t="s">
        <v>109</v>
      </c>
      <c r="C150" s="66">
        <v>50.689999947909016</v>
      </c>
      <c r="D150" s="66">
        <v>46.920000031149186</v>
      </c>
      <c r="E150" s="66">
        <v>46.590000000105164</v>
      </c>
      <c r="F150" s="66">
        <v>39.990000031776418</v>
      </c>
      <c r="G150" s="66">
        <v>36.729999985347391</v>
      </c>
      <c r="H150" s="66">
        <v>39.010000022201382</v>
      </c>
      <c r="I150" s="67">
        <v>39.010000009234588</v>
      </c>
    </row>
    <row r="151" spans="1:10">
      <c r="A151" s="27" t="s">
        <v>111</v>
      </c>
      <c r="B151" s="28"/>
      <c r="C151" s="69">
        <v>211.50577837857361</v>
      </c>
      <c r="D151" s="69">
        <v>170.91494425537525</v>
      </c>
      <c r="E151" s="69">
        <v>108.44167430253707</v>
      </c>
      <c r="F151" s="69">
        <v>100.85110068543318</v>
      </c>
      <c r="G151" s="69">
        <v>4.3217482542895045</v>
      </c>
      <c r="H151" s="69">
        <v>5.1730418503584232</v>
      </c>
      <c r="I151" s="70">
        <v>5.2116030849019062</v>
      </c>
    </row>
    <row r="152" spans="1:10">
      <c r="A152" s="57" t="s">
        <v>112</v>
      </c>
      <c r="C152" s="66">
        <v>56.895655492358586</v>
      </c>
      <c r="D152" s="66">
        <v>53.373882635398758</v>
      </c>
      <c r="E152" s="66">
        <v>30.766368355108355</v>
      </c>
      <c r="F152" s="66">
        <v>30.663889075728541</v>
      </c>
      <c r="G152" s="66"/>
      <c r="H152" s="66"/>
      <c r="I152" s="67"/>
    </row>
    <row r="153" spans="1:10">
      <c r="A153" s="59" t="s">
        <v>113</v>
      </c>
      <c r="B153" s="60"/>
      <c r="C153" s="69">
        <v>125.42056257323391</v>
      </c>
      <c r="D153" s="69">
        <v>88.735757673737069</v>
      </c>
      <c r="E153" s="69">
        <v>47.897913412172599</v>
      </c>
      <c r="F153" s="69">
        <v>40.420048325363219</v>
      </c>
      <c r="G153" s="69">
        <v>2.2800658398660874</v>
      </c>
      <c r="H153" s="69">
        <v>2.4819959010191366</v>
      </c>
      <c r="I153" s="70">
        <v>2.5205571355626204</v>
      </c>
    </row>
    <row r="154" spans="1:10">
      <c r="A154" s="57" t="s">
        <v>114</v>
      </c>
      <c r="C154" s="66">
        <v>29.189560312981119</v>
      </c>
      <c r="D154" s="66">
        <v>28.805303946239416</v>
      </c>
      <c r="E154" s="66">
        <v>29.777392535256116</v>
      </c>
      <c r="F154" s="66">
        <v>29.767163284341429</v>
      </c>
      <c r="G154" s="66">
        <v>2.0416824144234171</v>
      </c>
      <c r="H154" s="66">
        <v>2.6910459493392862</v>
      </c>
      <c r="I154" s="67">
        <v>2.6910459493392862</v>
      </c>
    </row>
    <row r="155" spans="1:10">
      <c r="A155" s="59"/>
      <c r="B155" s="60"/>
      <c r="C155" s="69"/>
      <c r="D155" s="69"/>
      <c r="E155" s="69"/>
      <c r="F155" s="69"/>
      <c r="G155" s="69"/>
      <c r="H155" s="69"/>
      <c r="I155" s="70"/>
    </row>
    <row r="156" spans="1:10" ht="15.75" thickBot="1">
      <c r="A156" s="38" t="s">
        <v>115</v>
      </c>
      <c r="B156" s="39"/>
      <c r="C156" s="97">
        <v>11.440511629588492</v>
      </c>
      <c r="D156" s="97">
        <v>11.705009046595659</v>
      </c>
      <c r="E156" s="97">
        <v>10.577682743720969</v>
      </c>
      <c r="F156" s="97">
        <v>7.04401741974924</v>
      </c>
      <c r="G156" s="97">
        <v>4.7326067684398936</v>
      </c>
      <c r="H156" s="97">
        <v>6.7884203039815123</v>
      </c>
      <c r="I156" s="98">
        <v>7.8382324901165461</v>
      </c>
    </row>
    <row r="157" spans="1:10">
      <c r="C157" s="32"/>
      <c r="D157" s="32"/>
      <c r="E157" s="32"/>
      <c r="F157" s="32"/>
      <c r="G157" s="32"/>
      <c r="H157" s="32"/>
      <c r="I157" s="32"/>
    </row>
    <row r="158" spans="1:10">
      <c r="A158" s="58" t="s">
        <v>116</v>
      </c>
    </row>
  </sheetData>
  <mergeCells count="5">
    <mergeCell ref="A2:G2"/>
    <mergeCell ref="K3:N3"/>
    <mergeCell ref="A4:G4"/>
    <mergeCell ref="B5:E5"/>
    <mergeCell ref="A7:G7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9369-50AE-4D5B-A91E-C3BF3A8489A4}">
  <dimension ref="A1:AE9"/>
  <sheetViews>
    <sheetView workbookViewId="0">
      <selection activeCell="D17" sqref="D17"/>
    </sheetView>
  </sheetViews>
  <sheetFormatPr defaultRowHeight="15"/>
  <cols>
    <col min="1" max="1" width="35" customWidth="1"/>
  </cols>
  <sheetData>
    <row r="1" spans="1:31" ht="18.75" thickBot="1">
      <c r="B1" s="17">
        <v>2028</v>
      </c>
      <c r="C1" s="17">
        <v>2030</v>
      </c>
      <c r="D1" s="17">
        <v>2035</v>
      </c>
      <c r="E1" s="17">
        <v>2040</v>
      </c>
      <c r="F1" s="17">
        <v>2045</v>
      </c>
      <c r="G1" s="17">
        <v>2050</v>
      </c>
      <c r="H1" s="18">
        <v>2055</v>
      </c>
    </row>
    <row r="2" spans="1:31">
      <c r="A2" t="s">
        <v>117</v>
      </c>
      <c r="B2" s="99">
        <f>'EPA Rules Summary'!C126/('EPA Rules Summary'!C43*8760)*1000</f>
        <v>0.49275095835604288</v>
      </c>
      <c r="C2" s="99">
        <f>'EPA Rules Summary'!D126/('EPA Rules Summary'!D43*8760)*1000</f>
        <v>0.57968103112090463</v>
      </c>
      <c r="D2" s="99">
        <f>'EPA Rules Summary'!E126/('EPA Rules Summary'!E43*8760)*1000</f>
        <v>0.62013311642107216</v>
      </c>
      <c r="E2" s="99">
        <f>'EPA Rules Summary'!F126/('EPA Rules Summary'!F43*8760)*1000</f>
        <v>0.13938017012190984</v>
      </c>
      <c r="F2" s="99">
        <f>'EPA Rules Summary'!G126/('EPA Rules Summary'!G43*8760)*1000</f>
        <v>0.11205076541726595</v>
      </c>
      <c r="G2" s="99">
        <f>'EPA Rules Summary'!H126/('EPA Rules Summary'!H43*8760)*1000</f>
        <v>0.37726501993159806</v>
      </c>
      <c r="H2" s="99">
        <f>'EPA Rules Summary'!I126/('EPA Rules Summary'!I43*8760)*1000</f>
        <v>0.42851499116440761</v>
      </c>
    </row>
    <row r="3" spans="1:31">
      <c r="A3" t="s">
        <v>118</v>
      </c>
      <c r="B3" s="99" t="e">
        <f>'EPA Rules Summary'!C128/('EPA Rules Summary'!C45*8760)*1000</f>
        <v>#DIV/0!</v>
      </c>
      <c r="C3" s="99">
        <f>'EPA Rules Summary'!D128/('EPA Rules Summary'!D45*8760)*1000</f>
        <v>0.78338387683126365</v>
      </c>
      <c r="D3" s="99">
        <f>'EPA Rules Summary'!E128/('EPA Rules Summary'!E45*8760)*1000</f>
        <v>0.78909278239035396</v>
      </c>
      <c r="E3" s="99">
        <f>'EPA Rules Summary'!F128/('EPA Rules Summary'!F45*8760)*1000</f>
        <v>0.78958744520177837</v>
      </c>
      <c r="F3" s="99">
        <f>'EPA Rules Summary'!G128/('EPA Rules Summary'!G45*8760)*1000</f>
        <v>0.61923505729770068</v>
      </c>
      <c r="G3" s="99">
        <f>'EPA Rules Summary'!H128/('EPA Rules Summary'!H45*8760)*1000</f>
        <v>0.72106646255644558</v>
      </c>
      <c r="H3" s="99">
        <f>'EPA Rules Summary'!I128/('EPA Rules Summary'!I45*8760)*1000</f>
        <v>0.72106646255644558</v>
      </c>
    </row>
    <row r="5" spans="1:31">
      <c r="A5" s="1" t="s">
        <v>124</v>
      </c>
    </row>
    <row r="6" spans="1:31">
      <c r="A6" t="s">
        <v>117</v>
      </c>
      <c r="B6">
        <f>MIN(0.85,B2/'RAF-generation'!I4)</f>
        <v>0.85</v>
      </c>
      <c r="C6">
        <f>MIN(0.85,C2/'RAF-generation'!J4)</f>
        <v>0.85</v>
      </c>
      <c r="D6">
        <f>MIN(0.85,D2/'RAF-generation'!K4)</f>
        <v>0.85</v>
      </c>
      <c r="E6">
        <f>MIN(0.85,E2/'RAF-generation'!L4)</f>
        <v>0.20156328615532246</v>
      </c>
      <c r="F6">
        <f>MIN(0.85,F2/'RAF-generation'!M4)</f>
        <v>0.15984099027072096</v>
      </c>
      <c r="G6">
        <f>MIN(0.85,G2/'RAF-generation'!N4)</f>
        <v>0.53096126356226647</v>
      </c>
      <c r="H6">
        <f>MIN(0.85,H2/'RAF-generation'!O4)</f>
        <v>0.59511818843685693</v>
      </c>
    </row>
    <row r="8" spans="1:31">
      <c r="A8" s="1" t="s">
        <v>119</v>
      </c>
      <c r="B8">
        <v>2021</v>
      </c>
      <c r="C8">
        <v>2022</v>
      </c>
      <c r="D8">
        <v>2023</v>
      </c>
      <c r="E8">
        <v>2024</v>
      </c>
      <c r="F8">
        <v>2025</v>
      </c>
      <c r="G8">
        <v>2026</v>
      </c>
      <c r="H8">
        <v>2027</v>
      </c>
      <c r="I8">
        <v>2028</v>
      </c>
      <c r="J8">
        <v>2029</v>
      </c>
      <c r="K8">
        <v>2030</v>
      </c>
      <c r="L8">
        <v>2031</v>
      </c>
      <c r="M8">
        <v>2032</v>
      </c>
      <c r="N8">
        <v>2033</v>
      </c>
      <c r="O8">
        <v>2034</v>
      </c>
      <c r="P8">
        <v>2035</v>
      </c>
      <c r="Q8">
        <v>2036</v>
      </c>
      <c r="R8">
        <v>2037</v>
      </c>
      <c r="S8">
        <v>2038</v>
      </c>
      <c r="T8">
        <v>2039</v>
      </c>
      <c r="U8">
        <v>2040</v>
      </c>
      <c r="V8">
        <v>2041</v>
      </c>
      <c r="W8">
        <v>2042</v>
      </c>
      <c r="X8">
        <v>2043</v>
      </c>
      <c r="Y8">
        <v>2044</v>
      </c>
      <c r="Z8">
        <v>2045</v>
      </c>
      <c r="AA8">
        <v>2046</v>
      </c>
      <c r="AB8">
        <v>2047</v>
      </c>
      <c r="AC8">
        <v>2048</v>
      </c>
      <c r="AD8">
        <v>2049</v>
      </c>
      <c r="AE8">
        <v>2050</v>
      </c>
    </row>
    <row r="9" spans="1:31">
      <c r="A9" t="s">
        <v>117</v>
      </c>
      <c r="B9" cm="1">
        <f t="array" ref="B9">TREND($B$6:$C$6,$B$1:$C$1,B8)</f>
        <v>0.85</v>
      </c>
      <c r="C9" cm="1">
        <f t="array" ref="C9">TREND($B$6:$C$6,$B$1:$C$1,C8)</f>
        <v>0.85</v>
      </c>
      <c r="D9" cm="1">
        <f t="array" ref="D9">TREND($B$6:$C$6,$B$1:$C$1,D8)</f>
        <v>0.85</v>
      </c>
      <c r="E9" cm="1">
        <f t="array" ref="E9">TREND($B$6:$C$6,$B$1:$C$1,E8)</f>
        <v>0.85</v>
      </c>
      <c r="F9" cm="1">
        <f t="array" ref="F9">TREND($B$6:$C$6,$B$1:$C$1,F8)</f>
        <v>0.85</v>
      </c>
      <c r="G9" cm="1">
        <f t="array" ref="G9">TREND($B$6:$C$6,$B$1:$C$1,G8)</f>
        <v>0.85</v>
      </c>
      <c r="H9" cm="1">
        <f t="array" ref="H9">TREND($B$6:$C$6,$B$1:$C$1,H8)</f>
        <v>0.85</v>
      </c>
      <c r="I9" cm="1">
        <f t="array" ref="I9">TREND($B$6:$C$6,$B$1:$C$1,I8)</f>
        <v>0.85</v>
      </c>
      <c r="J9" cm="1">
        <f t="array" ref="J9">TREND($B$6:$C$6,$B$1:$C$1,J8)</f>
        <v>0.85</v>
      </c>
      <c r="K9" cm="1">
        <f t="array" ref="K9">TREND($B$6:$C$6,$B$1:$C$1,K8)</f>
        <v>0.85</v>
      </c>
      <c r="L9" cm="1">
        <f t="array" ref="L9">TREND($C$6:$D$6,$C$1:$D$1,L8)</f>
        <v>0.85</v>
      </c>
      <c r="M9" cm="1">
        <f t="array" ref="M9">TREND($C$6:$D$6,$C$1:$D$1,M8)</f>
        <v>0.85</v>
      </c>
      <c r="N9" cm="1">
        <f t="array" ref="N9">TREND($C$6:$D$6,$C$1:$D$1,N8)</f>
        <v>0.85</v>
      </c>
      <c r="O9" cm="1">
        <f t="array" ref="O9">TREND($C$6:$D$6,$C$1:$D$1,O8)</f>
        <v>0.85</v>
      </c>
      <c r="P9" cm="1">
        <f t="array" ref="P9">TREND($C$6:$D$6,$C$1:$D$1,P8)</f>
        <v>0.85</v>
      </c>
      <c r="Q9" cm="1">
        <f t="array" ref="Q9">TREND($D$6:$E$6,$D$1:$E$1,Q8)</f>
        <v>0.72031265723109072</v>
      </c>
      <c r="R9" cm="1">
        <f t="array" ref="R9">TREND($D$6:$E$6,$D$1:$E$1,R8)</f>
        <v>0.59062531446215871</v>
      </c>
      <c r="S9" cm="1">
        <f t="array" ref="S9">TREND($D$6:$E$6,$D$1:$E$1,S8)</f>
        <v>0.4609379716932267</v>
      </c>
      <c r="T9" cm="1">
        <f t="array" ref="T9">TREND($D$6:$E$6,$D$1:$E$1,T8)</f>
        <v>0.33125062892429469</v>
      </c>
      <c r="U9" cm="1">
        <f t="array" ref="U9">TREND($D$6:$E$6,$D$1:$E$1,U8)</f>
        <v>0.20156328615530583</v>
      </c>
      <c r="V9" cm="1">
        <f t="array" ref="V9">TREND($E$6:$F$6,$E$1:$F$1,V8)</f>
        <v>0.19321882697840209</v>
      </c>
      <c r="W9" cm="1">
        <f t="array" ref="W9">TREND($E$6:$F$6,$E$1:$F$1,W8)</f>
        <v>0.18487436780148059</v>
      </c>
      <c r="X9" cm="1">
        <f t="array" ref="X9">TREND($E$6:$F$6,$E$1:$F$1,X8)</f>
        <v>0.17652990862455908</v>
      </c>
      <c r="Y9" cm="1">
        <f t="array" ref="Y9">TREND($E$6:$F$6,$E$1:$F$1,Y8)</f>
        <v>0.16818544944764113</v>
      </c>
      <c r="Z9" cm="1">
        <f t="array" ref="Z9">TREND($E$6:$F$6,$E$1:$F$1,Z8)</f>
        <v>0.15984099027071963</v>
      </c>
      <c r="AA9" cm="1">
        <f t="array" ref="AA9">TREND($F$6:$G$6,$F$1:$G$1,AA8)</f>
        <v>0.23406504492902513</v>
      </c>
      <c r="AB9" cm="1">
        <f t="array" ref="AB9">TREND($F$6:$G$6,$F$1:$G$1,AB8)</f>
        <v>0.3082890995873413</v>
      </c>
      <c r="AC9" cm="1">
        <f t="array" ref="AC9">TREND($F$6:$G$6,$F$1:$G$1,AC8)</f>
        <v>0.38251315424565746</v>
      </c>
      <c r="AD9" cm="1">
        <f t="array" ref="AD9">TREND($F$6:$G$6,$F$1:$G$1,AD8)</f>
        <v>0.45673720890397362</v>
      </c>
      <c r="AE9" cm="1">
        <f t="array" ref="AE9">TREND($F$6:$G$6,$F$1:$G$1,AE8)</f>
        <v>0.53096126356228979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EEC5-A757-48AB-8FE9-C61BFB5A988F}">
  <dimension ref="A1:AE27"/>
  <sheetViews>
    <sheetView workbookViewId="0">
      <selection activeCell="K32" sqref="K32"/>
    </sheetView>
  </sheetViews>
  <sheetFormatPr defaultRowHeight="15"/>
  <sheetData>
    <row r="1" spans="1:31">
      <c r="A1" t="s">
        <v>120</v>
      </c>
    </row>
    <row r="3" spans="1:31">
      <c r="A3" t="s">
        <v>121</v>
      </c>
      <c r="B3" s="100">
        <v>2021</v>
      </c>
      <c r="C3" s="100">
        <v>2022</v>
      </c>
      <c r="D3" s="100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31">
      <c r="A4" t="s">
        <v>10</v>
      </c>
      <c r="B4">
        <v>0.58199999999999996</v>
      </c>
      <c r="C4">
        <v>0.56819999999999993</v>
      </c>
      <c r="D4">
        <v>0.53639999999999999</v>
      </c>
      <c r="E4">
        <v>0.55000000000000004</v>
      </c>
      <c r="F4">
        <v>0.55000000000000004</v>
      </c>
      <c r="G4">
        <v>0.55000000000000004</v>
      </c>
      <c r="H4">
        <v>0.55000000000000004</v>
      </c>
      <c r="I4">
        <v>0.57970700983063617</v>
      </c>
      <c r="J4">
        <v>0.63084234675114081</v>
      </c>
      <c r="K4">
        <v>0.68197768367166223</v>
      </c>
      <c r="L4">
        <v>0.69149582138934274</v>
      </c>
      <c r="M4">
        <v>0.70101395910702746</v>
      </c>
      <c r="N4">
        <v>0.7105320968247163</v>
      </c>
      <c r="O4">
        <v>0.72005023454240102</v>
      </c>
      <c r="P4">
        <v>0.72956837226008575</v>
      </c>
      <c r="Q4">
        <v>0.61645003195441384</v>
      </c>
      <c r="R4">
        <v>0.55000000000000004</v>
      </c>
      <c r="S4">
        <v>0.55000000000000004</v>
      </c>
      <c r="T4">
        <v>0.55000000000000004</v>
      </c>
      <c r="U4">
        <v>0.55000000000000004</v>
      </c>
      <c r="V4">
        <v>0.55000000000000004</v>
      </c>
      <c r="W4">
        <v>0.55000000000000004</v>
      </c>
      <c r="X4">
        <v>0.55000000000000004</v>
      </c>
      <c r="Y4">
        <v>0.55000000000000004</v>
      </c>
      <c r="Z4">
        <v>0.55000000000000004</v>
      </c>
      <c r="AA4">
        <v>0.55000000000000004</v>
      </c>
      <c r="AB4">
        <v>0.55000000000000004</v>
      </c>
      <c r="AC4">
        <v>0.55000000000000004</v>
      </c>
      <c r="AD4">
        <v>0.55000000000000004</v>
      </c>
      <c r="AE4">
        <v>0.55000000000000004</v>
      </c>
    </row>
    <row r="5" spans="1:31">
      <c r="A5" t="s">
        <v>17</v>
      </c>
      <c r="B5" s="100">
        <v>0.9470369864828001</v>
      </c>
      <c r="C5" s="100">
        <v>0.89467116903894583</v>
      </c>
      <c r="D5" s="100">
        <v>0.91474648889145838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>
        <v>0.8</v>
      </c>
      <c r="AC5">
        <v>0.8</v>
      </c>
      <c r="AD5">
        <v>0.8</v>
      </c>
      <c r="AE5">
        <v>0.8</v>
      </c>
    </row>
    <row r="6" spans="1:31">
      <c r="A6" t="s">
        <v>122</v>
      </c>
      <c r="B6">
        <v>0.8</v>
      </c>
      <c r="C6">
        <v>0.8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>
        <v>0.8</v>
      </c>
      <c r="AC6">
        <v>0.8</v>
      </c>
      <c r="AD6">
        <v>0.8</v>
      </c>
      <c r="AE6">
        <v>0.8</v>
      </c>
    </row>
    <row r="7" spans="1:31">
      <c r="A7" t="s">
        <v>0</v>
      </c>
      <c r="B7" s="100">
        <v>1</v>
      </c>
      <c r="C7" s="100">
        <v>1</v>
      </c>
      <c r="D7" s="100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1</v>
      </c>
      <c r="B8" s="100">
        <v>0.79849002342972375</v>
      </c>
      <c r="C8" s="100">
        <v>0.73101616272389847</v>
      </c>
      <c r="D8" s="100">
        <v>0.81679041509341566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11</v>
      </c>
      <c r="B9" s="100">
        <v>0.90564191159677532</v>
      </c>
      <c r="C9" s="100">
        <v>0.96731684599079226</v>
      </c>
      <c r="D9" s="100">
        <v>0.90477682136645632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2</v>
      </c>
      <c r="B10" s="100">
        <v>0.85250073902952062</v>
      </c>
      <c r="C10" s="100">
        <v>0.88388487463979704</v>
      </c>
      <c r="D10" s="100">
        <v>0.83000625090822966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3</v>
      </c>
      <c r="B11" s="100">
        <v>0.94986436627652227</v>
      </c>
      <c r="C11" s="100">
        <v>0.90591608157630232</v>
      </c>
      <c r="D11" s="100">
        <v>0.859965617873656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4</v>
      </c>
      <c r="B12" s="100">
        <v>0.85615292224635686</v>
      </c>
      <c r="C12" s="100">
        <v>0.80255011334533788</v>
      </c>
      <c r="D12" s="100">
        <v>0.71964186814145115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>
      <c r="A13" t="s">
        <v>123</v>
      </c>
      <c r="B13" s="100">
        <v>0.82374129020460995</v>
      </c>
      <c r="C13" s="100">
        <v>0.84336266109763613</v>
      </c>
      <c r="D13" s="100">
        <v>0.86301354270984765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>
      <c r="A14" t="s">
        <v>6</v>
      </c>
      <c r="B14">
        <v>0.8</v>
      </c>
      <c r="C14">
        <v>0.8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</row>
    <row r="15" spans="1:31">
      <c r="A15" t="s">
        <v>31</v>
      </c>
      <c r="B15">
        <v>0.8</v>
      </c>
      <c r="C15">
        <v>0.8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</row>
    <row r="16" spans="1:31">
      <c r="A16" t="s">
        <v>9</v>
      </c>
      <c r="B16">
        <v>0.55000000000000004</v>
      </c>
      <c r="C16">
        <v>0.55000000000000004</v>
      </c>
      <c r="D16">
        <v>0.55000000000000004</v>
      </c>
      <c r="E16">
        <v>0.55000000000000004</v>
      </c>
      <c r="F16">
        <v>0.55000000000000004</v>
      </c>
      <c r="G16">
        <v>0.55000000000000004</v>
      </c>
      <c r="H16">
        <v>0.55000000000000004</v>
      </c>
      <c r="I16">
        <v>0.55000000000000004</v>
      </c>
      <c r="J16">
        <v>0.55000000000000004</v>
      </c>
      <c r="K16">
        <v>0.55000000000000004</v>
      </c>
      <c r="L16">
        <v>0.55000000000000004</v>
      </c>
      <c r="M16">
        <v>0.55000000000000004</v>
      </c>
      <c r="N16">
        <v>0.55000000000000004</v>
      </c>
      <c r="O16">
        <v>0.55000000000000004</v>
      </c>
      <c r="P16">
        <v>0.55000000000000004</v>
      </c>
      <c r="Q16">
        <v>0.55000000000000004</v>
      </c>
      <c r="R16">
        <v>0.55000000000000004</v>
      </c>
      <c r="S16">
        <v>0.55000000000000004</v>
      </c>
      <c r="T16">
        <v>0.55000000000000004</v>
      </c>
      <c r="U16">
        <v>0.55000000000000004</v>
      </c>
      <c r="V16">
        <v>0.55000000000000004</v>
      </c>
      <c r="W16">
        <v>0.55000000000000004</v>
      </c>
      <c r="X16">
        <v>0.55000000000000004</v>
      </c>
      <c r="Y16">
        <v>0.55000000000000004</v>
      </c>
      <c r="Z16">
        <v>0.55000000000000004</v>
      </c>
      <c r="AA16">
        <v>0.55000000000000004</v>
      </c>
      <c r="AB16">
        <v>0.55000000000000004</v>
      </c>
      <c r="AC16">
        <v>0.55000000000000004</v>
      </c>
      <c r="AD16">
        <v>0.55000000000000004</v>
      </c>
      <c r="AE16">
        <v>0.55000000000000004</v>
      </c>
    </row>
    <row r="17" spans="1:31">
      <c r="A17" t="s">
        <v>12</v>
      </c>
      <c r="B17" s="100">
        <v>0.93294860944005376</v>
      </c>
      <c r="C17" s="100">
        <v>1</v>
      </c>
      <c r="D17" s="100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13</v>
      </c>
      <c r="B18">
        <v>0.8</v>
      </c>
      <c r="C18">
        <v>0.8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>
        <v>0.8</v>
      </c>
      <c r="AC18">
        <v>0.8</v>
      </c>
      <c r="AD18">
        <v>0.8</v>
      </c>
      <c r="AE18">
        <v>0.8</v>
      </c>
    </row>
    <row r="19" spans="1:31">
      <c r="A19" t="s">
        <v>14</v>
      </c>
      <c r="B19">
        <v>0.8</v>
      </c>
      <c r="C19">
        <v>0.8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>
        <v>0.8</v>
      </c>
      <c r="AC19">
        <v>0.8</v>
      </c>
      <c r="AD19">
        <v>0.8</v>
      </c>
      <c r="AE19">
        <v>0.8</v>
      </c>
    </row>
    <row r="20" spans="1:31">
      <c r="A20" t="s">
        <v>15</v>
      </c>
      <c r="B20">
        <v>0.8</v>
      </c>
      <c r="C20">
        <v>0.8</v>
      </c>
      <c r="D20">
        <v>0.8</v>
      </c>
      <c r="E20">
        <v>0.8</v>
      </c>
      <c r="F20">
        <v>0.8</v>
      </c>
      <c r="G20">
        <v>0.8</v>
      </c>
      <c r="H20">
        <v>0.8</v>
      </c>
      <c r="I20">
        <v>0.8</v>
      </c>
      <c r="J20">
        <v>0.8</v>
      </c>
      <c r="K20">
        <v>0.8</v>
      </c>
      <c r="L20">
        <v>0.8</v>
      </c>
      <c r="M20">
        <v>0.8</v>
      </c>
      <c r="N20">
        <v>0.8</v>
      </c>
      <c r="O20">
        <v>0.8</v>
      </c>
      <c r="P20">
        <v>0.8</v>
      </c>
      <c r="Q20">
        <v>0.8</v>
      </c>
      <c r="R20">
        <v>0.8</v>
      </c>
      <c r="S20">
        <v>0.8</v>
      </c>
      <c r="T20">
        <v>0.8</v>
      </c>
      <c r="U20">
        <v>0.8</v>
      </c>
      <c r="V20">
        <v>0.8</v>
      </c>
      <c r="W20">
        <v>0.8</v>
      </c>
      <c r="X20">
        <v>0.8</v>
      </c>
      <c r="Y20">
        <v>0.8</v>
      </c>
      <c r="Z20">
        <v>0.8</v>
      </c>
      <c r="AA20">
        <v>0.8</v>
      </c>
      <c r="AB20">
        <v>0.8</v>
      </c>
      <c r="AC20">
        <v>0.8</v>
      </c>
      <c r="AD20">
        <v>0.8</v>
      </c>
      <c r="AE20">
        <v>0.8</v>
      </c>
    </row>
    <row r="21" spans="1:31">
      <c r="A21" t="s">
        <v>26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  <c r="AB21">
        <v>0.9</v>
      </c>
      <c r="AC21">
        <v>0.9</v>
      </c>
      <c r="AD21">
        <v>0.9</v>
      </c>
      <c r="AE21">
        <v>0.9</v>
      </c>
    </row>
    <row r="22" spans="1:31">
      <c r="A22" t="s">
        <v>27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</row>
    <row r="23" spans="1:31">
      <c r="A23" t="s">
        <v>28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  <c r="AB23">
        <v>0.9</v>
      </c>
      <c r="AC23">
        <v>0.9</v>
      </c>
      <c r="AD23">
        <v>0.9</v>
      </c>
      <c r="AE23">
        <v>0.9</v>
      </c>
    </row>
    <row r="24" spans="1:31">
      <c r="A24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  <c r="AB24">
        <v>0.9</v>
      </c>
      <c r="AC24">
        <v>0.9</v>
      </c>
      <c r="AD24">
        <v>0.9</v>
      </c>
      <c r="AE24">
        <v>0.9</v>
      </c>
    </row>
    <row r="25" spans="1:31">
      <c r="A25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  <c r="AB25">
        <v>0.9</v>
      </c>
      <c r="AC25">
        <v>0.9</v>
      </c>
      <c r="AD25">
        <v>0.9</v>
      </c>
      <c r="AE25">
        <v>0.9</v>
      </c>
    </row>
    <row r="26" spans="1:31">
      <c r="A26" t="s">
        <v>32</v>
      </c>
      <c r="B26">
        <v>0.9</v>
      </c>
      <c r="C26">
        <v>0.9</v>
      </c>
      <c r="D26">
        <v>0.9</v>
      </c>
      <c r="E26">
        <v>0.9</v>
      </c>
      <c r="F26">
        <v>0.9</v>
      </c>
      <c r="G26">
        <v>0.9</v>
      </c>
      <c r="H26">
        <v>0.9</v>
      </c>
      <c r="I26">
        <v>0.9</v>
      </c>
      <c r="J26">
        <v>0.9</v>
      </c>
      <c r="K26">
        <v>0.9</v>
      </c>
      <c r="L26">
        <v>0.9</v>
      </c>
      <c r="M26">
        <v>0.9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0.9</v>
      </c>
      <c r="U26">
        <v>0.9</v>
      </c>
      <c r="V26">
        <v>0.9</v>
      </c>
      <c r="W26">
        <v>0.9</v>
      </c>
      <c r="X26">
        <v>0.9</v>
      </c>
      <c r="Y26">
        <v>0.9</v>
      </c>
      <c r="Z26">
        <v>0.9</v>
      </c>
      <c r="AA26">
        <v>0.9</v>
      </c>
      <c r="AB26">
        <v>0.9</v>
      </c>
      <c r="AC26">
        <v>0.9</v>
      </c>
      <c r="AD26">
        <v>0.9</v>
      </c>
      <c r="AE26">
        <v>0.9</v>
      </c>
    </row>
    <row r="27" spans="1:31">
      <c r="A27" t="s">
        <v>33</v>
      </c>
      <c r="B27">
        <v>0.9</v>
      </c>
      <c r="C27">
        <v>0.9</v>
      </c>
      <c r="D27">
        <v>0.9</v>
      </c>
      <c r="E27">
        <v>0.9</v>
      </c>
      <c r="F27">
        <v>0.9</v>
      </c>
      <c r="G27">
        <v>0.9</v>
      </c>
      <c r="H27">
        <v>0.9</v>
      </c>
      <c r="I27">
        <v>0.9</v>
      </c>
      <c r="J27">
        <v>0.9</v>
      </c>
      <c r="K27">
        <v>0.9</v>
      </c>
      <c r="L27">
        <v>0.9</v>
      </c>
      <c r="M27">
        <v>0.9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0.9</v>
      </c>
      <c r="U27">
        <v>0.9</v>
      </c>
      <c r="V27">
        <v>0.9</v>
      </c>
      <c r="W27">
        <v>0.9</v>
      </c>
      <c r="X27">
        <v>0.9</v>
      </c>
      <c r="Y27">
        <v>0.9</v>
      </c>
      <c r="Z27">
        <v>0.9</v>
      </c>
      <c r="AA27">
        <v>0.9</v>
      </c>
      <c r="AB27">
        <v>0.9</v>
      </c>
      <c r="AC27">
        <v>0.9</v>
      </c>
      <c r="AD27">
        <v>0.9</v>
      </c>
      <c r="AE27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E25"/>
  <sheetViews>
    <sheetView tabSelected="1" topLeftCell="D1" workbookViewId="0">
      <selection activeCell="B2" sqref="B2:AE2"/>
    </sheetView>
  </sheetViews>
  <sheetFormatPr defaultRowHeight="15"/>
  <cols>
    <col min="1" max="1" width="26.42578125" customWidth="1"/>
    <col min="2" max="3" width="11" customWidth="1"/>
  </cols>
  <sheetData>
    <row r="1" spans="1:31" ht="30">
      <c r="A1" s="6" t="s">
        <v>16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t="s">
        <v>10</v>
      </c>
      <c r="B2" s="3">
        <v>0.85</v>
      </c>
      <c r="C2" s="3">
        <v>0.85</v>
      </c>
      <c r="D2" s="3">
        <v>0.85</v>
      </c>
      <c r="E2" s="3">
        <v>0.85</v>
      </c>
      <c r="F2" s="3">
        <v>0.85</v>
      </c>
      <c r="G2" s="3">
        <v>0.85</v>
      </c>
      <c r="H2" s="3">
        <v>0.85</v>
      </c>
      <c r="I2" s="3">
        <v>0.85</v>
      </c>
      <c r="J2" s="3">
        <v>0.85</v>
      </c>
      <c r="K2" s="3">
        <v>0.85</v>
      </c>
      <c r="L2" s="3">
        <v>0.85</v>
      </c>
      <c r="M2" s="3">
        <v>0.85</v>
      </c>
      <c r="N2" s="3">
        <v>0.85</v>
      </c>
      <c r="O2" s="3">
        <v>0.85</v>
      </c>
      <c r="P2" s="3">
        <v>0.85</v>
      </c>
      <c r="Q2" s="3">
        <v>0.85</v>
      </c>
      <c r="R2" s="3">
        <v>0.85</v>
      </c>
      <c r="S2" s="3">
        <v>0.85</v>
      </c>
      <c r="T2" s="3">
        <v>0.85</v>
      </c>
      <c r="U2" s="3">
        <v>0.85</v>
      </c>
      <c r="V2" s="3">
        <v>0.85</v>
      </c>
      <c r="W2" s="3">
        <v>0.85</v>
      </c>
      <c r="X2" s="3">
        <v>0.85</v>
      </c>
      <c r="Y2" s="3">
        <v>0.85</v>
      </c>
      <c r="Z2" s="3">
        <v>0.85</v>
      </c>
      <c r="AA2" s="3">
        <v>0.85</v>
      </c>
      <c r="AB2" s="3">
        <v>0.85</v>
      </c>
      <c r="AC2" s="3">
        <v>0.85</v>
      </c>
      <c r="AD2" s="3">
        <v>0.85</v>
      </c>
      <c r="AE2" s="3">
        <v>0.85</v>
      </c>
    </row>
    <row r="3" spans="1:31">
      <c r="A3" t="s">
        <v>17</v>
      </c>
      <c r="B3" s="3">
        <v>0.95</v>
      </c>
      <c r="C3" s="3">
        <v>0.95</v>
      </c>
      <c r="D3" s="3">
        <v>0.95</v>
      </c>
      <c r="E3" s="3">
        <v>0.95</v>
      </c>
      <c r="F3" s="3">
        <v>0.95</v>
      </c>
      <c r="G3" s="3">
        <v>0.95</v>
      </c>
      <c r="H3" s="3">
        <v>0.95</v>
      </c>
      <c r="I3" s="3">
        <v>0.95</v>
      </c>
      <c r="J3" s="3">
        <v>0.95</v>
      </c>
      <c r="K3" s="3">
        <v>0.95</v>
      </c>
      <c r="L3" s="3">
        <v>0.95</v>
      </c>
      <c r="M3" s="3">
        <v>0.95</v>
      </c>
      <c r="N3" s="3">
        <v>0.95</v>
      </c>
      <c r="O3" s="3">
        <v>0.95</v>
      </c>
      <c r="P3" s="3">
        <v>0.95</v>
      </c>
      <c r="Q3" s="3">
        <v>0.95</v>
      </c>
      <c r="R3" s="3">
        <v>0.95</v>
      </c>
      <c r="S3" s="3">
        <v>0.95</v>
      </c>
      <c r="T3" s="3">
        <v>0.95</v>
      </c>
      <c r="U3" s="3">
        <v>0.95</v>
      </c>
      <c r="V3" s="3">
        <v>0.95</v>
      </c>
      <c r="W3" s="3">
        <v>0.95</v>
      </c>
      <c r="X3" s="3">
        <v>0.95</v>
      </c>
      <c r="Y3" s="3">
        <v>0.95</v>
      </c>
      <c r="Z3" s="3">
        <v>0.95</v>
      </c>
      <c r="AA3" s="3">
        <v>0.95</v>
      </c>
      <c r="AB3" s="3">
        <v>0.95</v>
      </c>
      <c r="AC3" s="3">
        <v>0.95</v>
      </c>
      <c r="AD3" s="3">
        <v>0.95</v>
      </c>
      <c r="AE3" s="3">
        <v>0.95</v>
      </c>
    </row>
    <row r="4" spans="1:31">
      <c r="A4" t="s">
        <v>18</v>
      </c>
      <c r="B4" s="3">
        <v>0.95</v>
      </c>
      <c r="C4" s="3">
        <v>0.95</v>
      </c>
      <c r="D4" s="3">
        <v>0.95</v>
      </c>
      <c r="E4" s="3">
        <v>0.95</v>
      </c>
      <c r="F4" s="3">
        <v>0.95</v>
      </c>
      <c r="G4" s="3">
        <v>0.95</v>
      </c>
      <c r="H4" s="3">
        <v>0.95</v>
      </c>
      <c r="I4" s="3">
        <v>0.95</v>
      </c>
      <c r="J4" s="3">
        <v>0.95</v>
      </c>
      <c r="K4" s="3">
        <v>0.95</v>
      </c>
      <c r="L4" s="3">
        <v>0.95</v>
      </c>
      <c r="M4" s="3">
        <v>0.95</v>
      </c>
      <c r="N4" s="3">
        <v>0.95</v>
      </c>
      <c r="O4" s="3">
        <v>0.95</v>
      </c>
      <c r="P4" s="3">
        <v>0.95</v>
      </c>
      <c r="Q4" s="3">
        <v>0.95</v>
      </c>
      <c r="R4" s="3">
        <v>0.95</v>
      </c>
      <c r="S4" s="3">
        <v>0.95</v>
      </c>
      <c r="T4" s="3">
        <v>0.95</v>
      </c>
      <c r="U4" s="3">
        <v>0.95</v>
      </c>
      <c r="V4" s="3">
        <v>0.95</v>
      </c>
      <c r="W4" s="3">
        <v>0.95</v>
      </c>
      <c r="X4" s="3">
        <v>0.95</v>
      </c>
      <c r="Y4" s="3">
        <v>0.95</v>
      </c>
      <c r="Z4" s="3">
        <v>0.95</v>
      </c>
      <c r="AA4" s="3">
        <v>0.95</v>
      </c>
      <c r="AB4" s="3">
        <v>0.95</v>
      </c>
      <c r="AC4" s="3">
        <v>0.95</v>
      </c>
      <c r="AD4" s="3">
        <v>0.95</v>
      </c>
      <c r="AE4" s="3">
        <v>0.95</v>
      </c>
    </row>
    <row r="5" spans="1:31">
      <c r="A5" t="s">
        <v>0</v>
      </c>
      <c r="B5" s="3">
        <v>0.91</v>
      </c>
      <c r="C5" s="3">
        <v>0.91</v>
      </c>
      <c r="D5" s="3">
        <v>0.91</v>
      </c>
      <c r="E5" s="3">
        <v>0.91</v>
      </c>
      <c r="F5" s="3">
        <v>0.91</v>
      </c>
      <c r="G5" s="3">
        <v>0.91</v>
      </c>
      <c r="H5" s="3">
        <v>0.91</v>
      </c>
      <c r="I5" s="3">
        <v>0.91</v>
      </c>
      <c r="J5" s="3">
        <v>0.91</v>
      </c>
      <c r="K5" s="3">
        <v>0.91</v>
      </c>
      <c r="L5" s="3">
        <v>0.91</v>
      </c>
      <c r="M5" s="3">
        <v>0.91</v>
      </c>
      <c r="N5" s="3">
        <v>0.91</v>
      </c>
      <c r="O5" s="3">
        <v>0.91</v>
      </c>
      <c r="P5" s="3">
        <v>0.91</v>
      </c>
      <c r="Q5" s="3">
        <v>0.91</v>
      </c>
      <c r="R5" s="3">
        <v>0.91</v>
      </c>
      <c r="S5" s="3">
        <v>0.91</v>
      </c>
      <c r="T5" s="3">
        <v>0.91</v>
      </c>
      <c r="U5" s="3">
        <v>0.91</v>
      </c>
      <c r="V5" s="3">
        <v>0.91</v>
      </c>
      <c r="W5" s="3">
        <v>0.91</v>
      </c>
      <c r="X5" s="3">
        <v>0.91</v>
      </c>
      <c r="Y5" s="3">
        <v>0.91</v>
      </c>
      <c r="Z5" s="3">
        <v>0.91</v>
      </c>
      <c r="AA5" s="3">
        <v>0.91</v>
      </c>
      <c r="AB5" s="3">
        <v>0.91</v>
      </c>
      <c r="AC5" s="3">
        <v>0.91</v>
      </c>
      <c r="AD5" s="3">
        <v>0.91</v>
      </c>
      <c r="AE5" s="3">
        <v>0.91</v>
      </c>
    </row>
    <row r="6" spans="1:31">
      <c r="A6" t="s">
        <v>1</v>
      </c>
      <c r="B6" s="3">
        <v>0.95</v>
      </c>
      <c r="C6" s="3">
        <v>0.95</v>
      </c>
      <c r="D6" s="3">
        <v>0.95</v>
      </c>
      <c r="E6" s="3">
        <v>0.95</v>
      </c>
      <c r="F6" s="3">
        <v>0.95</v>
      </c>
      <c r="G6" s="3">
        <v>0.95</v>
      </c>
      <c r="H6" s="3">
        <v>0.95</v>
      </c>
      <c r="I6" s="3">
        <v>0.95</v>
      </c>
      <c r="J6" s="3">
        <v>0.95</v>
      </c>
      <c r="K6" s="3">
        <v>0.95</v>
      </c>
      <c r="L6" s="3">
        <v>0.95</v>
      </c>
      <c r="M6" s="3">
        <v>0.95</v>
      </c>
      <c r="N6" s="3">
        <v>0.95</v>
      </c>
      <c r="O6" s="3">
        <v>0.95</v>
      </c>
      <c r="P6" s="3">
        <v>0.95</v>
      </c>
      <c r="Q6" s="3">
        <v>0.95</v>
      </c>
      <c r="R6" s="3">
        <v>0.95</v>
      </c>
      <c r="S6" s="3">
        <v>0.95</v>
      </c>
      <c r="T6" s="3">
        <v>0.95</v>
      </c>
      <c r="U6" s="3">
        <v>0.95</v>
      </c>
      <c r="V6" s="3">
        <v>0.95</v>
      </c>
      <c r="W6" s="3">
        <v>0.95</v>
      </c>
      <c r="X6" s="3">
        <v>0.95</v>
      </c>
      <c r="Y6" s="3">
        <v>0.95</v>
      </c>
      <c r="Z6" s="3">
        <v>0.95</v>
      </c>
      <c r="AA6" s="3">
        <v>0.95</v>
      </c>
      <c r="AB6" s="3">
        <v>0.95</v>
      </c>
      <c r="AC6" s="3">
        <v>0.95</v>
      </c>
      <c r="AD6" s="3">
        <v>0.95</v>
      </c>
      <c r="AE6" s="3">
        <v>0.95</v>
      </c>
    </row>
    <row r="7" spans="1:31">
      <c r="A7" t="s">
        <v>11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</row>
    <row r="8" spans="1:31">
      <c r="A8" t="s">
        <v>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>
      <c r="A9" t="s">
        <v>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</row>
    <row r="10" spans="1:31">
      <c r="A10" t="s">
        <v>4</v>
      </c>
      <c r="B10" s="3">
        <v>0.95</v>
      </c>
      <c r="C10" s="3">
        <v>0.95</v>
      </c>
      <c r="D10" s="3">
        <v>0.95</v>
      </c>
      <c r="E10" s="3">
        <v>0.95</v>
      </c>
      <c r="F10" s="3">
        <v>0.95</v>
      </c>
      <c r="G10" s="3">
        <v>0.95</v>
      </c>
      <c r="H10" s="3">
        <v>0.95</v>
      </c>
      <c r="I10" s="3">
        <v>0.95</v>
      </c>
      <c r="J10" s="3">
        <v>0.95</v>
      </c>
      <c r="K10" s="3">
        <v>0.95</v>
      </c>
      <c r="L10" s="3">
        <v>0.95</v>
      </c>
      <c r="M10" s="3">
        <v>0.95</v>
      </c>
      <c r="N10" s="3">
        <v>0.95</v>
      </c>
      <c r="O10" s="3">
        <v>0.95</v>
      </c>
      <c r="P10" s="3">
        <v>0.95</v>
      </c>
      <c r="Q10" s="3">
        <v>0.95</v>
      </c>
      <c r="R10" s="3">
        <v>0.95</v>
      </c>
      <c r="S10" s="3">
        <v>0.95</v>
      </c>
      <c r="T10" s="3">
        <v>0.95</v>
      </c>
      <c r="U10" s="3">
        <v>0.95</v>
      </c>
      <c r="V10" s="3">
        <v>0.95</v>
      </c>
      <c r="W10" s="3">
        <v>0.95</v>
      </c>
      <c r="X10" s="3">
        <v>0.95</v>
      </c>
      <c r="Y10" s="3">
        <v>0.95</v>
      </c>
      <c r="Z10" s="3">
        <v>0.95</v>
      </c>
      <c r="AA10" s="3">
        <v>0.95</v>
      </c>
      <c r="AB10" s="3">
        <v>0.95</v>
      </c>
      <c r="AC10" s="3">
        <v>0.95</v>
      </c>
      <c r="AD10" s="3">
        <v>0.95</v>
      </c>
      <c r="AE10" s="3">
        <v>0.95</v>
      </c>
    </row>
    <row r="11" spans="1:31">
      <c r="A11" t="s">
        <v>5</v>
      </c>
      <c r="B11" s="3">
        <v>0.95</v>
      </c>
      <c r="C11" s="3">
        <v>0.95</v>
      </c>
      <c r="D11" s="3">
        <v>0.95</v>
      </c>
      <c r="E11" s="3">
        <v>0.95</v>
      </c>
      <c r="F11" s="3">
        <v>0.95</v>
      </c>
      <c r="G11" s="3">
        <v>0.95</v>
      </c>
      <c r="H11" s="3">
        <v>0.95</v>
      </c>
      <c r="I11" s="3">
        <v>0.95</v>
      </c>
      <c r="J11" s="3">
        <v>0.95</v>
      </c>
      <c r="K11" s="3">
        <v>0.95</v>
      </c>
      <c r="L11" s="3">
        <v>0.95</v>
      </c>
      <c r="M11" s="3">
        <v>0.95</v>
      </c>
      <c r="N11" s="3">
        <v>0.95</v>
      </c>
      <c r="O11" s="3">
        <v>0.95</v>
      </c>
      <c r="P11" s="3">
        <v>0.95</v>
      </c>
      <c r="Q11" s="3">
        <v>0.95</v>
      </c>
      <c r="R11" s="3">
        <v>0.95</v>
      </c>
      <c r="S11" s="3">
        <v>0.95</v>
      </c>
      <c r="T11" s="3">
        <v>0.95</v>
      </c>
      <c r="U11" s="3">
        <v>0.95</v>
      </c>
      <c r="V11" s="3">
        <v>0.95</v>
      </c>
      <c r="W11" s="3">
        <v>0.95</v>
      </c>
      <c r="X11" s="3">
        <v>0.95</v>
      </c>
      <c r="Y11" s="3">
        <v>0.95</v>
      </c>
      <c r="Z11" s="3">
        <v>0.95</v>
      </c>
      <c r="AA11" s="3">
        <v>0.95</v>
      </c>
      <c r="AB11" s="3">
        <v>0.95</v>
      </c>
      <c r="AC11" s="3">
        <v>0.95</v>
      </c>
      <c r="AD11" s="3">
        <v>0.95</v>
      </c>
      <c r="AE11" s="3">
        <v>0.95</v>
      </c>
    </row>
    <row r="12" spans="1:31">
      <c r="A12" t="s">
        <v>6</v>
      </c>
      <c r="B12" s="3">
        <v>0.95</v>
      </c>
      <c r="C12" s="3">
        <v>0.95</v>
      </c>
      <c r="D12" s="3">
        <v>0.95</v>
      </c>
      <c r="E12" s="3">
        <v>0.95</v>
      </c>
      <c r="F12" s="3">
        <v>0.95</v>
      </c>
      <c r="G12" s="3">
        <v>0.95</v>
      </c>
      <c r="H12" s="3">
        <v>0.95</v>
      </c>
      <c r="I12" s="3">
        <v>0.95</v>
      </c>
      <c r="J12" s="3">
        <v>0.95</v>
      </c>
      <c r="K12" s="3">
        <v>0.95</v>
      </c>
      <c r="L12" s="3">
        <v>0.95</v>
      </c>
      <c r="M12" s="3">
        <v>0.95</v>
      </c>
      <c r="N12" s="3">
        <v>0.95</v>
      </c>
      <c r="O12" s="3">
        <v>0.95</v>
      </c>
      <c r="P12" s="3">
        <v>0.95</v>
      </c>
      <c r="Q12" s="3">
        <v>0.95</v>
      </c>
      <c r="R12" s="3">
        <v>0.95</v>
      </c>
      <c r="S12" s="3">
        <v>0.95</v>
      </c>
      <c r="T12" s="3">
        <v>0.95</v>
      </c>
      <c r="U12" s="3">
        <v>0.95</v>
      </c>
      <c r="V12" s="3">
        <v>0.95</v>
      </c>
      <c r="W12" s="3">
        <v>0.95</v>
      </c>
      <c r="X12" s="3">
        <v>0.95</v>
      </c>
      <c r="Y12" s="3">
        <v>0.95</v>
      </c>
      <c r="Z12" s="3">
        <v>0.95</v>
      </c>
      <c r="AA12" s="3">
        <v>0.95</v>
      </c>
      <c r="AB12" s="3">
        <v>0.95</v>
      </c>
      <c r="AC12" s="3">
        <v>0.95</v>
      </c>
      <c r="AD12" s="3">
        <v>0.95</v>
      </c>
      <c r="AE12" s="3">
        <v>0.95</v>
      </c>
    </row>
    <row r="13" spans="1:31">
      <c r="A13" t="s">
        <v>31</v>
      </c>
      <c r="B13" s="3">
        <v>0.95</v>
      </c>
      <c r="C13" s="3">
        <v>0.95</v>
      </c>
      <c r="D13" s="3">
        <v>0.95</v>
      </c>
      <c r="E13" s="3">
        <v>0.95</v>
      </c>
      <c r="F13" s="3">
        <v>0.95</v>
      </c>
      <c r="G13" s="3">
        <v>0.95</v>
      </c>
      <c r="H13" s="3">
        <v>0.95</v>
      </c>
      <c r="I13" s="3">
        <v>0.95</v>
      </c>
      <c r="J13" s="3">
        <v>0.95</v>
      </c>
      <c r="K13" s="3">
        <v>0.95</v>
      </c>
      <c r="L13" s="3">
        <v>0.95</v>
      </c>
      <c r="M13" s="3">
        <v>0.95</v>
      </c>
      <c r="N13" s="3">
        <v>0.95</v>
      </c>
      <c r="O13" s="3">
        <v>0.95</v>
      </c>
      <c r="P13" s="3">
        <v>0.95</v>
      </c>
      <c r="Q13" s="3">
        <v>0.95</v>
      </c>
      <c r="R13" s="3">
        <v>0.95</v>
      </c>
      <c r="S13" s="3">
        <v>0.95</v>
      </c>
      <c r="T13" s="3">
        <v>0.95</v>
      </c>
      <c r="U13" s="3">
        <v>0.95</v>
      </c>
      <c r="V13" s="3">
        <v>0.95</v>
      </c>
      <c r="W13" s="3">
        <v>0.95</v>
      </c>
      <c r="X13" s="3">
        <v>0.95</v>
      </c>
      <c r="Y13" s="3">
        <v>0.95</v>
      </c>
      <c r="Z13" s="3">
        <v>0.95</v>
      </c>
      <c r="AA13" s="3">
        <v>0.95</v>
      </c>
      <c r="AB13" s="3">
        <v>0.95</v>
      </c>
      <c r="AC13" s="3">
        <v>0.95</v>
      </c>
      <c r="AD13" s="3">
        <v>0.95</v>
      </c>
      <c r="AE13" s="3">
        <v>0.95</v>
      </c>
    </row>
    <row r="14" spans="1:31">
      <c r="A14" t="s">
        <v>9</v>
      </c>
      <c r="B14" s="3">
        <v>0.95</v>
      </c>
      <c r="C14" s="3">
        <v>0.95</v>
      </c>
      <c r="D14" s="3">
        <v>0.95</v>
      </c>
      <c r="E14" s="3">
        <v>0.95</v>
      </c>
      <c r="F14" s="3">
        <v>0.95</v>
      </c>
      <c r="G14" s="3">
        <v>0.95</v>
      </c>
      <c r="H14" s="3">
        <v>0.95</v>
      </c>
      <c r="I14" s="3">
        <v>0.95</v>
      </c>
      <c r="J14" s="3">
        <v>0.95</v>
      </c>
      <c r="K14" s="3">
        <v>0.95</v>
      </c>
      <c r="L14" s="3">
        <v>0.95</v>
      </c>
      <c r="M14" s="3">
        <v>0.95</v>
      </c>
      <c r="N14" s="3">
        <v>0.95</v>
      </c>
      <c r="O14" s="3">
        <v>0.95</v>
      </c>
      <c r="P14" s="3">
        <v>0.95</v>
      </c>
      <c r="Q14" s="3">
        <v>0.95</v>
      </c>
      <c r="R14" s="3">
        <v>0.95</v>
      </c>
      <c r="S14" s="3">
        <v>0.95</v>
      </c>
      <c r="T14" s="3">
        <v>0.95</v>
      </c>
      <c r="U14" s="3">
        <v>0.95</v>
      </c>
      <c r="V14" s="3">
        <v>0.95</v>
      </c>
      <c r="W14" s="3">
        <v>0.95</v>
      </c>
      <c r="X14" s="3">
        <v>0.95</v>
      </c>
      <c r="Y14" s="3">
        <v>0.95</v>
      </c>
      <c r="Z14" s="3">
        <v>0.95</v>
      </c>
      <c r="AA14" s="3">
        <v>0.95</v>
      </c>
      <c r="AB14" s="3">
        <v>0.95</v>
      </c>
      <c r="AC14" s="3">
        <v>0.95</v>
      </c>
      <c r="AD14" s="3">
        <v>0.95</v>
      </c>
      <c r="AE14" s="3">
        <v>0.95</v>
      </c>
    </row>
    <row r="15" spans="1:31">
      <c r="A15" t="s">
        <v>12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>
      <c r="A16" t="s">
        <v>13</v>
      </c>
      <c r="B16" s="3">
        <v>0.95</v>
      </c>
      <c r="C16" s="3">
        <v>0.95</v>
      </c>
      <c r="D16" s="3">
        <v>0.95</v>
      </c>
      <c r="E16" s="3">
        <v>0.95</v>
      </c>
      <c r="F16" s="3">
        <v>0.95</v>
      </c>
      <c r="G16" s="3">
        <v>0.95</v>
      </c>
      <c r="H16" s="3">
        <v>0.95</v>
      </c>
      <c r="I16" s="3">
        <v>0.95</v>
      </c>
      <c r="J16" s="3">
        <v>0.95</v>
      </c>
      <c r="K16" s="3">
        <v>0.95</v>
      </c>
      <c r="L16" s="3">
        <v>0.95</v>
      </c>
      <c r="M16" s="3">
        <v>0.95</v>
      </c>
      <c r="N16" s="3">
        <v>0.95</v>
      </c>
      <c r="O16" s="3">
        <v>0.95</v>
      </c>
      <c r="P16" s="3">
        <v>0.95</v>
      </c>
      <c r="Q16" s="3">
        <v>0.95</v>
      </c>
      <c r="R16" s="3">
        <v>0.95</v>
      </c>
      <c r="S16" s="3">
        <v>0.95</v>
      </c>
      <c r="T16" s="3">
        <v>0.95</v>
      </c>
      <c r="U16" s="3">
        <v>0.95</v>
      </c>
      <c r="V16" s="3">
        <v>0.95</v>
      </c>
      <c r="W16" s="3">
        <v>0.95</v>
      </c>
      <c r="X16" s="3">
        <v>0.95</v>
      </c>
      <c r="Y16" s="3">
        <v>0.95</v>
      </c>
      <c r="Z16" s="3">
        <v>0.95</v>
      </c>
      <c r="AA16" s="3">
        <v>0.95</v>
      </c>
      <c r="AB16" s="3">
        <v>0.95</v>
      </c>
      <c r="AC16" s="3">
        <v>0.95</v>
      </c>
      <c r="AD16" s="3">
        <v>0.95</v>
      </c>
      <c r="AE16" s="3">
        <v>0.95</v>
      </c>
    </row>
    <row r="17" spans="1:31">
      <c r="A17" t="s">
        <v>14</v>
      </c>
      <c r="B17" s="3">
        <v>0.95</v>
      </c>
      <c r="C17" s="3">
        <v>0.95</v>
      </c>
      <c r="D17" s="3">
        <v>0.95</v>
      </c>
      <c r="E17" s="3">
        <v>0.95</v>
      </c>
      <c r="F17" s="3">
        <v>0.95</v>
      </c>
      <c r="G17" s="3">
        <v>0.95</v>
      </c>
      <c r="H17" s="3">
        <v>0.95</v>
      </c>
      <c r="I17" s="3">
        <v>0.95</v>
      </c>
      <c r="J17" s="3">
        <v>0.95</v>
      </c>
      <c r="K17" s="3">
        <v>0.95</v>
      </c>
      <c r="L17" s="3">
        <v>0.95</v>
      </c>
      <c r="M17" s="3">
        <v>0.95</v>
      </c>
      <c r="N17" s="3">
        <v>0.95</v>
      </c>
      <c r="O17" s="3">
        <v>0.95</v>
      </c>
      <c r="P17" s="3">
        <v>0.95</v>
      </c>
      <c r="Q17" s="3">
        <v>0.95</v>
      </c>
      <c r="R17" s="3">
        <v>0.95</v>
      </c>
      <c r="S17" s="3">
        <v>0.95</v>
      </c>
      <c r="T17" s="3">
        <v>0.95</v>
      </c>
      <c r="U17" s="3">
        <v>0.95</v>
      </c>
      <c r="V17" s="3">
        <v>0.95</v>
      </c>
      <c r="W17" s="3">
        <v>0.95</v>
      </c>
      <c r="X17" s="3">
        <v>0.95</v>
      </c>
      <c r="Y17" s="3">
        <v>0.95</v>
      </c>
      <c r="Z17" s="3">
        <v>0.95</v>
      </c>
      <c r="AA17" s="3">
        <v>0.95</v>
      </c>
      <c r="AB17" s="3">
        <v>0.95</v>
      </c>
      <c r="AC17" s="3">
        <v>0.95</v>
      </c>
      <c r="AD17" s="3">
        <v>0.95</v>
      </c>
      <c r="AE17" s="3">
        <v>0.95</v>
      </c>
    </row>
    <row r="18" spans="1:31">
      <c r="A18" t="s">
        <v>15</v>
      </c>
      <c r="B18" s="3">
        <v>0.95</v>
      </c>
      <c r="C18" s="3">
        <v>0.95</v>
      </c>
      <c r="D18" s="3">
        <v>0.95</v>
      </c>
      <c r="E18" s="3">
        <v>0.95</v>
      </c>
      <c r="F18" s="3">
        <v>0.95</v>
      </c>
      <c r="G18" s="3">
        <v>0.95</v>
      </c>
      <c r="H18" s="3">
        <v>0.95</v>
      </c>
      <c r="I18" s="3">
        <v>0.95</v>
      </c>
      <c r="J18" s="3">
        <v>0.95</v>
      </c>
      <c r="K18" s="3">
        <v>0.95</v>
      </c>
      <c r="L18" s="3">
        <v>0.95</v>
      </c>
      <c r="M18" s="3">
        <v>0.95</v>
      </c>
      <c r="N18" s="3">
        <v>0.95</v>
      </c>
      <c r="O18" s="3">
        <v>0.95</v>
      </c>
      <c r="P18" s="3">
        <v>0.95</v>
      </c>
      <c r="Q18" s="3">
        <v>0.95</v>
      </c>
      <c r="R18" s="3">
        <v>0.95</v>
      </c>
      <c r="S18" s="3">
        <v>0.95</v>
      </c>
      <c r="T18" s="3">
        <v>0.95</v>
      </c>
      <c r="U18" s="3">
        <v>0.95</v>
      </c>
      <c r="V18" s="3">
        <v>0.95</v>
      </c>
      <c r="W18" s="3">
        <v>0.95</v>
      </c>
      <c r="X18" s="3">
        <v>0.95</v>
      </c>
      <c r="Y18" s="3">
        <v>0.95</v>
      </c>
      <c r="Z18" s="3">
        <v>0.95</v>
      </c>
      <c r="AA18" s="3">
        <v>0.95</v>
      </c>
      <c r="AB18" s="3">
        <v>0.95</v>
      </c>
      <c r="AC18" s="3">
        <v>0.95</v>
      </c>
      <c r="AD18" s="3">
        <v>0.95</v>
      </c>
      <c r="AE18" s="3">
        <v>0.95</v>
      </c>
    </row>
    <row r="19" spans="1:31">
      <c r="A19" t="s">
        <v>26</v>
      </c>
      <c r="B19" s="3">
        <f>B2</f>
        <v>0.85</v>
      </c>
      <c r="C19" s="3">
        <f t="shared" ref="C19:AE19" si="0">C2</f>
        <v>0.85</v>
      </c>
      <c r="D19" s="3">
        <f t="shared" si="0"/>
        <v>0.85</v>
      </c>
      <c r="E19" s="3">
        <f t="shared" si="0"/>
        <v>0.85</v>
      </c>
      <c r="F19" s="3">
        <f t="shared" si="0"/>
        <v>0.85</v>
      </c>
      <c r="G19" s="3">
        <f t="shared" si="0"/>
        <v>0.85</v>
      </c>
      <c r="H19" s="3">
        <f t="shared" si="0"/>
        <v>0.85</v>
      </c>
      <c r="I19" s="3">
        <f t="shared" si="0"/>
        <v>0.85</v>
      </c>
      <c r="J19" s="3">
        <f t="shared" si="0"/>
        <v>0.85</v>
      </c>
      <c r="K19" s="3">
        <f t="shared" si="0"/>
        <v>0.85</v>
      </c>
      <c r="L19" s="3">
        <f t="shared" si="0"/>
        <v>0.85</v>
      </c>
      <c r="M19" s="3">
        <f t="shared" si="0"/>
        <v>0.85</v>
      </c>
      <c r="N19" s="3">
        <f t="shared" si="0"/>
        <v>0.85</v>
      </c>
      <c r="O19" s="3">
        <f t="shared" si="0"/>
        <v>0.85</v>
      </c>
      <c r="P19" s="3">
        <f t="shared" si="0"/>
        <v>0.85</v>
      </c>
      <c r="Q19" s="3">
        <f t="shared" si="0"/>
        <v>0.85</v>
      </c>
      <c r="R19" s="3">
        <f t="shared" si="0"/>
        <v>0.85</v>
      </c>
      <c r="S19" s="3">
        <f t="shared" si="0"/>
        <v>0.85</v>
      </c>
      <c r="T19" s="3">
        <f t="shared" si="0"/>
        <v>0.85</v>
      </c>
      <c r="U19" s="3">
        <f t="shared" si="0"/>
        <v>0.85</v>
      </c>
      <c r="V19" s="3">
        <f t="shared" si="0"/>
        <v>0.85</v>
      </c>
      <c r="W19" s="3">
        <f t="shared" si="0"/>
        <v>0.85</v>
      </c>
      <c r="X19" s="3">
        <f t="shared" si="0"/>
        <v>0.85</v>
      </c>
      <c r="Y19" s="3">
        <f t="shared" si="0"/>
        <v>0.85</v>
      </c>
      <c r="Z19" s="3">
        <f t="shared" si="0"/>
        <v>0.85</v>
      </c>
      <c r="AA19" s="3">
        <f t="shared" si="0"/>
        <v>0.85</v>
      </c>
      <c r="AB19" s="3">
        <f t="shared" si="0"/>
        <v>0.85</v>
      </c>
      <c r="AC19" s="3">
        <f t="shared" si="0"/>
        <v>0.85</v>
      </c>
      <c r="AD19" s="3">
        <f t="shared" si="0"/>
        <v>0.85</v>
      </c>
      <c r="AE19" s="3">
        <f t="shared" si="0"/>
        <v>0.85</v>
      </c>
    </row>
    <row r="20" spans="1:31">
      <c r="A20" t="s">
        <v>27</v>
      </c>
      <c r="B20" s="3">
        <f>B4</f>
        <v>0.95</v>
      </c>
      <c r="C20" s="3">
        <f t="shared" ref="C20:AE20" si="1">C4</f>
        <v>0.95</v>
      </c>
      <c r="D20" s="3">
        <f t="shared" si="1"/>
        <v>0.95</v>
      </c>
      <c r="E20" s="3">
        <f t="shared" si="1"/>
        <v>0.95</v>
      </c>
      <c r="F20" s="3">
        <f t="shared" si="1"/>
        <v>0.95</v>
      </c>
      <c r="G20" s="3">
        <f t="shared" si="1"/>
        <v>0.95</v>
      </c>
      <c r="H20" s="3">
        <f t="shared" si="1"/>
        <v>0.95</v>
      </c>
      <c r="I20" s="3">
        <f t="shared" si="1"/>
        <v>0.95</v>
      </c>
      <c r="J20" s="3">
        <f t="shared" si="1"/>
        <v>0.95</v>
      </c>
      <c r="K20" s="3">
        <f t="shared" si="1"/>
        <v>0.95</v>
      </c>
      <c r="L20" s="3">
        <f t="shared" si="1"/>
        <v>0.95</v>
      </c>
      <c r="M20" s="3">
        <f t="shared" si="1"/>
        <v>0.95</v>
      </c>
      <c r="N20" s="3">
        <f t="shared" si="1"/>
        <v>0.95</v>
      </c>
      <c r="O20" s="3">
        <f t="shared" si="1"/>
        <v>0.95</v>
      </c>
      <c r="P20" s="3">
        <f t="shared" si="1"/>
        <v>0.95</v>
      </c>
      <c r="Q20" s="3">
        <f t="shared" si="1"/>
        <v>0.95</v>
      </c>
      <c r="R20" s="3">
        <f t="shared" si="1"/>
        <v>0.95</v>
      </c>
      <c r="S20" s="3">
        <f t="shared" si="1"/>
        <v>0.95</v>
      </c>
      <c r="T20" s="3">
        <f t="shared" si="1"/>
        <v>0.95</v>
      </c>
      <c r="U20" s="3">
        <f t="shared" si="1"/>
        <v>0.95</v>
      </c>
      <c r="V20" s="3">
        <f t="shared" si="1"/>
        <v>0.95</v>
      </c>
      <c r="W20" s="3">
        <f t="shared" si="1"/>
        <v>0.95</v>
      </c>
      <c r="X20" s="3">
        <f t="shared" si="1"/>
        <v>0.95</v>
      </c>
      <c r="Y20" s="3">
        <f t="shared" si="1"/>
        <v>0.95</v>
      </c>
      <c r="Z20" s="3">
        <f t="shared" si="1"/>
        <v>0.95</v>
      </c>
      <c r="AA20" s="3">
        <f t="shared" si="1"/>
        <v>0.95</v>
      </c>
      <c r="AB20" s="3">
        <f t="shared" si="1"/>
        <v>0.95</v>
      </c>
      <c r="AC20" s="3">
        <f t="shared" si="1"/>
        <v>0.95</v>
      </c>
      <c r="AD20" s="3">
        <f t="shared" si="1"/>
        <v>0.95</v>
      </c>
      <c r="AE20" s="3">
        <f t="shared" si="1"/>
        <v>0.95</v>
      </c>
    </row>
    <row r="21" spans="1:31">
      <c r="A21" t="s">
        <v>28</v>
      </c>
      <c r="B21" s="3">
        <f>B10</f>
        <v>0.95</v>
      </c>
      <c r="C21" s="3">
        <f t="shared" ref="C21:AE21" si="2">C10</f>
        <v>0.95</v>
      </c>
      <c r="D21" s="3">
        <f t="shared" si="2"/>
        <v>0.95</v>
      </c>
      <c r="E21" s="3">
        <f t="shared" si="2"/>
        <v>0.95</v>
      </c>
      <c r="F21" s="3">
        <f t="shared" si="2"/>
        <v>0.95</v>
      </c>
      <c r="G21" s="3">
        <f t="shared" si="2"/>
        <v>0.95</v>
      </c>
      <c r="H21" s="3">
        <f t="shared" si="2"/>
        <v>0.95</v>
      </c>
      <c r="I21" s="3">
        <f t="shared" si="2"/>
        <v>0.95</v>
      </c>
      <c r="J21" s="3">
        <f t="shared" si="2"/>
        <v>0.95</v>
      </c>
      <c r="K21" s="3">
        <f t="shared" si="2"/>
        <v>0.95</v>
      </c>
      <c r="L21" s="3">
        <f t="shared" si="2"/>
        <v>0.95</v>
      </c>
      <c r="M21" s="3">
        <f t="shared" si="2"/>
        <v>0.95</v>
      </c>
      <c r="N21" s="3">
        <f t="shared" si="2"/>
        <v>0.95</v>
      </c>
      <c r="O21" s="3">
        <f t="shared" si="2"/>
        <v>0.95</v>
      </c>
      <c r="P21" s="3">
        <f t="shared" si="2"/>
        <v>0.95</v>
      </c>
      <c r="Q21" s="3">
        <f t="shared" si="2"/>
        <v>0.95</v>
      </c>
      <c r="R21" s="3">
        <f t="shared" si="2"/>
        <v>0.95</v>
      </c>
      <c r="S21" s="3">
        <f t="shared" si="2"/>
        <v>0.95</v>
      </c>
      <c r="T21" s="3">
        <f t="shared" si="2"/>
        <v>0.95</v>
      </c>
      <c r="U21" s="3">
        <f t="shared" si="2"/>
        <v>0.95</v>
      </c>
      <c r="V21" s="3">
        <f t="shared" si="2"/>
        <v>0.95</v>
      </c>
      <c r="W21" s="3">
        <f t="shared" si="2"/>
        <v>0.95</v>
      </c>
      <c r="X21" s="3">
        <f t="shared" si="2"/>
        <v>0.95</v>
      </c>
      <c r="Y21" s="3">
        <f t="shared" si="2"/>
        <v>0.95</v>
      </c>
      <c r="Z21" s="3">
        <f t="shared" si="2"/>
        <v>0.95</v>
      </c>
      <c r="AA21" s="3">
        <f t="shared" si="2"/>
        <v>0.95</v>
      </c>
      <c r="AB21" s="3">
        <f t="shared" si="2"/>
        <v>0.95</v>
      </c>
      <c r="AC21" s="3">
        <f t="shared" si="2"/>
        <v>0.95</v>
      </c>
      <c r="AD21" s="3">
        <f t="shared" si="2"/>
        <v>0.95</v>
      </c>
      <c r="AE21" s="3">
        <f t="shared" si="2"/>
        <v>0.95</v>
      </c>
    </row>
    <row r="22" spans="1:31">
      <c r="A22" t="s">
        <v>29</v>
      </c>
      <c r="B22" s="3">
        <f>B14</f>
        <v>0.95</v>
      </c>
      <c r="C22" s="3">
        <f t="shared" ref="C22:AE22" si="3">C14</f>
        <v>0.95</v>
      </c>
      <c r="D22" s="3">
        <f t="shared" si="3"/>
        <v>0.95</v>
      </c>
      <c r="E22" s="3">
        <f t="shared" si="3"/>
        <v>0.95</v>
      </c>
      <c r="F22" s="3">
        <f t="shared" si="3"/>
        <v>0.95</v>
      </c>
      <c r="G22" s="3">
        <f t="shared" si="3"/>
        <v>0.95</v>
      </c>
      <c r="H22" s="3">
        <f t="shared" si="3"/>
        <v>0.95</v>
      </c>
      <c r="I22" s="3">
        <f t="shared" si="3"/>
        <v>0.95</v>
      </c>
      <c r="J22" s="3">
        <f t="shared" si="3"/>
        <v>0.95</v>
      </c>
      <c r="K22" s="3">
        <f t="shared" si="3"/>
        <v>0.95</v>
      </c>
      <c r="L22" s="3">
        <f t="shared" si="3"/>
        <v>0.95</v>
      </c>
      <c r="M22" s="3">
        <f t="shared" si="3"/>
        <v>0.95</v>
      </c>
      <c r="N22" s="3">
        <f t="shared" si="3"/>
        <v>0.95</v>
      </c>
      <c r="O22" s="3">
        <f t="shared" si="3"/>
        <v>0.95</v>
      </c>
      <c r="P22" s="3">
        <f t="shared" si="3"/>
        <v>0.95</v>
      </c>
      <c r="Q22" s="3">
        <f t="shared" si="3"/>
        <v>0.95</v>
      </c>
      <c r="R22" s="3">
        <f t="shared" si="3"/>
        <v>0.95</v>
      </c>
      <c r="S22" s="3">
        <f t="shared" si="3"/>
        <v>0.95</v>
      </c>
      <c r="T22" s="3">
        <f t="shared" si="3"/>
        <v>0.95</v>
      </c>
      <c r="U22" s="3">
        <f t="shared" si="3"/>
        <v>0.95</v>
      </c>
      <c r="V22" s="3">
        <f t="shared" si="3"/>
        <v>0.95</v>
      </c>
      <c r="W22" s="3">
        <f t="shared" si="3"/>
        <v>0.95</v>
      </c>
      <c r="X22" s="3">
        <f t="shared" si="3"/>
        <v>0.95</v>
      </c>
      <c r="Y22" s="3">
        <f t="shared" si="3"/>
        <v>0.95</v>
      </c>
      <c r="Z22" s="3">
        <f t="shared" si="3"/>
        <v>0.95</v>
      </c>
      <c r="AA22" s="3">
        <f t="shared" si="3"/>
        <v>0.95</v>
      </c>
      <c r="AB22" s="3">
        <f t="shared" si="3"/>
        <v>0.95</v>
      </c>
      <c r="AC22" s="3">
        <f t="shared" si="3"/>
        <v>0.95</v>
      </c>
      <c r="AD22" s="3">
        <f t="shared" si="3"/>
        <v>0.95</v>
      </c>
      <c r="AE22" s="3">
        <f t="shared" si="3"/>
        <v>0.95</v>
      </c>
    </row>
    <row r="23" spans="1:31">
      <c r="A23" t="s">
        <v>30</v>
      </c>
      <c r="B23" s="3">
        <f>B5</f>
        <v>0.91</v>
      </c>
      <c r="C23" s="3">
        <f t="shared" ref="C23:AE23" si="4">C5</f>
        <v>0.91</v>
      </c>
      <c r="D23" s="3">
        <f t="shared" si="4"/>
        <v>0.91</v>
      </c>
      <c r="E23" s="3">
        <f t="shared" si="4"/>
        <v>0.91</v>
      </c>
      <c r="F23" s="3">
        <f t="shared" si="4"/>
        <v>0.91</v>
      </c>
      <c r="G23" s="3">
        <f t="shared" si="4"/>
        <v>0.91</v>
      </c>
      <c r="H23" s="3">
        <f t="shared" si="4"/>
        <v>0.91</v>
      </c>
      <c r="I23" s="3">
        <f t="shared" si="4"/>
        <v>0.91</v>
      </c>
      <c r="J23" s="3">
        <f t="shared" si="4"/>
        <v>0.91</v>
      </c>
      <c r="K23" s="3">
        <f t="shared" si="4"/>
        <v>0.91</v>
      </c>
      <c r="L23" s="3">
        <f t="shared" si="4"/>
        <v>0.91</v>
      </c>
      <c r="M23" s="3">
        <f t="shared" si="4"/>
        <v>0.91</v>
      </c>
      <c r="N23" s="3">
        <f t="shared" si="4"/>
        <v>0.91</v>
      </c>
      <c r="O23" s="3">
        <f t="shared" si="4"/>
        <v>0.91</v>
      </c>
      <c r="P23" s="3">
        <f t="shared" si="4"/>
        <v>0.91</v>
      </c>
      <c r="Q23" s="3">
        <f t="shared" si="4"/>
        <v>0.91</v>
      </c>
      <c r="R23" s="3">
        <f t="shared" si="4"/>
        <v>0.91</v>
      </c>
      <c r="S23" s="3">
        <f t="shared" si="4"/>
        <v>0.91</v>
      </c>
      <c r="T23" s="3">
        <f t="shared" si="4"/>
        <v>0.91</v>
      </c>
      <c r="U23" s="3">
        <f t="shared" si="4"/>
        <v>0.91</v>
      </c>
      <c r="V23" s="3">
        <f t="shared" si="4"/>
        <v>0.91</v>
      </c>
      <c r="W23" s="3">
        <f t="shared" si="4"/>
        <v>0.91</v>
      </c>
      <c r="X23" s="3">
        <f t="shared" si="4"/>
        <v>0.91</v>
      </c>
      <c r="Y23" s="3">
        <f t="shared" si="4"/>
        <v>0.91</v>
      </c>
      <c r="Z23" s="3">
        <f t="shared" si="4"/>
        <v>0.91</v>
      </c>
      <c r="AA23" s="3">
        <f t="shared" si="4"/>
        <v>0.91</v>
      </c>
      <c r="AB23" s="3">
        <f t="shared" si="4"/>
        <v>0.91</v>
      </c>
      <c r="AC23" s="3">
        <f t="shared" si="4"/>
        <v>0.91</v>
      </c>
      <c r="AD23" s="3">
        <f t="shared" si="4"/>
        <v>0.91</v>
      </c>
      <c r="AE23" s="3">
        <f t="shared" si="4"/>
        <v>0.91</v>
      </c>
    </row>
    <row r="24" spans="1:31">
      <c r="A24" s="7" t="s">
        <v>32</v>
      </c>
      <c r="B24" s="3">
        <f>B4</f>
        <v>0.95</v>
      </c>
      <c r="C24" s="3">
        <f t="shared" ref="C24:AE24" si="5">C4</f>
        <v>0.95</v>
      </c>
      <c r="D24" s="3">
        <f t="shared" si="5"/>
        <v>0.95</v>
      </c>
      <c r="E24" s="3">
        <f t="shared" si="5"/>
        <v>0.95</v>
      </c>
      <c r="F24" s="3">
        <f t="shared" si="5"/>
        <v>0.95</v>
      </c>
      <c r="G24" s="3">
        <f t="shared" si="5"/>
        <v>0.95</v>
      </c>
      <c r="H24" s="3">
        <f t="shared" si="5"/>
        <v>0.95</v>
      </c>
      <c r="I24" s="3">
        <f t="shared" si="5"/>
        <v>0.95</v>
      </c>
      <c r="J24" s="3">
        <f t="shared" si="5"/>
        <v>0.95</v>
      </c>
      <c r="K24" s="3">
        <f t="shared" si="5"/>
        <v>0.95</v>
      </c>
      <c r="L24" s="3">
        <f t="shared" si="5"/>
        <v>0.95</v>
      </c>
      <c r="M24" s="3">
        <f t="shared" si="5"/>
        <v>0.95</v>
      </c>
      <c r="N24" s="3">
        <f t="shared" si="5"/>
        <v>0.95</v>
      </c>
      <c r="O24" s="3">
        <f t="shared" si="5"/>
        <v>0.95</v>
      </c>
      <c r="P24" s="3">
        <f t="shared" si="5"/>
        <v>0.95</v>
      </c>
      <c r="Q24" s="3">
        <f t="shared" si="5"/>
        <v>0.95</v>
      </c>
      <c r="R24" s="3">
        <f t="shared" si="5"/>
        <v>0.95</v>
      </c>
      <c r="S24" s="3">
        <f t="shared" si="5"/>
        <v>0.95</v>
      </c>
      <c r="T24" s="3">
        <f t="shared" si="5"/>
        <v>0.95</v>
      </c>
      <c r="U24" s="3">
        <f t="shared" si="5"/>
        <v>0.95</v>
      </c>
      <c r="V24" s="3">
        <f t="shared" si="5"/>
        <v>0.95</v>
      </c>
      <c r="W24" s="3">
        <f t="shared" si="5"/>
        <v>0.95</v>
      </c>
      <c r="X24" s="3">
        <f t="shared" si="5"/>
        <v>0.95</v>
      </c>
      <c r="Y24" s="3">
        <f t="shared" si="5"/>
        <v>0.95</v>
      </c>
      <c r="Z24" s="3">
        <f t="shared" si="5"/>
        <v>0.95</v>
      </c>
      <c r="AA24" s="3">
        <f t="shared" si="5"/>
        <v>0.95</v>
      </c>
      <c r="AB24" s="3">
        <f t="shared" si="5"/>
        <v>0.95</v>
      </c>
      <c r="AC24" s="3">
        <f t="shared" si="5"/>
        <v>0.95</v>
      </c>
      <c r="AD24" s="3">
        <f t="shared" si="5"/>
        <v>0.95</v>
      </c>
      <c r="AE24" s="3">
        <f t="shared" si="5"/>
        <v>0.95</v>
      </c>
    </row>
    <row r="25" spans="1:31">
      <c r="A25" s="7" t="s">
        <v>33</v>
      </c>
      <c r="B25" s="3">
        <f>B4</f>
        <v>0.95</v>
      </c>
      <c r="C25" s="3">
        <f t="shared" ref="C25:AE25" si="6">C4</f>
        <v>0.95</v>
      </c>
      <c r="D25" s="3">
        <f t="shared" si="6"/>
        <v>0.95</v>
      </c>
      <c r="E25" s="3">
        <f t="shared" si="6"/>
        <v>0.95</v>
      </c>
      <c r="F25" s="3">
        <f t="shared" si="6"/>
        <v>0.95</v>
      </c>
      <c r="G25" s="3">
        <f t="shared" si="6"/>
        <v>0.95</v>
      </c>
      <c r="H25" s="3">
        <f t="shared" si="6"/>
        <v>0.95</v>
      </c>
      <c r="I25" s="3">
        <f t="shared" si="6"/>
        <v>0.95</v>
      </c>
      <c r="J25" s="3">
        <f t="shared" si="6"/>
        <v>0.95</v>
      </c>
      <c r="K25" s="3">
        <f t="shared" si="6"/>
        <v>0.95</v>
      </c>
      <c r="L25" s="3">
        <f t="shared" si="6"/>
        <v>0.95</v>
      </c>
      <c r="M25" s="3">
        <f t="shared" si="6"/>
        <v>0.95</v>
      </c>
      <c r="N25" s="3">
        <f t="shared" si="6"/>
        <v>0.95</v>
      </c>
      <c r="O25" s="3">
        <f t="shared" si="6"/>
        <v>0.95</v>
      </c>
      <c r="P25" s="3">
        <f t="shared" si="6"/>
        <v>0.95</v>
      </c>
      <c r="Q25" s="3">
        <f t="shared" si="6"/>
        <v>0.95</v>
      </c>
      <c r="R25" s="3">
        <f t="shared" si="6"/>
        <v>0.95</v>
      </c>
      <c r="S25" s="3">
        <f t="shared" si="6"/>
        <v>0.95</v>
      </c>
      <c r="T25" s="3">
        <f t="shared" si="6"/>
        <v>0.95</v>
      </c>
      <c r="U25" s="3">
        <f t="shared" si="6"/>
        <v>0.95</v>
      </c>
      <c r="V25" s="3">
        <f t="shared" si="6"/>
        <v>0.95</v>
      </c>
      <c r="W25" s="3">
        <f t="shared" si="6"/>
        <v>0.95</v>
      </c>
      <c r="X25" s="3">
        <f t="shared" si="6"/>
        <v>0.95</v>
      </c>
      <c r="Y25" s="3">
        <f t="shared" si="6"/>
        <v>0.95</v>
      </c>
      <c r="Z25" s="3">
        <f t="shared" si="6"/>
        <v>0.95</v>
      </c>
      <c r="AA25" s="3">
        <f t="shared" si="6"/>
        <v>0.95</v>
      </c>
      <c r="AB25" s="3">
        <f t="shared" si="6"/>
        <v>0.95</v>
      </c>
      <c r="AC25" s="3">
        <f t="shared" si="6"/>
        <v>0.95</v>
      </c>
      <c r="AD25" s="3">
        <f t="shared" si="6"/>
        <v>0.95</v>
      </c>
      <c r="AE25" s="3">
        <f t="shared" si="6"/>
        <v>0.95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328D06-F063-46AB-B326-B3039701A42C}"/>
</file>

<file path=customXml/itemProps2.xml><?xml version="1.0" encoding="utf-8"?>
<ds:datastoreItem xmlns:ds="http://schemas.openxmlformats.org/officeDocument/2006/customXml" ds:itemID="{B68633F6-8174-4B75-B374-2384FC5DB6BB}"/>
</file>

<file path=customXml/itemProps3.xml><?xml version="1.0" encoding="utf-8"?>
<ds:datastoreItem xmlns:ds="http://schemas.openxmlformats.org/officeDocument/2006/customXml" ds:itemID="{F51BFEEE-333B-46AA-A98D-36596FD2A4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EPA Rules Summary</vt:lpstr>
      <vt:lpstr>Coal Calculations</vt:lpstr>
      <vt:lpstr>RAF-generation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Megan Mahajan</cp:lastModifiedBy>
  <dcterms:created xsi:type="dcterms:W3CDTF">2016-03-03T23:11:17Z</dcterms:created>
  <dcterms:modified xsi:type="dcterms:W3CDTF">2024-08-26T22:06:44Z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