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Indonesia EPS\InputData\elec\FoGBPD\"/>
    </mc:Choice>
  </mc:AlternateContent>
  <xr:revisionPtr revIDLastSave="0" documentId="13_ncr:1_{96D20EC2-E10A-4D68-925A-7B8D70B61632}" xr6:coauthVersionLast="47" xr6:coauthVersionMax="47" xr10:uidLastSave="{00000000-0000-0000-0000-000000000000}"/>
  <bookViews>
    <workbookView xWindow="38190" yWindow="1815" windowWidth="23235" windowHeight="13365" firstSheet="3" activeTab="3" xr2:uid="{DC12087C-9A27-4A43-B4A9-6B3F1E517F08}"/>
  </bookViews>
  <sheets>
    <sheet name="About" sheetId="1" r:id="rId1"/>
    <sheet name="SEIA" sheetId="3" r:id="rId2"/>
    <sheet name="Argonne" sheetId="4" r:id="rId3"/>
    <sheet name="FoGBPD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4" l="1"/>
  <c r="M33" i="3"/>
  <c r="O8" i="4"/>
  <c r="O7" i="4"/>
  <c r="K28" i="4"/>
  <c r="M30" i="3"/>
  <c r="M26" i="3"/>
</calcChain>
</file>

<file path=xl/sharedStrings.xml><?xml version="1.0" encoding="utf-8"?>
<sst xmlns="http://schemas.openxmlformats.org/spreadsheetml/2006/main" count="41" uniqueCount="33">
  <si>
    <t>FoGBPD Fraction of Grid Batteries Produced Domestically</t>
  </si>
  <si>
    <t>Sources:</t>
  </si>
  <si>
    <t>SEIA</t>
  </si>
  <si>
    <t>Energizing American Battery Storage Manufacturing</t>
  </si>
  <si>
    <t>https://seia.org/research-resources/energizing-american-battery-storage-manufacturing/</t>
  </si>
  <si>
    <t>Figures 2, 3</t>
  </si>
  <si>
    <t>Argonne National Laboratory</t>
  </si>
  <si>
    <t>Securing Critical Minerals for the U.S. Electric Vehicle Industry</t>
  </si>
  <si>
    <t>https://publications.anl.gov/anlpubs/2024/03/187907.pdf</t>
  </si>
  <si>
    <t>Figure 15</t>
  </si>
  <si>
    <t>Quantification of Commercially Planned Battery Component Supply in North America through 2035</t>
  </si>
  <si>
    <t>https://publications.anl.gov/anlpubs/2024/03/187735.pdf</t>
  </si>
  <si>
    <t>Table 4</t>
  </si>
  <si>
    <t>S&amp;P Global</t>
  </si>
  <si>
    <t>BriefCASE: The game of tariffs - US moves to stifle EV battery imports from mainland China</t>
  </si>
  <si>
    <t>https://www.spglobal.com/mobility/en/research-analysis/briefcase-the-game-of-tariffs-ev-battery-imports.html</t>
  </si>
  <si>
    <t>Figure 1</t>
  </si>
  <si>
    <t>Notes:</t>
  </si>
  <si>
    <t>This variable affects what portion of newly sold grid battery capacity qualifies for Vehicle Battery Production subsidies,</t>
  </si>
  <si>
    <t>if relevant. We source 2022-2030 grid battery demand projections and manufacturing capacity from three sources: SEIA, ANL, and S&amp;P.</t>
  </si>
  <si>
    <t>We assume US grid battery manufacturing potential reaches 100% of demand by 2032 due to IRA incentives.</t>
  </si>
  <si>
    <t>US demand for BESS</t>
  </si>
  <si>
    <t>GWh</t>
  </si>
  <si>
    <t>US manufacturing capacity for for battery cells</t>
  </si>
  <si>
    <t>(pulled from image)</t>
  </si>
  <si>
    <t>Share of capacity dedicated to non-automotive applications (primarily BESS)</t>
  </si>
  <si>
    <t>* assumes the same ratio of unannounced applications will be BESS as announced applications</t>
  </si>
  <si>
    <t>Approximate US manufacturing capacity for BESS</t>
  </si>
  <si>
    <t>Share of US BESS demand that can be met with domestic manufacturing</t>
  </si>
  <si>
    <t>Manufacturing  capacity</t>
  </si>
  <si>
    <t>Demand</t>
  </si>
  <si>
    <t>Dmnl</t>
  </si>
  <si>
    <t>Fraction of Grid Batteries Produced Domestically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</si>
</sst>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/>
    <xf numFmtId="1" fontId="1" fillId="0" borderId="0" xfId="0" applyNumberFormat="1" applyFont="1"/>
    <xf numFmtId="9" fontId="1" fillId="2" borderId="0" xfId="1" applyFont="1" applyFill="1"/>
    <xf numFmtId="0" fontId="0" fillId="3" borderId="0" xfId="0" applyFill="1"/>
    <xf numFmtId="2" fontId="0" fillId="0" borderId="0" xfId="0" applyNumberForma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10</xdr:col>
      <xdr:colOff>457201</xdr:colOff>
      <xdr:row>17</xdr:row>
      <xdr:rowOff>132094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3C95A-CB9F-4507-0FCD-B5FBA4BAE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80975"/>
          <a:ext cx="5943600" cy="3027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</xdr:row>
      <xdr:rowOff>1</xdr:rowOff>
    </xdr:from>
    <xdr:to>
      <xdr:col>10</xdr:col>
      <xdr:colOff>457200</xdr:colOff>
      <xdr:row>39</xdr:row>
      <xdr:rowOff>171692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1E5C1B-9A69-9AE7-2A3B-B00561719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3438526"/>
          <a:ext cx="5943600" cy="37911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12</xdr:col>
      <xdr:colOff>239094</xdr:colOff>
      <xdr:row>24</xdr:row>
      <xdr:rowOff>581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1F8C2-D542-0E47-8169-B020B75AB3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944694" cy="41630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8</xdr:col>
      <xdr:colOff>0</xdr:colOff>
      <xdr:row>42</xdr:row>
      <xdr:rowOff>121344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EF3E32-DA8B-577D-4F15-5CD46426C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705350"/>
          <a:ext cx="4267200" cy="30232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32"/>
  <sheetViews>
    <sheetView workbookViewId="0">
      <selection activeCell="B5" sqref="B5"/>
    </sheetView>
  </sheetViews>
  <sheetFormatPr defaultRowHeight="14.4" x14ac:dyDescent="0.3"/>
  <cols>
    <col min="2" max="2" width="101.33203125" customWidth="1"/>
  </cols>
  <sheetData>
    <row r="1" spans="1:2" x14ac:dyDescent="0.3">
      <c r="A1" s="1" t="s">
        <v>0</v>
      </c>
    </row>
    <row r="3" spans="1:2" x14ac:dyDescent="0.3">
      <c r="A3" s="1" t="s">
        <v>1</v>
      </c>
      <c r="B3" s="8" t="s">
        <v>2</v>
      </c>
    </row>
    <row r="4" spans="1:2" x14ac:dyDescent="0.3">
      <c r="B4" s="2">
        <v>2023</v>
      </c>
    </row>
    <row r="5" spans="1:2" x14ac:dyDescent="0.3">
      <c r="B5" s="2" t="s">
        <v>3</v>
      </c>
    </row>
    <row r="6" spans="1:2" x14ac:dyDescent="0.3">
      <c r="B6" t="s">
        <v>4</v>
      </c>
    </row>
    <row r="7" spans="1:2" x14ac:dyDescent="0.3">
      <c r="B7" t="s">
        <v>5</v>
      </c>
    </row>
    <row r="8" spans="1:2" x14ac:dyDescent="0.3">
      <c r="A8" s="1"/>
    </row>
    <row r="9" spans="1:2" x14ac:dyDescent="0.3">
      <c r="A9" s="1"/>
      <c r="B9" s="8" t="s">
        <v>6</v>
      </c>
    </row>
    <row r="10" spans="1:2" x14ac:dyDescent="0.3">
      <c r="A10" s="1"/>
      <c r="B10" s="2">
        <v>2024</v>
      </c>
    </row>
    <row r="11" spans="1:2" x14ac:dyDescent="0.3">
      <c r="A11" s="1"/>
      <c r="B11" t="s">
        <v>7</v>
      </c>
    </row>
    <row r="12" spans="1:2" x14ac:dyDescent="0.3">
      <c r="A12" s="1"/>
      <c r="B12" t="s">
        <v>8</v>
      </c>
    </row>
    <row r="13" spans="1:2" x14ac:dyDescent="0.3">
      <c r="A13" s="1"/>
      <c r="B13" t="s">
        <v>9</v>
      </c>
    </row>
    <row r="14" spans="1:2" x14ac:dyDescent="0.3">
      <c r="A14" s="1"/>
    </row>
    <row r="15" spans="1:2" x14ac:dyDescent="0.3">
      <c r="A15" s="1"/>
      <c r="B15" s="8" t="s">
        <v>6</v>
      </c>
    </row>
    <row r="16" spans="1:2" x14ac:dyDescent="0.3">
      <c r="A16" s="1"/>
      <c r="B16" s="2">
        <v>2024</v>
      </c>
    </row>
    <row r="17" spans="1:2" x14ac:dyDescent="0.3">
      <c r="A17" s="1"/>
      <c r="B17" t="s">
        <v>10</v>
      </c>
    </row>
    <row r="18" spans="1:2" x14ac:dyDescent="0.3">
      <c r="A18" s="1"/>
      <c r="B18" t="s">
        <v>11</v>
      </c>
    </row>
    <row r="19" spans="1:2" x14ac:dyDescent="0.3">
      <c r="A19" s="1"/>
      <c r="B19" t="s">
        <v>12</v>
      </c>
    </row>
    <row r="20" spans="1:2" x14ac:dyDescent="0.3">
      <c r="A20" s="1"/>
    </row>
    <row r="21" spans="1:2" x14ac:dyDescent="0.3">
      <c r="A21" s="1"/>
      <c r="B21" s="8" t="s">
        <v>13</v>
      </c>
    </row>
    <row r="22" spans="1:2" x14ac:dyDescent="0.3">
      <c r="A22" s="1"/>
      <c r="B22" s="2">
        <v>2024</v>
      </c>
    </row>
    <row r="23" spans="1:2" x14ac:dyDescent="0.3">
      <c r="A23" s="1"/>
      <c r="B23" t="s">
        <v>14</v>
      </c>
    </row>
    <row r="24" spans="1:2" x14ac:dyDescent="0.3">
      <c r="A24" s="1"/>
      <c r="B24" t="s">
        <v>15</v>
      </c>
    </row>
    <row r="25" spans="1:2" x14ac:dyDescent="0.3">
      <c r="A25" s="1"/>
      <c r="B25" t="s">
        <v>16</v>
      </c>
    </row>
    <row r="26" spans="1:2" x14ac:dyDescent="0.3">
      <c r="A26" s="1"/>
    </row>
    <row r="27" spans="1:2" x14ac:dyDescent="0.3">
      <c r="A27" s="1"/>
    </row>
    <row r="28" spans="1:2" x14ac:dyDescent="0.3">
      <c r="A28" s="1" t="s">
        <v>17</v>
      </c>
    </row>
    <row r="29" spans="1:2" x14ac:dyDescent="0.3">
      <c r="A29" t="s">
        <v>18</v>
      </c>
    </row>
    <row r="30" spans="1:2" x14ac:dyDescent="0.3">
      <c r="A30" t="s">
        <v>19</v>
      </c>
    </row>
    <row r="32" spans="1:2" x14ac:dyDescent="0.3">
      <c r="A3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56871-96FC-47A8-BE1A-65358738DEAC}">
  <dimension ref="L2:O33"/>
  <sheetViews>
    <sheetView topLeftCell="L32" workbookViewId="0">
      <selection activeCell="L32" sqref="L32"/>
    </sheetView>
  </sheetViews>
  <sheetFormatPr defaultRowHeight="14.4" x14ac:dyDescent="0.3"/>
  <sheetData>
    <row r="2" spans="12:14" x14ac:dyDescent="0.3">
      <c r="L2" t="s">
        <v>21</v>
      </c>
    </row>
    <row r="3" spans="12:14" x14ac:dyDescent="0.3">
      <c r="L3">
        <v>2022</v>
      </c>
      <c r="M3">
        <v>18</v>
      </c>
      <c r="N3" t="s">
        <v>22</v>
      </c>
    </row>
    <row r="4" spans="12:14" x14ac:dyDescent="0.3">
      <c r="L4">
        <v>2030</v>
      </c>
      <c r="M4" s="1">
        <v>119</v>
      </c>
      <c r="N4" t="s">
        <v>22</v>
      </c>
    </row>
    <row r="21" spans="12:15" x14ac:dyDescent="0.3">
      <c r="L21" t="s">
        <v>23</v>
      </c>
    </row>
    <row r="22" spans="12:15" x14ac:dyDescent="0.3">
      <c r="L22">
        <v>2022</v>
      </c>
      <c r="M22">
        <v>60</v>
      </c>
      <c r="N22" t="s">
        <v>22</v>
      </c>
    </row>
    <row r="23" spans="12:15" x14ac:dyDescent="0.3">
      <c r="L23">
        <v>2030</v>
      </c>
      <c r="M23">
        <v>773</v>
      </c>
      <c r="N23" t="s">
        <v>22</v>
      </c>
      <c r="O23" t="s">
        <v>24</v>
      </c>
    </row>
    <row r="25" spans="12:15" x14ac:dyDescent="0.3">
      <c r="L25" t="s">
        <v>25</v>
      </c>
    </row>
    <row r="26" spans="12:15" x14ac:dyDescent="0.3">
      <c r="L26">
        <v>2030</v>
      </c>
      <c r="M26" s="4">
        <f>0.1+0.1/0.75*0.25</f>
        <v>0.13333333333333333</v>
      </c>
    </row>
    <row r="27" spans="12:15" x14ac:dyDescent="0.3">
      <c r="L27" s="5" t="s">
        <v>26</v>
      </c>
    </row>
    <row r="29" spans="12:15" x14ac:dyDescent="0.3">
      <c r="L29" t="s">
        <v>27</v>
      </c>
    </row>
    <row r="30" spans="12:15" x14ac:dyDescent="0.3">
      <c r="L30">
        <v>2030</v>
      </c>
      <c r="M30" s="6">
        <f>M23*M26</f>
        <v>103.06666666666666</v>
      </c>
      <c r="N30" t="s">
        <v>22</v>
      </c>
    </row>
    <row r="32" spans="12:15" x14ac:dyDescent="0.3">
      <c r="L32" t="s">
        <v>28</v>
      </c>
    </row>
    <row r="33" spans="12:13" x14ac:dyDescent="0.3">
      <c r="L33">
        <v>2030</v>
      </c>
      <c r="M33" s="7">
        <f>M30/M4</f>
        <v>0.86610644257703073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FB018-EAB2-4AB3-B95C-024DA6C229C7}">
  <dimension ref="J6:O32"/>
  <sheetViews>
    <sheetView workbookViewId="0">
      <selection activeCell="J33" sqref="J33"/>
    </sheetView>
  </sheetViews>
  <sheetFormatPr defaultRowHeight="14.4" x14ac:dyDescent="0.3"/>
  <sheetData>
    <row r="6" spans="14:15" x14ac:dyDescent="0.3">
      <c r="N6" t="s">
        <v>29</v>
      </c>
    </row>
    <row r="7" spans="14:15" x14ac:dyDescent="0.3">
      <c r="N7">
        <v>2022</v>
      </c>
      <c r="O7">
        <f>0+32</f>
        <v>32</v>
      </c>
    </row>
    <row r="8" spans="14:15" x14ac:dyDescent="0.3">
      <c r="N8">
        <v>2030</v>
      </c>
      <c r="O8">
        <f>65+45</f>
        <v>110</v>
      </c>
    </row>
    <row r="27" spans="10:12" x14ac:dyDescent="0.3">
      <c r="J27" t="s">
        <v>30</v>
      </c>
    </row>
    <row r="28" spans="10:12" x14ac:dyDescent="0.3">
      <c r="J28">
        <v>2022</v>
      </c>
      <c r="K28">
        <f>98-84.5</f>
        <v>13.5</v>
      </c>
      <c r="L28" t="s">
        <v>22</v>
      </c>
    </row>
    <row r="29" spans="10:12" x14ac:dyDescent="0.3">
      <c r="J29">
        <v>2030</v>
      </c>
      <c r="K29">
        <v>115</v>
      </c>
      <c r="L29" t="s">
        <v>22</v>
      </c>
    </row>
    <row r="31" spans="10:12" x14ac:dyDescent="0.3">
      <c r="J31" t="s">
        <v>28</v>
      </c>
    </row>
    <row r="32" spans="10:12" x14ac:dyDescent="0.3">
      <c r="J32">
        <v>2030</v>
      </c>
      <c r="K32" s="7">
        <f>O8/K29</f>
        <v>0.95652173913043481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F2"/>
  <sheetViews>
    <sheetView tabSelected="1" workbookViewId="0">
      <selection activeCell="B2" sqref="B2"/>
    </sheetView>
  </sheetViews>
  <sheetFormatPr defaultRowHeight="14.4" x14ac:dyDescent="0.3"/>
  <cols>
    <col min="1" max="2" width="31.5546875" customWidth="1"/>
    <col min="7" max="7" width="10.44140625" bestFit="1" customWidth="1"/>
  </cols>
  <sheetData>
    <row r="1" spans="1:32" x14ac:dyDescent="0.3">
      <c r="A1" t="s">
        <v>31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s="3" customFormat="1" ht="28.8" x14ac:dyDescent="0.3">
      <c r="A2" s="3" t="s">
        <v>32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0BA8072-8EA2-489F-8FAA-915C148F3C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B9E03C-B02E-4F62-B9A9-88B9D23188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CBEA3EE-0453-43D0-A6CD-1E20C43B89E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SEIA</vt:lpstr>
      <vt:lpstr>Argonne</vt:lpstr>
      <vt:lpstr>FoGBPD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Rachel Goldstein</cp:lastModifiedBy>
  <cp:revision/>
  <dcterms:created xsi:type="dcterms:W3CDTF">2023-05-03T18:24:38Z</dcterms:created>
  <dcterms:modified xsi:type="dcterms:W3CDTF">2025-04-23T14:01:47Z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