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ry Francis Swint\Vensim\eps-indonesia\InputData\bldgs\SYCEU\"/>
    </mc:Choice>
  </mc:AlternateContent>
  <xr:revisionPtr revIDLastSave="0" documentId="13_ncr:1_{B2146E35-F6D9-4AC5-A513-C6D8BF5FEA43}" xr6:coauthVersionLast="47" xr6:coauthVersionMax="47" xr10:uidLastSave="{00000000-0000-0000-0000-000000000000}"/>
  <bookViews>
    <workbookView xWindow="-120" yWindow="-120" windowWidth="29040" windowHeight="15720" firstSheet="3" activeTab="6" xr2:uid="{00000000-000D-0000-FFFF-FFFF00000000}"/>
  </bookViews>
  <sheets>
    <sheet name="About" sheetId="1" r:id="rId1"/>
    <sheet name="MAPPING" sheetId="2" r:id="rId2"/>
    <sheet name="Electricity Residential" sheetId="3" r:id="rId3"/>
    <sheet name="Energy in Residential" sheetId="4" r:id="rId4"/>
    <sheet name="Energy in Commercial" sheetId="5" r:id="rId5"/>
    <sheet name="LEAP projection" sheetId="6" r:id="rId6"/>
    <sheet name="SYCEU-urban-residential" sheetId="7" r:id="rId7"/>
    <sheet name="SYCEU-rural-residential" sheetId="8" r:id="rId8"/>
    <sheet name="SYCEU-commercial" sheetId="9" r:id="rId9"/>
  </sheets>
  <definedNames>
    <definedName name="Table4">#REF!</definedName>
    <definedName name="Table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URhzdICsA1HrWYJc1JBFxPxdaSRw3JUgfsbpji40EU="/>
    </ext>
  </extLst>
</workbook>
</file>

<file path=xl/calcChain.xml><?xml version="1.0" encoding="utf-8"?>
<calcChain xmlns="http://schemas.openxmlformats.org/spreadsheetml/2006/main">
  <c r="G11" i="9" l="1"/>
  <c r="F11" i="9"/>
  <c r="E11" i="9"/>
  <c r="D11" i="9"/>
  <c r="C11" i="9"/>
  <c r="B11" i="9"/>
  <c r="G10" i="9"/>
  <c r="E10" i="9"/>
  <c r="D10" i="9"/>
  <c r="C10" i="9"/>
  <c r="B10" i="9"/>
  <c r="G9" i="9"/>
  <c r="F9" i="9"/>
  <c r="E9" i="9"/>
  <c r="D9" i="9"/>
  <c r="C9" i="9"/>
  <c r="B9" i="9"/>
  <c r="G8" i="9"/>
  <c r="E8" i="9"/>
  <c r="D8" i="9"/>
  <c r="C8" i="9"/>
  <c r="B8" i="9"/>
  <c r="G7" i="9"/>
  <c r="E7" i="9"/>
  <c r="D7" i="9"/>
  <c r="C7" i="9"/>
  <c r="B7" i="9"/>
  <c r="G6" i="9"/>
  <c r="F6" i="9"/>
  <c r="E6" i="9"/>
  <c r="D6" i="9"/>
  <c r="C6" i="9"/>
  <c r="B6" i="9"/>
  <c r="G5" i="9"/>
  <c r="F5" i="9"/>
  <c r="E5" i="9"/>
  <c r="D5" i="9"/>
  <c r="C5" i="9"/>
  <c r="B5" i="9"/>
  <c r="G4" i="9"/>
  <c r="E4" i="9"/>
  <c r="D4" i="9"/>
  <c r="C4" i="9"/>
  <c r="B4" i="9"/>
  <c r="G3" i="9"/>
  <c r="F3" i="9"/>
  <c r="E3" i="9"/>
  <c r="D3" i="9"/>
  <c r="C3" i="9"/>
  <c r="B3" i="9"/>
  <c r="D2" i="9"/>
  <c r="B2" i="9"/>
  <c r="F10" i="8"/>
  <c r="E8" i="8"/>
  <c r="F7" i="8"/>
  <c r="F4" i="8"/>
  <c r="G2" i="8"/>
  <c r="F2" i="8"/>
  <c r="E2" i="8"/>
  <c r="C2" i="8"/>
  <c r="F10" i="7"/>
  <c r="F4" i="7"/>
  <c r="G2" i="7"/>
  <c r="F2" i="7"/>
  <c r="E2" i="7"/>
  <c r="C2" i="7"/>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c r="E50" i="6"/>
  <c r="D50" i="6"/>
  <c r="C50" i="6"/>
  <c r="F29" i="5"/>
  <c r="F10" i="9" s="1"/>
  <c r="F28" i="5"/>
  <c r="F24" i="5"/>
  <c r="F23" i="5"/>
  <c r="F4" i="9" s="1"/>
  <c r="F16" i="5"/>
  <c r="G21" i="5" s="1"/>
  <c r="G2" i="9" s="1"/>
  <c r="E16" i="5"/>
  <c r="E21" i="5" s="1"/>
  <c r="E2" i="9" s="1"/>
  <c r="D16" i="5"/>
  <c r="F21" i="5" s="1"/>
  <c r="F2" i="9" s="1"/>
  <c r="J7" i="5"/>
  <c r="B16" i="5" s="1"/>
  <c r="C21" i="5" s="1"/>
  <c r="C2" i="9" s="1"/>
  <c r="I7" i="5"/>
  <c r="G7" i="5"/>
  <c r="F7" i="5"/>
  <c r="E7" i="5"/>
  <c r="D7" i="5"/>
  <c r="F27" i="5" s="1"/>
  <c r="F8" i="9" s="1"/>
  <c r="C7" i="5"/>
  <c r="B5" i="5"/>
  <c r="B7" i="5" s="1"/>
  <c r="F26" i="5" s="1"/>
  <c r="F7" i="9" s="1"/>
  <c r="F26" i="4"/>
  <c r="M17" i="4"/>
  <c r="G17" i="4"/>
  <c r="E17" i="4"/>
  <c r="L17" i="4" s="1"/>
  <c r="C33" i="4" s="1"/>
  <c r="D17" i="4"/>
  <c r="K17" i="4" s="1"/>
  <c r="E32" i="4" s="1"/>
  <c r="C17" i="4"/>
  <c r="J17" i="4" s="1"/>
  <c r="C31" i="4" s="1"/>
  <c r="B17" i="4"/>
  <c r="I17" i="4" s="1"/>
  <c r="C30" i="4" s="1"/>
  <c r="M16" i="4"/>
  <c r="C25" i="4" s="1"/>
  <c r="L16" i="4"/>
  <c r="C24" i="4" s="1"/>
  <c r="K16" i="4"/>
  <c r="G16" i="4"/>
  <c r="F16" i="4"/>
  <c r="E16" i="4"/>
  <c r="C16" i="4"/>
  <c r="J16" i="4" s="1"/>
  <c r="C22" i="4" s="1"/>
  <c r="M11" i="4"/>
  <c r="L11" i="4"/>
  <c r="K11" i="4"/>
  <c r="J11" i="4"/>
  <c r="I11" i="4"/>
  <c r="I16" i="4" s="1"/>
  <c r="A36" i="3"/>
  <c r="D35" i="3"/>
  <c r="F35" i="4" s="1"/>
  <c r="D34" i="3"/>
  <c r="E26" i="4" s="1"/>
  <c r="D28" i="3"/>
  <c r="D26" i="4" s="1"/>
  <c r="D26" i="3"/>
  <c r="C26" i="4" s="1"/>
  <c r="D24" i="3"/>
  <c r="B26" i="4" s="1"/>
  <c r="D35" i="4" l="1"/>
  <c r="B35" i="4"/>
  <c r="C35" i="4"/>
  <c r="E3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400-000001000000}">
      <text>
        <r>
          <rPr>
            <sz val="11"/>
            <color theme="1"/>
            <rFont val="Arial"/>
            <scheme val="minor"/>
          </rPr>
          <t>======
ID#AAAA_6salfQ
Soyoung Oh    (2023-11-07 20:37:07)
IDO is included in fuel oil's 'other'
------
ID#AAAA9lHbJsQ
Soyoung Oh    (2023-11-07 23:36:56)
Industrial Diesel Oil (IDO)
A type of diesel oil used as fuel in low or medium-speed industrial diesel
engine (and marine engine).</t>
        </r>
      </text>
    </comment>
  </commentList>
  <extLst>
    <ext xmlns:r="http://schemas.openxmlformats.org/officeDocument/2006/relationships" uri="GoogleSheetsCustomDataVersion2">
      <go:sheetsCustomData xmlns:go="http://customooxmlschemas.google.com/" r:id="rId1" roundtripDataSignature="AMtx7mgwvg5zTncMR0zQ45tPgz5VZeFfYw=="/>
    </ext>
  </extLst>
</comments>
</file>

<file path=xl/sharedStrings.xml><?xml version="1.0" encoding="utf-8"?>
<sst xmlns="http://schemas.openxmlformats.org/spreadsheetml/2006/main" count="351" uniqueCount="143">
  <si>
    <t>BCEU BAU Components Energy Use</t>
  </si>
  <si>
    <t>Sources:</t>
  </si>
  <si>
    <t>Energy Consumption in Residential (Household) Sector</t>
  </si>
  <si>
    <t>ESDM</t>
  </si>
  <si>
    <t>Handbook of Energy and Economic Statistics of Indonesia</t>
  </si>
  <si>
    <t xml:space="preserve">https://www.esdm.go.id/id/publikasi/handbook-of-energy-economic-statistics-of-indonesia </t>
  </si>
  <si>
    <t>Table 5.2.2</t>
  </si>
  <si>
    <t>Energy End-Use Assumptions</t>
  </si>
  <si>
    <t>Indonesia Energy Outlook</t>
  </si>
  <si>
    <t xml:space="preserve">https://www.esdm.go.id/assets/media/content/content-indonesia-energy-outlook-2019-english-version.pdf </t>
  </si>
  <si>
    <t>Urbanization Rate</t>
  </si>
  <si>
    <t>Badan Pusat Statistik</t>
  </si>
  <si>
    <t xml:space="preserve">https://www.bps.go.id/statictable/2014/02/18/1276/persentase-penduduk-daerah-perkotaan-hasil-proyeksi-penduduk-menurut-provinsi-2015---2035.html </t>
  </si>
  <si>
    <t>Residential End Use Data</t>
  </si>
  <si>
    <t>CLASP and Ipsos</t>
  </si>
  <si>
    <t>Indonesia Residential End Use Survey</t>
  </si>
  <si>
    <t>https://www.clasp.ngo/wp-content/uploads/2021/01/Indonesia-Residential-End-Use-Survey.pdf</t>
  </si>
  <si>
    <t>Commercial End Use Percentage</t>
  </si>
  <si>
    <t>Kalkulator 2050</t>
  </si>
  <si>
    <t>discontinued, but data is taken from previous version of Indonesia EPS</t>
  </si>
  <si>
    <t>Notes:</t>
  </si>
  <si>
    <t>How data is processed and projected</t>
  </si>
  <si>
    <t>Energy consumption in residential and commercial sector data is available in HEESI 2019 with corresponding energy source, but end-use is not specified. To find the end-use fraction in residential area, some assumption are taken (see 'MAPPING' sheet for details) based on notes in Indonesia Energy Outlook. To verify the assumptions, Welfare Statistics 2019 (BPS) that shows fraction of end-use (not final energy demand) was also checked. Whereas for commercial sector, there is no report found, therefore the  end-use fraction are taken from processing the old data (previous EPS used Kalkulator 2050 that was discontinued). The end-use 'cooking' is categorized as 'appliances'.</t>
  </si>
  <si>
    <t>Reformatted to v3 of file format. There was already many zeros highlighted in red, so left all to those.</t>
  </si>
  <si>
    <t>Also, noting that the US file format included a variable for "Start year = 2019" on the About page. Not included in this file.</t>
  </si>
  <si>
    <t>In Urban Residential, biogas was combined with natural gas.</t>
  </si>
  <si>
    <t>Residential values are from the LEAP projection data</t>
  </si>
  <si>
    <t>Commercial values are from the Handbook of Energy and Economic Statistics of Indonesia</t>
  </si>
  <si>
    <t xml:space="preserve">Categorized gas oil and industrial diesel oil as ‘appliances’ and biogas oil as ‘other’. </t>
  </si>
  <si>
    <t>Urban residential</t>
  </si>
  <si>
    <t>cooling</t>
  </si>
  <si>
    <t>cooking</t>
  </si>
  <si>
    <t>appliances</t>
  </si>
  <si>
    <t>lighting</t>
  </si>
  <si>
    <t>other</t>
  </si>
  <si>
    <t>heating</t>
  </si>
  <si>
    <t>biomass</t>
  </si>
  <si>
    <t>gas</t>
  </si>
  <si>
    <t>v</t>
  </si>
  <si>
    <t>kerosene</t>
  </si>
  <si>
    <t>lpg</t>
  </si>
  <si>
    <t>biogas</t>
  </si>
  <si>
    <t>electricity</t>
  </si>
  <si>
    <t>Rural residential</t>
  </si>
  <si>
    <t xml:space="preserve"> </t>
  </si>
  <si>
    <t>year: 2019</t>
  </si>
  <si>
    <t>electricity, by end use</t>
  </si>
  <si>
    <t>GWh</t>
  </si>
  <si>
    <t>Category in CLASP</t>
  </si>
  <si>
    <t>Category in EPS</t>
  </si>
  <si>
    <t>Total in EPS</t>
  </si>
  <si>
    <t>This data is then divided for urban and rural use based on urbanization rate (electricity end-use % consumption rate is assumed to be the same)</t>
  </si>
  <si>
    <t>air conditioner</t>
  </si>
  <si>
    <t>electric fan</t>
  </si>
  <si>
    <t>refrigerator</t>
  </si>
  <si>
    <t>rice cooker/warmer</t>
  </si>
  <si>
    <t>television</t>
  </si>
  <si>
    <t>other 32 appliances</t>
  </si>
  <si>
    <t>iron</t>
  </si>
  <si>
    <t>washing machine</t>
  </si>
  <si>
    <t>dispenser</t>
  </si>
  <si>
    <t>Total electricity consumption in household (2019)</t>
  </si>
  <si>
    <t>water pump</t>
  </si>
  <si>
    <t xml:space="preserve">PLN 2019: </t>
  </si>
  <si>
    <t>HEESI 2019:</t>
  </si>
  <si>
    <t>uncategorized</t>
  </si>
  <si>
    <t>conclusion: data is valid since the difference between 2 sources is low</t>
  </si>
  <si>
    <t>modulus (unmatch between PLN and HSEE)</t>
  </si>
  <si>
    <t>Energy consumption in household sector (HEESI, 2019)</t>
  </si>
  <si>
    <t>year</t>
  </si>
  <si>
    <t>biomass (thousand ton)</t>
  </si>
  <si>
    <t>gas (mmscf)</t>
  </si>
  <si>
    <t>kerosene (kilo liter)</t>
  </si>
  <si>
    <t>LPG (thousand ton)</t>
  </si>
  <si>
    <t>biogas (thousand m3)</t>
  </si>
  <si>
    <t>electricity (GWh)</t>
  </si>
  <si>
    <t>n.a</t>
  </si>
  <si>
    <t>Urban Households (%)</t>
  </si>
  <si>
    <t>Rural Households (%)</t>
  </si>
  <si>
    <t>conversion factor from original to btu (HEESI, 2019)</t>
  </si>
  <si>
    <t>original unit</t>
  </si>
  <si>
    <t>in btu</t>
  </si>
  <si>
    <t>urban</t>
  </si>
  <si>
    <t>rural</t>
  </si>
  <si>
    <t>Thousand ton</t>
  </si>
  <si>
    <t>MMSCF</t>
  </si>
  <si>
    <t>Kilo liter</t>
  </si>
  <si>
    <t>gasoil CN 48 (kilo liter)</t>
  </si>
  <si>
    <t>biogasoil (kilo liter)</t>
  </si>
  <si>
    <t>IDO</t>
  </si>
  <si>
    <t>total fuel (kilo liter)</t>
  </si>
  <si>
    <t>lpg (thousand ton)</t>
  </si>
  <si>
    <t>Thousand BOE</t>
  </si>
  <si>
    <t>BTU</t>
  </si>
  <si>
    <t>BOE</t>
  </si>
  <si>
    <t>Source: Handbook of Energy and Economic Statistics of Indonesia 2021.pdf</t>
  </si>
  <si>
    <t>LEAP Projection example for 2019</t>
  </si>
  <si>
    <t>Commercial</t>
  </si>
  <si>
    <t xml:space="preserve">   Cooking</t>
  </si>
  <si>
    <t xml:space="preserve">      LPG</t>
  </si>
  <si>
    <t>fraction for electricity</t>
  </si>
  <si>
    <t xml:space="preserve">   lighting</t>
  </si>
  <si>
    <t>Based on the LEAP projection categorization, LPG was used for cooking; electricity was used for lighting, appliances, cooling, and other (divided by the ratio); fuel oil (kerosene, gasoil, biogasoil, IDO) was used for appliances</t>
  </si>
  <si>
    <t xml:space="preserve">      electricity</t>
  </si>
  <si>
    <t xml:space="preserve">   appliances</t>
  </si>
  <si>
    <t>Year</t>
  </si>
  <si>
    <t>cooling &amp; ventilation</t>
  </si>
  <si>
    <t>envelope</t>
  </si>
  <si>
    <t xml:space="preserve">      gas</t>
  </si>
  <si>
    <t>electricity (BTU)</t>
  </si>
  <si>
    <t xml:space="preserve">      fuel oil</t>
  </si>
  <si>
    <t>coal (BTU)</t>
  </si>
  <si>
    <t xml:space="preserve">      Electricity</t>
  </si>
  <si>
    <t>natural gas (BTU)</t>
  </si>
  <si>
    <t xml:space="preserve">   cooling</t>
  </si>
  <si>
    <t>petroleum diesel (BTU)</t>
  </si>
  <si>
    <t>heat (BTU)</t>
  </si>
  <si>
    <t xml:space="preserve">   other</t>
  </si>
  <si>
    <t>biomass (BTU)</t>
  </si>
  <si>
    <t>kerosene (BTU)</t>
  </si>
  <si>
    <t>heavy or residual fuel oil (BTU)</t>
  </si>
  <si>
    <t>LPG propane or butane (BTU)</t>
  </si>
  <si>
    <t>hydrogen (BTU)</t>
  </si>
  <si>
    <t>Energy Demand Final Units</t>
  </si>
  <si>
    <t>Scenario: BAU, All Fuels</t>
  </si>
  <si>
    <t>Branch: Demand</t>
  </si>
  <si>
    <t>Units: British Thermal Units</t>
  </si>
  <si>
    <t>Branch</t>
  </si>
  <si>
    <t>Residential</t>
  </si>
  <si>
    <t xml:space="preserve">   Rural</t>
  </si>
  <si>
    <t xml:space="preserve">      cooking</t>
  </si>
  <si>
    <t xml:space="preserve">         Biomass</t>
  </si>
  <si>
    <t xml:space="preserve">         LPG</t>
  </si>
  <si>
    <t xml:space="preserve">         gas</t>
  </si>
  <si>
    <t xml:space="preserve">         Electricity</t>
  </si>
  <si>
    <t xml:space="preserve">      lighting</t>
  </si>
  <si>
    <t xml:space="preserve">         Kerosene</t>
  </si>
  <si>
    <t xml:space="preserve">      appliances</t>
  </si>
  <si>
    <t xml:space="preserve">         electricity</t>
  </si>
  <si>
    <t xml:space="preserve">      cooling</t>
  </si>
  <si>
    <t xml:space="preserve">      other</t>
  </si>
  <si>
    <t xml:space="preserve">   Urban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</si>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</sst>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
    <numFmt numFmtId="165" formatCode="0.000"/>
    <numFmt numFmtId="166" formatCode="0.00000.E+00"/>
    <numFmt numFmtId="167" formatCode="0.0000.E+00"/>
    <numFmt numFmtId="168" formatCode="0.000.E+00"/>
  </numFmts>
  <fonts count="16" x14ac:knownFonts="1">
    <font>
      <sz val="11"/>
      <color theme="1"/>
      <name val="Arial"/>
      <scheme val="minor"/>
    </font>
    <font>
      <b/>
      <sz val="11"/>
      <color theme="1"/>
      <name val="Calibri"/>
      <family val="2"/>
    </font>
    <font>
      <sz val="11"/>
      <name val="Arial"/>
      <family val="2"/>
    </font>
    <font>
      <sz val="11"/>
      <color theme="1"/>
      <name val="Calibri"/>
      <family val="2"/>
    </font>
    <font>
      <u/>
      <sz val="11"/>
      <color theme="10"/>
      <name val="Arial"/>
      <family val="2"/>
    </font>
    <font>
      <u/>
      <sz val="11"/>
      <color theme="10"/>
      <name val="Arial"/>
      <family val="2"/>
    </font>
    <font>
      <sz val="11"/>
      <color theme="1"/>
      <name val="Arial"/>
      <family val="2"/>
    </font>
    <font>
      <sz val="11"/>
      <color theme="1"/>
      <name val="Arial"/>
      <family val="2"/>
      <scheme val="minor"/>
    </font>
    <font>
      <b/>
      <u/>
      <sz val="11"/>
      <color theme="1"/>
      <name val="Calibri"/>
      <family val="2"/>
    </font>
    <font>
      <sz val="10"/>
      <color rgb="FF000000"/>
      <name val="Arial"/>
      <family val="2"/>
    </font>
    <font>
      <b/>
      <sz val="10"/>
      <color theme="1"/>
      <name val="Calibri"/>
      <family val="2"/>
    </font>
    <font>
      <sz val="10"/>
      <color theme="1"/>
      <name val="Calibri"/>
      <family val="2"/>
    </font>
    <font>
      <sz val="11"/>
      <color rgb="FF000000"/>
      <name val="Calibri"/>
      <family val="2"/>
    </font>
    <font>
      <b/>
      <sz val="11"/>
      <color rgb="FF000000"/>
      <name val="Calibri"/>
      <family val="2"/>
    </font>
    <font>
      <sz val="11"/>
      <color rgb="FF000000"/>
      <name val="Arial"/>
      <family val="2"/>
      <scheme val="minor"/>
    </font>
    <font>
      <u/>
      <sz val="11"/>
      <color theme="1"/>
      <name val="Arial"/>
      <family val="2"/>
      <scheme val="minor"/>
    </font>
  </fonts>
  <fills count="8">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E2EDFA"/>
        <bgColor rgb="FFE2EDFA"/>
      </patternFill>
    </fill>
    <fill>
      <patternFill patternType="solid">
        <fgColor rgb="FFD6E9D6"/>
        <bgColor rgb="FFD6E9D6"/>
      </patternFill>
    </fill>
    <fill>
      <patternFill patternType="solid">
        <fgColor rgb="FFCCCCCE"/>
        <bgColor rgb="FFCCCCCE"/>
      </patternFill>
    </fill>
    <fill>
      <patternFill patternType="solid">
        <fgColor rgb="FFFFFFD5"/>
        <bgColor rgb="FFFFFFD5"/>
      </patternFill>
    </fill>
  </fills>
  <borders count="13">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89">
    <xf numFmtId="0" fontId="0" fillId="0" borderId="0" xfId="0"/>
    <xf numFmtId="0" fontId="1" fillId="0" borderId="0" xfId="0" applyFont="1"/>
    <xf numFmtId="0" fontId="3" fillId="0" borderId="0" xfId="0" applyFont="1"/>
    <xf numFmtId="0" fontId="3" fillId="0" borderId="0" xfId="0" applyFont="1" applyAlignment="1">
      <alignment horizontal="left" vertical="center"/>
    </xf>
    <xf numFmtId="0" fontId="3" fillId="0" borderId="0" xfId="0" applyFont="1" applyAlignment="1">
      <alignment horizontal="left"/>
    </xf>
    <xf numFmtId="0" fontId="4" fillId="0" borderId="0" xfId="0" applyFont="1" applyAlignment="1">
      <alignment horizontal="left" vertical="center"/>
    </xf>
    <xf numFmtId="0" fontId="5" fillId="0" borderId="0" xfId="0" applyFont="1" applyAlignment="1">
      <alignment horizontal="left"/>
    </xf>
    <xf numFmtId="14" fontId="6" fillId="0" borderId="0" xfId="0" applyNumberFormat="1" applyFont="1"/>
    <xf numFmtId="0" fontId="6" fillId="0" borderId="0" xfId="0" applyFont="1"/>
    <xf numFmtId="14" fontId="7" fillId="0" borderId="0" xfId="0" applyNumberFormat="1" applyFont="1"/>
    <xf numFmtId="0" fontId="7" fillId="0" borderId="0" xfId="0" applyFont="1"/>
    <xf numFmtId="0" fontId="3" fillId="0" borderId="4" xfId="0" applyFont="1" applyBorder="1"/>
    <xf numFmtId="0" fontId="1" fillId="0" borderId="4" xfId="0" applyFont="1" applyBorder="1" applyAlignment="1">
      <alignment vertical="center"/>
    </xf>
    <xf numFmtId="0" fontId="1" fillId="0" borderId="4" xfId="0" applyFont="1" applyBorder="1" applyAlignment="1">
      <alignment horizontal="center" vertical="center"/>
    </xf>
    <xf numFmtId="0" fontId="3" fillId="0" borderId="0" xfId="0" applyFont="1" applyAlignment="1">
      <alignment vertical="center"/>
    </xf>
    <xf numFmtId="0" fontId="1" fillId="0" borderId="4" xfId="0" applyFont="1" applyBorder="1"/>
    <xf numFmtId="0" fontId="8" fillId="0" borderId="0" xfId="0" applyFont="1"/>
    <xf numFmtId="164" fontId="3" fillId="0" borderId="4" xfId="0" applyNumberFormat="1" applyFont="1" applyBorder="1"/>
    <xf numFmtId="164" fontId="3" fillId="0" borderId="0" xfId="0" applyNumberFormat="1" applyFont="1"/>
    <xf numFmtId="0" fontId="3" fillId="0" borderId="4" xfId="0" applyFont="1" applyBorder="1" applyAlignment="1">
      <alignment horizontal="center" vertical="center"/>
    </xf>
    <xf numFmtId="164" fontId="9" fillId="0" borderId="0" xfId="0" applyNumberFormat="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wrapText="1"/>
    </xf>
    <xf numFmtId="0" fontId="1" fillId="0" borderId="4" xfId="0" applyFont="1" applyBorder="1" applyAlignment="1">
      <alignment wrapText="1"/>
    </xf>
    <xf numFmtId="1" fontId="10" fillId="0" borderId="4" xfId="0" applyNumberFormat="1" applyFont="1" applyBorder="1" applyAlignment="1">
      <alignment wrapText="1"/>
    </xf>
    <xf numFmtId="3" fontId="11" fillId="0" borderId="4" xfId="0" applyNumberFormat="1" applyFont="1" applyBorder="1" applyAlignment="1">
      <alignment wrapText="1"/>
    </xf>
    <xf numFmtId="1" fontId="11" fillId="0" borderId="4" xfId="0" applyNumberFormat="1" applyFont="1" applyBorder="1" applyAlignment="1">
      <alignment wrapText="1"/>
    </xf>
    <xf numFmtId="0" fontId="11" fillId="0" borderId="4" xfId="0" applyFont="1" applyBorder="1" applyAlignment="1">
      <alignment wrapText="1"/>
    </xf>
    <xf numFmtId="165" fontId="3" fillId="0" borderId="0" xfId="0" applyNumberFormat="1" applyFont="1"/>
    <xf numFmtId="3" fontId="3" fillId="0" borderId="4" xfId="0" applyNumberFormat="1" applyFont="1" applyBorder="1"/>
    <xf numFmtId="0" fontId="1" fillId="3" borderId="8" xfId="0" applyFont="1" applyFill="1" applyBorder="1"/>
    <xf numFmtId="0" fontId="3" fillId="3" borderId="8" xfId="0" applyFont="1" applyFill="1" applyBorder="1"/>
    <xf numFmtId="166" fontId="3" fillId="0" borderId="4" xfId="0" applyNumberFormat="1" applyFont="1" applyBorder="1"/>
    <xf numFmtId="167" fontId="3" fillId="0" borderId="4" xfId="0" applyNumberFormat="1" applyFont="1" applyBorder="1"/>
    <xf numFmtId="1" fontId="3" fillId="0" borderId="4" xfId="0" applyNumberFormat="1" applyFont="1" applyBorder="1"/>
    <xf numFmtId="1" fontId="12" fillId="0" borderId="4" xfId="0" applyNumberFormat="1" applyFont="1" applyBorder="1" applyAlignment="1">
      <alignment wrapText="1"/>
    </xf>
    <xf numFmtId="1" fontId="1" fillId="0" borderId="4" xfId="0" applyNumberFormat="1" applyFont="1" applyBorder="1" applyAlignment="1">
      <alignment horizontal="right" wrapText="1"/>
    </xf>
    <xf numFmtId="0" fontId="13" fillId="0" borderId="4" xfId="0" applyFont="1" applyBorder="1" applyAlignment="1">
      <alignment wrapText="1"/>
    </xf>
    <xf numFmtId="1" fontId="12" fillId="0" borderId="4" xfId="0" applyNumberFormat="1" applyFont="1" applyBorder="1" applyAlignment="1">
      <alignment horizontal="right" wrapText="1"/>
    </xf>
    <xf numFmtId="1" fontId="1" fillId="0" borderId="4" xfId="0" applyNumberFormat="1" applyFont="1" applyBorder="1" applyAlignment="1">
      <alignment wrapText="1"/>
    </xf>
    <xf numFmtId="3" fontId="12" fillId="0" borderId="4" xfId="0" applyNumberFormat="1" applyFont="1" applyBorder="1" applyAlignment="1">
      <alignment horizontal="right" wrapText="1"/>
    </xf>
    <xf numFmtId="3" fontId="12" fillId="0" borderId="4" xfId="0" applyNumberFormat="1" applyFont="1" applyBorder="1"/>
    <xf numFmtId="0" fontId="14" fillId="0" borderId="4" xfId="0" applyFont="1" applyBorder="1"/>
    <xf numFmtId="168" fontId="12" fillId="4" borderId="4" xfId="0" applyNumberFormat="1" applyFont="1" applyFill="1" applyBorder="1" applyAlignment="1">
      <alignment horizontal="right"/>
    </xf>
    <xf numFmtId="0" fontId="3" fillId="0" borderId="0" xfId="0" applyFont="1" applyAlignment="1">
      <alignment horizontal="right"/>
    </xf>
    <xf numFmtId="0" fontId="15" fillId="0" borderId="0" xfId="0" applyFont="1"/>
    <xf numFmtId="0" fontId="3" fillId="5" borderId="0" xfId="0" applyFont="1" applyFill="1"/>
    <xf numFmtId="168" fontId="3" fillId="5" borderId="9" xfId="0" applyNumberFormat="1" applyFont="1" applyFill="1" applyBorder="1" applyAlignment="1">
      <alignment horizontal="right"/>
    </xf>
    <xf numFmtId="1" fontId="1" fillId="0" borderId="10" xfId="0" applyNumberFormat="1" applyFont="1" applyBorder="1"/>
    <xf numFmtId="1" fontId="1" fillId="0" borderId="10" xfId="0" applyNumberFormat="1" applyFont="1" applyBorder="1" applyAlignment="1">
      <alignment horizontal="center"/>
    </xf>
    <xf numFmtId="0" fontId="3" fillId="4" borderId="0" xfId="0" applyFont="1" applyFill="1"/>
    <xf numFmtId="168" fontId="3" fillId="4" borderId="0" xfId="0" applyNumberFormat="1" applyFont="1" applyFill="1" applyAlignment="1">
      <alignment horizontal="right"/>
    </xf>
    <xf numFmtId="0" fontId="1" fillId="0" borderId="6" xfId="0" applyFont="1" applyBorder="1"/>
    <xf numFmtId="168" fontId="12" fillId="0" borderId="4" xfId="0" applyNumberFormat="1" applyFont="1" applyBorder="1" applyAlignment="1">
      <alignment horizontal="right"/>
    </xf>
    <xf numFmtId="3" fontId="12" fillId="0" borderId="11" xfId="0" applyNumberFormat="1" applyFont="1" applyBorder="1" applyAlignment="1">
      <alignment horizontal="right"/>
    </xf>
    <xf numFmtId="168" fontId="12" fillId="0" borderId="12" xfId="0" applyNumberFormat="1" applyFont="1" applyBorder="1" applyAlignment="1">
      <alignment horizontal="right"/>
    </xf>
    <xf numFmtId="168" fontId="3" fillId="0" borderId="0" xfId="0" applyNumberFormat="1" applyFont="1" applyAlignment="1">
      <alignment horizontal="right"/>
    </xf>
    <xf numFmtId="10" fontId="3" fillId="0" borderId="4" xfId="0" applyNumberFormat="1" applyFont="1" applyBorder="1"/>
    <xf numFmtId="0" fontId="3" fillId="0" borderId="11" xfId="0" applyFont="1" applyBorder="1" applyAlignment="1">
      <alignment horizontal="right"/>
    </xf>
    <xf numFmtId="10" fontId="7" fillId="0" borderId="0" xfId="0" applyNumberFormat="1" applyFont="1"/>
    <xf numFmtId="0" fontId="1" fillId="0" borderId="0" xfId="0" applyFont="1" applyAlignment="1">
      <alignment horizontal="right"/>
    </xf>
    <xf numFmtId="168" fontId="12" fillId="0" borderId="0" xfId="0" applyNumberFormat="1" applyFont="1" applyAlignment="1">
      <alignment horizontal="right"/>
    </xf>
    <xf numFmtId="166" fontId="12" fillId="0" borderId="0" xfId="0" applyNumberFormat="1" applyFont="1" applyAlignment="1">
      <alignment horizontal="right"/>
    </xf>
    <xf numFmtId="168" fontId="7" fillId="0" borderId="0" xfId="0" applyNumberFormat="1" applyFont="1"/>
    <xf numFmtId="0" fontId="12" fillId="0" borderId="0" xfId="0" applyFont="1" applyAlignment="1">
      <alignment horizontal="right"/>
    </xf>
    <xf numFmtId="11" fontId="12" fillId="0" borderId="0" xfId="0" applyNumberFormat="1" applyFont="1" applyAlignment="1">
      <alignment horizontal="right"/>
    </xf>
    <xf numFmtId="0" fontId="3" fillId="6" borderId="0" xfId="0" applyFont="1" applyFill="1"/>
    <xf numFmtId="0" fontId="3" fillId="6" borderId="0" xfId="0" applyFont="1" applyFill="1" applyAlignment="1">
      <alignment horizontal="right"/>
    </xf>
    <xf numFmtId="168" fontId="3" fillId="5" borderId="0" xfId="0" applyNumberFormat="1" applyFont="1" applyFill="1" applyAlignment="1">
      <alignment horizontal="right"/>
    </xf>
    <xf numFmtId="0" fontId="3" fillId="7" borderId="0" xfId="0" applyFont="1" applyFill="1"/>
    <xf numFmtId="168" fontId="3" fillId="7" borderId="0" xfId="0" applyNumberFormat="1" applyFont="1" applyFill="1" applyAlignment="1">
      <alignment horizontal="right"/>
    </xf>
    <xf numFmtId="168" fontId="3" fillId="6" borderId="0" xfId="0" applyNumberFormat="1" applyFont="1" applyFill="1" applyAlignment="1">
      <alignment horizontal="right"/>
    </xf>
    <xf numFmtId="10" fontId="3" fillId="0" borderId="0" xfId="0" applyNumberFormat="1" applyFont="1"/>
    <xf numFmtId="4" fontId="3" fillId="0" borderId="0" xfId="0" applyNumberFormat="1" applyFont="1"/>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xf>
    <xf numFmtId="0" fontId="3" fillId="0" borderId="0" xfId="0" applyFont="1" applyAlignment="1">
      <alignment horizontal="left" vertical="top" wrapText="1"/>
    </xf>
    <xf numFmtId="0" fontId="0" fillId="0" borderId="0" xfId="0"/>
    <xf numFmtId="0" fontId="3" fillId="0" borderId="5" xfId="0" applyFont="1" applyBorder="1" applyAlignment="1">
      <alignment horizontal="center" vertical="center"/>
    </xf>
    <xf numFmtId="0" fontId="2" fillId="0" borderId="6" xfId="0" applyFont="1" applyBorder="1"/>
    <xf numFmtId="164" fontId="3" fillId="0" borderId="5" xfId="0" applyNumberFormat="1" applyFont="1" applyBorder="1" applyAlignment="1">
      <alignment horizontal="center"/>
    </xf>
    <xf numFmtId="0" fontId="1" fillId="0" borderId="0" xfId="0" applyFont="1" applyAlignment="1">
      <alignment horizontal="center" vertical="center" wrapText="1"/>
    </xf>
    <xf numFmtId="0" fontId="2" fillId="0" borderId="7" xfId="0" applyFont="1" applyBorder="1"/>
    <xf numFmtId="0" fontId="7" fillId="0" borderId="0" xfId="0" applyFont="1" applyAlignment="1">
      <alignment wrapText="1"/>
    </xf>
    <xf numFmtId="11" fontId="3" fillId="0" borderId="0" xfId="0" applyNumberFormat="1" applyFont="1"/>
    <xf numFmtId="11" fontId="7" fillId="0" borderId="0" xfId="0" applyNumberFormat="1" applyFont="1"/>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47625</xdr:rowOff>
    </xdr:from>
    <xdr:ext cx="6191250" cy="32289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ps.go.id/statictable/2014/02/18/1276/persentase-penduduk-daerah-perkotaan-hasil-proyeksi-penduduk-menurut-provinsi-2015---2035.html" TargetMode="External"/><Relationship Id="rId2" Type="http://schemas.openxmlformats.org/officeDocument/2006/relationships/hyperlink" Target="https://www.esdm.go.id/assets/media/content/content-indonesia-energy-outlook-2019-english-version.pdf" TargetMode="External"/><Relationship Id="rId1" Type="http://schemas.openxmlformats.org/officeDocument/2006/relationships/hyperlink" Target="https://www.esdm.go.id/id/publikasi/handbook-of-energy-economic-statistics-of-indonesia" TargetMode="External"/><Relationship Id="rId4" Type="http://schemas.openxmlformats.org/officeDocument/2006/relationships/hyperlink" Target="https://www.clasp.ngo/wp-content/uploads/2021/01/Indonesia-Residential-End-Use-Survey.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rive.google.com/file/d/1Jnrk1fVNw-ZgnS3Mtqk5S1QbX-HcZE3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25" defaultRowHeight="15" customHeight="1" x14ac:dyDescent="0.2"/>
  <cols>
    <col min="1" max="26" width="7.625" customWidth="1"/>
  </cols>
  <sheetData>
    <row r="1" spans="1:26" ht="14.25" customHeight="1" x14ac:dyDescent="0.25">
      <c r="A1" s="1" t="s">
        <v>0</v>
      </c>
    </row>
    <row r="2" spans="1:26" ht="14.25" customHeight="1" x14ac:dyDescent="0.2"/>
    <row r="3" spans="1:26" ht="14.25" customHeight="1" x14ac:dyDescent="0.25">
      <c r="A3" s="1" t="s">
        <v>1</v>
      </c>
      <c r="B3" s="75" t="s">
        <v>2</v>
      </c>
      <c r="C3" s="76"/>
      <c r="D3" s="76"/>
      <c r="E3" s="76"/>
      <c r="F3" s="76"/>
      <c r="G3" s="77"/>
    </row>
    <row r="4" spans="1:26" ht="14.25" customHeight="1" x14ac:dyDescent="0.25">
      <c r="A4" s="2"/>
      <c r="B4" s="3" t="s">
        <v>3</v>
      </c>
      <c r="C4" s="4"/>
      <c r="D4" s="4"/>
      <c r="E4" s="4"/>
      <c r="F4" s="4"/>
      <c r="G4" s="4"/>
    </row>
    <row r="5" spans="1:26" ht="14.25" customHeight="1" x14ac:dyDescent="0.25">
      <c r="A5" s="2"/>
      <c r="B5" s="3">
        <v>2019</v>
      </c>
      <c r="C5" s="4"/>
      <c r="D5" s="4"/>
      <c r="E5" s="4"/>
      <c r="F5" s="4"/>
      <c r="G5" s="4"/>
      <c r="H5" s="2"/>
      <c r="I5" s="2"/>
      <c r="J5" s="2"/>
      <c r="K5" s="2"/>
      <c r="L5" s="2"/>
      <c r="M5" s="2"/>
      <c r="N5" s="2"/>
      <c r="O5" s="2"/>
      <c r="P5" s="2"/>
      <c r="Q5" s="2"/>
      <c r="R5" s="2"/>
      <c r="S5" s="2"/>
      <c r="T5" s="2"/>
      <c r="U5" s="2"/>
      <c r="V5" s="2"/>
      <c r="W5" s="2"/>
      <c r="X5" s="2"/>
      <c r="Y5" s="2"/>
      <c r="Z5" s="2"/>
    </row>
    <row r="6" spans="1:26" ht="14.25" customHeight="1" x14ac:dyDescent="0.25">
      <c r="A6" s="2"/>
      <c r="B6" s="3" t="s">
        <v>4</v>
      </c>
      <c r="C6" s="4"/>
      <c r="D6" s="4"/>
      <c r="E6" s="4"/>
      <c r="F6" s="4"/>
      <c r="G6" s="4"/>
    </row>
    <row r="7" spans="1:26" ht="14.25" customHeight="1" x14ac:dyDescent="0.25">
      <c r="A7" s="2"/>
      <c r="B7" s="5" t="s">
        <v>5</v>
      </c>
      <c r="C7" s="4"/>
      <c r="D7" s="4"/>
      <c r="E7" s="4"/>
      <c r="F7" s="4"/>
      <c r="G7" s="4"/>
    </row>
    <row r="8" spans="1:26" ht="14.25" customHeight="1" x14ac:dyDescent="0.25">
      <c r="A8" s="2"/>
      <c r="B8" s="3" t="s">
        <v>6</v>
      </c>
      <c r="C8" s="4"/>
      <c r="D8" s="4"/>
      <c r="E8" s="4"/>
      <c r="F8" s="4"/>
      <c r="G8" s="4"/>
    </row>
    <row r="9" spans="1:26" ht="14.25" customHeight="1" x14ac:dyDescent="0.25">
      <c r="A9" s="2"/>
      <c r="B9" s="3"/>
      <c r="C9" s="4"/>
      <c r="D9" s="4"/>
      <c r="E9" s="4"/>
      <c r="F9" s="4"/>
      <c r="G9" s="4"/>
    </row>
    <row r="10" spans="1:26" ht="14.25" customHeight="1" x14ac:dyDescent="0.25">
      <c r="B10" s="78" t="s">
        <v>7</v>
      </c>
      <c r="C10" s="76"/>
      <c r="D10" s="76"/>
      <c r="E10" s="76"/>
      <c r="F10" s="76"/>
      <c r="G10" s="77"/>
    </row>
    <row r="11" spans="1:26" ht="14.25" customHeight="1" x14ac:dyDescent="0.25">
      <c r="B11" s="4" t="s">
        <v>3</v>
      </c>
      <c r="C11" s="4"/>
      <c r="D11" s="4"/>
      <c r="E11" s="4"/>
      <c r="F11" s="4"/>
      <c r="G11" s="4"/>
    </row>
    <row r="12" spans="1:26" ht="14.25" customHeight="1" x14ac:dyDescent="0.25">
      <c r="B12" s="4">
        <v>2019</v>
      </c>
      <c r="C12" s="4"/>
      <c r="D12" s="4"/>
      <c r="E12" s="4"/>
      <c r="F12" s="4"/>
      <c r="G12" s="4"/>
    </row>
    <row r="13" spans="1:26" ht="14.25" customHeight="1" x14ac:dyDescent="0.25">
      <c r="A13" s="2"/>
      <c r="B13" s="4" t="s">
        <v>8</v>
      </c>
      <c r="C13" s="4"/>
      <c r="D13" s="4"/>
      <c r="E13" s="4"/>
      <c r="F13" s="4"/>
      <c r="G13" s="4"/>
      <c r="H13" s="2"/>
      <c r="I13" s="2"/>
      <c r="J13" s="2"/>
      <c r="K13" s="2"/>
      <c r="L13" s="2"/>
      <c r="M13" s="2"/>
      <c r="N13" s="2"/>
      <c r="O13" s="2"/>
      <c r="P13" s="2"/>
      <c r="Q13" s="2"/>
      <c r="R13" s="2"/>
      <c r="S13" s="2"/>
      <c r="T13" s="2"/>
      <c r="U13" s="2"/>
      <c r="V13" s="2"/>
      <c r="W13" s="2"/>
      <c r="X13" s="2"/>
      <c r="Y13" s="2"/>
      <c r="Z13" s="2"/>
    </row>
    <row r="14" spans="1:26" ht="14.25" customHeight="1" x14ac:dyDescent="0.25">
      <c r="B14" s="6" t="s">
        <v>9</v>
      </c>
      <c r="C14" s="4"/>
      <c r="D14" s="4"/>
      <c r="E14" s="4"/>
      <c r="F14" s="4"/>
      <c r="G14" s="4"/>
    </row>
    <row r="15" spans="1:26" ht="14.25" customHeight="1" x14ac:dyDescent="0.25">
      <c r="B15" s="4"/>
      <c r="C15" s="4"/>
      <c r="D15" s="4"/>
      <c r="E15" s="4"/>
      <c r="F15" s="4"/>
      <c r="G15" s="4"/>
    </row>
    <row r="16" spans="1:26" ht="14.25" customHeight="1" x14ac:dyDescent="0.25">
      <c r="B16" s="78" t="s">
        <v>10</v>
      </c>
      <c r="C16" s="76"/>
      <c r="D16" s="76"/>
      <c r="E16" s="76"/>
      <c r="F16" s="76"/>
      <c r="G16" s="77"/>
    </row>
    <row r="17" spans="1:26" ht="14.25" customHeight="1" x14ac:dyDescent="0.25">
      <c r="B17" s="4" t="s">
        <v>11</v>
      </c>
      <c r="C17" s="4"/>
      <c r="D17" s="4"/>
      <c r="E17" s="4"/>
      <c r="F17" s="4"/>
      <c r="G17" s="4"/>
    </row>
    <row r="18" spans="1:26" ht="14.25" customHeight="1" x14ac:dyDescent="0.25">
      <c r="B18" s="4">
        <v>2020</v>
      </c>
      <c r="C18" s="4"/>
      <c r="D18" s="4"/>
      <c r="E18" s="4"/>
      <c r="F18" s="4"/>
      <c r="G18" s="4"/>
    </row>
    <row r="19" spans="1:26" ht="14.25" customHeight="1" x14ac:dyDescent="0.25">
      <c r="B19" s="6" t="s">
        <v>12</v>
      </c>
      <c r="C19" s="4"/>
      <c r="D19" s="4"/>
      <c r="E19" s="4"/>
      <c r="F19" s="4"/>
      <c r="G19" s="4"/>
    </row>
    <row r="20" spans="1:26" ht="14.25" customHeight="1" x14ac:dyDescent="0.25">
      <c r="B20" s="4"/>
      <c r="C20" s="4"/>
      <c r="D20" s="4"/>
      <c r="E20" s="4"/>
      <c r="F20" s="4"/>
      <c r="G20" s="4"/>
    </row>
    <row r="21" spans="1:26" ht="14.25" customHeight="1" x14ac:dyDescent="0.25">
      <c r="B21" s="78" t="s">
        <v>13</v>
      </c>
      <c r="C21" s="76"/>
      <c r="D21" s="76"/>
      <c r="E21" s="76"/>
      <c r="F21" s="76"/>
      <c r="G21" s="77"/>
    </row>
    <row r="22" spans="1:26" ht="14.25" customHeight="1" x14ac:dyDescent="0.25">
      <c r="B22" s="4" t="s">
        <v>14</v>
      </c>
      <c r="C22" s="4"/>
      <c r="D22" s="4"/>
      <c r="E22" s="4"/>
      <c r="F22" s="4"/>
      <c r="G22" s="4"/>
    </row>
    <row r="23" spans="1:26" ht="14.25" customHeight="1" x14ac:dyDescent="0.25">
      <c r="B23" s="4">
        <v>2020</v>
      </c>
      <c r="C23" s="4"/>
      <c r="D23" s="4"/>
      <c r="E23" s="4"/>
      <c r="F23" s="4"/>
      <c r="G23" s="4"/>
    </row>
    <row r="24" spans="1:26" ht="14.25" customHeight="1" x14ac:dyDescent="0.25">
      <c r="A24" s="2"/>
      <c r="B24" s="4" t="s">
        <v>15</v>
      </c>
      <c r="C24" s="4"/>
      <c r="D24" s="4"/>
      <c r="E24" s="4"/>
      <c r="F24" s="4"/>
      <c r="G24" s="4"/>
      <c r="H24" s="2"/>
      <c r="I24" s="2"/>
      <c r="J24" s="2"/>
      <c r="K24" s="2"/>
      <c r="L24" s="2"/>
      <c r="M24" s="2"/>
      <c r="N24" s="2"/>
      <c r="O24" s="2"/>
      <c r="P24" s="2"/>
      <c r="Q24" s="2"/>
      <c r="R24" s="2"/>
      <c r="S24" s="2"/>
      <c r="T24" s="2"/>
      <c r="U24" s="2"/>
      <c r="V24" s="2"/>
      <c r="W24" s="2"/>
      <c r="X24" s="2"/>
      <c r="Y24" s="2"/>
      <c r="Z24" s="2"/>
    </row>
    <row r="25" spans="1:26" ht="14.25" customHeight="1" x14ac:dyDescent="0.25">
      <c r="B25" s="6" t="s">
        <v>16</v>
      </c>
      <c r="C25" s="4"/>
      <c r="D25" s="4"/>
      <c r="E25" s="4"/>
      <c r="F25" s="4"/>
      <c r="G25" s="4"/>
    </row>
    <row r="26" spans="1:26" ht="14.25" customHeight="1" x14ac:dyDescent="0.25">
      <c r="B26" s="4"/>
      <c r="C26" s="4"/>
      <c r="D26" s="4"/>
      <c r="E26" s="4"/>
      <c r="F26" s="4"/>
      <c r="G26" s="4"/>
    </row>
    <row r="27" spans="1:26" ht="14.25" customHeight="1" x14ac:dyDescent="0.25">
      <c r="B27" s="78" t="s">
        <v>17</v>
      </c>
      <c r="C27" s="76"/>
      <c r="D27" s="76"/>
      <c r="E27" s="76"/>
      <c r="F27" s="76"/>
      <c r="G27" s="77"/>
    </row>
    <row r="28" spans="1:26" ht="14.25" customHeight="1" x14ac:dyDescent="0.25">
      <c r="B28" s="4" t="s">
        <v>3</v>
      </c>
      <c r="C28" s="4"/>
      <c r="D28" s="4"/>
      <c r="E28" s="4"/>
      <c r="F28" s="4"/>
      <c r="G28" s="4"/>
    </row>
    <row r="29" spans="1:26" ht="14.25" customHeight="1" x14ac:dyDescent="0.25">
      <c r="B29" s="4">
        <v>2016</v>
      </c>
      <c r="C29" s="4"/>
      <c r="D29" s="4"/>
      <c r="E29" s="4"/>
      <c r="F29" s="4"/>
      <c r="G29" s="4"/>
    </row>
    <row r="30" spans="1:26" ht="14.25" customHeight="1" x14ac:dyDescent="0.25">
      <c r="B30" s="4" t="s">
        <v>18</v>
      </c>
      <c r="C30" s="4"/>
      <c r="D30" s="4"/>
      <c r="E30" s="4"/>
      <c r="F30" s="4"/>
      <c r="G30" s="4"/>
    </row>
    <row r="31" spans="1:26" ht="14.25" customHeight="1" x14ac:dyDescent="0.25">
      <c r="B31" s="4" t="s">
        <v>19</v>
      </c>
      <c r="C31" s="4"/>
      <c r="D31" s="4"/>
      <c r="E31" s="4"/>
      <c r="F31" s="4"/>
      <c r="G31" s="4"/>
    </row>
    <row r="32" spans="1:26" ht="14.25" customHeight="1" x14ac:dyDescent="0.2"/>
    <row r="33" spans="1:14" ht="14.25" customHeight="1" x14ac:dyDescent="0.25">
      <c r="A33" s="1" t="s">
        <v>20</v>
      </c>
    </row>
    <row r="34" spans="1:14" ht="14.25" customHeight="1" x14ac:dyDescent="0.25">
      <c r="B34" s="1" t="s">
        <v>21</v>
      </c>
    </row>
    <row r="35" spans="1:14" ht="14.25" customHeight="1" x14ac:dyDescent="0.2">
      <c r="B35" s="79" t="s">
        <v>22</v>
      </c>
      <c r="C35" s="80"/>
      <c r="D35" s="80"/>
      <c r="E35" s="80"/>
      <c r="F35" s="80"/>
      <c r="G35" s="80"/>
      <c r="H35" s="80"/>
      <c r="I35" s="80"/>
      <c r="J35" s="80"/>
      <c r="K35" s="80"/>
      <c r="L35" s="80"/>
      <c r="M35" s="80"/>
      <c r="N35" s="80"/>
    </row>
    <row r="36" spans="1:14" ht="14.25" customHeight="1" x14ac:dyDescent="0.2">
      <c r="B36" s="80"/>
      <c r="C36" s="80"/>
      <c r="D36" s="80"/>
      <c r="E36" s="80"/>
      <c r="F36" s="80"/>
      <c r="G36" s="80"/>
      <c r="H36" s="80"/>
      <c r="I36" s="80"/>
      <c r="J36" s="80"/>
      <c r="K36" s="80"/>
      <c r="L36" s="80"/>
      <c r="M36" s="80"/>
      <c r="N36" s="80"/>
    </row>
    <row r="37" spans="1:14" ht="14.25" customHeight="1" x14ac:dyDescent="0.2">
      <c r="B37" s="80"/>
      <c r="C37" s="80"/>
      <c r="D37" s="80"/>
      <c r="E37" s="80"/>
      <c r="F37" s="80"/>
      <c r="G37" s="80"/>
      <c r="H37" s="80"/>
      <c r="I37" s="80"/>
      <c r="J37" s="80"/>
      <c r="K37" s="80"/>
      <c r="L37" s="80"/>
      <c r="M37" s="80"/>
      <c r="N37" s="80"/>
    </row>
    <row r="38" spans="1:14" ht="14.25" customHeight="1" x14ac:dyDescent="0.2">
      <c r="B38" s="80"/>
      <c r="C38" s="80"/>
      <c r="D38" s="80"/>
      <c r="E38" s="80"/>
      <c r="F38" s="80"/>
      <c r="G38" s="80"/>
      <c r="H38" s="80"/>
      <c r="I38" s="80"/>
      <c r="J38" s="80"/>
      <c r="K38" s="80"/>
      <c r="L38" s="80"/>
      <c r="M38" s="80"/>
      <c r="N38" s="80"/>
    </row>
    <row r="39" spans="1:14" ht="14.25" customHeight="1" x14ac:dyDescent="0.2">
      <c r="B39" s="80"/>
      <c r="C39" s="80"/>
      <c r="D39" s="80"/>
      <c r="E39" s="80"/>
      <c r="F39" s="80"/>
      <c r="G39" s="80"/>
      <c r="H39" s="80"/>
      <c r="I39" s="80"/>
      <c r="J39" s="80"/>
      <c r="K39" s="80"/>
      <c r="L39" s="80"/>
      <c r="M39" s="80"/>
      <c r="N39" s="80"/>
    </row>
    <row r="40" spans="1:14" ht="14.25" customHeight="1" x14ac:dyDescent="0.2">
      <c r="B40" s="80"/>
      <c r="C40" s="80"/>
      <c r="D40" s="80"/>
      <c r="E40" s="80"/>
      <c r="F40" s="80"/>
      <c r="G40" s="80"/>
      <c r="H40" s="80"/>
      <c r="I40" s="80"/>
      <c r="J40" s="80"/>
      <c r="K40" s="80"/>
      <c r="L40" s="80"/>
      <c r="M40" s="80"/>
      <c r="N40" s="80"/>
    </row>
    <row r="41" spans="1:14" ht="14.25" customHeight="1" x14ac:dyDescent="0.2">
      <c r="B41" s="80"/>
      <c r="C41" s="80"/>
      <c r="D41" s="80"/>
      <c r="E41" s="80"/>
      <c r="F41" s="80"/>
      <c r="G41" s="80"/>
      <c r="H41" s="80"/>
      <c r="I41" s="80"/>
      <c r="J41" s="80"/>
      <c r="K41" s="80"/>
      <c r="L41" s="80"/>
      <c r="M41" s="80"/>
      <c r="N41" s="80"/>
    </row>
    <row r="42" spans="1:14" ht="14.25" customHeight="1" x14ac:dyDescent="0.2">
      <c r="B42" s="80"/>
      <c r="C42" s="80"/>
      <c r="D42" s="80"/>
      <c r="E42" s="80"/>
      <c r="F42" s="80"/>
      <c r="G42" s="80"/>
      <c r="H42" s="80"/>
      <c r="I42" s="80"/>
      <c r="J42" s="80"/>
      <c r="K42" s="80"/>
      <c r="L42" s="80"/>
      <c r="M42" s="80"/>
      <c r="N42" s="80"/>
    </row>
    <row r="43" spans="1:14" ht="14.25" customHeight="1" x14ac:dyDescent="0.2">
      <c r="A43" s="7">
        <v>44965</v>
      </c>
      <c r="B43" s="8" t="s">
        <v>23</v>
      </c>
    </row>
    <row r="44" spans="1:14" ht="14.25" customHeight="1" x14ac:dyDescent="0.2">
      <c r="B44" s="8" t="s">
        <v>24</v>
      </c>
    </row>
    <row r="45" spans="1:14" ht="14.25" customHeight="1" x14ac:dyDescent="0.2">
      <c r="B45" s="8" t="s">
        <v>25</v>
      </c>
    </row>
    <row r="46" spans="1:14" ht="14.25" customHeight="1" x14ac:dyDescent="0.2"/>
    <row r="47" spans="1:14" ht="14.25" customHeight="1" x14ac:dyDescent="0.2">
      <c r="A47" s="9">
        <v>45237</v>
      </c>
      <c r="B47" s="10" t="s">
        <v>26</v>
      </c>
    </row>
    <row r="48" spans="1:14" ht="14.25" customHeight="1" x14ac:dyDescent="0.2">
      <c r="B48" s="10" t="s">
        <v>27</v>
      </c>
    </row>
    <row r="49" spans="2:2" ht="14.25" customHeight="1" x14ac:dyDescent="0.2">
      <c r="B49" s="10" t="s">
        <v>28</v>
      </c>
    </row>
    <row r="50" spans="2:2" ht="14.25" customHeight="1" x14ac:dyDescent="0.2"/>
    <row r="51" spans="2:2" ht="14.25" customHeight="1" x14ac:dyDescent="0.2"/>
    <row r="52" spans="2:2" ht="14.25" customHeight="1" x14ac:dyDescent="0.2"/>
    <row r="53" spans="2:2" ht="14.25" customHeight="1" x14ac:dyDescent="0.2"/>
    <row r="54" spans="2:2" ht="14.25" customHeight="1" x14ac:dyDescent="0.2"/>
    <row r="55" spans="2:2" ht="14.25" customHeight="1" x14ac:dyDescent="0.2"/>
    <row r="56" spans="2:2" ht="14.25" customHeight="1" x14ac:dyDescent="0.2"/>
    <row r="57" spans="2:2" ht="14.25" customHeight="1" x14ac:dyDescent="0.2"/>
    <row r="58" spans="2:2" ht="14.25" customHeight="1" x14ac:dyDescent="0.2"/>
    <row r="59" spans="2:2" ht="14.25" customHeight="1" x14ac:dyDescent="0.2"/>
    <row r="60" spans="2:2" ht="14.25" customHeight="1" x14ac:dyDescent="0.2"/>
    <row r="61" spans="2:2" ht="14.25" customHeight="1" x14ac:dyDescent="0.2"/>
    <row r="62" spans="2:2" ht="14.25" customHeight="1" x14ac:dyDescent="0.2"/>
    <row r="63" spans="2:2" ht="14.25" customHeight="1" x14ac:dyDescent="0.2"/>
    <row r="64" spans="2:2"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6">
    <mergeCell ref="B35:N42"/>
    <mergeCell ref="B3:G3"/>
    <mergeCell ref="B10:G10"/>
    <mergeCell ref="B16:G16"/>
    <mergeCell ref="B21:G21"/>
    <mergeCell ref="B27:G27"/>
  </mergeCells>
  <hyperlinks>
    <hyperlink ref="B7" r:id="rId1" xr:uid="{00000000-0004-0000-0000-000000000000}"/>
    <hyperlink ref="B14" r:id="rId2" xr:uid="{00000000-0004-0000-0000-000001000000}"/>
    <hyperlink ref="B19" r:id="rId3" xr:uid="{00000000-0004-0000-0000-000002000000}"/>
    <hyperlink ref="B25" r:id="rId4" xr:uid="{00000000-0004-0000-0000-000003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defaultColWidth="12.625" defaultRowHeight="15" customHeight="1" x14ac:dyDescent="0.2"/>
  <cols>
    <col min="1" max="26" width="7.625" customWidth="1"/>
  </cols>
  <sheetData>
    <row r="1" spans="1:12" ht="14.25" customHeight="1" x14ac:dyDescent="0.25">
      <c r="A1" s="1" t="s">
        <v>29</v>
      </c>
    </row>
    <row r="2" spans="1:12" ht="14.25" customHeight="1" x14ac:dyDescent="0.25">
      <c r="A2" s="11"/>
      <c r="B2" s="12" t="s">
        <v>30</v>
      </c>
      <c r="C2" s="12" t="s">
        <v>31</v>
      </c>
      <c r="D2" s="12" t="s">
        <v>32</v>
      </c>
      <c r="E2" s="13" t="s">
        <v>33</v>
      </c>
      <c r="F2" s="12" t="s">
        <v>34</v>
      </c>
      <c r="G2" s="12" t="s">
        <v>35</v>
      </c>
      <c r="H2" s="14"/>
      <c r="I2" s="14"/>
      <c r="J2" s="14"/>
      <c r="K2" s="14"/>
      <c r="L2" s="2"/>
    </row>
    <row r="3" spans="1:12" ht="14.25" customHeight="1" x14ac:dyDescent="0.25">
      <c r="A3" s="15" t="s">
        <v>36</v>
      </c>
      <c r="B3" s="11">
        <v>0</v>
      </c>
      <c r="C3" s="11">
        <v>0</v>
      </c>
      <c r="D3" s="11">
        <v>0</v>
      </c>
      <c r="E3" s="11">
        <v>0</v>
      </c>
      <c r="F3" s="11">
        <v>0</v>
      </c>
      <c r="G3" s="11">
        <v>0</v>
      </c>
      <c r="H3" s="2"/>
      <c r="I3" s="2"/>
      <c r="J3" s="2"/>
      <c r="K3" s="2"/>
      <c r="L3" s="2"/>
    </row>
    <row r="4" spans="1:12" ht="14.25" customHeight="1" x14ac:dyDescent="0.25">
      <c r="A4" s="15" t="s">
        <v>37</v>
      </c>
      <c r="B4" s="11">
        <v>0</v>
      </c>
      <c r="C4" s="11" t="s">
        <v>38</v>
      </c>
      <c r="D4" s="11">
        <v>0</v>
      </c>
      <c r="E4" s="11">
        <v>0</v>
      </c>
      <c r="F4" s="11">
        <v>0</v>
      </c>
      <c r="G4" s="11">
        <v>0</v>
      </c>
    </row>
    <row r="5" spans="1:12" ht="14.25" customHeight="1" x14ac:dyDescent="0.25">
      <c r="A5" s="15" t="s">
        <v>39</v>
      </c>
      <c r="B5" s="11">
        <v>0</v>
      </c>
      <c r="C5" s="11">
        <v>0</v>
      </c>
      <c r="D5" s="11">
        <v>0</v>
      </c>
      <c r="E5" s="11">
        <v>0</v>
      </c>
      <c r="F5" s="11">
        <v>0</v>
      </c>
      <c r="G5" s="11">
        <v>0</v>
      </c>
    </row>
    <row r="6" spans="1:12" ht="14.25" customHeight="1" x14ac:dyDescent="0.25">
      <c r="A6" s="15" t="s">
        <v>40</v>
      </c>
      <c r="B6" s="11">
        <v>0</v>
      </c>
      <c r="C6" s="11" t="s">
        <v>38</v>
      </c>
      <c r="D6" s="11">
        <v>0</v>
      </c>
      <c r="E6" s="11">
        <v>0</v>
      </c>
      <c r="F6" s="11">
        <v>0</v>
      </c>
      <c r="G6" s="11">
        <v>0</v>
      </c>
    </row>
    <row r="7" spans="1:12" ht="14.25" customHeight="1" x14ac:dyDescent="0.25">
      <c r="A7" s="15" t="s">
        <v>41</v>
      </c>
      <c r="B7" s="11">
        <v>0</v>
      </c>
      <c r="C7" s="11" t="s">
        <v>38</v>
      </c>
      <c r="D7" s="11">
        <v>0</v>
      </c>
      <c r="E7" s="11">
        <v>0</v>
      </c>
      <c r="F7" s="11">
        <v>0</v>
      </c>
      <c r="G7" s="11">
        <v>0</v>
      </c>
    </row>
    <row r="8" spans="1:12" ht="14.25" customHeight="1" x14ac:dyDescent="0.25">
      <c r="A8" s="15" t="s">
        <v>42</v>
      </c>
      <c r="B8" s="11" t="s">
        <v>38</v>
      </c>
      <c r="C8" s="11" t="s">
        <v>38</v>
      </c>
      <c r="D8" s="11" t="s">
        <v>38</v>
      </c>
      <c r="E8" s="11" t="s">
        <v>38</v>
      </c>
      <c r="F8" s="11" t="s">
        <v>38</v>
      </c>
      <c r="G8" s="11">
        <v>0</v>
      </c>
    </row>
    <row r="9" spans="1:12" ht="14.25" customHeight="1" x14ac:dyDescent="0.2"/>
    <row r="10" spans="1:12" ht="14.25" customHeight="1" x14ac:dyDescent="0.25">
      <c r="A10" s="1" t="s">
        <v>43</v>
      </c>
    </row>
    <row r="11" spans="1:12" ht="14.25" customHeight="1" x14ac:dyDescent="0.25">
      <c r="A11" s="11"/>
      <c r="B11" s="12" t="s">
        <v>30</v>
      </c>
      <c r="C11" s="12" t="s">
        <v>31</v>
      </c>
      <c r="D11" s="12" t="s">
        <v>32</v>
      </c>
      <c r="E11" s="13" t="s">
        <v>33</v>
      </c>
      <c r="F11" s="12" t="s">
        <v>34</v>
      </c>
      <c r="G11" s="12" t="s">
        <v>35</v>
      </c>
    </row>
    <row r="12" spans="1:12" ht="14.25" customHeight="1" x14ac:dyDescent="0.25">
      <c r="A12" s="15" t="s">
        <v>36</v>
      </c>
      <c r="B12" s="11">
        <v>0</v>
      </c>
      <c r="C12" s="11" t="s">
        <v>38</v>
      </c>
      <c r="D12" s="11">
        <v>0</v>
      </c>
      <c r="E12" s="11">
        <v>0</v>
      </c>
      <c r="F12" s="11">
        <v>0</v>
      </c>
      <c r="G12" s="11">
        <v>0</v>
      </c>
    </row>
    <row r="13" spans="1:12" ht="14.25" customHeight="1" x14ac:dyDescent="0.25">
      <c r="A13" s="15" t="s">
        <v>37</v>
      </c>
      <c r="B13" s="11">
        <v>0</v>
      </c>
      <c r="C13" s="11" t="s">
        <v>38</v>
      </c>
      <c r="D13" s="11">
        <v>0</v>
      </c>
      <c r="E13" s="11">
        <v>0</v>
      </c>
      <c r="F13" s="11">
        <v>0</v>
      </c>
      <c r="G13" s="11">
        <v>0</v>
      </c>
    </row>
    <row r="14" spans="1:12" ht="14.25" customHeight="1" x14ac:dyDescent="0.25">
      <c r="A14" s="15" t="s">
        <v>39</v>
      </c>
      <c r="B14" s="11">
        <v>0</v>
      </c>
      <c r="C14" s="11">
        <v>0</v>
      </c>
      <c r="D14" s="11">
        <v>0</v>
      </c>
      <c r="E14" s="11" t="s">
        <v>38</v>
      </c>
      <c r="F14" s="11">
        <v>0</v>
      </c>
      <c r="G14" s="11">
        <v>0</v>
      </c>
    </row>
    <row r="15" spans="1:12" ht="14.25" customHeight="1" x14ac:dyDescent="0.25">
      <c r="A15" s="15" t="s">
        <v>40</v>
      </c>
      <c r="B15" s="11">
        <v>0</v>
      </c>
      <c r="C15" s="11" t="s">
        <v>38</v>
      </c>
      <c r="D15" s="11">
        <v>0</v>
      </c>
      <c r="E15" s="11">
        <v>0</v>
      </c>
      <c r="F15" s="11">
        <v>0</v>
      </c>
      <c r="G15" s="11">
        <v>0</v>
      </c>
    </row>
    <row r="16" spans="1:12" ht="14.25" customHeight="1" x14ac:dyDescent="0.25">
      <c r="A16" s="15" t="s">
        <v>41</v>
      </c>
      <c r="B16" s="11">
        <v>0</v>
      </c>
      <c r="C16" s="11">
        <v>0</v>
      </c>
      <c r="D16" s="11">
        <v>0</v>
      </c>
      <c r="E16" s="11">
        <v>0</v>
      </c>
      <c r="F16" s="11">
        <v>0</v>
      </c>
      <c r="G16" s="11">
        <v>0</v>
      </c>
    </row>
    <row r="17" spans="1:7" ht="14.25" customHeight="1" x14ac:dyDescent="0.25">
      <c r="A17" s="15" t="s">
        <v>42</v>
      </c>
      <c r="B17" s="11" t="s">
        <v>38</v>
      </c>
      <c r="C17" s="11" t="s">
        <v>38</v>
      </c>
      <c r="D17" s="11" t="s">
        <v>38</v>
      </c>
      <c r="E17" s="11" t="s">
        <v>38</v>
      </c>
      <c r="F17" s="11" t="s">
        <v>38</v>
      </c>
      <c r="G17" s="11">
        <v>0</v>
      </c>
    </row>
    <row r="18" spans="1:7" ht="14.25" customHeight="1" x14ac:dyDescent="0.2"/>
    <row r="19" spans="1:7" ht="14.25" customHeight="1" x14ac:dyDescent="0.25">
      <c r="G19" s="2" t="s">
        <v>44</v>
      </c>
    </row>
    <row r="20" spans="1:7" ht="14.25" customHeight="1" x14ac:dyDescent="0.2"/>
    <row r="21" spans="1:7" ht="14.25" customHeight="1" x14ac:dyDescent="0.2"/>
    <row r="22" spans="1:7" ht="14.25" customHeight="1" x14ac:dyDescent="0.2"/>
    <row r="23" spans="1:7" ht="14.25" customHeight="1" x14ac:dyDescent="0.2"/>
    <row r="24" spans="1:7" ht="14.25" customHeight="1" x14ac:dyDescent="0.2"/>
    <row r="25" spans="1:7" ht="14.25" customHeight="1" x14ac:dyDescent="0.2"/>
    <row r="26" spans="1:7" ht="14.25" customHeight="1" x14ac:dyDescent="0.2"/>
    <row r="27" spans="1:7" ht="14.25" customHeight="1" x14ac:dyDescent="0.2"/>
    <row r="28" spans="1:7" ht="14.25" customHeight="1" x14ac:dyDescent="0.2"/>
    <row r="29" spans="1:7" ht="14.25" customHeight="1" x14ac:dyDescent="0.2"/>
    <row r="30" spans="1:7" ht="14.25" customHeight="1" x14ac:dyDescent="0.2"/>
    <row r="31" spans="1:7" ht="14.25" customHeight="1" x14ac:dyDescent="0.2"/>
    <row r="32" spans="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B3:G8 B12:G17">
    <cfRule type="cellIs" dxfId="1" priority="1" operator="equal">
      <formula>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2.625" defaultRowHeight="15" customHeight="1" x14ac:dyDescent="0.2"/>
  <cols>
    <col min="1" max="1" width="7.625" customWidth="1"/>
    <col min="2" max="2" width="27.625" customWidth="1"/>
    <col min="3" max="3" width="18.5" customWidth="1"/>
    <col min="4" max="5" width="15.125" customWidth="1"/>
    <col min="6" max="6" width="18.125" customWidth="1"/>
    <col min="7" max="7" width="19" customWidth="1"/>
    <col min="8" max="8" width="19.375" customWidth="1"/>
    <col min="9" max="26" width="7.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spans="1:8" ht="14.25" customHeight="1" x14ac:dyDescent="0.2"/>
    <row r="18" spans="1:8" ht="14.25" customHeight="1" x14ac:dyDescent="0.2"/>
    <row r="19" spans="1:8" ht="14.25" customHeight="1" x14ac:dyDescent="0.2"/>
    <row r="20" spans="1:8" ht="14.25" customHeight="1" x14ac:dyDescent="0.2"/>
    <row r="21" spans="1:8" ht="14.25" customHeight="1" x14ac:dyDescent="0.25">
      <c r="B21" s="2" t="s">
        <v>45</v>
      </c>
    </row>
    <row r="22" spans="1:8" ht="14.25" customHeight="1" x14ac:dyDescent="0.25">
      <c r="B22" s="16" t="s">
        <v>46</v>
      </c>
    </row>
    <row r="23" spans="1:8" ht="14.25" customHeight="1" x14ac:dyDescent="0.25">
      <c r="A23" s="15" t="s">
        <v>47</v>
      </c>
      <c r="B23" s="15" t="s">
        <v>48</v>
      </c>
      <c r="C23" s="15" t="s">
        <v>49</v>
      </c>
      <c r="D23" s="15" t="s">
        <v>50</v>
      </c>
      <c r="F23" s="84" t="s">
        <v>51</v>
      </c>
      <c r="G23" s="80"/>
      <c r="H23" s="80"/>
    </row>
    <row r="24" spans="1:8" ht="14.25" customHeight="1" x14ac:dyDescent="0.25">
      <c r="A24" s="17">
        <v>5057</v>
      </c>
      <c r="B24" s="11" t="s">
        <v>52</v>
      </c>
      <c r="C24" s="81" t="s">
        <v>30</v>
      </c>
      <c r="D24" s="83">
        <f>A24+A25</f>
        <v>11739</v>
      </c>
      <c r="F24" s="80"/>
      <c r="G24" s="80"/>
      <c r="H24" s="80"/>
    </row>
    <row r="25" spans="1:8" ht="14.25" customHeight="1" x14ac:dyDescent="0.25">
      <c r="A25" s="17">
        <v>6682</v>
      </c>
      <c r="B25" s="11" t="s">
        <v>53</v>
      </c>
      <c r="C25" s="82"/>
      <c r="D25" s="82"/>
      <c r="F25" s="80"/>
      <c r="G25" s="80"/>
      <c r="H25" s="80"/>
    </row>
    <row r="26" spans="1:8" ht="14.25" customHeight="1" x14ac:dyDescent="0.25">
      <c r="A26" s="17">
        <v>15296</v>
      </c>
      <c r="B26" s="11" t="s">
        <v>54</v>
      </c>
      <c r="C26" s="81" t="s">
        <v>31</v>
      </c>
      <c r="D26" s="83">
        <f>A26+A27</f>
        <v>30353</v>
      </c>
    </row>
    <row r="27" spans="1:8" ht="14.25" customHeight="1" x14ac:dyDescent="0.25">
      <c r="A27" s="17">
        <v>15057</v>
      </c>
      <c r="B27" s="11" t="s">
        <v>55</v>
      </c>
      <c r="C27" s="82"/>
      <c r="D27" s="82"/>
    </row>
    <row r="28" spans="1:8" ht="14.25" customHeight="1" x14ac:dyDescent="0.25">
      <c r="A28" s="17">
        <v>6378</v>
      </c>
      <c r="B28" s="11" t="s">
        <v>56</v>
      </c>
      <c r="C28" s="81" t="s">
        <v>32</v>
      </c>
      <c r="D28" s="83">
        <f>SUM(A28:A33)</f>
        <v>13120</v>
      </c>
    </row>
    <row r="29" spans="1:8" ht="14.25" customHeight="1" x14ac:dyDescent="0.25">
      <c r="A29" s="17">
        <v>1232</v>
      </c>
      <c r="B29" s="11" t="s">
        <v>57</v>
      </c>
      <c r="C29" s="85"/>
      <c r="D29" s="85"/>
    </row>
    <row r="30" spans="1:8" ht="14.25" customHeight="1" x14ac:dyDescent="0.25">
      <c r="A30" s="17">
        <v>1063</v>
      </c>
      <c r="B30" s="11" t="s">
        <v>58</v>
      </c>
      <c r="C30" s="85"/>
      <c r="D30" s="85"/>
    </row>
    <row r="31" spans="1:8" ht="14.25" customHeight="1" x14ac:dyDescent="0.25">
      <c r="A31" s="17">
        <v>1066</v>
      </c>
      <c r="B31" s="11" t="s">
        <v>59</v>
      </c>
      <c r="C31" s="85"/>
      <c r="D31" s="85"/>
    </row>
    <row r="32" spans="1:8" ht="14.25" customHeight="1" x14ac:dyDescent="0.25">
      <c r="A32" s="17">
        <v>2420</v>
      </c>
      <c r="B32" s="11" t="s">
        <v>60</v>
      </c>
      <c r="C32" s="85"/>
      <c r="D32" s="85"/>
      <c r="F32" s="1" t="s">
        <v>61</v>
      </c>
    </row>
    <row r="33" spans="1:8" ht="14.25" customHeight="1" x14ac:dyDescent="0.25">
      <c r="A33" s="17">
        <v>961</v>
      </c>
      <c r="B33" s="11" t="s">
        <v>62</v>
      </c>
      <c r="C33" s="82"/>
      <c r="D33" s="82"/>
      <c r="F33" s="2" t="s">
        <v>63</v>
      </c>
      <c r="G33" s="18">
        <v>102917</v>
      </c>
      <c r="H33" s="2" t="s">
        <v>47</v>
      </c>
    </row>
    <row r="34" spans="1:8" ht="14.25" customHeight="1" x14ac:dyDescent="0.25">
      <c r="A34" s="17">
        <v>13112</v>
      </c>
      <c r="B34" s="11" t="s">
        <v>33</v>
      </c>
      <c r="C34" s="19" t="s">
        <v>33</v>
      </c>
      <c r="D34" s="17">
        <f>A34</f>
        <v>13112</v>
      </c>
      <c r="F34" s="2" t="s">
        <v>64</v>
      </c>
      <c r="G34" s="20">
        <v>103016</v>
      </c>
      <c r="H34" s="2" t="s">
        <v>47</v>
      </c>
    </row>
    <row r="35" spans="1:8" ht="14.25" customHeight="1" x14ac:dyDescent="0.25">
      <c r="A35" s="17">
        <v>37064</v>
      </c>
      <c r="B35" s="11" t="s">
        <v>65</v>
      </c>
      <c r="C35" s="81" t="s">
        <v>34</v>
      </c>
      <c r="D35" s="83">
        <f>A35+A36</f>
        <v>37163</v>
      </c>
      <c r="F35" s="1" t="s">
        <v>66</v>
      </c>
      <c r="G35" s="20"/>
    </row>
    <row r="36" spans="1:8" ht="14.25" customHeight="1" x14ac:dyDescent="0.25">
      <c r="A36" s="17">
        <f>G34-G33</f>
        <v>99</v>
      </c>
      <c r="B36" s="11" t="s">
        <v>67</v>
      </c>
      <c r="C36" s="82"/>
      <c r="D36" s="82"/>
    </row>
    <row r="37" spans="1:8" ht="14.25" customHeight="1" x14ac:dyDescent="0.25">
      <c r="A37" s="18"/>
      <c r="B37" s="2"/>
      <c r="C37" s="21"/>
      <c r="D37" s="22"/>
    </row>
    <row r="38" spans="1:8" ht="14.25" customHeight="1" x14ac:dyDescent="0.2"/>
    <row r="39" spans="1:8" ht="14.25" customHeight="1" x14ac:dyDescent="0.2"/>
    <row r="40" spans="1:8" ht="14.25" customHeight="1" x14ac:dyDescent="0.2"/>
    <row r="41" spans="1:8" ht="14.25" customHeight="1" x14ac:dyDescent="0.2"/>
    <row r="42" spans="1:8" ht="14.25" customHeight="1" x14ac:dyDescent="0.2"/>
    <row r="43" spans="1:8" ht="14.25" customHeight="1" x14ac:dyDescent="0.2"/>
    <row r="44" spans="1:8" ht="24.75" customHeight="1" x14ac:dyDescent="0.2"/>
    <row r="45" spans="1:8" ht="24.75" customHeight="1" x14ac:dyDescent="0.2"/>
    <row r="46" spans="1:8" ht="15" customHeight="1" x14ac:dyDescent="0.25">
      <c r="C46" s="23"/>
    </row>
    <row r="47" spans="1:8" ht="15" customHeight="1" x14ac:dyDescent="0.25">
      <c r="C47" s="23"/>
    </row>
    <row r="48" spans="1:8" ht="15" customHeight="1" x14ac:dyDescent="0.25">
      <c r="C48" s="23"/>
    </row>
    <row r="49" spans="8:8" ht="15" customHeight="1" x14ac:dyDescent="0.25">
      <c r="H49" s="23"/>
    </row>
    <row r="50" spans="8:8" ht="42.75" customHeight="1" x14ac:dyDescent="0.25">
      <c r="H50" s="23"/>
    </row>
    <row r="51" spans="8:8" ht="24.75" customHeight="1" x14ac:dyDescent="0.25">
      <c r="H51" s="23"/>
    </row>
    <row r="52" spans="8:8" ht="14.25" customHeight="1" x14ac:dyDescent="0.25">
      <c r="H52" s="23"/>
    </row>
    <row r="53" spans="8:8" ht="14.25" customHeight="1" x14ac:dyDescent="0.25">
      <c r="H53" s="23"/>
    </row>
    <row r="54" spans="8:8" ht="14.25" customHeight="1" x14ac:dyDescent="0.25">
      <c r="H54" s="23"/>
    </row>
    <row r="55" spans="8:8" ht="14.25" customHeight="1" x14ac:dyDescent="0.25">
      <c r="H55" s="23"/>
    </row>
    <row r="56" spans="8:8" ht="14.25" customHeight="1" x14ac:dyDescent="0.2"/>
    <row r="57" spans="8:8" ht="14.25" customHeight="1" x14ac:dyDescent="0.2"/>
    <row r="58" spans="8:8" ht="14.25" customHeight="1" x14ac:dyDescent="0.2"/>
    <row r="59" spans="8:8" ht="14.25" customHeight="1" x14ac:dyDescent="0.2"/>
    <row r="60" spans="8:8" ht="14.25" customHeight="1" x14ac:dyDescent="0.2"/>
    <row r="61" spans="8:8" ht="14.25" customHeight="1" x14ac:dyDescent="0.2"/>
    <row r="62" spans="8:8" ht="14.25" customHeight="1" x14ac:dyDescent="0.2"/>
    <row r="63" spans="8:8" ht="14.25" customHeight="1" x14ac:dyDescent="0.2"/>
    <row r="64" spans="8:8"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9">
    <mergeCell ref="C35:C36"/>
    <mergeCell ref="D35:D36"/>
    <mergeCell ref="F23:H25"/>
    <mergeCell ref="C24:C25"/>
    <mergeCell ref="D24:D25"/>
    <mergeCell ref="C26:C27"/>
    <mergeCell ref="D26:D27"/>
    <mergeCell ref="C28:C33"/>
    <mergeCell ref="D28:D33"/>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sheetViews>
  <sheetFormatPr defaultColWidth="12.625" defaultRowHeight="15" customHeight="1" x14ac:dyDescent="0.2"/>
  <cols>
    <col min="1" max="1" width="7.875" customWidth="1"/>
    <col min="2" max="2" width="10.625" customWidth="1"/>
    <col min="3" max="3" width="10.5" customWidth="1"/>
    <col min="4" max="4" width="10.625" customWidth="1"/>
    <col min="5" max="5" width="10.5" customWidth="1"/>
    <col min="6" max="6" width="10.625" customWidth="1"/>
    <col min="7" max="7" width="7.875" customWidth="1"/>
    <col min="8" max="9" width="7.625" customWidth="1"/>
    <col min="10" max="10" width="14.625" customWidth="1"/>
    <col min="11" max="13" width="10.5" customWidth="1"/>
    <col min="14" max="14" width="10.625" customWidth="1"/>
    <col min="15" max="26" width="7.625" customWidth="1"/>
  </cols>
  <sheetData>
    <row r="1" spans="1:20" ht="14.25" customHeight="1" x14ac:dyDescent="0.25">
      <c r="A1" s="1" t="s">
        <v>68</v>
      </c>
    </row>
    <row r="2" spans="1:20" ht="14.25" customHeight="1" x14ac:dyDescent="0.25">
      <c r="A2" s="24" t="s">
        <v>69</v>
      </c>
      <c r="B2" s="24" t="s">
        <v>70</v>
      </c>
      <c r="C2" s="24" t="s">
        <v>71</v>
      </c>
      <c r="D2" s="24" t="s">
        <v>72</v>
      </c>
      <c r="E2" s="24" t="s">
        <v>73</v>
      </c>
      <c r="F2" s="24" t="s">
        <v>74</v>
      </c>
      <c r="G2" s="24" t="s">
        <v>75</v>
      </c>
      <c r="K2" s="1">
        <v>2010</v>
      </c>
      <c r="L2" s="1">
        <v>2011</v>
      </c>
      <c r="M2" s="1">
        <v>2012</v>
      </c>
      <c r="N2" s="1">
        <v>2013</v>
      </c>
      <c r="O2" s="1">
        <v>2014</v>
      </c>
      <c r="P2" s="1">
        <v>2015</v>
      </c>
      <c r="Q2" s="1">
        <v>2016</v>
      </c>
      <c r="R2" s="1">
        <v>2017</v>
      </c>
      <c r="S2" s="1">
        <v>2018</v>
      </c>
      <c r="T2" s="1">
        <v>2019</v>
      </c>
    </row>
    <row r="3" spans="1:20" ht="14.25" customHeight="1" x14ac:dyDescent="0.25">
      <c r="A3" s="25">
        <v>2009</v>
      </c>
      <c r="B3" s="26">
        <v>27452</v>
      </c>
      <c r="C3" s="27">
        <v>722</v>
      </c>
      <c r="D3" s="26">
        <v>4091982</v>
      </c>
      <c r="E3" s="26">
        <v>2671</v>
      </c>
      <c r="F3" s="28" t="s">
        <v>76</v>
      </c>
      <c r="G3" s="26">
        <v>54945</v>
      </c>
      <c r="J3" s="1" t="s">
        <v>77</v>
      </c>
      <c r="K3" s="2">
        <v>0.498</v>
      </c>
      <c r="L3" s="2">
        <v>0.50500000000000078</v>
      </c>
      <c r="M3" s="2">
        <v>0.51200000000000045</v>
      </c>
      <c r="N3" s="2">
        <v>0.51900000000000013</v>
      </c>
      <c r="O3" s="2">
        <v>0.5259999999999998</v>
      </c>
      <c r="P3" s="2">
        <v>0.53300000000000125</v>
      </c>
      <c r="Q3" s="2">
        <v>0.53980000000000139</v>
      </c>
      <c r="R3" s="2">
        <v>0.54660000000000153</v>
      </c>
      <c r="S3" s="2">
        <v>0.55340000000000167</v>
      </c>
      <c r="T3" s="2">
        <v>0.56020000000000181</v>
      </c>
    </row>
    <row r="4" spans="1:20" ht="14.25" customHeight="1" x14ac:dyDescent="0.25">
      <c r="A4" s="25">
        <v>2010</v>
      </c>
      <c r="B4" s="26">
        <v>27445</v>
      </c>
      <c r="C4" s="27">
        <v>751</v>
      </c>
      <c r="D4" s="26">
        <v>2436009</v>
      </c>
      <c r="E4" s="26">
        <v>3564</v>
      </c>
      <c r="F4" s="28" t="s">
        <v>76</v>
      </c>
      <c r="G4" s="26">
        <v>59825</v>
      </c>
      <c r="J4" s="1" t="s">
        <v>78</v>
      </c>
      <c r="K4" s="29">
        <v>0.502</v>
      </c>
      <c r="L4" s="2">
        <v>0.49499999999999922</v>
      </c>
      <c r="M4" s="2">
        <v>0.48799999999999955</v>
      </c>
      <c r="N4" s="2">
        <v>0.48099999999999987</v>
      </c>
      <c r="O4" s="2">
        <v>0.4740000000000002</v>
      </c>
      <c r="P4" s="2">
        <v>0.46699999999999875</v>
      </c>
      <c r="Q4" s="2">
        <v>0.46019999999999861</v>
      </c>
      <c r="R4" s="2">
        <v>0.45339999999999847</v>
      </c>
      <c r="S4" s="2">
        <v>0.44659999999999833</v>
      </c>
      <c r="T4" s="2">
        <v>0.43979999999999819</v>
      </c>
    </row>
    <row r="5" spans="1:20" ht="14.25" customHeight="1" x14ac:dyDescent="0.25">
      <c r="A5" s="25">
        <v>2011</v>
      </c>
      <c r="B5" s="26">
        <v>26173</v>
      </c>
      <c r="C5" s="27">
        <v>635</v>
      </c>
      <c r="D5" s="26">
        <v>1699298</v>
      </c>
      <c r="E5" s="26">
        <v>4144</v>
      </c>
      <c r="F5" s="28" t="s">
        <v>76</v>
      </c>
      <c r="G5" s="26">
        <v>65112</v>
      </c>
      <c r="K5" s="29"/>
    </row>
    <row r="6" spans="1:20" ht="14.25" customHeight="1" x14ac:dyDescent="0.2">
      <c r="A6" s="25">
        <v>2012</v>
      </c>
      <c r="B6" s="26">
        <v>23996</v>
      </c>
      <c r="C6" s="27">
        <v>748</v>
      </c>
      <c r="D6" s="26">
        <v>1183526</v>
      </c>
      <c r="E6" s="26">
        <v>4824</v>
      </c>
      <c r="F6" s="28" t="s">
        <v>76</v>
      </c>
      <c r="G6" s="26">
        <v>72133</v>
      </c>
    </row>
    <row r="7" spans="1:20" ht="14.25" customHeight="1" x14ac:dyDescent="0.2">
      <c r="A7" s="25">
        <v>2013</v>
      </c>
      <c r="B7" s="26">
        <v>21553</v>
      </c>
      <c r="C7" s="27">
        <v>681</v>
      </c>
      <c r="D7" s="26">
        <v>1079100</v>
      </c>
      <c r="E7" s="26">
        <v>5377</v>
      </c>
      <c r="F7" s="28" t="s">
        <v>76</v>
      </c>
      <c r="G7" s="26">
        <v>77211</v>
      </c>
    </row>
    <row r="8" spans="1:20" ht="14.25" customHeight="1" x14ac:dyDescent="0.2">
      <c r="A8" s="25">
        <v>2014</v>
      </c>
      <c r="B8" s="26">
        <v>20108</v>
      </c>
      <c r="C8" s="27">
        <v>636</v>
      </c>
      <c r="D8" s="26">
        <v>831641</v>
      </c>
      <c r="E8" s="26">
        <v>5843</v>
      </c>
      <c r="F8" s="28" t="s">
        <v>76</v>
      </c>
      <c r="G8" s="26">
        <v>84086</v>
      </c>
    </row>
    <row r="9" spans="1:20" ht="14.25" customHeight="1" x14ac:dyDescent="0.25">
      <c r="A9" s="25">
        <v>2015</v>
      </c>
      <c r="B9" s="26">
        <v>16740</v>
      </c>
      <c r="C9" s="27">
        <v>648</v>
      </c>
      <c r="D9" s="26">
        <v>658537</v>
      </c>
      <c r="E9" s="26">
        <v>6115</v>
      </c>
      <c r="F9" s="26">
        <v>18953</v>
      </c>
      <c r="G9" s="26">
        <v>88682</v>
      </c>
      <c r="I9" s="1" t="s">
        <v>79</v>
      </c>
    </row>
    <row r="10" spans="1:20" ht="14.25" customHeight="1" x14ac:dyDescent="0.25">
      <c r="A10" s="25">
        <v>2016</v>
      </c>
      <c r="B10" s="26">
        <v>14965</v>
      </c>
      <c r="C10" s="27">
        <v>761</v>
      </c>
      <c r="D10" s="26">
        <v>512604</v>
      </c>
      <c r="E10" s="26">
        <v>6370</v>
      </c>
      <c r="F10" s="26">
        <v>22800</v>
      </c>
      <c r="G10" s="26">
        <v>93635</v>
      </c>
      <c r="I10" s="24" t="s">
        <v>70</v>
      </c>
      <c r="J10" s="24" t="s">
        <v>71</v>
      </c>
      <c r="K10" s="24" t="s">
        <v>72</v>
      </c>
      <c r="L10" s="24" t="s">
        <v>73</v>
      </c>
      <c r="M10" s="24" t="s">
        <v>74</v>
      </c>
      <c r="N10" s="24" t="s">
        <v>75</v>
      </c>
    </row>
    <row r="11" spans="1:20" ht="14.25" customHeight="1" x14ac:dyDescent="0.25">
      <c r="A11" s="25">
        <v>2017</v>
      </c>
      <c r="B11" s="26">
        <v>12642</v>
      </c>
      <c r="C11" s="27">
        <v>983</v>
      </c>
      <c r="D11" s="26">
        <v>525429</v>
      </c>
      <c r="E11" s="26">
        <v>6896</v>
      </c>
      <c r="F11" s="26">
        <v>24786</v>
      </c>
      <c r="G11" s="26">
        <v>94457</v>
      </c>
      <c r="I11" s="11">
        <f t="shared" ref="I11:M11" si="0">I13/B13</f>
        <v>13325312283.044058</v>
      </c>
      <c r="J11" s="11">
        <f t="shared" si="0"/>
        <v>1042113090.6274205</v>
      </c>
      <c r="K11" s="11">
        <f t="shared" si="0"/>
        <v>34370776.148243576</v>
      </c>
      <c r="L11" s="11">
        <f t="shared" si="0"/>
        <v>49432834564.254059</v>
      </c>
      <c r="M11" s="11">
        <f t="shared" si="0"/>
        <v>36854777.942687526</v>
      </c>
      <c r="N11" s="30">
        <v>3412141632</v>
      </c>
    </row>
    <row r="12" spans="1:20" ht="14.25" customHeight="1" x14ac:dyDescent="0.2">
      <c r="A12" s="25">
        <v>2018</v>
      </c>
      <c r="B12" s="26">
        <v>10018</v>
      </c>
      <c r="C12" s="26">
        <v>1131</v>
      </c>
      <c r="D12" s="26">
        <v>513411</v>
      </c>
      <c r="E12" s="26">
        <v>7252</v>
      </c>
      <c r="F12" s="26">
        <v>25670</v>
      </c>
      <c r="G12" s="26">
        <v>102712</v>
      </c>
    </row>
    <row r="13" spans="1:20" ht="14.25" customHeight="1" x14ac:dyDescent="0.25">
      <c r="A13" s="25">
        <v>2019</v>
      </c>
      <c r="B13" s="26">
        <v>7490</v>
      </c>
      <c r="C13" s="26">
        <v>1291</v>
      </c>
      <c r="D13" s="26">
        <v>484392</v>
      </c>
      <c r="E13" s="26">
        <v>7447</v>
      </c>
      <c r="F13" s="26">
        <v>26277</v>
      </c>
      <c r="G13" s="26">
        <v>103016</v>
      </c>
      <c r="I13" s="2">
        <v>99806589000000</v>
      </c>
      <c r="J13" s="2">
        <v>1345368000000</v>
      </c>
      <c r="K13" s="2">
        <v>16648929000000.002</v>
      </c>
      <c r="L13" s="2">
        <v>368126319000000</v>
      </c>
      <c r="M13" s="2">
        <v>968433000000.00012</v>
      </c>
    </row>
    <row r="14" spans="1:20" ht="14.25" customHeight="1" x14ac:dyDescent="0.25">
      <c r="A14" s="1" t="s">
        <v>80</v>
      </c>
      <c r="I14" s="1" t="s">
        <v>81</v>
      </c>
    </row>
    <row r="15" spans="1:20" ht="14.25" customHeight="1" x14ac:dyDescent="0.25">
      <c r="A15" s="24">
        <v>2019</v>
      </c>
      <c r="B15" s="24" t="s">
        <v>70</v>
      </c>
      <c r="C15" s="24" t="s">
        <v>71</v>
      </c>
      <c r="D15" s="24" t="s">
        <v>72</v>
      </c>
      <c r="E15" s="24" t="s">
        <v>73</v>
      </c>
      <c r="F15" s="24" t="s">
        <v>74</v>
      </c>
      <c r="G15" s="24" t="s">
        <v>75</v>
      </c>
      <c r="I15" s="24" t="s">
        <v>70</v>
      </c>
      <c r="J15" s="24" t="s">
        <v>71</v>
      </c>
      <c r="K15" s="24" t="s">
        <v>72</v>
      </c>
      <c r="L15" s="24" t="s">
        <v>73</v>
      </c>
      <c r="M15" s="24" t="s">
        <v>74</v>
      </c>
      <c r="N15" s="24" t="s">
        <v>75</v>
      </c>
    </row>
    <row r="16" spans="1:20" ht="14.25" customHeight="1" x14ac:dyDescent="0.25">
      <c r="A16" s="25" t="s">
        <v>82</v>
      </c>
      <c r="B16" s="11">
        <v>0</v>
      </c>
      <c r="C16" s="11">
        <f>C13*$T$3</f>
        <v>723.2182000000023</v>
      </c>
      <c r="D16" s="11">
        <v>0</v>
      </c>
      <c r="E16" s="11">
        <f>E13*$T$3</f>
        <v>4171.8094000000137</v>
      </c>
      <c r="F16" s="30">
        <f>F13</f>
        <v>26277</v>
      </c>
      <c r="G16" s="11">
        <f>G13*$T$3</f>
        <v>57709.563200000186</v>
      </c>
      <c r="H16" s="1" t="s">
        <v>82</v>
      </c>
      <c r="I16" s="11">
        <f t="shared" ref="I16:M16" si="1">B16*I11</f>
        <v>0</v>
      </c>
      <c r="J16" s="11">
        <f t="shared" si="1"/>
        <v>753675153600.00232</v>
      </c>
      <c r="K16" s="11">
        <f t="shared" si="1"/>
        <v>0</v>
      </c>
      <c r="L16" s="11">
        <f t="shared" si="1"/>
        <v>206224363903800.66</v>
      </c>
      <c r="M16" s="11">
        <f t="shared" si="1"/>
        <v>968433000000.00012</v>
      </c>
      <c r="N16" s="11"/>
    </row>
    <row r="17" spans="1:14" ht="14.25" customHeight="1" x14ac:dyDescent="0.25">
      <c r="A17" s="15" t="s">
        <v>83</v>
      </c>
      <c r="B17" s="30">
        <f t="shared" ref="B17:E17" si="2">B13-B16</f>
        <v>7490</v>
      </c>
      <c r="C17" s="30">
        <f t="shared" si="2"/>
        <v>567.7817999999977</v>
      </c>
      <c r="D17" s="30">
        <f t="shared" si="2"/>
        <v>484392</v>
      </c>
      <c r="E17" s="30">
        <f t="shared" si="2"/>
        <v>3275.1905999999863</v>
      </c>
      <c r="F17" s="30">
        <v>0</v>
      </c>
      <c r="G17" s="30">
        <f>G13-G16</f>
        <v>45306.436799999814</v>
      </c>
      <c r="H17" s="1" t="s">
        <v>83</v>
      </c>
      <c r="I17" s="11">
        <f t="shared" ref="I17:M17" si="3">B17*I11</f>
        <v>99806589000000</v>
      </c>
      <c r="J17" s="11">
        <f t="shared" si="3"/>
        <v>591692846399.99756</v>
      </c>
      <c r="K17" s="11">
        <f t="shared" si="3"/>
        <v>16648929000000.002</v>
      </c>
      <c r="L17" s="11">
        <f t="shared" si="3"/>
        <v>161901955096199.31</v>
      </c>
      <c r="M17" s="11">
        <f t="shared" si="3"/>
        <v>0</v>
      </c>
      <c r="N17" s="11"/>
    </row>
    <row r="18" spans="1:14" ht="14.25" customHeight="1" x14ac:dyDescent="0.2"/>
    <row r="19" spans="1:14" ht="14.25" customHeight="1" x14ac:dyDescent="0.25">
      <c r="A19" s="31" t="s">
        <v>29</v>
      </c>
      <c r="B19" s="32"/>
      <c r="C19" s="2"/>
      <c r="D19" s="2"/>
      <c r="E19" s="2"/>
      <c r="F19" s="2"/>
      <c r="G19" s="2"/>
    </row>
    <row r="20" spans="1:14" ht="14.25" customHeight="1" x14ac:dyDescent="0.25">
      <c r="A20" s="11"/>
      <c r="B20" s="12" t="s">
        <v>30</v>
      </c>
      <c r="C20" s="12" t="s">
        <v>31</v>
      </c>
      <c r="D20" s="12" t="s">
        <v>32</v>
      </c>
      <c r="E20" s="13" t="s">
        <v>33</v>
      </c>
      <c r="F20" s="12" t="s">
        <v>34</v>
      </c>
      <c r="G20" s="12" t="s">
        <v>35</v>
      </c>
    </row>
    <row r="21" spans="1:14" ht="14.25" customHeight="1" x14ac:dyDescent="0.25">
      <c r="A21" s="15" t="s">
        <v>36</v>
      </c>
      <c r="B21" s="11">
        <v>0</v>
      </c>
      <c r="C21" s="11">
        <v>0</v>
      </c>
      <c r="D21" s="11">
        <v>0</v>
      </c>
      <c r="E21" s="11">
        <v>0</v>
      </c>
      <c r="F21" s="11">
        <v>0</v>
      </c>
      <c r="G21" s="11">
        <v>0</v>
      </c>
    </row>
    <row r="22" spans="1:14" ht="14.25" customHeight="1" x14ac:dyDescent="0.25">
      <c r="A22" s="15" t="s">
        <v>37</v>
      </c>
      <c r="B22" s="11">
        <v>0</v>
      </c>
      <c r="C22" s="11">
        <f>J16</f>
        <v>753675153600.00232</v>
      </c>
      <c r="D22" s="11">
        <v>0</v>
      </c>
      <c r="E22" s="11">
        <v>0</v>
      </c>
      <c r="F22" s="11">
        <v>0</v>
      </c>
      <c r="G22" s="11">
        <v>0</v>
      </c>
    </row>
    <row r="23" spans="1:14" ht="14.25" customHeight="1" x14ac:dyDescent="0.25">
      <c r="A23" s="15" t="s">
        <v>39</v>
      </c>
      <c r="B23" s="11">
        <v>0</v>
      </c>
      <c r="C23" s="11">
        <v>0</v>
      </c>
      <c r="D23" s="11">
        <v>0</v>
      </c>
      <c r="E23" s="11">
        <v>0</v>
      </c>
      <c r="F23" s="11">
        <v>0</v>
      </c>
      <c r="G23" s="11">
        <v>0</v>
      </c>
    </row>
    <row r="24" spans="1:14" ht="14.25" customHeight="1" x14ac:dyDescent="0.25">
      <c r="A24" s="15" t="s">
        <v>40</v>
      </c>
      <c r="B24" s="11">
        <v>0</v>
      </c>
      <c r="C24" s="11">
        <f>L16</f>
        <v>206224363903800.66</v>
      </c>
      <c r="D24" s="11">
        <v>0</v>
      </c>
      <c r="E24" s="11">
        <v>0</v>
      </c>
      <c r="F24" s="11">
        <v>0</v>
      </c>
      <c r="G24" s="11">
        <v>0</v>
      </c>
    </row>
    <row r="25" spans="1:14" ht="14.25" customHeight="1" x14ac:dyDescent="0.25">
      <c r="A25" s="15" t="s">
        <v>41</v>
      </c>
      <c r="B25" s="11">
        <v>0</v>
      </c>
      <c r="C25" s="11">
        <f>M16</f>
        <v>968433000000.00012</v>
      </c>
      <c r="D25" s="11">
        <v>0</v>
      </c>
      <c r="E25" s="11">
        <v>0</v>
      </c>
      <c r="F25" s="11">
        <v>0</v>
      </c>
      <c r="G25" s="11">
        <v>0</v>
      </c>
    </row>
    <row r="26" spans="1:14" ht="14.25" customHeight="1" x14ac:dyDescent="0.25">
      <c r="A26" s="15" t="s">
        <v>42</v>
      </c>
      <c r="B26" s="33">
        <f>'Electricity Residential'!D24*$T$3*$N$11</f>
        <v>22438884172230.563</v>
      </c>
      <c r="C26" s="33">
        <f>'Electricity Residential'!D26*$T$3*$N$11</f>
        <v>58019205322405.164</v>
      </c>
      <c r="D26" s="33">
        <f>'Electricity Residential'!D28*$T$3*$N$11</f>
        <v>25078640458272.852</v>
      </c>
      <c r="E26" s="33">
        <f>'Electricity Residential'!D34*$T$3*$N$11</f>
        <v>25063348604334.879</v>
      </c>
      <c r="F26" s="33">
        <f>'Electricity Residential'!D35*$T$3*$N$11</f>
        <v>71036395987103.203</v>
      </c>
      <c r="G26" s="11">
        <v>0</v>
      </c>
    </row>
    <row r="27" spans="1:14" ht="14.25" customHeight="1" x14ac:dyDescent="0.25">
      <c r="A27" s="2"/>
      <c r="B27" s="2"/>
      <c r="C27" s="2"/>
      <c r="D27" s="2"/>
      <c r="E27" s="2"/>
      <c r="F27" s="2"/>
      <c r="G27" s="2"/>
    </row>
    <row r="28" spans="1:14" ht="14.25" customHeight="1" x14ac:dyDescent="0.25">
      <c r="A28" s="31" t="s">
        <v>43</v>
      </c>
      <c r="B28" s="32"/>
      <c r="C28" s="2"/>
      <c r="D28" s="2"/>
      <c r="E28" s="2"/>
      <c r="F28" s="2"/>
      <c r="G28" s="2"/>
    </row>
    <row r="29" spans="1:14" ht="14.25" customHeight="1" x14ac:dyDescent="0.25">
      <c r="A29" s="11"/>
      <c r="B29" s="12" t="s">
        <v>30</v>
      </c>
      <c r="C29" s="12" t="s">
        <v>31</v>
      </c>
      <c r="D29" s="12" t="s">
        <v>32</v>
      </c>
      <c r="E29" s="13" t="s">
        <v>33</v>
      </c>
      <c r="F29" s="12" t="s">
        <v>34</v>
      </c>
      <c r="G29" s="12" t="s">
        <v>35</v>
      </c>
    </row>
    <row r="30" spans="1:14" ht="14.25" customHeight="1" x14ac:dyDescent="0.25">
      <c r="A30" s="15" t="s">
        <v>36</v>
      </c>
      <c r="B30" s="11">
        <v>0</v>
      </c>
      <c r="C30" s="11">
        <f>I17</f>
        <v>99806589000000</v>
      </c>
      <c r="D30" s="11">
        <v>0</v>
      </c>
      <c r="E30" s="11">
        <v>0</v>
      </c>
      <c r="F30" s="11">
        <v>0</v>
      </c>
      <c r="G30" s="11">
        <v>0</v>
      </c>
    </row>
    <row r="31" spans="1:14" ht="14.25" customHeight="1" x14ac:dyDescent="0.25">
      <c r="A31" s="15" t="s">
        <v>37</v>
      </c>
      <c r="B31" s="11">
        <v>0</v>
      </c>
      <c r="C31" s="11">
        <f>J17</f>
        <v>591692846399.99756</v>
      </c>
      <c r="D31" s="11">
        <v>0</v>
      </c>
      <c r="E31" s="11">
        <v>0</v>
      </c>
      <c r="F31" s="11">
        <v>0</v>
      </c>
      <c r="G31" s="11">
        <v>0</v>
      </c>
    </row>
    <row r="32" spans="1:14" ht="14.25" customHeight="1" x14ac:dyDescent="0.25">
      <c r="A32" s="15" t="s">
        <v>39</v>
      </c>
      <c r="B32" s="11">
        <v>0</v>
      </c>
      <c r="C32" s="11">
        <v>0</v>
      </c>
      <c r="D32" s="11">
        <v>0</v>
      </c>
      <c r="E32" s="11">
        <f>K17</f>
        <v>16648929000000.002</v>
      </c>
      <c r="F32" s="11">
        <v>0</v>
      </c>
      <c r="G32" s="11">
        <v>0</v>
      </c>
    </row>
    <row r="33" spans="1:7" ht="14.25" customHeight="1" x14ac:dyDescent="0.25">
      <c r="A33" s="15" t="s">
        <v>40</v>
      </c>
      <c r="B33" s="11">
        <v>0</v>
      </c>
      <c r="C33" s="11">
        <f>L17</f>
        <v>161901955096199.31</v>
      </c>
      <c r="D33" s="11">
        <v>0</v>
      </c>
      <c r="E33" s="11">
        <v>0</v>
      </c>
      <c r="F33" s="11">
        <v>0</v>
      </c>
      <c r="G33" s="11">
        <v>0</v>
      </c>
    </row>
    <row r="34" spans="1:7" ht="14.25" customHeight="1" x14ac:dyDescent="0.25">
      <c r="A34" s="15" t="s">
        <v>41</v>
      </c>
      <c r="B34" s="11">
        <v>0</v>
      </c>
      <c r="C34" s="11">
        <v>0</v>
      </c>
      <c r="D34" s="11">
        <v>0</v>
      </c>
      <c r="E34" s="11">
        <v>0</v>
      </c>
      <c r="F34" s="11">
        <v>0</v>
      </c>
      <c r="G34" s="11">
        <v>0</v>
      </c>
    </row>
    <row r="35" spans="1:7" ht="14.25" customHeight="1" x14ac:dyDescent="0.25">
      <c r="A35" s="15" t="s">
        <v>42</v>
      </c>
      <c r="B35" s="34">
        <f>'Electricity Residential'!D24*$N$11-B26</f>
        <v>17616246445817.438</v>
      </c>
      <c r="C35" s="34">
        <f>'Electricity Residential'!D26*$N$11-C26</f>
        <v>45549529633690.836</v>
      </c>
      <c r="D35" s="34">
        <f>'Electricity Residential'!D28*$N$11-D26</f>
        <v>19688657753567.148</v>
      </c>
      <c r="E35" s="34">
        <f>'Electricity Residential'!D34*$N$11-E26</f>
        <v>19676652474449.121</v>
      </c>
      <c r="F35" s="34">
        <f>'Electricity Residential'!D35*$N$11-F26</f>
        <v>55769023482912.797</v>
      </c>
      <c r="G35" s="11">
        <v>0</v>
      </c>
    </row>
    <row r="36" spans="1:7" ht="14.25" customHeight="1" x14ac:dyDescent="0.2"/>
    <row r="37" spans="1:7" ht="14.25" customHeight="1" x14ac:dyDescent="0.2"/>
    <row r="38" spans="1:7" ht="14.25" customHeight="1" x14ac:dyDescent="0.2"/>
    <row r="39" spans="1:7" ht="14.25" customHeight="1" x14ac:dyDescent="0.2"/>
    <row r="40" spans="1:7" ht="14.25" customHeight="1" x14ac:dyDescent="0.2"/>
    <row r="41" spans="1:7" ht="14.25" customHeight="1" x14ac:dyDescent="0.2"/>
    <row r="42" spans="1:7" ht="14.25" customHeight="1" x14ac:dyDescent="0.2"/>
    <row r="43" spans="1:7" ht="14.25" customHeight="1" x14ac:dyDescent="0.2"/>
    <row r="44" spans="1:7" ht="14.25" customHeight="1" x14ac:dyDescent="0.2"/>
    <row r="45" spans="1:7" ht="14.25" customHeight="1" x14ac:dyDescent="0.2"/>
    <row r="46" spans="1:7" ht="14.25" customHeight="1" x14ac:dyDescent="0.2"/>
    <row r="47" spans="1:7" ht="14.25" customHeight="1" x14ac:dyDescent="0.2"/>
    <row r="48" spans="1:7"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B21:G26 B30:G35">
    <cfRule type="cellIs" dxfId="0" priority="1" operator="equal">
      <formula>0</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46"/>
  <sheetViews>
    <sheetView workbookViewId="0"/>
  </sheetViews>
  <sheetFormatPr defaultColWidth="12.625" defaultRowHeight="15" customHeight="1" x14ac:dyDescent="0.2"/>
  <cols>
    <col min="1" max="1" width="23.375" customWidth="1"/>
    <col min="2" max="2" width="19.125" customWidth="1"/>
    <col min="3" max="3" width="17" customWidth="1"/>
  </cols>
  <sheetData>
    <row r="1" spans="1:10" x14ac:dyDescent="0.25">
      <c r="A1" s="35"/>
      <c r="B1" s="36" t="s">
        <v>84</v>
      </c>
      <c r="C1" s="36" t="s">
        <v>85</v>
      </c>
      <c r="D1" s="36" t="s">
        <v>86</v>
      </c>
      <c r="E1" s="36" t="s">
        <v>86</v>
      </c>
      <c r="F1" s="36" t="s">
        <v>86</v>
      </c>
      <c r="G1" s="36" t="s">
        <v>86</v>
      </c>
      <c r="H1" s="36" t="s">
        <v>86</v>
      </c>
      <c r="I1" s="36" t="s">
        <v>84</v>
      </c>
      <c r="J1" s="36" t="s">
        <v>47</v>
      </c>
    </row>
    <row r="2" spans="1:10" ht="30" x14ac:dyDescent="0.25">
      <c r="A2" s="37"/>
      <c r="B2" s="38" t="s">
        <v>70</v>
      </c>
      <c r="C2" s="38" t="s">
        <v>71</v>
      </c>
      <c r="D2" s="38" t="s">
        <v>72</v>
      </c>
      <c r="E2" s="38" t="s">
        <v>87</v>
      </c>
      <c r="F2" s="38" t="s">
        <v>88</v>
      </c>
      <c r="G2" s="38" t="s">
        <v>89</v>
      </c>
      <c r="H2" s="38" t="s">
        <v>90</v>
      </c>
      <c r="I2" s="38" t="s">
        <v>91</v>
      </c>
      <c r="J2" s="38" t="s">
        <v>75</v>
      </c>
    </row>
    <row r="3" spans="1:10" x14ac:dyDescent="0.25">
      <c r="A3" s="37">
        <v>2019</v>
      </c>
      <c r="B3" s="39">
        <v>574</v>
      </c>
      <c r="C3" s="39">
        <v>172</v>
      </c>
      <c r="D3" s="39">
        <v>26748</v>
      </c>
      <c r="E3" s="39">
        <v>48063</v>
      </c>
      <c r="F3" s="39">
        <v>295720</v>
      </c>
      <c r="G3" s="39">
        <v>334</v>
      </c>
      <c r="H3" s="39">
        <v>370865</v>
      </c>
      <c r="I3" s="39">
        <v>206</v>
      </c>
      <c r="J3" s="39">
        <v>62704</v>
      </c>
    </row>
    <row r="4" spans="1:10" x14ac:dyDescent="0.25">
      <c r="A4" s="35"/>
      <c r="B4" s="36" t="s">
        <v>92</v>
      </c>
      <c r="C4" s="36" t="s">
        <v>92</v>
      </c>
      <c r="D4" s="36" t="s">
        <v>92</v>
      </c>
      <c r="E4" s="36" t="s">
        <v>92</v>
      </c>
      <c r="F4" s="36" t="s">
        <v>92</v>
      </c>
      <c r="G4" s="36" t="s">
        <v>92</v>
      </c>
      <c r="H4" s="36" t="s">
        <v>92</v>
      </c>
      <c r="I4" s="36" t="s">
        <v>92</v>
      </c>
      <c r="J4" s="36" t="s">
        <v>92</v>
      </c>
    </row>
    <row r="5" spans="1:10" x14ac:dyDescent="0.25">
      <c r="A5" s="40">
        <v>2019</v>
      </c>
      <c r="B5" s="41">
        <f>1320</f>
        <v>1320</v>
      </c>
      <c r="C5" s="41">
        <v>31</v>
      </c>
      <c r="D5" s="41">
        <v>159</v>
      </c>
      <c r="E5" s="41">
        <v>312</v>
      </c>
      <c r="F5" s="41">
        <v>1918</v>
      </c>
      <c r="G5" s="41">
        <v>2</v>
      </c>
      <c r="H5" s="42">
        <v>2391</v>
      </c>
      <c r="I5" s="41">
        <v>1758</v>
      </c>
      <c r="J5" s="41">
        <v>38438</v>
      </c>
    </row>
    <row r="6" spans="1:10" x14ac:dyDescent="0.25">
      <c r="A6" s="40"/>
      <c r="B6" s="43" t="s">
        <v>93</v>
      </c>
      <c r="C6" s="43" t="s">
        <v>93</v>
      </c>
      <c r="D6" s="43" t="s">
        <v>93</v>
      </c>
      <c r="E6" s="43" t="s">
        <v>93</v>
      </c>
      <c r="F6" s="43" t="s">
        <v>93</v>
      </c>
      <c r="G6" s="43" t="s">
        <v>93</v>
      </c>
      <c r="H6" s="43" t="s">
        <v>93</v>
      </c>
      <c r="I6" s="43" t="s">
        <v>93</v>
      </c>
      <c r="J6" s="43" t="s">
        <v>93</v>
      </c>
    </row>
    <row r="7" spans="1:10" x14ac:dyDescent="0.25">
      <c r="A7" s="40">
        <v>2019</v>
      </c>
      <c r="B7" s="44">
        <f t="shared" ref="B7:G7" si="0">B5*$C$10*1000</f>
        <v>7656000000000</v>
      </c>
      <c r="C7" s="44">
        <f t="shared" si="0"/>
        <v>179800000000</v>
      </c>
      <c r="D7" s="44">
        <f t="shared" si="0"/>
        <v>922200000000</v>
      </c>
      <c r="E7" s="44">
        <f t="shared" si="0"/>
        <v>1809600000000</v>
      </c>
      <c r="F7" s="44">
        <f t="shared" si="0"/>
        <v>11124400000000</v>
      </c>
      <c r="G7" s="44">
        <f t="shared" si="0"/>
        <v>11600000000</v>
      </c>
      <c r="H7" s="44"/>
      <c r="I7" s="44">
        <f t="shared" ref="I7:J7" si="1">I5*$C$10*1000</f>
        <v>10196400000000</v>
      </c>
      <c r="J7" s="44">
        <f t="shared" si="1"/>
        <v>222940400000000</v>
      </c>
    </row>
    <row r="9" spans="1:10" x14ac:dyDescent="0.25">
      <c r="A9" s="2"/>
      <c r="B9" s="2" t="s">
        <v>94</v>
      </c>
      <c r="C9" s="2" t="s">
        <v>93</v>
      </c>
      <c r="D9" s="2"/>
    </row>
    <row r="10" spans="1:10" x14ac:dyDescent="0.25">
      <c r="A10" s="2"/>
      <c r="B10" s="45">
        <v>1</v>
      </c>
      <c r="C10" s="45">
        <v>5800000</v>
      </c>
      <c r="D10" s="2"/>
    </row>
    <row r="12" spans="1:10" ht="14.25" x14ac:dyDescent="0.2">
      <c r="A12" s="46" t="s">
        <v>95</v>
      </c>
    </row>
    <row r="13" spans="1:10" ht="14.25" x14ac:dyDescent="0.2">
      <c r="I13" s="10" t="s">
        <v>96</v>
      </c>
    </row>
    <row r="14" spans="1:10" x14ac:dyDescent="0.25">
      <c r="I14" s="47" t="s">
        <v>97</v>
      </c>
      <c r="J14" s="48">
        <v>5.9957772031073092E+19</v>
      </c>
    </row>
    <row r="15" spans="1:10" x14ac:dyDescent="0.25">
      <c r="A15" s="11"/>
      <c r="B15" s="49" t="s">
        <v>30</v>
      </c>
      <c r="C15" s="49" t="s">
        <v>31</v>
      </c>
      <c r="D15" s="49" t="s">
        <v>32</v>
      </c>
      <c r="E15" s="50" t="s">
        <v>33</v>
      </c>
      <c r="F15" s="49" t="s">
        <v>34</v>
      </c>
      <c r="G15" s="49" t="s">
        <v>35</v>
      </c>
      <c r="I15" s="51" t="s">
        <v>98</v>
      </c>
      <c r="J15" s="52">
        <v>10183199317163.242</v>
      </c>
    </row>
    <row r="16" spans="1:10" x14ac:dyDescent="0.25">
      <c r="A16" s="53" t="s">
        <v>42</v>
      </c>
      <c r="B16" s="54">
        <f>J7*B17</f>
        <v>100860593418486.16</v>
      </c>
      <c r="C16" s="55">
        <v>0</v>
      </c>
      <c r="D16" s="56">
        <f>J7*D17</f>
        <v>15867519352622.852</v>
      </c>
      <c r="E16" s="56">
        <f>J7*E17</f>
        <v>40344237367394.477</v>
      </c>
      <c r="F16" s="54">
        <f>J7*F17</f>
        <v>65868049861496.508</v>
      </c>
      <c r="G16" s="55">
        <v>0</v>
      </c>
      <c r="I16" s="2" t="s">
        <v>99</v>
      </c>
      <c r="J16" s="57">
        <v>10183199317163.242</v>
      </c>
    </row>
    <row r="17" spans="1:11" x14ac:dyDescent="0.25">
      <c r="A17" s="53" t="s">
        <v>100</v>
      </c>
      <c r="B17" s="58">
        <v>0.45241056990337397</v>
      </c>
      <c r="C17" s="58">
        <v>0</v>
      </c>
      <c r="D17" s="58">
        <v>7.1173817543266502E-2</v>
      </c>
      <c r="E17" s="58">
        <v>0.18096422796134967</v>
      </c>
      <c r="F17" s="58">
        <v>0.29545138459200981</v>
      </c>
      <c r="G17" s="59">
        <v>0</v>
      </c>
      <c r="I17" s="51" t="s">
        <v>101</v>
      </c>
      <c r="J17" s="52">
        <v>38718197403742.43</v>
      </c>
    </row>
    <row r="18" spans="1:11" x14ac:dyDescent="0.25">
      <c r="A18" s="86" t="s">
        <v>102</v>
      </c>
      <c r="B18" s="80"/>
      <c r="C18" s="80"/>
      <c r="D18" s="80"/>
      <c r="E18" s="80"/>
      <c r="F18" s="80"/>
      <c r="G18" s="80"/>
      <c r="I18" s="2" t="s">
        <v>103</v>
      </c>
      <c r="J18" s="57">
        <v>38718197403742.43</v>
      </c>
      <c r="K18" s="60"/>
    </row>
    <row r="19" spans="1:11" x14ac:dyDescent="0.25">
      <c r="I19" s="51" t="s">
        <v>104</v>
      </c>
      <c r="J19" s="52">
        <v>28154141112117.633</v>
      </c>
    </row>
    <row r="20" spans="1:11" x14ac:dyDescent="0.25">
      <c r="A20" s="1" t="s">
        <v>105</v>
      </c>
      <c r="B20" s="61" t="s">
        <v>35</v>
      </c>
      <c r="C20" s="61" t="s">
        <v>106</v>
      </c>
      <c r="D20" s="61" t="s">
        <v>107</v>
      </c>
      <c r="E20" s="61" t="s">
        <v>33</v>
      </c>
      <c r="F20" s="61" t="s">
        <v>32</v>
      </c>
      <c r="G20" s="61" t="s">
        <v>34</v>
      </c>
      <c r="I20" s="2" t="s">
        <v>108</v>
      </c>
      <c r="J20" s="57">
        <v>179242987980.8205</v>
      </c>
    </row>
    <row r="21" spans="1:11" x14ac:dyDescent="0.25">
      <c r="A21" s="1" t="s">
        <v>109</v>
      </c>
      <c r="B21" s="2">
        <v>0</v>
      </c>
      <c r="C21" s="62">
        <f>B16</f>
        <v>100860593418486.16</v>
      </c>
      <c r="D21" s="2">
        <v>0</v>
      </c>
      <c r="E21" s="63">
        <f>E16</f>
        <v>40344237367394.477</v>
      </c>
      <c r="F21" s="63">
        <f>D16</f>
        <v>15867519352622.852</v>
      </c>
      <c r="G21" s="63">
        <f>F16</f>
        <v>65868049861496.508</v>
      </c>
      <c r="H21" s="64"/>
      <c r="I21" s="2" t="s">
        <v>110</v>
      </c>
      <c r="J21" s="57">
        <v>12746899145253.766</v>
      </c>
    </row>
    <row r="22" spans="1:11" ht="36.75" customHeight="1" x14ac:dyDescent="0.25">
      <c r="A22" s="1" t="s">
        <v>111</v>
      </c>
      <c r="B22" s="2">
        <v>0</v>
      </c>
      <c r="C22" s="65">
        <v>0</v>
      </c>
      <c r="D22" s="2">
        <v>0</v>
      </c>
      <c r="E22" s="65">
        <v>0</v>
      </c>
      <c r="F22" s="65">
        <v>0</v>
      </c>
      <c r="G22" s="65">
        <v>0</v>
      </c>
      <c r="I22" s="2" t="s">
        <v>112</v>
      </c>
      <c r="J22" s="57">
        <v>15227998978883.049</v>
      </c>
      <c r="K22" s="60"/>
    </row>
    <row r="23" spans="1:11" x14ac:dyDescent="0.25">
      <c r="A23" s="1" t="s">
        <v>113</v>
      </c>
      <c r="B23" s="2">
        <v>0</v>
      </c>
      <c r="C23" s="65">
        <v>0</v>
      </c>
      <c r="D23" s="2">
        <v>0</v>
      </c>
      <c r="E23" s="65">
        <v>0</v>
      </c>
      <c r="F23" s="62">
        <f>C7</f>
        <v>179800000000</v>
      </c>
      <c r="G23" s="65">
        <v>0</v>
      </c>
      <c r="I23" s="51" t="s">
        <v>114</v>
      </c>
      <c r="J23" s="52">
        <v>96795493509356.078</v>
      </c>
      <c r="K23" s="60"/>
    </row>
    <row r="24" spans="1:11" x14ac:dyDescent="0.25">
      <c r="A24" s="1" t="s">
        <v>115</v>
      </c>
      <c r="B24" s="2">
        <v>0</v>
      </c>
      <c r="C24" s="65">
        <v>0</v>
      </c>
      <c r="D24" s="2">
        <v>0</v>
      </c>
      <c r="E24" s="65">
        <v>0</v>
      </c>
      <c r="F24" s="62">
        <f>G7</f>
        <v>11600000000</v>
      </c>
      <c r="G24" s="65">
        <v>0</v>
      </c>
      <c r="I24" s="2" t="s">
        <v>103</v>
      </c>
      <c r="J24" s="57">
        <v>96795493509356.078</v>
      </c>
      <c r="K24" s="60"/>
    </row>
    <row r="25" spans="1:11" x14ac:dyDescent="0.25">
      <c r="A25" s="1" t="s">
        <v>116</v>
      </c>
      <c r="B25" s="2">
        <v>0</v>
      </c>
      <c r="C25" s="65">
        <v>0</v>
      </c>
      <c r="D25" s="2">
        <v>0</v>
      </c>
      <c r="E25" s="65">
        <v>0</v>
      </c>
      <c r="F25" s="65">
        <v>0</v>
      </c>
      <c r="G25" s="65">
        <v>0</v>
      </c>
      <c r="I25" s="51" t="s">
        <v>117</v>
      </c>
      <c r="J25" s="52">
        <v>5.9957598180041744E+19</v>
      </c>
      <c r="K25" s="60"/>
    </row>
    <row r="26" spans="1:11" x14ac:dyDescent="0.25">
      <c r="A26" s="1" t="s">
        <v>118</v>
      </c>
      <c r="B26" s="2">
        <v>0</v>
      </c>
      <c r="C26" s="65">
        <v>0</v>
      </c>
      <c r="D26" s="2">
        <v>0</v>
      </c>
      <c r="E26" s="65">
        <v>0</v>
      </c>
      <c r="F26" s="62">
        <f>B7+F7</f>
        <v>18780400000000</v>
      </c>
      <c r="G26" s="65">
        <v>0</v>
      </c>
      <c r="I26" s="2" t="s">
        <v>103</v>
      </c>
      <c r="J26" s="57"/>
      <c r="K26" s="60"/>
    </row>
    <row r="27" spans="1:11" x14ac:dyDescent="0.25">
      <c r="A27" s="1" t="s">
        <v>119</v>
      </c>
      <c r="B27" s="2">
        <v>0</v>
      </c>
      <c r="C27" s="65">
        <v>0</v>
      </c>
      <c r="D27" s="2">
        <v>0</v>
      </c>
      <c r="E27" s="65">
        <v>0</v>
      </c>
      <c r="F27" s="62">
        <f>D7</f>
        <v>922200000000</v>
      </c>
      <c r="G27" s="65">
        <v>0</v>
      </c>
      <c r="K27" s="60"/>
    </row>
    <row r="28" spans="1:11" x14ac:dyDescent="0.25">
      <c r="A28" s="1" t="s">
        <v>120</v>
      </c>
      <c r="B28" s="2">
        <v>0</v>
      </c>
      <c r="C28" s="65">
        <v>0</v>
      </c>
      <c r="D28" s="2">
        <v>0</v>
      </c>
      <c r="E28" s="65">
        <v>0</v>
      </c>
      <c r="F28" s="62">
        <f>E7</f>
        <v>1809600000000</v>
      </c>
      <c r="G28" s="65">
        <v>0</v>
      </c>
      <c r="K28" s="60"/>
    </row>
    <row r="29" spans="1:11" x14ac:dyDescent="0.25">
      <c r="A29" s="1" t="s">
        <v>121</v>
      </c>
      <c r="B29" s="2">
        <v>0</v>
      </c>
      <c r="C29" s="65">
        <v>0</v>
      </c>
      <c r="D29" s="2">
        <v>0</v>
      </c>
      <c r="E29" s="65">
        <v>0</v>
      </c>
      <c r="F29" s="62">
        <f>I7</f>
        <v>10196400000000</v>
      </c>
      <c r="G29" s="65">
        <v>0</v>
      </c>
      <c r="K29" s="60"/>
    </row>
    <row r="30" spans="1:11" x14ac:dyDescent="0.25">
      <c r="A30" s="1" t="s">
        <v>122</v>
      </c>
      <c r="B30" s="2">
        <v>0</v>
      </c>
      <c r="C30" s="65">
        <v>0</v>
      </c>
      <c r="D30" s="2">
        <v>0</v>
      </c>
      <c r="E30" s="65">
        <v>0</v>
      </c>
      <c r="F30" s="65">
        <v>0</v>
      </c>
      <c r="G30" s="65">
        <v>0</v>
      </c>
    </row>
    <row r="32" spans="1:11" x14ac:dyDescent="0.25">
      <c r="A32" s="1"/>
      <c r="B32" s="61"/>
      <c r="C32" s="61"/>
      <c r="D32" s="61"/>
      <c r="E32" s="61"/>
      <c r="F32" s="61"/>
      <c r="G32" s="61"/>
    </row>
    <row r="33" spans="1:8" x14ac:dyDescent="0.25">
      <c r="A33" s="1"/>
      <c r="B33" s="2"/>
      <c r="C33" s="66"/>
      <c r="D33" s="2"/>
      <c r="E33" s="63"/>
      <c r="F33" s="63"/>
      <c r="G33" s="63"/>
    </row>
    <row r="34" spans="1:8" x14ac:dyDescent="0.25">
      <c r="A34" s="1"/>
      <c r="B34" s="2"/>
      <c r="C34" s="65"/>
      <c r="D34" s="2"/>
      <c r="E34" s="65"/>
      <c r="F34" s="65"/>
      <c r="G34" s="65"/>
      <c r="H34" s="64"/>
    </row>
    <row r="35" spans="1:8" x14ac:dyDescent="0.25">
      <c r="A35" s="1"/>
      <c r="B35" s="2"/>
      <c r="C35" s="65"/>
      <c r="D35" s="2"/>
      <c r="E35" s="65"/>
      <c r="F35" s="66"/>
      <c r="G35" s="65"/>
    </row>
    <row r="36" spans="1:8" x14ac:dyDescent="0.25">
      <c r="A36" s="1"/>
      <c r="B36" s="2"/>
      <c r="C36" s="65"/>
      <c r="D36" s="2"/>
      <c r="E36" s="65"/>
      <c r="F36" s="66"/>
      <c r="G36" s="65"/>
    </row>
    <row r="37" spans="1:8" x14ac:dyDescent="0.25">
      <c r="A37" s="1"/>
      <c r="B37" s="2"/>
      <c r="C37" s="65"/>
      <c r="D37" s="2"/>
      <c r="E37" s="65"/>
      <c r="F37" s="65"/>
      <c r="G37" s="65"/>
    </row>
    <row r="38" spans="1:8" x14ac:dyDescent="0.25">
      <c r="A38" s="1"/>
      <c r="B38" s="2"/>
      <c r="C38" s="65"/>
      <c r="D38" s="2"/>
      <c r="E38" s="65"/>
      <c r="F38" s="65"/>
      <c r="G38" s="65"/>
    </row>
    <row r="39" spans="1:8" x14ac:dyDescent="0.25">
      <c r="A39" s="1"/>
      <c r="B39" s="2"/>
      <c r="C39" s="65"/>
      <c r="D39" s="2"/>
      <c r="E39" s="65"/>
      <c r="F39" s="65"/>
      <c r="G39" s="65"/>
    </row>
    <row r="40" spans="1:8" x14ac:dyDescent="0.25">
      <c r="A40" s="1"/>
      <c r="B40" s="2"/>
      <c r="C40" s="65"/>
      <c r="D40" s="2"/>
      <c r="E40" s="65"/>
      <c r="F40" s="65"/>
      <c r="G40" s="65"/>
    </row>
    <row r="41" spans="1:8" x14ac:dyDescent="0.25">
      <c r="A41" s="1"/>
      <c r="B41" s="2"/>
      <c r="C41" s="65"/>
      <c r="D41" s="2"/>
      <c r="E41" s="65"/>
      <c r="F41" s="65"/>
      <c r="G41" s="65"/>
    </row>
    <row r="42" spans="1:8" x14ac:dyDescent="0.25">
      <c r="A42" s="1"/>
      <c r="B42" s="2"/>
      <c r="C42" s="65"/>
      <c r="D42" s="2"/>
      <c r="E42" s="65"/>
      <c r="F42" s="65"/>
      <c r="G42" s="65"/>
    </row>
    <row r="46" spans="1:8" ht="14.25" x14ac:dyDescent="0.2">
      <c r="H46" s="64"/>
    </row>
  </sheetData>
  <mergeCells count="1">
    <mergeCell ref="A18:G18"/>
  </mergeCells>
  <hyperlinks>
    <hyperlink ref="A12" r:id="rId1" xr:uid="{00000000-0004-0000-0400-000000000000}"/>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1000"/>
  <sheetViews>
    <sheetView workbookViewId="0"/>
  </sheetViews>
  <sheetFormatPr defaultColWidth="12.625" defaultRowHeight="15" customHeight="1" x14ac:dyDescent="0.2"/>
  <sheetData>
    <row r="1" spans="1:33" ht="15" customHeight="1" x14ac:dyDescent="0.25">
      <c r="A1" s="67" t="s">
        <v>123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5" customHeight="1" x14ac:dyDescent="0.25">
      <c r="A2" s="67" t="s">
        <v>124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3" ht="15" customHeight="1" x14ac:dyDescent="0.25">
      <c r="A3" s="67" t="s">
        <v>125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ht="15" customHeight="1" x14ac:dyDescent="0.25">
      <c r="A4" s="67" t="s">
        <v>126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spans="1:33" ht="15" customHeight="1" x14ac:dyDescent="0.25">
      <c r="A5" s="6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spans="1:33" ht="15" customHeight="1" x14ac:dyDescent="0.25">
      <c r="A6" s="67" t="s">
        <v>127</v>
      </c>
      <c r="B6" s="68">
        <v>2019</v>
      </c>
      <c r="C6" s="68">
        <v>2020</v>
      </c>
      <c r="D6" s="68">
        <v>2021</v>
      </c>
      <c r="E6" s="68">
        <v>2022</v>
      </c>
      <c r="F6" s="68">
        <v>2023</v>
      </c>
      <c r="G6" s="68">
        <v>2024</v>
      </c>
      <c r="H6" s="68">
        <v>2025</v>
      </c>
      <c r="I6" s="68">
        <v>2026</v>
      </c>
      <c r="J6" s="68">
        <v>2027</v>
      </c>
      <c r="K6" s="68">
        <v>2028</v>
      </c>
      <c r="L6" s="68">
        <v>2029</v>
      </c>
      <c r="M6" s="68">
        <v>2030</v>
      </c>
      <c r="N6" s="68">
        <v>2031</v>
      </c>
      <c r="O6" s="68">
        <v>2032</v>
      </c>
      <c r="P6" s="68">
        <v>2033</v>
      </c>
      <c r="Q6" s="68">
        <v>2034</v>
      </c>
      <c r="R6" s="68">
        <v>2035</v>
      </c>
      <c r="S6" s="68">
        <v>2036</v>
      </c>
      <c r="T6" s="68">
        <v>2037</v>
      </c>
      <c r="U6" s="68">
        <v>2038</v>
      </c>
      <c r="V6" s="68">
        <v>2039</v>
      </c>
      <c r="W6" s="68">
        <v>2040</v>
      </c>
      <c r="X6" s="68">
        <v>2041</v>
      </c>
      <c r="Y6" s="68">
        <v>2042</v>
      </c>
      <c r="Z6" s="68">
        <v>2043</v>
      </c>
      <c r="AA6" s="68">
        <v>2044</v>
      </c>
      <c r="AB6" s="68">
        <v>2045</v>
      </c>
      <c r="AC6" s="68">
        <v>2046</v>
      </c>
      <c r="AD6" s="68">
        <v>2047</v>
      </c>
      <c r="AE6" s="68">
        <v>2048</v>
      </c>
      <c r="AF6" s="68">
        <v>2049</v>
      </c>
      <c r="AG6" s="68">
        <v>2050</v>
      </c>
    </row>
    <row r="7" spans="1:33" ht="15" customHeight="1" x14ac:dyDescent="0.25">
      <c r="A7" s="47" t="s">
        <v>128</v>
      </c>
      <c r="B7" s="69">
        <v>421208202037450.06</v>
      </c>
      <c r="C7" s="69">
        <v>421018845724104.75</v>
      </c>
      <c r="D7" s="69">
        <v>420829489410759.63</v>
      </c>
      <c r="E7" s="69">
        <v>420640133097414.31</v>
      </c>
      <c r="F7" s="69">
        <v>420450776784069.13</v>
      </c>
      <c r="G7" s="69">
        <v>420261420470723.94</v>
      </c>
      <c r="H7" s="69">
        <v>420072064157378.69</v>
      </c>
      <c r="I7" s="69">
        <v>419882707844033.5</v>
      </c>
      <c r="J7" s="69">
        <v>419693351530688.25</v>
      </c>
      <c r="K7" s="69">
        <v>419503995217343</v>
      </c>
      <c r="L7" s="69">
        <v>419314638903997.75</v>
      </c>
      <c r="M7" s="69">
        <v>419125282590652.5</v>
      </c>
      <c r="N7" s="69">
        <v>418935926277307.38</v>
      </c>
      <c r="O7" s="69">
        <v>418746569963962.13</v>
      </c>
      <c r="P7" s="69">
        <v>418557213650616.88</v>
      </c>
      <c r="Q7" s="69">
        <v>418367857337271.69</v>
      </c>
      <c r="R7" s="69">
        <v>418178501023926.38</v>
      </c>
      <c r="S7" s="69">
        <v>418113592495596.31</v>
      </c>
      <c r="T7" s="69">
        <v>418048683967266.31</v>
      </c>
      <c r="U7" s="69">
        <v>417983775438936.19</v>
      </c>
      <c r="V7" s="69">
        <v>417918866910606.25</v>
      </c>
      <c r="W7" s="69">
        <v>417853958382276.13</v>
      </c>
      <c r="X7" s="69">
        <v>417789049853946.06</v>
      </c>
      <c r="Y7" s="69">
        <v>417724141325615.94</v>
      </c>
      <c r="Z7" s="69">
        <v>417659232797285.94</v>
      </c>
      <c r="AA7" s="69">
        <v>417594324268955.88</v>
      </c>
      <c r="AB7" s="69">
        <v>417529415740625.63</v>
      </c>
      <c r="AC7" s="69">
        <v>417464507212295.69</v>
      </c>
      <c r="AD7" s="69">
        <v>417399598683965.75</v>
      </c>
      <c r="AE7" s="69">
        <v>417334690155635.75</v>
      </c>
      <c r="AF7" s="69">
        <v>417269781627305.5</v>
      </c>
      <c r="AG7" s="69">
        <v>417204873098975.5</v>
      </c>
    </row>
    <row r="8" spans="1:33" ht="15" customHeight="1" x14ac:dyDescent="0.25">
      <c r="A8" s="51" t="s">
        <v>129</v>
      </c>
      <c r="B8" s="52">
        <v>192302617688205.22</v>
      </c>
      <c r="C8" s="52">
        <v>189411301045496.56</v>
      </c>
      <c r="D8" s="52">
        <v>186519984402787.97</v>
      </c>
      <c r="E8" s="52">
        <v>183628667760079.31</v>
      </c>
      <c r="F8" s="52">
        <v>180737351117370.69</v>
      </c>
      <c r="G8" s="52">
        <v>177846034474662</v>
      </c>
      <c r="H8" s="52">
        <v>174954717831953.44</v>
      </c>
      <c r="I8" s="52">
        <v>172063401189244.81</v>
      </c>
      <c r="J8" s="52">
        <v>169172084546536.13</v>
      </c>
      <c r="K8" s="52">
        <v>166280767903827.5</v>
      </c>
      <c r="L8" s="52">
        <v>163389451261118.91</v>
      </c>
      <c r="M8" s="52">
        <v>160498134618410.28</v>
      </c>
      <c r="N8" s="52">
        <v>157606817975701.66</v>
      </c>
      <c r="O8" s="52">
        <v>154715501332993</v>
      </c>
      <c r="P8" s="52">
        <v>151824184690284.34</v>
      </c>
      <c r="Q8" s="52">
        <v>148932868047575.72</v>
      </c>
      <c r="R8" s="52">
        <v>146041551404867.09</v>
      </c>
      <c r="S8" s="52">
        <v>145050451056011.69</v>
      </c>
      <c r="T8" s="52">
        <v>144059350707156.34</v>
      </c>
      <c r="U8" s="52">
        <v>143068250358300.91</v>
      </c>
      <c r="V8" s="52">
        <v>142077150009445.59</v>
      </c>
      <c r="W8" s="52">
        <v>141086049660590.13</v>
      </c>
      <c r="X8" s="52">
        <v>140094949311734.77</v>
      </c>
      <c r="Y8" s="52">
        <v>139103848962879.39</v>
      </c>
      <c r="Z8" s="52">
        <v>138112748614023.97</v>
      </c>
      <c r="AA8" s="52">
        <v>137121648265168.59</v>
      </c>
      <c r="AB8" s="52">
        <v>136130547916313.27</v>
      </c>
      <c r="AC8" s="52">
        <v>135139447567457.84</v>
      </c>
      <c r="AD8" s="52">
        <v>134148347218602.5</v>
      </c>
      <c r="AE8" s="52">
        <v>133157246869747.05</v>
      </c>
      <c r="AF8" s="52">
        <v>132166146520891.72</v>
      </c>
      <c r="AG8" s="52">
        <v>131175046172036.3</v>
      </c>
    </row>
    <row r="9" spans="1:33" ht="15" customHeight="1" x14ac:dyDescent="0.25">
      <c r="A9" s="70" t="s">
        <v>130</v>
      </c>
      <c r="B9" s="71">
        <v>135392546756362.34</v>
      </c>
      <c r="C9" s="71">
        <v>133356886875902</v>
      </c>
      <c r="D9" s="71">
        <v>131321226995441.72</v>
      </c>
      <c r="E9" s="71">
        <v>129285567114981.41</v>
      </c>
      <c r="F9" s="71">
        <v>127249907234521.09</v>
      </c>
      <c r="G9" s="71">
        <v>125214247354060.75</v>
      </c>
      <c r="H9" s="71">
        <v>123178587473600.47</v>
      </c>
      <c r="I9" s="71">
        <v>121142927593140.16</v>
      </c>
      <c r="J9" s="71">
        <v>119107267712679.84</v>
      </c>
      <c r="K9" s="71">
        <v>117071607832219.52</v>
      </c>
      <c r="L9" s="71">
        <v>115035947951759.22</v>
      </c>
      <c r="M9" s="71">
        <v>113000288071298.91</v>
      </c>
      <c r="N9" s="71">
        <v>110964628190838.59</v>
      </c>
      <c r="O9" s="71">
        <v>108928968310378.28</v>
      </c>
      <c r="P9" s="71">
        <v>106893308429917.95</v>
      </c>
      <c r="Q9" s="71">
        <v>104857648549457.63</v>
      </c>
      <c r="R9" s="71">
        <v>102821988668997.34</v>
      </c>
      <c r="S9" s="71">
        <v>102124194733918.28</v>
      </c>
      <c r="T9" s="71">
        <v>101426400798839.31</v>
      </c>
      <c r="U9" s="71">
        <v>100728606863760.25</v>
      </c>
      <c r="V9" s="71">
        <v>100030812928681.27</v>
      </c>
      <c r="W9" s="71">
        <v>99333018993602.188</v>
      </c>
      <c r="X9" s="71">
        <v>98635225058523.188</v>
      </c>
      <c r="Y9" s="71">
        <v>97937431123444.156</v>
      </c>
      <c r="Z9" s="71">
        <v>97239637188365.125</v>
      </c>
      <c r="AA9" s="71">
        <v>96541843253286.094</v>
      </c>
      <c r="AB9" s="71">
        <v>95844049318207.109</v>
      </c>
      <c r="AC9" s="71">
        <v>95146255383128.063</v>
      </c>
      <c r="AD9" s="71">
        <v>94448461448049.063</v>
      </c>
      <c r="AE9" s="71">
        <v>93750667512970</v>
      </c>
      <c r="AF9" s="71">
        <v>93052873577891</v>
      </c>
      <c r="AG9" s="71">
        <v>92355079642811.969</v>
      </c>
    </row>
    <row r="10" spans="1:33" ht="15" customHeight="1" x14ac:dyDescent="0.25">
      <c r="A10" s="2" t="s">
        <v>131</v>
      </c>
      <c r="B10" s="57">
        <v>43894938755486.43</v>
      </c>
      <c r="C10" s="57">
        <v>43234967671992.445</v>
      </c>
      <c r="D10" s="57">
        <v>42574996588498.469</v>
      </c>
      <c r="E10" s="57">
        <v>41915025505004.477</v>
      </c>
      <c r="F10" s="57">
        <v>41255054421510.5</v>
      </c>
      <c r="G10" s="57">
        <v>40595083338016.508</v>
      </c>
      <c r="H10" s="57">
        <v>39935112254522.523</v>
      </c>
      <c r="I10" s="57">
        <v>39275141171028.555</v>
      </c>
      <c r="J10" s="57">
        <v>38615170087534.563</v>
      </c>
      <c r="K10" s="57">
        <v>37955199004040.578</v>
      </c>
      <c r="L10" s="57">
        <v>37295227920546.602</v>
      </c>
      <c r="M10" s="57">
        <v>36635256837052.617</v>
      </c>
      <c r="N10" s="57">
        <v>35975285753558.633</v>
      </c>
      <c r="O10" s="57">
        <v>35315314670064.648</v>
      </c>
      <c r="P10" s="57">
        <v>34655343586570.66</v>
      </c>
      <c r="Q10" s="57">
        <v>33995372503076.672</v>
      </c>
      <c r="R10" s="57">
        <v>33335401419582.699</v>
      </c>
      <c r="S10" s="57">
        <v>33109173146475.738</v>
      </c>
      <c r="T10" s="57">
        <v>32882944873368.809</v>
      </c>
      <c r="U10" s="57">
        <v>32656716600261.844</v>
      </c>
      <c r="V10" s="57">
        <v>32430488327154.91</v>
      </c>
      <c r="W10" s="57">
        <v>32204260054047.945</v>
      </c>
      <c r="X10" s="57">
        <v>31978031780941.004</v>
      </c>
      <c r="Y10" s="57">
        <v>31751803507834.055</v>
      </c>
      <c r="Z10" s="57">
        <v>31525575234727.098</v>
      </c>
      <c r="AA10" s="57">
        <v>31299346961620.156</v>
      </c>
      <c r="AB10" s="57">
        <v>31073118688513.215</v>
      </c>
      <c r="AC10" s="57">
        <v>30846890415406.258</v>
      </c>
      <c r="AD10" s="57">
        <v>30620662142299.32</v>
      </c>
      <c r="AE10" s="57">
        <v>30394433869192.363</v>
      </c>
      <c r="AF10" s="57">
        <v>30168205596085.422</v>
      </c>
      <c r="AG10" s="57">
        <v>29941977322978.469</v>
      </c>
    </row>
    <row r="11" spans="1:33" ht="15" customHeight="1" x14ac:dyDescent="0.25">
      <c r="A11" s="2" t="s">
        <v>132</v>
      </c>
      <c r="B11" s="57">
        <v>71204493233821.859</v>
      </c>
      <c r="C11" s="57">
        <v>70133916354538.883</v>
      </c>
      <c r="D11" s="57">
        <v>69063339475255.938</v>
      </c>
      <c r="E11" s="57">
        <v>67992762595972.969</v>
      </c>
      <c r="F11" s="57">
        <v>66922185716690.016</v>
      </c>
      <c r="G11" s="57">
        <v>65851608837407.039</v>
      </c>
      <c r="H11" s="57">
        <v>64781031958124.086</v>
      </c>
      <c r="I11" s="57">
        <v>63710455078841.125</v>
      </c>
      <c r="J11" s="57">
        <v>62639878199558.156</v>
      </c>
      <c r="K11" s="57">
        <v>61569301320275.188</v>
      </c>
      <c r="L11" s="57">
        <v>60498724440992.234</v>
      </c>
      <c r="M11" s="57">
        <v>59428147561709.273</v>
      </c>
      <c r="N11" s="57">
        <v>58357570682426.313</v>
      </c>
      <c r="O11" s="57">
        <v>57286993803143.344</v>
      </c>
      <c r="P11" s="57">
        <v>56216416923860.383</v>
      </c>
      <c r="Q11" s="57">
        <v>55145840044577.414</v>
      </c>
      <c r="R11" s="57">
        <v>54075263165294.461</v>
      </c>
      <c r="S11" s="57">
        <v>53708285331438.148</v>
      </c>
      <c r="T11" s="57">
        <v>53341307497581.891</v>
      </c>
      <c r="U11" s="57">
        <v>52974329663725.578</v>
      </c>
      <c r="V11" s="57">
        <v>52607351829869.32</v>
      </c>
      <c r="W11" s="57">
        <v>52240373996012.992</v>
      </c>
      <c r="X11" s="57">
        <v>51873396162156.719</v>
      </c>
      <c r="Y11" s="57">
        <v>51506418328300.422</v>
      </c>
      <c r="Z11" s="57">
        <v>51139440494444.133</v>
      </c>
      <c r="AA11" s="57">
        <v>50772462660587.844</v>
      </c>
      <c r="AB11" s="57">
        <v>50405484826731.57</v>
      </c>
      <c r="AC11" s="57">
        <v>50038506992875.266</v>
      </c>
      <c r="AD11" s="57">
        <v>49671529159018.984</v>
      </c>
      <c r="AE11" s="57">
        <v>49304551325162.68</v>
      </c>
      <c r="AF11" s="57">
        <v>48937573491306.406</v>
      </c>
      <c r="AG11" s="57">
        <v>48570595657450.102</v>
      </c>
    </row>
    <row r="12" spans="1:33" ht="15" customHeight="1" x14ac:dyDescent="0.25">
      <c r="A12" s="2" t="s">
        <v>133</v>
      </c>
      <c r="B12" s="57">
        <v>260226558133.93137</v>
      </c>
      <c r="C12" s="57">
        <v>256313988521.24231</v>
      </c>
      <c r="D12" s="57">
        <v>252401418908.55338</v>
      </c>
      <c r="E12" s="57">
        <v>248488849295.86435</v>
      </c>
      <c r="F12" s="57">
        <v>244576279683.17538</v>
      </c>
      <c r="G12" s="57">
        <v>240663710070.48636</v>
      </c>
      <c r="H12" s="57">
        <v>236751140457.79739</v>
      </c>
      <c r="I12" s="57">
        <v>232838570845.1084</v>
      </c>
      <c r="J12" s="57">
        <v>228926001232.41937</v>
      </c>
      <c r="K12" s="57">
        <v>225013431619.73041</v>
      </c>
      <c r="L12" s="57">
        <v>221100862007.04138</v>
      </c>
      <c r="M12" s="57">
        <v>217188292394.35245</v>
      </c>
      <c r="N12" s="57">
        <v>213275722781.66339</v>
      </c>
      <c r="O12" s="57">
        <v>209363153168.97443</v>
      </c>
      <c r="P12" s="57">
        <v>205450583556.28543</v>
      </c>
      <c r="Q12" s="57">
        <v>201538013943.59641</v>
      </c>
      <c r="R12" s="57">
        <v>197625444330.90744</v>
      </c>
      <c r="S12" s="57">
        <v>196284273650.81735</v>
      </c>
      <c r="T12" s="57">
        <v>194943102970.72748</v>
      </c>
      <c r="U12" s="57">
        <v>193601932290.63742</v>
      </c>
      <c r="V12" s="57">
        <v>192260761610.54755</v>
      </c>
      <c r="W12" s="57">
        <v>190919590930.4574</v>
      </c>
      <c r="X12" s="57">
        <v>189578420250.36749</v>
      </c>
      <c r="Y12" s="57">
        <v>188237249570.27747</v>
      </c>
      <c r="Z12" s="57">
        <v>186896078890.18747</v>
      </c>
      <c r="AA12" s="57">
        <v>185554908210.09747</v>
      </c>
      <c r="AB12" s="57">
        <v>184213737530.00751</v>
      </c>
      <c r="AC12" s="57">
        <v>182872566849.91751</v>
      </c>
      <c r="AD12" s="57">
        <v>181531396169.82751</v>
      </c>
      <c r="AE12" s="57">
        <v>180190225489.73752</v>
      </c>
      <c r="AF12" s="57">
        <v>178849054809.64758</v>
      </c>
      <c r="AG12" s="57">
        <v>177507884129.55756</v>
      </c>
    </row>
    <row r="13" spans="1:33" ht="15" customHeight="1" x14ac:dyDescent="0.25">
      <c r="A13" s="2" t="s">
        <v>134</v>
      </c>
      <c r="B13" s="57">
        <v>20032888208920.121</v>
      </c>
      <c r="C13" s="57">
        <v>19731688860849.441</v>
      </c>
      <c r="D13" s="57">
        <v>19430489512778.766</v>
      </c>
      <c r="E13" s="57">
        <v>19129290164708.086</v>
      </c>
      <c r="F13" s="57">
        <v>18828090816637.41</v>
      </c>
      <c r="G13" s="57">
        <v>18526891468566.727</v>
      </c>
      <c r="H13" s="57">
        <v>18225692120496.055</v>
      </c>
      <c r="I13" s="57">
        <v>17924492772425.375</v>
      </c>
      <c r="J13" s="57">
        <v>17623293424354.695</v>
      </c>
      <c r="K13" s="57">
        <v>17322094076284.02</v>
      </c>
      <c r="L13" s="57">
        <v>17020894728213.34</v>
      </c>
      <c r="M13" s="57">
        <v>16719695380142.666</v>
      </c>
      <c r="N13" s="57">
        <v>16418496032071.982</v>
      </c>
      <c r="O13" s="57">
        <v>16117296684001.309</v>
      </c>
      <c r="P13" s="57">
        <v>15816097335930.625</v>
      </c>
      <c r="Q13" s="57">
        <v>15514897987859.947</v>
      </c>
      <c r="R13" s="57">
        <v>15213698639789.27</v>
      </c>
      <c r="S13" s="57">
        <v>15110451982353.57</v>
      </c>
      <c r="T13" s="57">
        <v>15007205324917.883</v>
      </c>
      <c r="U13" s="57">
        <v>14903958667482.182</v>
      </c>
      <c r="V13" s="57">
        <v>14800712010046.494</v>
      </c>
      <c r="W13" s="57">
        <v>14697465352610.787</v>
      </c>
      <c r="X13" s="57">
        <v>14594218695175.098</v>
      </c>
      <c r="Y13" s="57">
        <v>14490972037739.4</v>
      </c>
      <c r="Z13" s="57">
        <v>14387725380303.701</v>
      </c>
      <c r="AA13" s="57">
        <v>14284478722868.008</v>
      </c>
      <c r="AB13" s="57">
        <v>14181232065432.316</v>
      </c>
      <c r="AC13" s="57">
        <v>14077985407996.615</v>
      </c>
      <c r="AD13" s="57">
        <v>13974738750560.924</v>
      </c>
      <c r="AE13" s="57">
        <v>13871492093125.225</v>
      </c>
      <c r="AF13" s="57">
        <v>13768245435689.531</v>
      </c>
      <c r="AG13" s="57">
        <v>13664998778253.836</v>
      </c>
    </row>
    <row r="14" spans="1:33" ht="15" customHeight="1" x14ac:dyDescent="0.25">
      <c r="A14" s="70" t="s">
        <v>135</v>
      </c>
      <c r="B14" s="71">
        <v>15976129391622.645</v>
      </c>
      <c r="C14" s="71">
        <v>15735924399348.643</v>
      </c>
      <c r="D14" s="71">
        <v>15495719407074.646</v>
      </c>
      <c r="E14" s="71">
        <v>15255514414800.648</v>
      </c>
      <c r="F14" s="71">
        <v>15015309422526.648</v>
      </c>
      <c r="G14" s="71">
        <v>14775104430252.648</v>
      </c>
      <c r="H14" s="71">
        <v>14534899437978.652</v>
      </c>
      <c r="I14" s="71">
        <v>14294694445704.652</v>
      </c>
      <c r="J14" s="71">
        <v>14054489453430.652</v>
      </c>
      <c r="K14" s="71">
        <v>13814284461156.654</v>
      </c>
      <c r="L14" s="71">
        <v>13574079468882.656</v>
      </c>
      <c r="M14" s="71">
        <v>13333874476608.66</v>
      </c>
      <c r="N14" s="71">
        <v>13093669484334.658</v>
      </c>
      <c r="O14" s="71">
        <v>12853464492060.66</v>
      </c>
      <c r="P14" s="71">
        <v>12613259499786.66</v>
      </c>
      <c r="Q14" s="71">
        <v>12373054507512.66</v>
      </c>
      <c r="R14" s="71">
        <v>12132849515238.664</v>
      </c>
      <c r="S14" s="71">
        <v>12050510815933.645</v>
      </c>
      <c r="T14" s="71">
        <v>11968172116628.641</v>
      </c>
      <c r="U14" s="71">
        <v>11885833417323.621</v>
      </c>
      <c r="V14" s="71">
        <v>11803494718018.615</v>
      </c>
      <c r="W14" s="71">
        <v>11721156018713.594</v>
      </c>
      <c r="X14" s="71">
        <v>11638817319408.586</v>
      </c>
      <c r="Y14" s="71">
        <v>11556478620103.57</v>
      </c>
      <c r="Z14" s="71">
        <v>11474139920798.557</v>
      </c>
      <c r="AA14" s="71">
        <v>11391801221493.547</v>
      </c>
      <c r="AB14" s="71">
        <v>11309462522188.535</v>
      </c>
      <c r="AC14" s="71">
        <v>11227123822883.52</v>
      </c>
      <c r="AD14" s="71">
        <v>11144785123578.508</v>
      </c>
      <c r="AE14" s="71">
        <v>11062446424273.492</v>
      </c>
      <c r="AF14" s="71">
        <v>10980107724968.482</v>
      </c>
      <c r="AG14" s="71">
        <v>10897769025663.469</v>
      </c>
    </row>
    <row r="15" spans="1:33" ht="15" customHeight="1" x14ac:dyDescent="0.25">
      <c r="A15" s="2" t="s">
        <v>136</v>
      </c>
      <c r="B15" s="57">
        <v>7322185565345.5596</v>
      </c>
      <c r="C15" s="57">
        <v>7212094723938.4473</v>
      </c>
      <c r="D15" s="57">
        <v>7102003882531.3369</v>
      </c>
      <c r="E15" s="57">
        <v>6991913041124.2256</v>
      </c>
      <c r="F15" s="57">
        <v>6881822199717.1143</v>
      </c>
      <c r="G15" s="57">
        <v>6771731358310.002</v>
      </c>
      <c r="H15" s="57">
        <v>6661640516902.8916</v>
      </c>
      <c r="I15" s="57">
        <v>6551549675495.7813</v>
      </c>
      <c r="J15" s="57">
        <v>6441458834088.6689</v>
      </c>
      <c r="K15" s="57">
        <v>6331367992681.5586</v>
      </c>
      <c r="L15" s="57">
        <v>6221277151274.4473</v>
      </c>
      <c r="M15" s="57">
        <v>6111186309867.3379</v>
      </c>
      <c r="N15" s="57">
        <v>6001095468460.2256</v>
      </c>
      <c r="O15" s="57">
        <v>5891004627053.1133</v>
      </c>
      <c r="P15" s="57">
        <v>5780913785646.0029</v>
      </c>
      <c r="Q15" s="57">
        <v>5670822944238.8906</v>
      </c>
      <c r="R15" s="57">
        <v>5560732102831.7803</v>
      </c>
      <c r="S15" s="57">
        <v>5522994599539.1074</v>
      </c>
      <c r="T15" s="57">
        <v>5485257096246.4404</v>
      </c>
      <c r="U15" s="57">
        <v>5447519592953.7666</v>
      </c>
      <c r="V15" s="57">
        <v>5409782089661.0996</v>
      </c>
      <c r="W15" s="57">
        <v>5372044586368.4248</v>
      </c>
      <c r="X15" s="57">
        <v>5334307083075.7559</v>
      </c>
      <c r="Y15" s="57">
        <v>5296569579783.084</v>
      </c>
      <c r="Z15" s="57">
        <v>5258832076490.4131</v>
      </c>
      <c r="AA15" s="57">
        <v>5221094573197.7432</v>
      </c>
      <c r="AB15" s="57">
        <v>5183357069905.0732</v>
      </c>
      <c r="AC15" s="57">
        <v>5145619566612.4014</v>
      </c>
      <c r="AD15" s="57">
        <v>5107882063319.7314</v>
      </c>
      <c r="AE15" s="57">
        <v>5070144560027.0596</v>
      </c>
      <c r="AF15" s="57">
        <v>5032407056734.3896</v>
      </c>
      <c r="AG15" s="57">
        <v>4994669553441.7178</v>
      </c>
    </row>
    <row r="16" spans="1:33" ht="15" customHeight="1" x14ac:dyDescent="0.25">
      <c r="A16" s="2" t="s">
        <v>134</v>
      </c>
      <c r="B16" s="57">
        <v>8653943826277.0859</v>
      </c>
      <c r="C16" s="57">
        <v>8523829675410.1953</v>
      </c>
      <c r="D16" s="57">
        <v>8393715524543.3096</v>
      </c>
      <c r="E16" s="57">
        <v>8263601373676.4219</v>
      </c>
      <c r="F16" s="57">
        <v>8133487222809.5332</v>
      </c>
      <c r="G16" s="57">
        <v>8003373071942.6455</v>
      </c>
      <c r="H16" s="57">
        <v>7873258921075.7598</v>
      </c>
      <c r="I16" s="57">
        <v>7743144770208.8721</v>
      </c>
      <c r="J16" s="57">
        <v>7613030619341.9834</v>
      </c>
      <c r="K16" s="57">
        <v>7482916468475.0957</v>
      </c>
      <c r="L16" s="57">
        <v>7352802317608.208</v>
      </c>
      <c r="M16" s="57">
        <v>7222688166741.3223</v>
      </c>
      <c r="N16" s="57">
        <v>7092574015874.4326</v>
      </c>
      <c r="O16" s="57">
        <v>6962459865007.5459</v>
      </c>
      <c r="P16" s="57">
        <v>6832345714140.6563</v>
      </c>
      <c r="Q16" s="57">
        <v>6702231563273.7695</v>
      </c>
      <c r="R16" s="57">
        <v>6572117412406.8828</v>
      </c>
      <c r="S16" s="57">
        <v>6527516216394.5381</v>
      </c>
      <c r="T16" s="57">
        <v>6482915020382.1992</v>
      </c>
      <c r="U16" s="57">
        <v>6438313824369.8545</v>
      </c>
      <c r="V16" s="57">
        <v>6393712628357.5156</v>
      </c>
      <c r="W16" s="57">
        <v>6349111432345.1699</v>
      </c>
      <c r="X16" s="57">
        <v>6304510236332.8291</v>
      </c>
      <c r="Y16" s="57">
        <v>6259909040320.4863</v>
      </c>
      <c r="Z16" s="57">
        <v>6215307844308.1436</v>
      </c>
      <c r="AA16" s="57">
        <v>6170706648295.8027</v>
      </c>
      <c r="AB16" s="57">
        <v>6126105452283.4619</v>
      </c>
      <c r="AC16" s="57">
        <v>6081504256271.1182</v>
      </c>
      <c r="AD16" s="57">
        <v>6036903060258.7764</v>
      </c>
      <c r="AE16" s="57">
        <v>5992301864246.4336</v>
      </c>
      <c r="AF16" s="57">
        <v>5947700668234.0928</v>
      </c>
      <c r="AG16" s="57">
        <v>5903099472221.75</v>
      </c>
    </row>
    <row r="17" spans="1:33" ht="15" customHeight="1" x14ac:dyDescent="0.25">
      <c r="A17" s="70" t="s">
        <v>137</v>
      </c>
      <c r="B17" s="71">
        <v>8659221425805.2324</v>
      </c>
      <c r="C17" s="71">
        <v>8529027924945.4365</v>
      </c>
      <c r="D17" s="71">
        <v>8398834424085.6445</v>
      </c>
      <c r="E17" s="71">
        <v>8268640923225.8506</v>
      </c>
      <c r="F17" s="71">
        <v>8138447422366.0576</v>
      </c>
      <c r="G17" s="71">
        <v>8008253921506.2637</v>
      </c>
      <c r="H17" s="71">
        <v>7878060420646.4717</v>
      </c>
      <c r="I17" s="71">
        <v>7747866919786.6787</v>
      </c>
      <c r="J17" s="71">
        <v>7617673418926.8848</v>
      </c>
      <c r="K17" s="71">
        <v>7487479918067.0918</v>
      </c>
      <c r="L17" s="71">
        <v>7357286417207.2988</v>
      </c>
      <c r="M17" s="71">
        <v>7227092916347.5068</v>
      </c>
      <c r="N17" s="71">
        <v>7096899415487.7129</v>
      </c>
      <c r="O17" s="71">
        <v>6966705914627.9199</v>
      </c>
      <c r="P17" s="71">
        <v>6836512413768.125</v>
      </c>
      <c r="Q17" s="71">
        <v>6706318912908.3311</v>
      </c>
      <c r="R17" s="71">
        <v>6576125412048.5391</v>
      </c>
      <c r="S17" s="71">
        <v>6531497016038.626</v>
      </c>
      <c r="T17" s="71">
        <v>6486868620028.7197</v>
      </c>
      <c r="U17" s="71">
        <v>6442240224018.8066</v>
      </c>
      <c r="V17" s="71">
        <v>6397611828008.9004</v>
      </c>
      <c r="W17" s="71">
        <v>6352983431998.9863</v>
      </c>
      <c r="X17" s="71">
        <v>6308355035989.0771</v>
      </c>
      <c r="Y17" s="71">
        <v>6263726639979.166</v>
      </c>
      <c r="Z17" s="71">
        <v>6219098243969.2559</v>
      </c>
      <c r="AA17" s="71">
        <v>6174469847959.3457</v>
      </c>
      <c r="AB17" s="71">
        <v>6129841451949.4365</v>
      </c>
      <c r="AC17" s="71">
        <v>6085213055939.5254</v>
      </c>
      <c r="AD17" s="71">
        <v>6040584659929.6172</v>
      </c>
      <c r="AE17" s="71">
        <v>5995956263919.7051</v>
      </c>
      <c r="AF17" s="71">
        <v>5951327867909.7959</v>
      </c>
      <c r="AG17" s="71">
        <v>5906699471899.8848</v>
      </c>
    </row>
    <row r="18" spans="1:33" ht="15" customHeight="1" x14ac:dyDescent="0.25">
      <c r="A18" s="2" t="s">
        <v>138</v>
      </c>
      <c r="B18" s="57">
        <v>8659221425805.2324</v>
      </c>
      <c r="C18" s="57">
        <v>8529027924945.4365</v>
      </c>
      <c r="D18" s="57">
        <v>8398834424085.6445</v>
      </c>
      <c r="E18" s="57">
        <v>8268640923225.8506</v>
      </c>
      <c r="F18" s="57">
        <v>8138447422366.0576</v>
      </c>
      <c r="G18" s="57">
        <v>8008253921506.2637</v>
      </c>
      <c r="H18" s="57">
        <v>7878060420646.4717</v>
      </c>
      <c r="I18" s="57">
        <v>7747866919786.6787</v>
      </c>
      <c r="J18" s="57">
        <v>7617673418926.8848</v>
      </c>
      <c r="K18" s="57">
        <v>7487479918067.0918</v>
      </c>
      <c r="L18" s="57">
        <v>7357286417207.2988</v>
      </c>
      <c r="M18" s="57">
        <v>7227092916347.5068</v>
      </c>
      <c r="N18" s="57">
        <v>7096899415487.7129</v>
      </c>
      <c r="O18" s="57">
        <v>6966705914627.9199</v>
      </c>
      <c r="P18" s="57">
        <v>6836512413768.125</v>
      </c>
      <c r="Q18" s="57">
        <v>6706318912908.3311</v>
      </c>
      <c r="R18" s="57">
        <v>6576125412048.5391</v>
      </c>
      <c r="S18" s="57">
        <v>6531497016038.626</v>
      </c>
      <c r="T18" s="57">
        <v>6486868620028.7197</v>
      </c>
      <c r="U18" s="57">
        <v>6442240224018.8066</v>
      </c>
      <c r="V18" s="57">
        <v>6397611828008.9004</v>
      </c>
      <c r="W18" s="57">
        <v>6352983431998.9863</v>
      </c>
      <c r="X18" s="57">
        <v>6308355035989.0771</v>
      </c>
      <c r="Y18" s="57">
        <v>6263726639979.166</v>
      </c>
      <c r="Z18" s="57">
        <v>6219098243969.2559</v>
      </c>
      <c r="AA18" s="57">
        <v>6174469847959.3457</v>
      </c>
      <c r="AB18" s="57">
        <v>6129841451949.4365</v>
      </c>
      <c r="AC18" s="57">
        <v>6085213055939.5254</v>
      </c>
      <c r="AD18" s="57">
        <v>6040584659929.6172</v>
      </c>
      <c r="AE18" s="57">
        <v>5995956263919.7051</v>
      </c>
      <c r="AF18" s="57">
        <v>5951327867909.7959</v>
      </c>
      <c r="AG18" s="57">
        <v>5906699471899.8848</v>
      </c>
    </row>
    <row r="19" spans="1:33" ht="15" customHeight="1" x14ac:dyDescent="0.25">
      <c r="A19" s="70" t="s">
        <v>139</v>
      </c>
      <c r="B19" s="71">
        <v>7747516107318.0439</v>
      </c>
      <c r="C19" s="71">
        <v>7631030317732.6846</v>
      </c>
      <c r="D19" s="71">
        <v>7514544528147.3271</v>
      </c>
      <c r="E19" s="71">
        <v>7398058738561.9668</v>
      </c>
      <c r="F19" s="71">
        <v>7281572948976.6104</v>
      </c>
      <c r="G19" s="71">
        <v>7165087159391.251</v>
      </c>
      <c r="H19" s="71">
        <v>7048601369805.8945</v>
      </c>
      <c r="I19" s="71">
        <v>6932115580220.5352</v>
      </c>
      <c r="J19" s="71">
        <v>6815629790635.1768</v>
      </c>
      <c r="K19" s="71">
        <v>6699144001049.8193</v>
      </c>
      <c r="L19" s="71">
        <v>6582658211464.4609</v>
      </c>
      <c r="M19" s="71">
        <v>6466172421879.1045</v>
      </c>
      <c r="N19" s="71">
        <v>6349686632293.7451</v>
      </c>
      <c r="O19" s="71">
        <v>6233200842708.3867</v>
      </c>
      <c r="P19" s="71">
        <v>6116715053123.0283</v>
      </c>
      <c r="Q19" s="71">
        <v>6000229263537.6689</v>
      </c>
      <c r="R19" s="71">
        <v>5883743473952.3125</v>
      </c>
      <c r="S19" s="71">
        <v>5843813877522.2939</v>
      </c>
      <c r="T19" s="71">
        <v>5803884281092.2813</v>
      </c>
      <c r="U19" s="71">
        <v>5763954684662.2637</v>
      </c>
      <c r="V19" s="71">
        <v>5724025088232.251</v>
      </c>
      <c r="W19" s="71">
        <v>5684095491802.2305</v>
      </c>
      <c r="X19" s="71">
        <v>5644165895372.2178</v>
      </c>
      <c r="Y19" s="71">
        <v>5604236298942.2012</v>
      </c>
      <c r="Z19" s="71">
        <v>5564306702512.1846</v>
      </c>
      <c r="AA19" s="71">
        <v>5524377106082.1699</v>
      </c>
      <c r="AB19" s="71">
        <v>5484447509652.1553</v>
      </c>
      <c r="AC19" s="71">
        <v>5444517913222.1387</v>
      </c>
      <c r="AD19" s="71">
        <v>5404588316792.124</v>
      </c>
      <c r="AE19" s="71">
        <v>5364658720362.1064</v>
      </c>
      <c r="AF19" s="71">
        <v>5324729123932.0928</v>
      </c>
      <c r="AG19" s="71">
        <v>5284799527502.0752</v>
      </c>
    </row>
    <row r="20" spans="1:33" ht="15" customHeight="1" x14ac:dyDescent="0.25">
      <c r="A20" s="2" t="s">
        <v>138</v>
      </c>
      <c r="B20" s="57">
        <v>7747516107318.0439</v>
      </c>
      <c r="C20" s="57">
        <v>7631030317732.6846</v>
      </c>
      <c r="D20" s="57">
        <v>7514544528147.3271</v>
      </c>
      <c r="E20" s="57">
        <v>7398058738561.9668</v>
      </c>
      <c r="F20" s="57">
        <v>7281572948976.6104</v>
      </c>
      <c r="G20" s="57">
        <v>7165087159391.251</v>
      </c>
      <c r="H20" s="57">
        <v>7048601369805.8945</v>
      </c>
      <c r="I20" s="57">
        <v>6932115580220.5352</v>
      </c>
      <c r="J20" s="57">
        <v>6815629790635.1768</v>
      </c>
      <c r="K20" s="57">
        <v>6699144001049.8193</v>
      </c>
      <c r="L20" s="57">
        <v>6582658211464.4609</v>
      </c>
      <c r="M20" s="57">
        <v>6466172421879.1045</v>
      </c>
      <c r="N20" s="57">
        <v>6349686632293.7451</v>
      </c>
      <c r="O20" s="57">
        <v>6233200842708.3867</v>
      </c>
      <c r="P20" s="57">
        <v>6116715053123.0283</v>
      </c>
      <c r="Q20" s="57">
        <v>6000229263537.6689</v>
      </c>
      <c r="R20" s="57">
        <v>5883743473952.3125</v>
      </c>
      <c r="S20" s="57">
        <v>5843813877522.2939</v>
      </c>
      <c r="T20" s="57">
        <v>5803884281092.2813</v>
      </c>
      <c r="U20" s="57">
        <v>5763954684662.2637</v>
      </c>
      <c r="V20" s="57">
        <v>5724025088232.251</v>
      </c>
      <c r="W20" s="57">
        <v>5684095491802.2305</v>
      </c>
      <c r="X20" s="57">
        <v>5644165895372.2178</v>
      </c>
      <c r="Y20" s="57">
        <v>5604236298942.2012</v>
      </c>
      <c r="Z20" s="57">
        <v>5564306702512.1846</v>
      </c>
      <c r="AA20" s="57">
        <v>5524377106082.1699</v>
      </c>
      <c r="AB20" s="57">
        <v>5484447509652.1553</v>
      </c>
      <c r="AC20" s="57">
        <v>5444517913222.1387</v>
      </c>
      <c r="AD20" s="57">
        <v>5404588316792.124</v>
      </c>
      <c r="AE20" s="57">
        <v>5364658720362.1064</v>
      </c>
      <c r="AF20" s="57">
        <v>5324729123932.0928</v>
      </c>
      <c r="AG20" s="57">
        <v>5284799527502.0752</v>
      </c>
    </row>
    <row r="21" spans="1:33" ht="15" customHeight="1" x14ac:dyDescent="0.25">
      <c r="A21" s="70" t="s">
        <v>140</v>
      </c>
      <c r="B21" s="71">
        <v>24527204007096.953</v>
      </c>
      <c r="C21" s="71">
        <v>24158431527567.781</v>
      </c>
      <c r="D21" s="71">
        <v>23789659048038.617</v>
      </c>
      <c r="E21" s="71">
        <v>23420886568509.445</v>
      </c>
      <c r="F21" s="71">
        <v>23052114088980.277</v>
      </c>
      <c r="G21" s="71">
        <v>22683341609451.105</v>
      </c>
      <c r="H21" s="71">
        <v>22314569129921.938</v>
      </c>
      <c r="I21" s="71">
        <v>21945796650392.773</v>
      </c>
      <c r="J21" s="71">
        <v>21577024170863.602</v>
      </c>
      <c r="K21" s="71">
        <v>21208251691334.434</v>
      </c>
      <c r="L21" s="71">
        <v>20839479211805.262</v>
      </c>
      <c r="M21" s="71">
        <v>20470706732276.098</v>
      </c>
      <c r="N21" s="71">
        <v>20101934252746.926</v>
      </c>
      <c r="O21" s="71">
        <v>19733161773217.758</v>
      </c>
      <c r="P21" s="71">
        <v>19364389293688.586</v>
      </c>
      <c r="Q21" s="71">
        <v>18995616814159.414</v>
      </c>
      <c r="R21" s="71">
        <v>18626844334630.246</v>
      </c>
      <c r="S21" s="71">
        <v>18500434612598.82</v>
      </c>
      <c r="T21" s="71">
        <v>18374024890567.406</v>
      </c>
      <c r="U21" s="71">
        <v>18247615168535.977</v>
      </c>
      <c r="V21" s="71">
        <v>18121205446504.566</v>
      </c>
      <c r="W21" s="71">
        <v>17994795724473.125</v>
      </c>
      <c r="X21" s="71">
        <v>17868386002441.707</v>
      </c>
      <c r="Y21" s="71">
        <v>17741976280410.289</v>
      </c>
      <c r="Z21" s="71">
        <v>17615566558378.863</v>
      </c>
      <c r="AA21" s="71">
        <v>17489156836347.441</v>
      </c>
      <c r="AB21" s="71">
        <v>17362747114316.023</v>
      </c>
      <c r="AC21" s="71">
        <v>17236337392284.596</v>
      </c>
      <c r="AD21" s="71">
        <v>17109927670253.178</v>
      </c>
      <c r="AE21" s="71">
        <v>16983517948221.748</v>
      </c>
      <c r="AF21" s="71">
        <v>16857108226190.33</v>
      </c>
      <c r="AG21" s="71">
        <v>16730698504158.906</v>
      </c>
    </row>
    <row r="22" spans="1:33" ht="15" customHeight="1" x14ac:dyDescent="0.25">
      <c r="A22" s="2" t="s">
        <v>138</v>
      </c>
      <c r="B22" s="57">
        <v>24527204007096.953</v>
      </c>
      <c r="C22" s="57">
        <v>24158431527567.781</v>
      </c>
      <c r="D22" s="57">
        <v>23789659048038.617</v>
      </c>
      <c r="E22" s="57">
        <v>23420886568509.445</v>
      </c>
      <c r="F22" s="57">
        <v>23052114088980.277</v>
      </c>
      <c r="G22" s="57">
        <v>22683341609451.105</v>
      </c>
      <c r="H22" s="57">
        <v>22314569129921.938</v>
      </c>
      <c r="I22" s="57">
        <v>21945796650392.773</v>
      </c>
      <c r="J22" s="57">
        <v>21577024170863.602</v>
      </c>
      <c r="K22" s="57">
        <v>21208251691334.434</v>
      </c>
      <c r="L22" s="57">
        <v>20839479211805.262</v>
      </c>
      <c r="M22" s="57">
        <v>20470706732276.098</v>
      </c>
      <c r="N22" s="57">
        <v>20101934252746.926</v>
      </c>
      <c r="O22" s="57">
        <v>19733161773217.758</v>
      </c>
      <c r="P22" s="57">
        <v>19364389293688.586</v>
      </c>
      <c r="Q22" s="57">
        <v>18995616814159.414</v>
      </c>
      <c r="R22" s="57">
        <v>18626844334630.246</v>
      </c>
      <c r="S22" s="57">
        <v>18500434612598.82</v>
      </c>
      <c r="T22" s="57">
        <v>18374024890567.406</v>
      </c>
      <c r="U22" s="57">
        <v>18247615168535.977</v>
      </c>
      <c r="V22" s="57">
        <v>18121205446504.566</v>
      </c>
      <c r="W22" s="57">
        <v>17994795724473.125</v>
      </c>
      <c r="X22" s="57">
        <v>17868386002441.707</v>
      </c>
      <c r="Y22" s="57">
        <v>17741976280410.289</v>
      </c>
      <c r="Z22" s="57">
        <v>17615566558378.863</v>
      </c>
      <c r="AA22" s="57">
        <v>17489156836347.441</v>
      </c>
      <c r="AB22" s="57">
        <v>17362747114316.023</v>
      </c>
      <c r="AC22" s="57">
        <v>17236337392284.596</v>
      </c>
      <c r="AD22" s="57">
        <v>17109927670253.178</v>
      </c>
      <c r="AE22" s="57">
        <v>16983517948221.748</v>
      </c>
      <c r="AF22" s="57">
        <v>16857108226190.33</v>
      </c>
      <c r="AG22" s="57">
        <v>16730698504158.906</v>
      </c>
    </row>
    <row r="23" spans="1:33" ht="15" customHeight="1" x14ac:dyDescent="0.25">
      <c r="A23" s="51" t="s">
        <v>141</v>
      </c>
      <c r="B23" s="52">
        <v>228905584349244.81</v>
      </c>
      <c r="C23" s="52">
        <v>231607544678608.22</v>
      </c>
      <c r="D23" s="52">
        <v>234309505007971.63</v>
      </c>
      <c r="E23" s="52">
        <v>237011465337335.03</v>
      </c>
      <c r="F23" s="52">
        <v>239713425666698.41</v>
      </c>
      <c r="G23" s="52">
        <v>242415385996061.84</v>
      </c>
      <c r="H23" s="52">
        <v>245117346325425.25</v>
      </c>
      <c r="I23" s="52">
        <v>247819306654788.66</v>
      </c>
      <c r="J23" s="52">
        <v>250521266984152.06</v>
      </c>
      <c r="K23" s="52">
        <v>253223227313515.5</v>
      </c>
      <c r="L23" s="52">
        <v>255925187642878.88</v>
      </c>
      <c r="M23" s="52">
        <v>258627147972242.22</v>
      </c>
      <c r="N23" s="52">
        <v>261329108301605.69</v>
      </c>
      <c r="O23" s="52">
        <v>264031068630969.09</v>
      </c>
      <c r="P23" s="52">
        <v>266733028960332.5</v>
      </c>
      <c r="Q23" s="52">
        <v>269434989289695.94</v>
      </c>
      <c r="R23" s="52">
        <v>272136949619059.34</v>
      </c>
      <c r="S23" s="52">
        <v>273063141439584.59</v>
      </c>
      <c r="T23" s="52">
        <v>273989333260109.94</v>
      </c>
      <c r="U23" s="52">
        <v>274915525080635.28</v>
      </c>
      <c r="V23" s="52">
        <v>275841716901160.63</v>
      </c>
      <c r="W23" s="52">
        <v>276767908721685.94</v>
      </c>
      <c r="X23" s="52">
        <v>277694100542211.28</v>
      </c>
      <c r="Y23" s="52">
        <v>278620292362736.59</v>
      </c>
      <c r="Z23" s="52">
        <v>279546484183261.94</v>
      </c>
      <c r="AA23" s="52">
        <v>280472676003787.25</v>
      </c>
      <c r="AB23" s="52">
        <v>281398867824312.5</v>
      </c>
      <c r="AC23" s="52">
        <v>282325059644837.88</v>
      </c>
      <c r="AD23" s="52">
        <v>283251251465363.25</v>
      </c>
      <c r="AE23" s="52">
        <v>284177443285888.63</v>
      </c>
      <c r="AF23" s="52">
        <v>285103635106413.94</v>
      </c>
      <c r="AG23" s="52">
        <v>286029826926939.25</v>
      </c>
    </row>
    <row r="24" spans="1:33" ht="15" customHeight="1" x14ac:dyDescent="0.25">
      <c r="A24" s="70" t="s">
        <v>130</v>
      </c>
      <c r="B24" s="71">
        <v>148451236102424.47</v>
      </c>
      <c r="C24" s="71">
        <v>150203527781694.91</v>
      </c>
      <c r="D24" s="71">
        <v>151955819460965.28</v>
      </c>
      <c r="E24" s="71">
        <v>153708111140235.72</v>
      </c>
      <c r="F24" s="71">
        <v>155460402819506.06</v>
      </c>
      <c r="G24" s="71">
        <v>157212694498776.5</v>
      </c>
      <c r="H24" s="71">
        <v>158964986178046.91</v>
      </c>
      <c r="I24" s="71">
        <v>160717277857317.31</v>
      </c>
      <c r="J24" s="71">
        <v>162469569536587.72</v>
      </c>
      <c r="K24" s="71">
        <v>164221861215858.13</v>
      </c>
      <c r="L24" s="71">
        <v>165974152895128.53</v>
      </c>
      <c r="M24" s="71">
        <v>167726444574398.91</v>
      </c>
      <c r="N24" s="71">
        <v>169478736253669.31</v>
      </c>
      <c r="O24" s="71">
        <v>171231027932939.75</v>
      </c>
      <c r="P24" s="71">
        <v>172983319612210.19</v>
      </c>
      <c r="Q24" s="71">
        <v>174735611291480.56</v>
      </c>
      <c r="R24" s="71">
        <v>176487902970750.97</v>
      </c>
      <c r="S24" s="71">
        <v>177088562500381.13</v>
      </c>
      <c r="T24" s="71">
        <v>177689222030011.31</v>
      </c>
      <c r="U24" s="71">
        <v>178289881559641.5</v>
      </c>
      <c r="V24" s="71">
        <v>178890541089271.69</v>
      </c>
      <c r="W24" s="71">
        <v>179491200618901.88</v>
      </c>
      <c r="X24" s="71">
        <v>180091860148532.06</v>
      </c>
      <c r="Y24" s="71">
        <v>180692519678162.25</v>
      </c>
      <c r="Z24" s="71">
        <v>181293179207792.44</v>
      </c>
      <c r="AA24" s="71">
        <v>181893838737422.59</v>
      </c>
      <c r="AB24" s="71">
        <v>182494498267052.72</v>
      </c>
      <c r="AC24" s="71">
        <v>183095157796682.94</v>
      </c>
      <c r="AD24" s="71">
        <v>183695817326313.19</v>
      </c>
      <c r="AE24" s="71">
        <v>184296476855943.38</v>
      </c>
      <c r="AF24" s="71">
        <v>184897136385573.56</v>
      </c>
      <c r="AG24" s="71">
        <v>185497795915203.72</v>
      </c>
    </row>
    <row r="25" spans="1:33" ht="15" customHeight="1" x14ac:dyDescent="0.25">
      <c r="A25" s="2" t="s">
        <v>132</v>
      </c>
      <c r="B25" s="57">
        <v>115526674471109.84</v>
      </c>
      <c r="C25" s="57">
        <v>116890330549189.48</v>
      </c>
      <c r="D25" s="57">
        <v>118253986627269.11</v>
      </c>
      <c r="E25" s="57">
        <v>119617642705348.77</v>
      </c>
      <c r="F25" s="57">
        <v>120981298783428.38</v>
      </c>
      <c r="G25" s="57">
        <v>122344954861508.03</v>
      </c>
      <c r="H25" s="57">
        <v>123708610939587.67</v>
      </c>
      <c r="I25" s="57">
        <v>125072267017667.31</v>
      </c>
      <c r="J25" s="57">
        <v>126435923095746.94</v>
      </c>
      <c r="K25" s="57">
        <v>127799579173826.59</v>
      </c>
      <c r="L25" s="57">
        <v>129163235251906.23</v>
      </c>
      <c r="M25" s="57">
        <v>130526891329985.83</v>
      </c>
      <c r="N25" s="57">
        <v>131890547408065.48</v>
      </c>
      <c r="O25" s="57">
        <v>133254203486145.13</v>
      </c>
      <c r="P25" s="57">
        <v>134617859564224.78</v>
      </c>
      <c r="Q25" s="57">
        <v>135981515642304.42</v>
      </c>
      <c r="R25" s="57">
        <v>137345171720384.05</v>
      </c>
      <c r="S25" s="57">
        <v>137812612745258.22</v>
      </c>
      <c r="T25" s="57">
        <v>138280053770132.38</v>
      </c>
      <c r="U25" s="57">
        <v>138747494795006.58</v>
      </c>
      <c r="V25" s="57">
        <v>139214935819880.77</v>
      </c>
      <c r="W25" s="57">
        <v>139682376844754.94</v>
      </c>
      <c r="X25" s="57">
        <v>140149817869629.14</v>
      </c>
      <c r="Y25" s="57">
        <v>140617258894503.31</v>
      </c>
      <c r="Z25" s="57">
        <v>141084699919377.5</v>
      </c>
      <c r="AA25" s="57">
        <v>141552140944251.66</v>
      </c>
      <c r="AB25" s="57">
        <v>142019581969125.78</v>
      </c>
      <c r="AC25" s="57">
        <v>142487022994000</v>
      </c>
      <c r="AD25" s="57">
        <v>142954464018874.22</v>
      </c>
      <c r="AE25" s="57">
        <v>143421905043748.41</v>
      </c>
      <c r="AF25" s="57">
        <v>143889346068622.59</v>
      </c>
      <c r="AG25" s="57">
        <v>144356787093496.75</v>
      </c>
    </row>
    <row r="26" spans="1:33" ht="15" customHeight="1" x14ac:dyDescent="0.25">
      <c r="A26" s="2" t="s">
        <v>133</v>
      </c>
      <c r="B26" s="57">
        <v>422208697251.59875</v>
      </c>
      <c r="C26" s="57">
        <v>427192372743.5235</v>
      </c>
      <c r="D26" s="57">
        <v>432176048235.44812</v>
      </c>
      <c r="E26" s="57">
        <v>437159723727.37274</v>
      </c>
      <c r="F26" s="57">
        <v>442143399219.29742</v>
      </c>
      <c r="G26" s="57">
        <v>447127074711.22211</v>
      </c>
      <c r="H26" s="57">
        <v>452110750203.14679</v>
      </c>
      <c r="I26" s="57">
        <v>457094425695.07141</v>
      </c>
      <c r="J26" s="57">
        <v>462078101186.99603</v>
      </c>
      <c r="K26" s="57">
        <v>467061776678.92078</v>
      </c>
      <c r="L26" s="57">
        <v>472045452170.8454</v>
      </c>
      <c r="M26" s="57">
        <v>477029127662.77002</v>
      </c>
      <c r="N26" s="57">
        <v>482012803154.6947</v>
      </c>
      <c r="O26" s="57">
        <v>486996478646.61945</v>
      </c>
      <c r="P26" s="57">
        <v>491980154138.54407</v>
      </c>
      <c r="Q26" s="57">
        <v>496963829630.46875</v>
      </c>
      <c r="R26" s="57">
        <v>501947505122.39337</v>
      </c>
      <c r="S26" s="57">
        <v>503655834969.6568</v>
      </c>
      <c r="T26" s="57">
        <v>505364164816.9201</v>
      </c>
      <c r="U26" s="57">
        <v>507072494664.18353</v>
      </c>
      <c r="V26" s="57">
        <v>508780824511.44702</v>
      </c>
      <c r="W26" s="57">
        <v>510489154358.71033</v>
      </c>
      <c r="X26" s="57">
        <v>512197484205.97388</v>
      </c>
      <c r="Y26" s="57">
        <v>513905814053.23718</v>
      </c>
      <c r="Z26" s="57">
        <v>515614143900.50049</v>
      </c>
      <c r="AA26" s="57">
        <v>517322473747.76392</v>
      </c>
      <c r="AB26" s="57">
        <v>519030803595.02722</v>
      </c>
      <c r="AC26" s="57">
        <v>520739133442.29065</v>
      </c>
      <c r="AD26" s="57">
        <v>522447463289.5542</v>
      </c>
      <c r="AE26" s="57">
        <v>524155793136.81763</v>
      </c>
      <c r="AF26" s="57">
        <v>525864122984.08105</v>
      </c>
      <c r="AG26" s="57">
        <v>527572452831.34436</v>
      </c>
    </row>
    <row r="27" spans="1:33" ht="15" customHeight="1" x14ac:dyDescent="0.25">
      <c r="A27" s="2" t="s">
        <v>134</v>
      </c>
      <c r="B27" s="57">
        <v>32502352934063.035</v>
      </c>
      <c r="C27" s="57">
        <v>32886004859761.887</v>
      </c>
      <c r="D27" s="57">
        <v>33269656785460.719</v>
      </c>
      <c r="E27" s="57">
        <v>33653308711159.566</v>
      </c>
      <c r="F27" s="57">
        <v>34036960636858.402</v>
      </c>
      <c r="G27" s="57">
        <v>34420612562557.25</v>
      </c>
      <c r="H27" s="57">
        <v>34804264488256.098</v>
      </c>
      <c r="I27" s="57">
        <v>35187916413954.93</v>
      </c>
      <c r="J27" s="57">
        <v>35571568339653.781</v>
      </c>
      <c r="K27" s="57">
        <v>35955220265352.625</v>
      </c>
      <c r="L27" s="57">
        <v>36338872191051.461</v>
      </c>
      <c r="M27" s="57">
        <v>36722524116750.305</v>
      </c>
      <c r="N27" s="57">
        <v>37106176042449.148</v>
      </c>
      <c r="O27" s="57">
        <v>37489827968147.992</v>
      </c>
      <c r="P27" s="57">
        <v>37873479893846.844</v>
      </c>
      <c r="Q27" s="57">
        <v>38257131819545.68</v>
      </c>
      <c r="R27" s="57">
        <v>38640783745244.523</v>
      </c>
      <c r="S27" s="57">
        <v>38772293920153.266</v>
      </c>
      <c r="T27" s="57">
        <v>38903804095062</v>
      </c>
      <c r="U27" s="57">
        <v>39035314269970.742</v>
      </c>
      <c r="V27" s="57">
        <v>39166824444879.484</v>
      </c>
      <c r="W27" s="57">
        <v>39298334619788.219</v>
      </c>
      <c r="X27" s="57">
        <v>39429844794696.969</v>
      </c>
      <c r="Y27" s="57">
        <v>39561354969605.695</v>
      </c>
      <c r="Z27" s="57">
        <v>39692865144514.445</v>
      </c>
      <c r="AA27" s="57">
        <v>39824375319423.18</v>
      </c>
      <c r="AB27" s="57">
        <v>39955885494331.914</v>
      </c>
      <c r="AC27" s="57">
        <v>40087395669240.656</v>
      </c>
      <c r="AD27" s="57">
        <v>40218905844149.406</v>
      </c>
      <c r="AE27" s="57">
        <v>40350416019058.148</v>
      </c>
      <c r="AF27" s="57">
        <v>40481926193966.891</v>
      </c>
      <c r="AG27" s="57">
        <v>40613436368875.625</v>
      </c>
    </row>
    <row r="28" spans="1:33" ht="15" customHeight="1" x14ac:dyDescent="0.25">
      <c r="A28" s="70" t="s">
        <v>135</v>
      </c>
      <c r="B28" s="71">
        <v>14040459404685.037</v>
      </c>
      <c r="C28" s="71">
        <v>14206190461117.527</v>
      </c>
      <c r="D28" s="71">
        <v>14371921517550.014</v>
      </c>
      <c r="E28" s="71">
        <v>14537652573982.502</v>
      </c>
      <c r="F28" s="71">
        <v>14703383630414.988</v>
      </c>
      <c r="G28" s="71">
        <v>14869114686847.479</v>
      </c>
      <c r="H28" s="71">
        <v>15034845743279.967</v>
      </c>
      <c r="I28" s="71">
        <v>15200576799712.451</v>
      </c>
      <c r="J28" s="71">
        <v>15366307856144.943</v>
      </c>
      <c r="K28" s="71">
        <v>15532038912577.432</v>
      </c>
      <c r="L28" s="71">
        <v>15697769969009.918</v>
      </c>
      <c r="M28" s="71">
        <v>15863501025442.402</v>
      </c>
      <c r="N28" s="71">
        <v>16029232081874.893</v>
      </c>
      <c r="O28" s="71">
        <v>16194963138307.381</v>
      </c>
      <c r="P28" s="71">
        <v>16360694194739.869</v>
      </c>
      <c r="Q28" s="71">
        <v>16526425251172.357</v>
      </c>
      <c r="R28" s="71">
        <v>16692156307604.848</v>
      </c>
      <c r="S28" s="71">
        <v>16748966449192.291</v>
      </c>
      <c r="T28" s="71">
        <v>16805776590779.73</v>
      </c>
      <c r="U28" s="71">
        <v>16862586732367.178</v>
      </c>
      <c r="V28" s="71">
        <v>16919396873954.621</v>
      </c>
      <c r="W28" s="71">
        <v>16976207015542.064</v>
      </c>
      <c r="X28" s="71">
        <v>17033017157129.508</v>
      </c>
      <c r="Y28" s="71">
        <v>17089827298716.951</v>
      </c>
      <c r="Z28" s="71">
        <v>17146637440304.395</v>
      </c>
      <c r="AA28" s="71">
        <v>17203447581891.838</v>
      </c>
      <c r="AB28" s="71">
        <v>17260257723479.281</v>
      </c>
      <c r="AC28" s="71">
        <v>17317067865066.727</v>
      </c>
      <c r="AD28" s="71">
        <v>17373878006654.172</v>
      </c>
      <c r="AE28" s="71">
        <v>17430688148241.619</v>
      </c>
      <c r="AF28" s="71">
        <v>17487498289829.063</v>
      </c>
      <c r="AG28" s="71">
        <v>17544308431416.506</v>
      </c>
    </row>
    <row r="29" spans="1:33" ht="15" customHeight="1" x14ac:dyDescent="0.25">
      <c r="A29" s="2" t="s">
        <v>134</v>
      </c>
      <c r="B29" s="57">
        <v>14040459404685.037</v>
      </c>
      <c r="C29" s="57">
        <v>14206190461117.527</v>
      </c>
      <c r="D29" s="57">
        <v>14371921517550.014</v>
      </c>
      <c r="E29" s="57">
        <v>14537652573982.502</v>
      </c>
      <c r="F29" s="57">
        <v>14703383630414.988</v>
      </c>
      <c r="G29" s="57">
        <v>14869114686847.479</v>
      </c>
      <c r="H29" s="57">
        <v>15034845743279.967</v>
      </c>
      <c r="I29" s="57">
        <v>15200576799712.451</v>
      </c>
      <c r="J29" s="57">
        <v>15366307856144.943</v>
      </c>
      <c r="K29" s="57">
        <v>15532038912577.432</v>
      </c>
      <c r="L29" s="57">
        <v>15697769969009.918</v>
      </c>
      <c r="M29" s="57">
        <v>15863501025442.402</v>
      </c>
      <c r="N29" s="57">
        <v>16029232081874.893</v>
      </c>
      <c r="O29" s="57">
        <v>16194963138307.381</v>
      </c>
      <c r="P29" s="57">
        <v>16360694194739.869</v>
      </c>
      <c r="Q29" s="57">
        <v>16526425251172.357</v>
      </c>
      <c r="R29" s="57">
        <v>16692156307604.848</v>
      </c>
      <c r="S29" s="57">
        <v>16748966449192.291</v>
      </c>
      <c r="T29" s="57">
        <v>16805776590779.73</v>
      </c>
      <c r="U29" s="57">
        <v>16862586732367.178</v>
      </c>
      <c r="V29" s="57">
        <v>16919396873954.621</v>
      </c>
      <c r="W29" s="57">
        <v>16976207015542.064</v>
      </c>
      <c r="X29" s="57">
        <v>17033017157129.508</v>
      </c>
      <c r="Y29" s="57">
        <v>17089827298716.951</v>
      </c>
      <c r="Z29" s="57">
        <v>17146637440304.395</v>
      </c>
      <c r="AA29" s="57">
        <v>17203447581891.838</v>
      </c>
      <c r="AB29" s="57">
        <v>17260257723479.281</v>
      </c>
      <c r="AC29" s="57">
        <v>17317067865066.727</v>
      </c>
      <c r="AD29" s="57">
        <v>17373878006654.172</v>
      </c>
      <c r="AE29" s="57">
        <v>17430688148241.619</v>
      </c>
      <c r="AF29" s="57">
        <v>17487498289829.063</v>
      </c>
      <c r="AG29" s="57">
        <v>17544308431416.506</v>
      </c>
    </row>
    <row r="30" spans="1:33" ht="15" customHeight="1" x14ac:dyDescent="0.25">
      <c r="A30" s="70" t="s">
        <v>137</v>
      </c>
      <c r="B30" s="71">
        <v>14049030463918.727</v>
      </c>
      <c r="C30" s="71">
        <v>14214862691592.17</v>
      </c>
      <c r="D30" s="71">
        <v>14380694919265.611</v>
      </c>
      <c r="E30" s="71">
        <v>14546527146939.053</v>
      </c>
      <c r="F30" s="71">
        <v>14712359374612.494</v>
      </c>
      <c r="G30" s="71">
        <v>14878191602285.938</v>
      </c>
      <c r="H30" s="71">
        <v>15044023829959.381</v>
      </c>
      <c r="I30" s="71">
        <v>15209856057632.822</v>
      </c>
      <c r="J30" s="71">
        <v>15375688285306.268</v>
      </c>
      <c r="K30" s="71">
        <v>15541520512979.711</v>
      </c>
      <c r="L30" s="71">
        <v>15707352740653.152</v>
      </c>
      <c r="M30" s="71">
        <v>15873184968326.592</v>
      </c>
      <c r="N30" s="71">
        <v>16039017196000.035</v>
      </c>
      <c r="O30" s="71">
        <v>16204849423673.479</v>
      </c>
      <c r="P30" s="71">
        <v>16370681651346.922</v>
      </c>
      <c r="Q30" s="71">
        <v>16536513879020.361</v>
      </c>
      <c r="R30" s="71">
        <v>16702346106693.809</v>
      </c>
      <c r="S30" s="71">
        <v>16759190928278.15</v>
      </c>
      <c r="T30" s="71">
        <v>16816035749862.49</v>
      </c>
      <c r="U30" s="71">
        <v>16872880571446.836</v>
      </c>
      <c r="V30" s="71">
        <v>16929725393031.178</v>
      </c>
      <c r="W30" s="71">
        <v>16986570214615.52</v>
      </c>
      <c r="X30" s="71">
        <v>17043415036199.865</v>
      </c>
      <c r="Y30" s="71">
        <v>17100259857784.207</v>
      </c>
      <c r="Z30" s="71">
        <v>17157104679368.553</v>
      </c>
      <c r="AA30" s="71">
        <v>17213949500952.895</v>
      </c>
      <c r="AB30" s="71">
        <v>17270794322537.234</v>
      </c>
      <c r="AC30" s="71">
        <v>17327639144121.576</v>
      </c>
      <c r="AD30" s="71">
        <v>17384483965705.926</v>
      </c>
      <c r="AE30" s="71">
        <v>17441328787290.271</v>
      </c>
      <c r="AF30" s="71">
        <v>17498173608874.613</v>
      </c>
      <c r="AG30" s="71">
        <v>17555018430458.955</v>
      </c>
    </row>
    <row r="31" spans="1:33" ht="15" customHeight="1" x14ac:dyDescent="0.25">
      <c r="A31" s="2" t="s">
        <v>138</v>
      </c>
      <c r="B31" s="57">
        <v>14049030463918.727</v>
      </c>
      <c r="C31" s="57">
        <v>14214862691592.17</v>
      </c>
      <c r="D31" s="57">
        <v>14380694919265.611</v>
      </c>
      <c r="E31" s="57">
        <v>14546527146939.053</v>
      </c>
      <c r="F31" s="57">
        <v>14712359374612.494</v>
      </c>
      <c r="G31" s="57">
        <v>14878191602285.938</v>
      </c>
      <c r="H31" s="57">
        <v>15044023829959.381</v>
      </c>
      <c r="I31" s="57">
        <v>15209856057632.822</v>
      </c>
      <c r="J31" s="57">
        <v>15375688285306.268</v>
      </c>
      <c r="K31" s="57">
        <v>15541520512979.711</v>
      </c>
      <c r="L31" s="57">
        <v>15707352740653.152</v>
      </c>
      <c r="M31" s="57">
        <v>15873184968326.592</v>
      </c>
      <c r="N31" s="57">
        <v>16039017196000.035</v>
      </c>
      <c r="O31" s="57">
        <v>16204849423673.479</v>
      </c>
      <c r="P31" s="57">
        <v>16370681651346.922</v>
      </c>
      <c r="Q31" s="57">
        <v>16536513879020.361</v>
      </c>
      <c r="R31" s="57">
        <v>16702346106693.809</v>
      </c>
      <c r="S31" s="57">
        <v>16759190928278.15</v>
      </c>
      <c r="T31" s="57">
        <v>16816035749862.49</v>
      </c>
      <c r="U31" s="57">
        <v>16872880571446.836</v>
      </c>
      <c r="V31" s="57">
        <v>16929725393031.178</v>
      </c>
      <c r="W31" s="57">
        <v>16986570214615.52</v>
      </c>
      <c r="X31" s="57">
        <v>17043415036199.865</v>
      </c>
      <c r="Y31" s="57">
        <v>17100259857784.207</v>
      </c>
      <c r="Z31" s="57">
        <v>17157104679368.553</v>
      </c>
      <c r="AA31" s="57">
        <v>17213949500952.895</v>
      </c>
      <c r="AB31" s="57">
        <v>17270794322537.234</v>
      </c>
      <c r="AC31" s="57">
        <v>17327639144121.576</v>
      </c>
      <c r="AD31" s="57">
        <v>17384483965705.926</v>
      </c>
      <c r="AE31" s="57">
        <v>17441328787290.271</v>
      </c>
      <c r="AF31" s="57">
        <v>17498173608874.613</v>
      </c>
      <c r="AG31" s="57">
        <v>17555018430458.955</v>
      </c>
    </row>
    <row r="32" spans="1:33" ht="15" customHeight="1" x14ac:dyDescent="0.25">
      <c r="A32" s="70" t="s">
        <v>139</v>
      </c>
      <c r="B32" s="71">
        <v>12570270656130.162</v>
      </c>
      <c r="C32" s="71">
        <v>12718647869114.205</v>
      </c>
      <c r="D32" s="71">
        <v>12867025082098.248</v>
      </c>
      <c r="E32" s="71">
        <v>13015402295082.291</v>
      </c>
      <c r="F32" s="71">
        <v>13163779508066.332</v>
      </c>
      <c r="G32" s="71">
        <v>13312156721050.375</v>
      </c>
      <c r="H32" s="71">
        <v>13460533934034.42</v>
      </c>
      <c r="I32" s="71">
        <v>13608911147018.461</v>
      </c>
      <c r="J32" s="71">
        <v>13757288360002.504</v>
      </c>
      <c r="K32" s="71">
        <v>13905665572986.547</v>
      </c>
      <c r="L32" s="71">
        <v>14054042785970.586</v>
      </c>
      <c r="M32" s="71">
        <v>14202419998954.629</v>
      </c>
      <c r="N32" s="71">
        <v>14350797211938.672</v>
      </c>
      <c r="O32" s="71">
        <v>14499174424922.717</v>
      </c>
      <c r="P32" s="71">
        <v>14647551637906.76</v>
      </c>
      <c r="Q32" s="71">
        <v>14795928850890.801</v>
      </c>
      <c r="R32" s="71">
        <v>14944306063874.846</v>
      </c>
      <c r="S32" s="71">
        <v>14995167565994.139</v>
      </c>
      <c r="T32" s="71">
        <v>15046029068113.43</v>
      </c>
      <c r="U32" s="71">
        <v>15096890570232.725</v>
      </c>
      <c r="V32" s="71">
        <v>15147752072352.018</v>
      </c>
      <c r="W32" s="71">
        <v>15198613574471.311</v>
      </c>
      <c r="X32" s="71">
        <v>15249475076590.607</v>
      </c>
      <c r="Y32" s="71">
        <v>15300336578709.9</v>
      </c>
      <c r="Z32" s="71">
        <v>15351198080829.193</v>
      </c>
      <c r="AA32" s="71">
        <v>15402059582948.486</v>
      </c>
      <c r="AB32" s="71">
        <v>15452921085067.775</v>
      </c>
      <c r="AC32" s="71">
        <v>15503782587187.068</v>
      </c>
      <c r="AD32" s="71">
        <v>15554644089306.369</v>
      </c>
      <c r="AE32" s="71">
        <v>15605505591425.664</v>
      </c>
      <c r="AF32" s="71">
        <v>15656367093544.957</v>
      </c>
      <c r="AG32" s="71">
        <v>15707228595664.252</v>
      </c>
    </row>
    <row r="33" spans="1:33" ht="15" customHeight="1" x14ac:dyDescent="0.25">
      <c r="A33" s="2" t="s">
        <v>138</v>
      </c>
      <c r="B33" s="57">
        <v>12570270656130.162</v>
      </c>
      <c r="C33" s="57">
        <v>12718647869114.205</v>
      </c>
      <c r="D33" s="57">
        <v>12867025082098.248</v>
      </c>
      <c r="E33" s="57">
        <v>13015402295082.291</v>
      </c>
      <c r="F33" s="57">
        <v>13163779508066.332</v>
      </c>
      <c r="G33" s="57">
        <v>13312156721050.375</v>
      </c>
      <c r="H33" s="57">
        <v>13460533934034.42</v>
      </c>
      <c r="I33" s="57">
        <v>13608911147018.461</v>
      </c>
      <c r="J33" s="57">
        <v>13757288360002.504</v>
      </c>
      <c r="K33" s="57">
        <v>13905665572986.547</v>
      </c>
      <c r="L33" s="57">
        <v>14054042785970.586</v>
      </c>
      <c r="M33" s="57">
        <v>14202419998954.629</v>
      </c>
      <c r="N33" s="57">
        <v>14350797211938.672</v>
      </c>
      <c r="O33" s="57">
        <v>14499174424922.717</v>
      </c>
      <c r="P33" s="57">
        <v>14647551637906.76</v>
      </c>
      <c r="Q33" s="57">
        <v>14795928850890.801</v>
      </c>
      <c r="R33" s="57">
        <v>14944306063874.846</v>
      </c>
      <c r="S33" s="57">
        <v>14995167565994.139</v>
      </c>
      <c r="T33" s="57">
        <v>15046029068113.43</v>
      </c>
      <c r="U33" s="57">
        <v>15096890570232.725</v>
      </c>
      <c r="V33" s="57">
        <v>15147752072352.018</v>
      </c>
      <c r="W33" s="57">
        <v>15198613574471.311</v>
      </c>
      <c r="X33" s="57">
        <v>15249475076590.607</v>
      </c>
      <c r="Y33" s="57">
        <v>15300336578709.9</v>
      </c>
      <c r="Z33" s="57">
        <v>15351198080829.193</v>
      </c>
      <c r="AA33" s="57">
        <v>15402059582948.486</v>
      </c>
      <c r="AB33" s="57">
        <v>15452921085067.775</v>
      </c>
      <c r="AC33" s="57">
        <v>15503782587187.068</v>
      </c>
      <c r="AD33" s="57">
        <v>15554644089306.369</v>
      </c>
      <c r="AE33" s="57">
        <v>15605505591425.664</v>
      </c>
      <c r="AF33" s="57">
        <v>15656367093544.957</v>
      </c>
      <c r="AG33" s="57">
        <v>15707228595664.252</v>
      </c>
    </row>
    <row r="34" spans="1:33" ht="15" customHeight="1" x14ac:dyDescent="0.25">
      <c r="A34" s="70" t="s">
        <v>140</v>
      </c>
      <c r="B34" s="71">
        <v>39794587722086.406</v>
      </c>
      <c r="C34" s="71">
        <v>40264315875089.438</v>
      </c>
      <c r="D34" s="71">
        <v>40734044028092.461</v>
      </c>
      <c r="E34" s="71">
        <v>41203772181095.484</v>
      </c>
      <c r="F34" s="71">
        <v>41673500334098.516</v>
      </c>
      <c r="G34" s="71">
        <v>42143228487101.547</v>
      </c>
      <c r="H34" s="71">
        <v>42612956640104.578</v>
      </c>
      <c r="I34" s="71">
        <v>43082684793107.602</v>
      </c>
      <c r="J34" s="71">
        <v>43552412946110.633</v>
      </c>
      <c r="K34" s="71">
        <v>44022141099113.664</v>
      </c>
      <c r="L34" s="71">
        <v>44491869252116.68</v>
      </c>
      <c r="M34" s="71">
        <v>44961597405119.711</v>
      </c>
      <c r="N34" s="71">
        <v>45431325558122.742</v>
      </c>
      <c r="O34" s="71">
        <v>45901053711125.773</v>
      </c>
      <c r="P34" s="71">
        <v>46370781864128.805</v>
      </c>
      <c r="Q34" s="71">
        <v>46840510017131.828</v>
      </c>
      <c r="R34" s="71">
        <v>47310238170134.859</v>
      </c>
      <c r="S34" s="71">
        <v>47471253995738.906</v>
      </c>
      <c r="T34" s="71">
        <v>47632269821342.969</v>
      </c>
      <c r="U34" s="71">
        <v>47793285646947.039</v>
      </c>
      <c r="V34" s="71">
        <v>47954301472551.102</v>
      </c>
      <c r="W34" s="71">
        <v>48115317298155.164</v>
      </c>
      <c r="X34" s="71">
        <v>48276333123759.227</v>
      </c>
      <c r="Y34" s="71">
        <v>48437348949363.289</v>
      </c>
      <c r="Z34" s="71">
        <v>48598364774967.352</v>
      </c>
      <c r="AA34" s="71">
        <v>48759380600571.414</v>
      </c>
      <c r="AB34" s="71">
        <v>48920396426175.469</v>
      </c>
      <c r="AC34" s="71">
        <v>49081412251779.523</v>
      </c>
      <c r="AD34" s="71">
        <v>49242428077383.602</v>
      </c>
      <c r="AE34" s="71">
        <v>49403443902987.672</v>
      </c>
      <c r="AF34" s="71">
        <v>49564459728591.734</v>
      </c>
      <c r="AG34" s="71">
        <v>49725475554195.797</v>
      </c>
    </row>
    <row r="35" spans="1:33" ht="15" customHeight="1" x14ac:dyDescent="0.25">
      <c r="A35" s="2" t="s">
        <v>138</v>
      </c>
      <c r="B35" s="57">
        <v>39794587722086.406</v>
      </c>
      <c r="C35" s="57">
        <v>40264315875089.438</v>
      </c>
      <c r="D35" s="57">
        <v>40734044028092.461</v>
      </c>
      <c r="E35" s="57">
        <v>41203772181095.484</v>
      </c>
      <c r="F35" s="57">
        <v>41673500334098.516</v>
      </c>
      <c r="G35" s="57">
        <v>42143228487101.547</v>
      </c>
      <c r="H35" s="57">
        <v>42612956640104.578</v>
      </c>
      <c r="I35" s="57">
        <v>43082684793107.602</v>
      </c>
      <c r="J35" s="57">
        <v>43552412946110.633</v>
      </c>
      <c r="K35" s="57">
        <v>44022141099113.664</v>
      </c>
      <c r="L35" s="57">
        <v>44491869252116.68</v>
      </c>
      <c r="M35" s="57">
        <v>44961597405119.711</v>
      </c>
      <c r="N35" s="57">
        <v>45431325558122.742</v>
      </c>
      <c r="O35" s="57">
        <v>45901053711125.773</v>
      </c>
      <c r="P35" s="57">
        <v>46370781864128.805</v>
      </c>
      <c r="Q35" s="57">
        <v>46840510017131.828</v>
      </c>
      <c r="R35" s="57">
        <v>47310238170134.859</v>
      </c>
      <c r="S35" s="57">
        <v>47471253995738.906</v>
      </c>
      <c r="T35" s="57">
        <v>47632269821342.969</v>
      </c>
      <c r="U35" s="57">
        <v>47793285646947.039</v>
      </c>
      <c r="V35" s="57">
        <v>47954301472551.102</v>
      </c>
      <c r="W35" s="57">
        <v>48115317298155.164</v>
      </c>
      <c r="X35" s="57">
        <v>48276333123759.227</v>
      </c>
      <c r="Y35" s="57">
        <v>48437348949363.289</v>
      </c>
      <c r="Z35" s="57">
        <v>48598364774967.352</v>
      </c>
      <c r="AA35" s="57">
        <v>48759380600571.414</v>
      </c>
      <c r="AB35" s="57">
        <v>48920396426175.469</v>
      </c>
      <c r="AC35" s="57">
        <v>49081412251779.523</v>
      </c>
      <c r="AD35" s="57">
        <v>49242428077383.602</v>
      </c>
      <c r="AE35" s="57">
        <v>49403443902987.672</v>
      </c>
      <c r="AF35" s="57">
        <v>49564459728591.734</v>
      </c>
      <c r="AG35" s="57">
        <v>49725475554195.797</v>
      </c>
    </row>
    <row r="36" spans="1:33" ht="15" customHeight="1" x14ac:dyDescent="0.25">
      <c r="A36" s="47" t="s">
        <v>97</v>
      </c>
      <c r="B36" s="69">
        <v>5.9957772031073092E+19</v>
      </c>
      <c r="C36" s="69">
        <v>6.5515857498353558E+19</v>
      </c>
      <c r="D36" s="69">
        <v>7.1589177488450937E+19</v>
      </c>
      <c r="E36" s="69">
        <v>7.8225494241630339E+19</v>
      </c>
      <c r="F36" s="69">
        <v>8.5476997557829468E+19</v>
      </c>
      <c r="G36" s="69">
        <v>9.3400715231440257E+19</v>
      </c>
      <c r="H36" s="69">
        <v>1.0205896153339478E+20</v>
      </c>
      <c r="I36" s="69">
        <v>1.1151982726754048E+20</v>
      </c>
      <c r="J36" s="69">
        <v>1.2185771525524149E+20</v>
      </c>
      <c r="K36" s="69">
        <v>1.3315392545940234E+20</v>
      </c>
      <c r="L36" s="69">
        <v>1.4549729434948898E+20</v>
      </c>
      <c r="M36" s="69">
        <v>1.5898489353568656E+20</v>
      </c>
      <c r="N36" s="69">
        <v>1.7372279316644476E+20</v>
      </c>
      <c r="O36" s="69">
        <v>1.8982689609297415E+20</v>
      </c>
      <c r="P36" s="69">
        <v>2.0742384936079288E+20</v>
      </c>
      <c r="Q36" s="69">
        <v>2.2665204019653834E+20</v>
      </c>
      <c r="R36" s="69">
        <v>2.4766268432275754E+20</v>
      </c>
      <c r="S36" s="69">
        <v>2.7062101515947711E+20</v>
      </c>
      <c r="T36" s="69">
        <v>2.9570758326476059E+20</v>
      </c>
      <c r="U36" s="69">
        <v>3.2311967623340406E+20</v>
      </c>
      <c r="V36" s="69">
        <v>3.5307287022024058E+20</v>
      </c>
      <c r="W36" s="69">
        <v>3.8580272528965678E+20</v>
      </c>
      <c r="X36" s="69">
        <v>4.2156663792400787E+20</v>
      </c>
      <c r="Y36" s="69">
        <v>4.6064586525956342E+20</v>
      </c>
      <c r="Z36" s="69">
        <v>5.033477369691251E+20</v>
      </c>
      <c r="AA36" s="69">
        <v>5.5000807218616297E+20</v>
      </c>
      <c r="AB36" s="69">
        <v>6.0099382047782037E+20</v>
      </c>
      <c r="AC36" s="69">
        <v>6.5670594763611413E+20</v>
      </c>
      <c r="AD36" s="69">
        <v>7.1758258898198213E+20</v>
      </c>
      <c r="AE36" s="69">
        <v>7.8410249498061164E+20</v>
      </c>
      <c r="AF36" s="69">
        <v>8.5678879626531452E+20</v>
      </c>
      <c r="AG36" s="69">
        <v>9.3621311767910914E+20</v>
      </c>
    </row>
    <row r="37" spans="1:33" ht="15" customHeight="1" x14ac:dyDescent="0.25">
      <c r="A37" s="51" t="s">
        <v>98</v>
      </c>
      <c r="B37" s="52">
        <v>10183199317163.242</v>
      </c>
      <c r="C37" s="52">
        <v>11127181893864.275</v>
      </c>
      <c r="D37" s="52">
        <v>12158671655425.494</v>
      </c>
      <c r="E37" s="52">
        <v>13285780517883.439</v>
      </c>
      <c r="F37" s="52">
        <v>14517372371891.23</v>
      </c>
      <c r="G37" s="52">
        <v>15863132790765.549</v>
      </c>
      <c r="H37" s="52">
        <v>17333645200469.518</v>
      </c>
      <c r="I37" s="52">
        <v>18940474110553.039</v>
      </c>
      <c r="J37" s="52">
        <v>20696256060601.309</v>
      </c>
      <c r="K37" s="52">
        <v>22614798997419.051</v>
      </c>
      <c r="L37" s="52">
        <v>24711190864479.797</v>
      </c>
      <c r="M37" s="52">
        <v>27001918257617.07</v>
      </c>
      <c r="N37" s="52">
        <v>29504996080098.176</v>
      </c>
      <c r="O37" s="52">
        <v>32240109216723.27</v>
      </c>
      <c r="P37" s="52">
        <v>35228767341113.523</v>
      </c>
      <c r="Q37" s="52">
        <v>38494474073634.75</v>
      </c>
      <c r="R37" s="52">
        <v>42062911820260.695</v>
      </c>
      <c r="S37" s="52">
        <v>45962143745998.844</v>
      </c>
      <c r="T37" s="52">
        <v>50222834471252.945</v>
      </c>
      <c r="U37" s="52">
        <v>54878491226738.109</v>
      </c>
      <c r="V37" s="52">
        <v>59965727363456.727</v>
      </c>
      <c r="W37" s="52">
        <v>65524550290049.172</v>
      </c>
      <c r="X37" s="52">
        <v>71598676101936.703</v>
      </c>
      <c r="Y37" s="52">
        <v>78235873376586.25</v>
      </c>
      <c r="Z37" s="52">
        <v>85488338838595.781</v>
      </c>
      <c r="AA37" s="52">
        <v>93413107848933.625</v>
      </c>
      <c r="AB37" s="52">
        <v>102072502946529.78</v>
      </c>
      <c r="AC37" s="52">
        <v>111534623969673.09</v>
      </c>
      <c r="AD37" s="52">
        <v>121873883611661.81</v>
      </c>
      <c r="AE37" s="52">
        <v>133171592622462.84</v>
      </c>
      <c r="AF37" s="52">
        <v>145516599258565.13</v>
      </c>
      <c r="AG37" s="52">
        <v>159005988009834.16</v>
      </c>
    </row>
    <row r="38" spans="1:33" x14ac:dyDescent="0.25">
      <c r="A38" s="2" t="s">
        <v>99</v>
      </c>
      <c r="B38" s="57">
        <v>10183199317163.242</v>
      </c>
      <c r="C38" s="57">
        <v>11127181893864.275</v>
      </c>
      <c r="D38" s="57">
        <v>12158671655425.494</v>
      </c>
      <c r="E38" s="57">
        <v>13285780517883.439</v>
      </c>
      <c r="F38" s="57">
        <v>14517372371891.23</v>
      </c>
      <c r="G38" s="57">
        <v>15863132790765.549</v>
      </c>
      <c r="H38" s="57">
        <v>17333645200469.518</v>
      </c>
      <c r="I38" s="57">
        <v>18940474110553.039</v>
      </c>
      <c r="J38" s="57">
        <v>20696256060601.309</v>
      </c>
      <c r="K38" s="57">
        <v>22614798997419.051</v>
      </c>
      <c r="L38" s="57">
        <v>24711190864479.797</v>
      </c>
      <c r="M38" s="57">
        <v>27001918257617.07</v>
      </c>
      <c r="N38" s="57">
        <v>29504996080098.176</v>
      </c>
      <c r="O38" s="57">
        <v>32240109216723.27</v>
      </c>
      <c r="P38" s="57">
        <v>35228767341113.523</v>
      </c>
      <c r="Q38" s="57">
        <v>38494474073634.75</v>
      </c>
      <c r="R38" s="57">
        <v>42062911820260.695</v>
      </c>
      <c r="S38" s="57">
        <v>45962143745998.844</v>
      </c>
      <c r="T38" s="57">
        <v>50222834471252.945</v>
      </c>
      <c r="U38" s="57">
        <v>54878491226738.109</v>
      </c>
      <c r="V38" s="57">
        <v>59965727363456.727</v>
      </c>
      <c r="W38" s="57">
        <v>65524550290049.172</v>
      </c>
      <c r="X38" s="57">
        <v>71598676101936.703</v>
      </c>
      <c r="Y38" s="57">
        <v>78235873376586.25</v>
      </c>
      <c r="Z38" s="57">
        <v>85488338838595.781</v>
      </c>
      <c r="AA38" s="57">
        <v>93413107848933.625</v>
      </c>
      <c r="AB38" s="57">
        <v>102072502946529.78</v>
      </c>
      <c r="AC38" s="57">
        <v>111534623969673.09</v>
      </c>
      <c r="AD38" s="57">
        <v>121873883611661.81</v>
      </c>
      <c r="AE38" s="57">
        <v>133171592622462.84</v>
      </c>
      <c r="AF38" s="57">
        <v>145516599258565.13</v>
      </c>
      <c r="AG38" s="57">
        <v>159005988009834.16</v>
      </c>
    </row>
    <row r="39" spans="1:33" x14ac:dyDescent="0.25">
      <c r="A39" s="51" t="s">
        <v>101</v>
      </c>
      <c r="B39" s="52">
        <v>38718197403742.43</v>
      </c>
      <c r="C39" s="52">
        <v>42307374303069.352</v>
      </c>
      <c r="D39" s="52">
        <v>46229267900963.867</v>
      </c>
      <c r="E39" s="52">
        <v>50514721035383.227</v>
      </c>
      <c r="F39" s="52">
        <v>55197435675363.258</v>
      </c>
      <c r="G39" s="52">
        <v>60314237962469.43</v>
      </c>
      <c r="H39" s="52">
        <v>65905367821590.344</v>
      </c>
      <c r="I39" s="52">
        <v>72014795418651.766</v>
      </c>
      <c r="J39" s="52">
        <v>78690566953960.797</v>
      </c>
      <c r="K39" s="52">
        <v>85985182510592.953</v>
      </c>
      <c r="L39" s="52">
        <v>93956008929324.938</v>
      </c>
      <c r="M39" s="52">
        <v>102665730957073.34</v>
      </c>
      <c r="N39" s="52">
        <v>112182844216794.05</v>
      </c>
      <c r="O39" s="52">
        <v>122582193875690.86</v>
      </c>
      <c r="P39" s="52">
        <v>133945563247967.41</v>
      </c>
      <c r="Q39" s="52">
        <v>146362316961053.97</v>
      </c>
      <c r="R39" s="52">
        <v>159930103743343.72</v>
      </c>
      <c r="S39" s="52">
        <v>174755624360351.66</v>
      </c>
      <c r="T39" s="52">
        <v>190955470738556.25</v>
      </c>
      <c r="U39" s="52">
        <v>208657042876020.44</v>
      </c>
      <c r="V39" s="52">
        <v>227999550750627.53</v>
      </c>
      <c r="W39" s="52">
        <v>249135109105210.69</v>
      </c>
      <c r="X39" s="52">
        <v>272229933719263.63</v>
      </c>
      <c r="Y39" s="52">
        <v>297465648575039.44</v>
      </c>
      <c r="Z39" s="52">
        <v>325040714197945.56</v>
      </c>
      <c r="AA39" s="52">
        <v>355171988404095.19</v>
      </c>
      <c r="AB39" s="52">
        <v>388096431729154.81</v>
      </c>
      <c r="AC39" s="52">
        <v>424072970950447.5</v>
      </c>
      <c r="AD39" s="52">
        <v>463384535357554.06</v>
      </c>
      <c r="AE39" s="52">
        <v>506340281785199.25</v>
      </c>
      <c r="AF39" s="52">
        <v>553278025906687.13</v>
      </c>
      <c r="AG39" s="52">
        <v>604566898908237.13</v>
      </c>
    </row>
    <row r="40" spans="1:33" x14ac:dyDescent="0.25">
      <c r="A40" s="2" t="s">
        <v>103</v>
      </c>
      <c r="B40" s="57">
        <v>38718197403742.43</v>
      </c>
      <c r="C40" s="57">
        <v>42307374303069.352</v>
      </c>
      <c r="D40" s="57">
        <v>46229267900963.867</v>
      </c>
      <c r="E40" s="57">
        <v>50514721035383.227</v>
      </c>
      <c r="F40" s="57">
        <v>55197435675363.258</v>
      </c>
      <c r="G40" s="57">
        <v>60314237962469.43</v>
      </c>
      <c r="H40" s="57">
        <v>65905367821590.344</v>
      </c>
      <c r="I40" s="57">
        <v>72014795418651.766</v>
      </c>
      <c r="J40" s="57">
        <v>78690566953960.797</v>
      </c>
      <c r="K40" s="57">
        <v>85985182510592.953</v>
      </c>
      <c r="L40" s="57">
        <v>93956008929324.938</v>
      </c>
      <c r="M40" s="57">
        <v>102665730957073.34</v>
      </c>
      <c r="N40" s="57">
        <v>112182844216794.05</v>
      </c>
      <c r="O40" s="57">
        <v>122582193875690.86</v>
      </c>
      <c r="P40" s="57">
        <v>133945563247967.41</v>
      </c>
      <c r="Q40" s="57">
        <v>146362316961053.97</v>
      </c>
      <c r="R40" s="57">
        <v>159930103743343.72</v>
      </c>
      <c r="S40" s="57">
        <v>174755624360351.66</v>
      </c>
      <c r="T40" s="57">
        <v>190955470738556.25</v>
      </c>
      <c r="U40" s="57">
        <v>208657042876020.44</v>
      </c>
      <c r="V40" s="57">
        <v>227999550750627.53</v>
      </c>
      <c r="W40" s="57">
        <v>249135109105210.69</v>
      </c>
      <c r="X40" s="57">
        <v>272229933719263.63</v>
      </c>
      <c r="Y40" s="57">
        <v>297465648575039.44</v>
      </c>
      <c r="Z40" s="57">
        <v>325040714197945.56</v>
      </c>
      <c r="AA40" s="57">
        <v>355171988404095.19</v>
      </c>
      <c r="AB40" s="57">
        <v>388096431729154.81</v>
      </c>
      <c r="AC40" s="57">
        <v>424072970950447.5</v>
      </c>
      <c r="AD40" s="57">
        <v>463384535357554.06</v>
      </c>
      <c r="AE40" s="57">
        <v>506340281785199.25</v>
      </c>
      <c r="AF40" s="57">
        <v>553278025906687.13</v>
      </c>
      <c r="AG40" s="57">
        <v>604566898908237.13</v>
      </c>
    </row>
    <row r="41" spans="1:33" x14ac:dyDescent="0.25">
      <c r="A41" s="51" t="s">
        <v>104</v>
      </c>
      <c r="B41" s="52">
        <v>28154141112117.633</v>
      </c>
      <c r="C41" s="52">
        <v>30764029993210.941</v>
      </c>
      <c r="D41" s="52">
        <v>33615855573581.59</v>
      </c>
      <c r="E41" s="52">
        <v>36732045385252.617</v>
      </c>
      <c r="F41" s="52">
        <v>40137105992465.531</v>
      </c>
      <c r="G41" s="52">
        <v>43857815717967.078</v>
      </c>
      <c r="H41" s="52">
        <v>47923435235022.625</v>
      </c>
      <c r="I41" s="52">
        <v>52365937681309.219</v>
      </c>
      <c r="J41" s="52">
        <v>57220260104366.594</v>
      </c>
      <c r="K41" s="52">
        <v>62524578216041.375</v>
      </c>
      <c r="L41" s="52">
        <v>68320606616668.422</v>
      </c>
      <c r="M41" s="52">
        <v>74653926850033.578</v>
      </c>
      <c r="N41" s="52">
        <v>81574345869031.688</v>
      </c>
      <c r="O41" s="52">
        <v>89136287731090.906</v>
      </c>
      <c r="P41" s="52">
        <v>97399221603763.063</v>
      </c>
      <c r="Q41" s="52">
        <v>106428129446431.91</v>
      </c>
      <c r="R41" s="52">
        <v>116294017046116.13</v>
      </c>
      <c r="S41" s="52">
        <v>127074472426291.09</v>
      </c>
      <c r="T41" s="52">
        <v>138854276020208.28</v>
      </c>
      <c r="U41" s="52">
        <v>151726067407281.63</v>
      </c>
      <c r="V41" s="52">
        <v>165791073855936.63</v>
      </c>
      <c r="W41" s="52">
        <v>181159906402381.91</v>
      </c>
      <c r="X41" s="52">
        <v>197953429725882.69</v>
      </c>
      <c r="Y41" s="52">
        <v>216303712661472.03</v>
      </c>
      <c r="Z41" s="52">
        <v>236355066825190.47</v>
      </c>
      <c r="AA41" s="52">
        <v>258265181519885.69</v>
      </c>
      <c r="AB41" s="52">
        <v>282206363846779.06</v>
      </c>
      <c r="AC41" s="52">
        <v>308366893775375.5</v>
      </c>
      <c r="AD41" s="52">
        <v>336952504828352.88</v>
      </c>
      <c r="AE41" s="52">
        <v>368188002025941.13</v>
      </c>
      <c r="AF41" s="52">
        <v>402319029813745.88</v>
      </c>
      <c r="AG41" s="52">
        <v>439614003877480.13</v>
      </c>
    </row>
    <row r="42" spans="1:33" x14ac:dyDescent="0.25">
      <c r="A42" s="2" t="s">
        <v>108</v>
      </c>
      <c r="B42" s="57">
        <v>179242987980.8205</v>
      </c>
      <c r="C42" s="57">
        <v>195858812966.64255</v>
      </c>
      <c r="D42" s="57">
        <v>214014924928.6503</v>
      </c>
      <c r="E42" s="57">
        <v>233854108469.53622</v>
      </c>
      <c r="F42" s="57">
        <v>255532384324.66223</v>
      </c>
      <c r="G42" s="57">
        <v>279220236351.55841</v>
      </c>
      <c r="H42" s="57">
        <v>305103952261.3479</v>
      </c>
      <c r="I42" s="57">
        <v>333387088635.97479</v>
      </c>
      <c r="J42" s="57">
        <v>364292071752.52972</v>
      </c>
      <c r="K42" s="57">
        <v>398061946803.9892</v>
      </c>
      <c r="L42" s="57">
        <v>434962289272.71899</v>
      </c>
      <c r="M42" s="57">
        <v>475283293488.30005</v>
      </c>
      <c r="N42" s="57">
        <v>519342054794.66547</v>
      </c>
      <c r="O42" s="57">
        <v>567485063274.13086</v>
      </c>
      <c r="P42" s="57">
        <v>620090928639.64294</v>
      </c>
      <c r="Q42" s="57">
        <v>677573357724.53784</v>
      </c>
      <c r="R42" s="57">
        <v>740384407985.60254</v>
      </c>
      <c r="S42" s="57">
        <v>809018042605.8678</v>
      </c>
      <c r="T42" s="57">
        <v>884014015155.43188</v>
      </c>
      <c r="U42" s="57">
        <v>965962114360.34045</v>
      </c>
      <c r="V42" s="57">
        <v>1055506802361.5441</v>
      </c>
      <c r="W42" s="57">
        <v>1153352282940.459</v>
      </c>
      <c r="X42" s="57">
        <v>1260268039569.0393</v>
      </c>
      <c r="Y42" s="57">
        <v>1377094886837.0891</v>
      </c>
      <c r="Z42" s="57">
        <v>1504751582846.8875</v>
      </c>
      <c r="AA42" s="57">
        <v>1644242054576.7939</v>
      </c>
      <c r="AB42" s="57">
        <v>1796663293036.063</v>
      </c>
      <c r="AC42" s="57">
        <v>1963213980300.5061</v>
      </c>
      <c r="AD42" s="57">
        <v>2145203916274.3635</v>
      </c>
      <c r="AE42" s="57">
        <v>2344064319312.9961</v>
      </c>
      <c r="AF42" s="57">
        <v>2561359081713.311</v>
      </c>
      <c r="AG42" s="57">
        <v>2798797068588.1357</v>
      </c>
    </row>
    <row r="43" spans="1:33" x14ac:dyDescent="0.25">
      <c r="A43" s="2" t="s">
        <v>110</v>
      </c>
      <c r="B43" s="57">
        <v>12746899145253.766</v>
      </c>
      <c r="C43" s="57">
        <v>12746899145253.766</v>
      </c>
      <c r="D43" s="57">
        <v>12746899145253.766</v>
      </c>
      <c r="E43" s="57">
        <v>12746899145253.766</v>
      </c>
      <c r="F43" s="57">
        <v>12746899145253.766</v>
      </c>
      <c r="G43" s="57">
        <v>12746899145253.766</v>
      </c>
      <c r="H43" s="57">
        <v>12746899145253.766</v>
      </c>
      <c r="I43" s="57">
        <v>12746899145253.766</v>
      </c>
      <c r="J43" s="57">
        <v>12746899145253.766</v>
      </c>
      <c r="K43" s="57">
        <v>12746899145253.766</v>
      </c>
      <c r="L43" s="57">
        <v>12746899145253.766</v>
      </c>
      <c r="M43" s="57">
        <v>12746899145253.766</v>
      </c>
      <c r="N43" s="57">
        <v>12746899145253.766</v>
      </c>
      <c r="O43" s="57">
        <v>12746899145253.766</v>
      </c>
      <c r="P43" s="57">
        <v>12746899145253.766</v>
      </c>
      <c r="Q43" s="57">
        <v>12746899145253.766</v>
      </c>
      <c r="R43" s="57">
        <v>12746899145253.766</v>
      </c>
      <c r="S43" s="57">
        <v>12746899145253.766</v>
      </c>
      <c r="T43" s="57">
        <v>12746899145253.766</v>
      </c>
      <c r="U43" s="57">
        <v>12746899145253.766</v>
      </c>
      <c r="V43" s="57">
        <v>12746899145253.766</v>
      </c>
      <c r="W43" s="57">
        <v>12746899145253.766</v>
      </c>
      <c r="X43" s="57">
        <v>12746899145253.766</v>
      </c>
      <c r="Y43" s="57">
        <v>12746899145253.766</v>
      </c>
      <c r="Z43" s="57">
        <v>12746899145253.766</v>
      </c>
      <c r="AA43" s="57">
        <v>12746899145253.766</v>
      </c>
      <c r="AB43" s="57">
        <v>12746899145253.766</v>
      </c>
      <c r="AC43" s="57">
        <v>12746899145253.766</v>
      </c>
      <c r="AD43" s="57">
        <v>12746899145253.766</v>
      </c>
      <c r="AE43" s="57">
        <v>12746899145253.766</v>
      </c>
      <c r="AF43" s="57">
        <v>12746899145253.766</v>
      </c>
      <c r="AG43" s="57">
        <v>12746899145253.766</v>
      </c>
    </row>
    <row r="44" spans="1:33" x14ac:dyDescent="0.25">
      <c r="A44" s="2" t="s">
        <v>112</v>
      </c>
      <c r="B44" s="57">
        <v>15227998978883.049</v>
      </c>
      <c r="C44" s="57">
        <v>16639634484225.51</v>
      </c>
      <c r="D44" s="57">
        <v>18182128600913.211</v>
      </c>
      <c r="E44" s="57">
        <v>19867611922217.871</v>
      </c>
      <c r="F44" s="57">
        <v>21709339547407.465</v>
      </c>
      <c r="G44" s="57">
        <v>23721795323452.137</v>
      </c>
      <c r="H44" s="57">
        <v>25920805749936.148</v>
      </c>
      <c r="I44" s="57">
        <v>28323664442955.227</v>
      </c>
      <c r="J44" s="57">
        <v>30949268136817.184</v>
      </c>
      <c r="K44" s="57">
        <v>33818265293100.133</v>
      </c>
      <c r="L44" s="57">
        <v>36953218485770.523</v>
      </c>
      <c r="M44" s="57">
        <v>40378781839401.445</v>
      </c>
      <c r="N44" s="57">
        <v>44121894915913.961</v>
      </c>
      <c r="O44" s="57">
        <v>48211994574619.172</v>
      </c>
      <c r="P44" s="57">
        <v>52681246471686.383</v>
      </c>
      <c r="Q44" s="57">
        <v>57564798019611.711</v>
      </c>
      <c r="R44" s="57">
        <v>62901054796029.711</v>
      </c>
      <c r="S44" s="57">
        <v>68731982575621.664</v>
      </c>
      <c r="T44" s="57">
        <v>75103437360381.813</v>
      </c>
      <c r="U44" s="57">
        <v>82065526003689.203</v>
      </c>
      <c r="V44" s="57">
        <v>89673000264231.203</v>
      </c>
      <c r="W44" s="57">
        <v>97985687388725.422</v>
      </c>
      <c r="X44" s="57">
        <v>107068960609660.23</v>
      </c>
      <c r="Y44" s="57">
        <v>116994253258175.75</v>
      </c>
      <c r="Z44" s="57">
        <v>127839620535208.63</v>
      </c>
      <c r="AA44" s="57">
        <v>139690353358822.5</v>
      </c>
      <c r="AB44" s="57">
        <v>152639649115185.34</v>
      </c>
      <c r="AC44" s="57">
        <v>166789344588163</v>
      </c>
      <c r="AD44" s="57">
        <v>182250716831485.78</v>
      </c>
      <c r="AE44" s="57">
        <v>199145358281764.5</v>
      </c>
      <c r="AF44" s="57">
        <v>217606132994484.03</v>
      </c>
      <c r="AG44" s="57">
        <v>237778221523072.75</v>
      </c>
    </row>
    <row r="45" spans="1:33" x14ac:dyDescent="0.25">
      <c r="A45" s="51" t="s">
        <v>114</v>
      </c>
      <c r="B45" s="52">
        <v>96795493509356.078</v>
      </c>
      <c r="C45" s="52">
        <v>105768435757673.38</v>
      </c>
      <c r="D45" s="52">
        <v>115573169752409.69</v>
      </c>
      <c r="E45" s="52">
        <v>126286802588458.09</v>
      </c>
      <c r="F45" s="52">
        <v>137993589188408.14</v>
      </c>
      <c r="G45" s="52">
        <v>150785594906173.56</v>
      </c>
      <c r="H45" s="52">
        <v>164763419553975.84</v>
      </c>
      <c r="I45" s="52">
        <v>180036988546629.44</v>
      </c>
      <c r="J45" s="52">
        <v>196726417384901.97</v>
      </c>
      <c r="K45" s="52">
        <v>214962956276482.41</v>
      </c>
      <c r="L45" s="52">
        <v>234890022323312.34</v>
      </c>
      <c r="M45" s="52">
        <v>256664327392683.38</v>
      </c>
      <c r="N45" s="52">
        <v>280457110541985.09</v>
      </c>
      <c r="O45" s="52">
        <v>306455484689227.06</v>
      </c>
      <c r="P45" s="52">
        <v>334863908119918.5</v>
      </c>
      <c r="Q45" s="52">
        <v>365905792402634.88</v>
      </c>
      <c r="R45" s="52">
        <v>399825259358359.25</v>
      </c>
      <c r="S45" s="52">
        <v>436889060900879.13</v>
      </c>
      <c r="T45" s="52">
        <v>477388676846390.63</v>
      </c>
      <c r="U45" s="52">
        <v>521642607190051.06</v>
      </c>
      <c r="V45" s="52">
        <v>569998876876568.88</v>
      </c>
      <c r="W45" s="52">
        <v>622837772763026.75</v>
      </c>
      <c r="X45" s="52">
        <v>680574834298159.13</v>
      </c>
      <c r="Y45" s="52">
        <v>743664121437598.63</v>
      </c>
      <c r="Z45" s="52">
        <v>812601785494864</v>
      </c>
      <c r="AA45" s="52">
        <v>887929971010238</v>
      </c>
      <c r="AB45" s="52">
        <v>970241079322887</v>
      </c>
      <c r="AC45" s="52">
        <v>1060182427376118.8</v>
      </c>
      <c r="AD45" s="52">
        <v>1158461338393885</v>
      </c>
      <c r="AE45" s="52">
        <v>1265850704462997.8</v>
      </c>
      <c r="AF45" s="52">
        <v>1383195064766717.8</v>
      </c>
      <c r="AG45" s="52">
        <v>1511417247270593</v>
      </c>
    </row>
    <row r="46" spans="1:33" x14ac:dyDescent="0.25">
      <c r="A46" s="2" t="s">
        <v>103</v>
      </c>
      <c r="B46" s="57">
        <v>96795493509356.078</v>
      </c>
      <c r="C46" s="57">
        <v>105768435757673.38</v>
      </c>
      <c r="D46" s="57">
        <v>115573169752409.69</v>
      </c>
      <c r="E46" s="57">
        <v>126286802588458.09</v>
      </c>
      <c r="F46" s="57">
        <v>137993589188408.14</v>
      </c>
      <c r="G46" s="57">
        <v>150785594906173.56</v>
      </c>
      <c r="H46" s="57">
        <v>164763419553975.84</v>
      </c>
      <c r="I46" s="57">
        <v>180036988546629.44</v>
      </c>
      <c r="J46" s="57">
        <v>196726417384901.97</v>
      </c>
      <c r="K46" s="57">
        <v>214962956276482.41</v>
      </c>
      <c r="L46" s="57">
        <v>234890022323312.34</v>
      </c>
      <c r="M46" s="57">
        <v>256664327392683.38</v>
      </c>
      <c r="N46" s="57">
        <v>280457110541985.09</v>
      </c>
      <c r="O46" s="57">
        <v>306455484689227.06</v>
      </c>
      <c r="P46" s="57">
        <v>334863908119918.5</v>
      </c>
      <c r="Q46" s="57">
        <v>365905792402634.88</v>
      </c>
      <c r="R46" s="57">
        <v>399825259358359.25</v>
      </c>
      <c r="S46" s="57">
        <v>436889060900879.13</v>
      </c>
      <c r="T46" s="57">
        <v>477388676846390.63</v>
      </c>
      <c r="U46" s="57">
        <v>521642607190051.06</v>
      </c>
      <c r="V46" s="57">
        <v>569998876876568.88</v>
      </c>
      <c r="W46" s="57">
        <v>622837772763026.75</v>
      </c>
      <c r="X46" s="57">
        <v>680574834298159.13</v>
      </c>
      <c r="Y46" s="57">
        <v>743664121437598.63</v>
      </c>
      <c r="Z46" s="57">
        <v>812601785494864</v>
      </c>
      <c r="AA46" s="57">
        <v>887929971010238</v>
      </c>
      <c r="AB46" s="57">
        <v>970241079322887</v>
      </c>
      <c r="AC46" s="57">
        <v>1060182427376118.8</v>
      </c>
      <c r="AD46" s="57">
        <v>1158461338393885</v>
      </c>
      <c r="AE46" s="57">
        <v>1265850704462997.8</v>
      </c>
      <c r="AF46" s="57">
        <v>1383195064766717.8</v>
      </c>
      <c r="AG46" s="57">
        <v>1511417247270593</v>
      </c>
    </row>
    <row r="47" spans="1:33" x14ac:dyDescent="0.25">
      <c r="A47" s="51" t="s">
        <v>117</v>
      </c>
      <c r="B47" s="52">
        <v>5.9957598180041744E+19</v>
      </c>
      <c r="C47" s="52">
        <v>6.5515667531331609E+19</v>
      </c>
      <c r="D47" s="52">
        <v>7.1588969911486054E+19</v>
      </c>
      <c r="E47" s="52">
        <v>7.8225267422280827E+19</v>
      </c>
      <c r="F47" s="52">
        <v>8.5476749712326246E+19</v>
      </c>
      <c r="G47" s="52">
        <v>9.3400444410658898E+19</v>
      </c>
      <c r="H47" s="52">
        <v>1.0205866560752697E+20</v>
      </c>
      <c r="I47" s="52">
        <v>1.1151950390934471E+20</v>
      </c>
      <c r="J47" s="52">
        <v>1.2185736192174098E+20</v>
      </c>
      <c r="K47" s="52">
        <v>1.3315353937188636E+20</v>
      </c>
      <c r="L47" s="52">
        <v>1.4549687247166025E+20</v>
      </c>
      <c r="M47" s="52">
        <v>1.5898443254978311E+20</v>
      </c>
      <c r="N47" s="52">
        <v>1.7372228944714803E+20</v>
      </c>
      <c r="O47" s="52">
        <v>1.8982634567889863E+20</v>
      </c>
      <c r="P47" s="52">
        <v>2.0742324792333258E+20</v>
      </c>
      <c r="Q47" s="52">
        <v>2.2665138300582547E+20</v>
      </c>
      <c r="R47" s="52">
        <v>2.4766196621046553E+20</v>
      </c>
      <c r="S47" s="52">
        <v>2.7062023047817567E+20</v>
      </c>
      <c r="T47" s="52">
        <v>2.9570672584350256E+20</v>
      </c>
      <c r="U47" s="52">
        <v>3.2311873932919531E+20</v>
      </c>
      <c r="V47" s="52">
        <v>3.5307184646501171E+20</v>
      </c>
      <c r="W47" s="52">
        <v>3.8580160663231824E+20</v>
      </c>
      <c r="X47" s="52">
        <v>4.2156541556713403E+20</v>
      </c>
      <c r="Y47" s="52">
        <v>4.6064452959020738E+20</v>
      </c>
      <c r="Z47" s="52">
        <v>5.0334627748321965E+20</v>
      </c>
      <c r="AA47" s="52">
        <v>5.500064774059142E+20</v>
      </c>
      <c r="AB47" s="52">
        <v>6.0099207786144242E+20</v>
      </c>
      <c r="AC47" s="52">
        <v>6.5670404347919807E+20</v>
      </c>
      <c r="AD47" s="52">
        <v>7.1758050830972001E+20</v>
      </c>
      <c r="AE47" s="52">
        <v>7.8410022143003093E+20</v>
      </c>
      <c r="AF47" s="52">
        <v>8.5678631195659469E+20</v>
      </c>
      <c r="AG47" s="52">
        <v>9.3621040307497114E+20</v>
      </c>
    </row>
    <row r="48" spans="1:33" x14ac:dyDescent="0.25">
      <c r="A48" s="2" t="s">
        <v>103</v>
      </c>
      <c r="B48" s="57">
        <v>5.9957598180041744E+19</v>
      </c>
      <c r="C48" s="57">
        <v>6.5515667531331609E+19</v>
      </c>
      <c r="D48" s="57">
        <v>7.1588969911486054E+19</v>
      </c>
      <c r="E48" s="57">
        <v>7.8225267422280827E+19</v>
      </c>
      <c r="F48" s="57">
        <v>8.5476749712326246E+19</v>
      </c>
      <c r="G48" s="57">
        <v>9.3400444410658898E+19</v>
      </c>
      <c r="H48" s="57">
        <v>1.0205866560752697E+20</v>
      </c>
      <c r="I48" s="57">
        <v>1.1151950390934471E+20</v>
      </c>
      <c r="J48" s="57">
        <v>1.2185736192174098E+20</v>
      </c>
      <c r="K48" s="57">
        <v>1.3315353937188636E+20</v>
      </c>
      <c r="L48" s="57">
        <v>1.4549687247166025E+20</v>
      </c>
      <c r="M48" s="57">
        <v>1.5898443254978311E+20</v>
      </c>
      <c r="N48" s="57">
        <v>1.7372228944714803E+20</v>
      </c>
      <c r="O48" s="57">
        <v>1.8982634567889863E+20</v>
      </c>
      <c r="P48" s="57">
        <v>2.0742324792333258E+20</v>
      </c>
      <c r="Q48" s="57">
        <v>2.2665138300582547E+20</v>
      </c>
      <c r="R48" s="57">
        <v>2.4766196621046553E+20</v>
      </c>
      <c r="S48" s="57">
        <v>2.7062023047817567E+20</v>
      </c>
      <c r="T48" s="57">
        <v>2.9570672584350256E+20</v>
      </c>
      <c r="U48" s="57">
        <v>3.2311873932919531E+20</v>
      </c>
      <c r="V48" s="57">
        <v>3.5307184646501171E+20</v>
      </c>
      <c r="W48" s="57">
        <v>3.8580160663231824E+20</v>
      </c>
      <c r="X48" s="57">
        <v>4.2156541556713403E+20</v>
      </c>
      <c r="Y48" s="57">
        <v>4.6064452959020738E+20</v>
      </c>
      <c r="Z48" s="57">
        <v>5.0334627748321965E+20</v>
      </c>
      <c r="AA48" s="57">
        <v>5.500064774059142E+20</v>
      </c>
      <c r="AB48" s="57">
        <v>6.0099207786144242E+20</v>
      </c>
      <c r="AC48" s="57">
        <v>6.5670404347919807E+20</v>
      </c>
      <c r="AD48" s="57">
        <v>7.1758050830972001E+20</v>
      </c>
      <c r="AE48" s="57">
        <v>7.8410022143003093E+20</v>
      </c>
      <c r="AF48" s="57">
        <v>8.5678631195659469E+20</v>
      </c>
      <c r="AG48" s="57">
        <v>9.3621040307497114E+20</v>
      </c>
    </row>
    <row r="49" spans="1:33" x14ac:dyDescent="0.25">
      <c r="A49" s="67" t="s">
        <v>142</v>
      </c>
      <c r="B49" s="72">
        <v>5.9958193239275119E+19</v>
      </c>
      <c r="C49" s="72">
        <v>6.5516278517199282E+19</v>
      </c>
      <c r="D49" s="72">
        <v>7.1589598317940351E+19</v>
      </c>
      <c r="E49" s="72">
        <v>7.8225914881763459E+19</v>
      </c>
      <c r="F49" s="72">
        <v>8.5477418008606245E+19</v>
      </c>
      <c r="G49" s="72">
        <v>9.340113549286074E+19</v>
      </c>
      <c r="H49" s="72">
        <v>1.0205938160545894E+20</v>
      </c>
      <c r="I49" s="72">
        <v>1.1152024715024831E+20</v>
      </c>
      <c r="J49" s="72">
        <v>1.2185813494859303E+20</v>
      </c>
      <c r="K49" s="72">
        <v>1.3315434496339758E+20</v>
      </c>
      <c r="L49" s="72">
        <v>1.4549771366412788E+20</v>
      </c>
      <c r="M49" s="72">
        <v>1.5898531266096916E+20</v>
      </c>
      <c r="N49" s="72">
        <v>1.7372321210237102E+20</v>
      </c>
      <c r="O49" s="72">
        <v>1.898273148395441E+20</v>
      </c>
      <c r="P49" s="72">
        <v>2.0742426791800652E+20</v>
      </c>
      <c r="Q49" s="72">
        <v>2.2665245856439566E+20</v>
      </c>
      <c r="R49" s="72">
        <v>2.4766310250125853E+20</v>
      </c>
      <c r="S49" s="72">
        <v>2.706214332730696E+20</v>
      </c>
      <c r="T49" s="72">
        <v>2.9570800131344466E+20</v>
      </c>
      <c r="U49" s="72">
        <v>3.2312009421717943E+20</v>
      </c>
      <c r="V49" s="72">
        <v>3.5307328813910747E+20</v>
      </c>
      <c r="W49" s="72">
        <v>3.8580314314361517E+20</v>
      </c>
      <c r="X49" s="72">
        <v>4.215670557130577E+20</v>
      </c>
      <c r="Y49" s="72">
        <v>4.6064628298370476E+20</v>
      </c>
      <c r="Z49" s="72">
        <v>5.0334815462835782E+20</v>
      </c>
      <c r="AA49" s="72">
        <v>5.5000848978048726E+20</v>
      </c>
      <c r="AB49" s="72">
        <v>6.0099423800723597E+20</v>
      </c>
      <c r="AC49" s="72">
        <v>6.567063651006213E+20</v>
      </c>
      <c r="AD49" s="72">
        <v>7.1758300638158088E+20</v>
      </c>
      <c r="AE49" s="72">
        <v>7.8410291231530195E+20</v>
      </c>
      <c r="AF49" s="72">
        <v>8.5678921353509601E+20</v>
      </c>
      <c r="AG49" s="72">
        <v>9.3621353488398221E+20</v>
      </c>
    </row>
    <row r="50" spans="1:33" x14ac:dyDescent="0.25">
      <c r="A50" s="2"/>
      <c r="B50" s="2"/>
      <c r="C50" s="73">
        <f t="shared" ref="C50:AG50" si="0">C49/B49-1</f>
        <v>9.2699345621431783E-2</v>
      </c>
      <c r="D50" s="73">
        <f t="shared" si="0"/>
        <v>9.2699401403678605E-2</v>
      </c>
      <c r="E50" s="73">
        <f t="shared" si="0"/>
        <v>9.2699452430927254E-2</v>
      </c>
      <c r="F50" s="73">
        <f t="shared" si="0"/>
        <v>9.2699499108489292E-2</v>
      </c>
      <c r="G50" s="73">
        <f t="shared" si="0"/>
        <v>9.2699541807132135E-2</v>
      </c>
      <c r="H50" s="73">
        <f t="shared" si="0"/>
        <v>9.2699580866016484E-2</v>
      </c>
      <c r="I50" s="73">
        <f t="shared" si="0"/>
        <v>9.2699616595397272E-2</v>
      </c>
      <c r="J50" s="73">
        <f t="shared" si="0"/>
        <v>9.2699649279083252E-2</v>
      </c>
      <c r="K50" s="73">
        <f t="shared" si="0"/>
        <v>9.2699679176691641E-2</v>
      </c>
      <c r="L50" s="73">
        <f t="shared" si="0"/>
        <v>9.2699706525711356E-2</v>
      </c>
      <c r="M50" s="73">
        <f t="shared" si="0"/>
        <v>9.2699731543387287E-2</v>
      </c>
      <c r="N50" s="73">
        <f t="shared" si="0"/>
        <v>9.2699754428448022E-2</v>
      </c>
      <c r="O50" s="73">
        <f t="shared" si="0"/>
        <v>9.269977536268037E-2</v>
      </c>
      <c r="P50" s="73">
        <f t="shared" si="0"/>
        <v>9.2699794512379086E-2</v>
      </c>
      <c r="Q50" s="73">
        <f t="shared" si="0"/>
        <v>9.2699812029660489E-2</v>
      </c>
      <c r="R50" s="73">
        <f t="shared" si="0"/>
        <v>9.2699828053677935E-2</v>
      </c>
      <c r="S50" s="73">
        <f t="shared" si="0"/>
        <v>9.2699843214208322E-2</v>
      </c>
      <c r="T50" s="73">
        <f t="shared" si="0"/>
        <v>9.2699856537458825E-2</v>
      </c>
      <c r="U50" s="73">
        <f t="shared" si="0"/>
        <v>9.2699868728538304E-2</v>
      </c>
      <c r="V50" s="73">
        <f t="shared" si="0"/>
        <v>9.2699879883655578E-2</v>
      </c>
      <c r="W50" s="73">
        <f t="shared" si="0"/>
        <v>9.2699890090842674E-2</v>
      </c>
      <c r="X50" s="73">
        <f t="shared" si="0"/>
        <v>9.2699899430651822E-2</v>
      </c>
      <c r="Y50" s="73">
        <f t="shared" si="0"/>
        <v>9.269990797679073E-2</v>
      </c>
      <c r="Z50" s="73">
        <f t="shared" si="0"/>
        <v>9.2699915796701671E-2</v>
      </c>
      <c r="AA50" s="73">
        <f t="shared" si="0"/>
        <v>9.2699922952097946E-2</v>
      </c>
      <c r="AB50" s="73">
        <f t="shared" si="0"/>
        <v>9.2699929499447498E-2</v>
      </c>
      <c r="AC50" s="73">
        <f t="shared" si="0"/>
        <v>9.2699935490420771E-2</v>
      </c>
      <c r="AD50" s="73">
        <f t="shared" si="0"/>
        <v>9.2699940972297501E-2</v>
      </c>
      <c r="AE50" s="73">
        <f t="shared" si="0"/>
        <v>9.2699945988337085E-2</v>
      </c>
      <c r="AF50" s="73">
        <f t="shared" si="0"/>
        <v>9.2699950578127188E-2</v>
      </c>
      <c r="AG50" s="73">
        <f t="shared" si="0"/>
        <v>9.2699954777888616E-2</v>
      </c>
    </row>
    <row r="51" spans="1:33"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spans="1:33"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spans="1:33"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spans="1:33"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546A"/>
  </sheetPr>
  <dimension ref="A1:Z1000"/>
  <sheetViews>
    <sheetView tabSelected="1" workbookViewId="0">
      <pane xSplit="1" ySplit="1" topLeftCell="B2" activePane="bottomRight" state="frozen"/>
      <selection pane="topRight" activeCell="B1" sqref="B1"/>
      <selection pane="bottomLeft" activeCell="A2" sqref="A2"/>
      <selection pane="bottomRight" activeCell="G23" sqref="G23"/>
    </sheetView>
  </sheetViews>
  <sheetFormatPr defaultColWidth="12.625" defaultRowHeight="15" customHeight="1" x14ac:dyDescent="0.2"/>
  <cols>
    <col min="1" max="1" width="26.875" customWidth="1"/>
    <col min="2" max="7" width="20.875" customWidth="1"/>
    <col min="8" max="26" width="7.625" customWidth="1"/>
  </cols>
  <sheetData>
    <row r="1" spans="1:26" ht="14.25" customHeight="1" x14ac:dyDescent="0.25">
      <c r="A1" s="1" t="s">
        <v>105</v>
      </c>
      <c r="B1" s="61" t="s">
        <v>35</v>
      </c>
      <c r="C1" s="61" t="s">
        <v>106</v>
      </c>
      <c r="D1" s="61" t="s">
        <v>107</v>
      </c>
      <c r="E1" s="61" t="s">
        <v>33</v>
      </c>
      <c r="F1" s="61" t="s">
        <v>32</v>
      </c>
      <c r="G1" s="61" t="s">
        <v>34</v>
      </c>
      <c r="H1" s="1"/>
      <c r="I1" s="1"/>
      <c r="J1" s="2"/>
      <c r="K1" s="2"/>
      <c r="L1" s="2"/>
      <c r="M1" s="2"/>
      <c r="N1" s="2"/>
      <c r="O1" s="2"/>
      <c r="P1" s="2"/>
      <c r="Q1" s="2"/>
      <c r="R1" s="2"/>
      <c r="S1" s="2"/>
      <c r="T1" s="2"/>
      <c r="U1" s="2"/>
      <c r="V1" s="2"/>
      <c r="W1" s="2"/>
      <c r="X1" s="2"/>
      <c r="Y1" s="2"/>
      <c r="Z1" s="2"/>
    </row>
    <row r="2" spans="1:26" ht="14.25" customHeight="1" x14ac:dyDescent="0.25">
      <c r="A2" s="1" t="s">
        <v>109</v>
      </c>
      <c r="B2" s="87">
        <v>0</v>
      </c>
      <c r="C2" s="66">
        <f>'LEAP projection'!B33</f>
        <v>12570270656130.162</v>
      </c>
      <c r="D2" s="87">
        <v>0</v>
      </c>
      <c r="E2" s="66">
        <f>'LEAP projection'!B29</f>
        <v>14040459404685.037</v>
      </c>
      <c r="F2" s="66">
        <f>'LEAP projection'!B31+'LEAP projection'!B27</f>
        <v>46551383397981.766</v>
      </c>
      <c r="G2" s="66">
        <f>'LEAP projection'!B35</f>
        <v>39794587722086.406</v>
      </c>
      <c r="H2" s="2"/>
      <c r="I2" s="74"/>
      <c r="J2" s="2"/>
      <c r="K2" s="2"/>
      <c r="L2" s="2"/>
      <c r="M2" s="2"/>
      <c r="N2" s="2"/>
      <c r="O2" s="2"/>
      <c r="P2" s="2"/>
      <c r="Q2" s="2"/>
      <c r="R2" s="2"/>
      <c r="S2" s="2"/>
      <c r="T2" s="2"/>
      <c r="U2" s="2"/>
      <c r="V2" s="2"/>
      <c r="W2" s="2"/>
      <c r="X2" s="2"/>
      <c r="Y2" s="2"/>
      <c r="Z2" s="2"/>
    </row>
    <row r="3" spans="1:26" ht="14.25" customHeight="1" x14ac:dyDescent="0.25">
      <c r="A3" s="1" t="s">
        <v>111</v>
      </c>
      <c r="B3" s="88">
        <v>0</v>
      </c>
      <c r="C3" s="88">
        <v>0</v>
      </c>
      <c r="D3" s="88">
        <v>0</v>
      </c>
      <c r="E3" s="88">
        <v>0</v>
      </c>
      <c r="F3" s="66">
        <v>0</v>
      </c>
      <c r="G3" s="88">
        <v>0</v>
      </c>
      <c r="H3" s="2"/>
      <c r="I3" s="2"/>
      <c r="J3" s="2"/>
      <c r="K3" s="2"/>
      <c r="L3" s="2"/>
      <c r="M3" s="2"/>
      <c r="N3" s="2"/>
      <c r="O3" s="2"/>
      <c r="P3" s="2"/>
      <c r="Q3" s="2"/>
      <c r="R3" s="2"/>
      <c r="S3" s="2"/>
      <c r="T3" s="2"/>
      <c r="U3" s="2"/>
      <c r="V3" s="2"/>
      <c r="W3" s="2"/>
      <c r="X3" s="2"/>
      <c r="Y3" s="2"/>
      <c r="Z3" s="2"/>
    </row>
    <row r="4" spans="1:26" ht="14.25" customHeight="1" x14ac:dyDescent="0.25">
      <c r="A4" s="1" t="s">
        <v>113</v>
      </c>
      <c r="B4" s="87">
        <v>0</v>
      </c>
      <c r="C4" s="87">
        <v>0</v>
      </c>
      <c r="D4" s="87">
        <v>0</v>
      </c>
      <c r="E4" s="87">
        <v>0</v>
      </c>
      <c r="F4" s="66">
        <f>'LEAP projection'!B26</f>
        <v>422208697251.59875</v>
      </c>
      <c r="G4" s="87">
        <v>0</v>
      </c>
      <c r="H4" s="2"/>
      <c r="I4" s="2"/>
      <c r="J4" s="2"/>
      <c r="K4" s="2"/>
      <c r="L4" s="2"/>
      <c r="M4" s="2"/>
      <c r="N4" s="2"/>
      <c r="O4" s="2"/>
      <c r="P4" s="2"/>
      <c r="Q4" s="2"/>
      <c r="R4" s="2"/>
      <c r="S4" s="2"/>
      <c r="T4" s="2"/>
      <c r="U4" s="2"/>
      <c r="V4" s="2"/>
      <c r="W4" s="2"/>
      <c r="X4" s="2"/>
      <c r="Y4" s="2"/>
      <c r="Z4" s="2"/>
    </row>
    <row r="5" spans="1:26" ht="14.25" customHeight="1" x14ac:dyDescent="0.25">
      <c r="A5" s="1" t="s">
        <v>115</v>
      </c>
      <c r="B5" s="88">
        <v>0</v>
      </c>
      <c r="C5" s="88">
        <v>0</v>
      </c>
      <c r="D5" s="88">
        <v>0</v>
      </c>
      <c r="E5" s="88">
        <v>0</v>
      </c>
      <c r="F5" s="66">
        <v>0</v>
      </c>
      <c r="G5" s="88">
        <v>0</v>
      </c>
      <c r="H5" s="2"/>
      <c r="I5" s="2"/>
      <c r="J5" s="2"/>
      <c r="K5" s="2"/>
      <c r="L5" s="2"/>
      <c r="M5" s="2"/>
      <c r="N5" s="2"/>
      <c r="O5" s="2"/>
      <c r="P5" s="2"/>
      <c r="Q5" s="2"/>
      <c r="R5" s="2"/>
      <c r="S5" s="2"/>
      <c r="T5" s="2"/>
      <c r="U5" s="2"/>
      <c r="V5" s="2"/>
      <c r="W5" s="2"/>
      <c r="X5" s="2"/>
      <c r="Y5" s="2"/>
      <c r="Z5" s="2"/>
    </row>
    <row r="6" spans="1:26" ht="14.25" customHeight="1" x14ac:dyDescent="0.25">
      <c r="A6" s="1" t="s">
        <v>116</v>
      </c>
      <c r="B6" s="88">
        <v>0</v>
      </c>
      <c r="C6" s="88">
        <v>0</v>
      </c>
      <c r="D6" s="88">
        <v>0</v>
      </c>
      <c r="E6" s="88">
        <v>0</v>
      </c>
      <c r="F6" s="66">
        <v>0</v>
      </c>
      <c r="G6" s="88">
        <v>0</v>
      </c>
      <c r="H6" s="2"/>
      <c r="I6" s="2"/>
      <c r="J6" s="2"/>
      <c r="K6" s="2"/>
      <c r="L6" s="2"/>
      <c r="M6" s="2"/>
      <c r="N6" s="2"/>
      <c r="O6" s="2"/>
      <c r="P6" s="2"/>
      <c r="Q6" s="2"/>
      <c r="R6" s="2"/>
      <c r="S6" s="2"/>
      <c r="T6" s="2"/>
      <c r="U6" s="2"/>
      <c r="V6" s="2"/>
      <c r="W6" s="2"/>
      <c r="X6" s="2"/>
      <c r="Y6" s="2"/>
      <c r="Z6" s="2"/>
    </row>
    <row r="7" spans="1:26" ht="14.25" customHeight="1" x14ac:dyDescent="0.25">
      <c r="A7" s="1" t="s">
        <v>118</v>
      </c>
      <c r="B7" s="87">
        <v>0</v>
      </c>
      <c r="C7" s="87">
        <v>0</v>
      </c>
      <c r="D7" s="87">
        <v>0</v>
      </c>
      <c r="E7" s="87">
        <v>0</v>
      </c>
      <c r="F7" s="66">
        <v>0</v>
      </c>
      <c r="G7" s="87">
        <v>0</v>
      </c>
      <c r="H7" s="2"/>
      <c r="I7" s="2"/>
      <c r="J7" s="2"/>
      <c r="K7" s="2"/>
      <c r="L7" s="2"/>
      <c r="M7" s="2"/>
      <c r="N7" s="2"/>
      <c r="O7" s="2"/>
      <c r="P7" s="2"/>
      <c r="Q7" s="2"/>
      <c r="R7" s="2"/>
      <c r="S7" s="2"/>
      <c r="T7" s="2"/>
      <c r="U7" s="2"/>
      <c r="V7" s="2"/>
      <c r="W7" s="2"/>
      <c r="X7" s="2"/>
      <c r="Y7" s="2"/>
      <c r="Z7" s="2"/>
    </row>
    <row r="8" spans="1:26" ht="14.25" customHeight="1" x14ac:dyDescent="0.25">
      <c r="A8" s="1" t="s">
        <v>119</v>
      </c>
      <c r="B8" s="87">
        <v>0</v>
      </c>
      <c r="C8" s="87">
        <v>0</v>
      </c>
      <c r="D8" s="87">
        <v>0</v>
      </c>
      <c r="E8" s="87">
        <v>0</v>
      </c>
      <c r="F8" s="66">
        <v>0</v>
      </c>
      <c r="G8" s="87">
        <v>0</v>
      </c>
      <c r="H8" s="2"/>
      <c r="I8" s="2"/>
      <c r="J8" s="2"/>
      <c r="K8" s="2"/>
      <c r="L8" s="2"/>
      <c r="M8" s="2"/>
      <c r="N8" s="2"/>
      <c r="O8" s="2"/>
      <c r="P8" s="2"/>
      <c r="Q8" s="2"/>
      <c r="R8" s="2"/>
      <c r="S8" s="2"/>
      <c r="T8" s="2"/>
      <c r="U8" s="2"/>
      <c r="V8" s="2"/>
      <c r="W8" s="2"/>
      <c r="X8" s="2"/>
      <c r="Y8" s="2"/>
      <c r="Z8" s="2"/>
    </row>
    <row r="9" spans="1:26" ht="14.25" customHeight="1" x14ac:dyDescent="0.25">
      <c r="A9" s="1" t="s">
        <v>120</v>
      </c>
      <c r="B9" s="88">
        <v>0</v>
      </c>
      <c r="C9" s="88">
        <v>0</v>
      </c>
      <c r="D9" s="88">
        <v>0</v>
      </c>
      <c r="E9" s="88">
        <v>0</v>
      </c>
      <c r="F9" s="66">
        <v>0</v>
      </c>
      <c r="G9" s="88">
        <v>0</v>
      </c>
      <c r="H9" s="2"/>
      <c r="I9" s="2"/>
      <c r="J9" s="2"/>
      <c r="K9" s="2"/>
      <c r="L9" s="2"/>
      <c r="M9" s="2"/>
      <c r="N9" s="2"/>
      <c r="O9" s="2"/>
      <c r="P9" s="2"/>
      <c r="Q9" s="2"/>
      <c r="R9" s="2"/>
      <c r="S9" s="2"/>
      <c r="T9" s="2"/>
      <c r="U9" s="2"/>
      <c r="V9" s="2"/>
      <c r="W9" s="2"/>
      <c r="X9" s="2"/>
      <c r="Y9" s="2"/>
      <c r="Z9" s="2"/>
    </row>
    <row r="10" spans="1:26" ht="14.25" customHeight="1" x14ac:dyDescent="0.25">
      <c r="A10" s="1" t="s">
        <v>121</v>
      </c>
      <c r="B10" s="87">
        <v>0</v>
      </c>
      <c r="C10" s="87">
        <v>0</v>
      </c>
      <c r="D10" s="87">
        <v>0</v>
      </c>
      <c r="E10" s="87">
        <v>0</v>
      </c>
      <c r="F10" s="66">
        <f>'LEAP projection'!B25</f>
        <v>115526674471109.84</v>
      </c>
      <c r="G10" s="87">
        <v>0</v>
      </c>
      <c r="H10" s="2"/>
      <c r="I10" s="2"/>
      <c r="J10" s="2"/>
      <c r="K10" s="2"/>
      <c r="L10" s="2"/>
      <c r="M10" s="2"/>
      <c r="N10" s="2"/>
      <c r="O10" s="2"/>
      <c r="P10" s="2"/>
      <c r="Q10" s="2"/>
      <c r="R10" s="2"/>
      <c r="S10" s="2"/>
      <c r="T10" s="2"/>
      <c r="U10" s="2"/>
      <c r="V10" s="2"/>
      <c r="W10" s="2"/>
      <c r="X10" s="2"/>
      <c r="Y10" s="2"/>
      <c r="Z10" s="2"/>
    </row>
    <row r="11" spans="1:26" ht="14.25" customHeight="1" x14ac:dyDescent="0.25">
      <c r="A11" s="1" t="s">
        <v>122</v>
      </c>
      <c r="B11" s="88">
        <v>0</v>
      </c>
      <c r="C11" s="88">
        <v>0</v>
      </c>
      <c r="D11" s="88">
        <v>0</v>
      </c>
      <c r="E11" s="88">
        <v>0</v>
      </c>
      <c r="F11" s="66">
        <v>0</v>
      </c>
      <c r="G11" s="88">
        <v>0</v>
      </c>
      <c r="H11" s="2"/>
      <c r="I11" s="2"/>
      <c r="J11" s="2"/>
      <c r="K11" s="2"/>
      <c r="L11" s="2"/>
      <c r="M11" s="2"/>
      <c r="N11" s="2"/>
      <c r="O11" s="2"/>
      <c r="P11" s="2"/>
      <c r="Q11" s="2"/>
      <c r="R11" s="2"/>
      <c r="S11" s="2"/>
      <c r="T11" s="2"/>
      <c r="U11" s="2"/>
      <c r="V11" s="2"/>
      <c r="W11" s="2"/>
      <c r="X11" s="2"/>
      <c r="Y11" s="2"/>
      <c r="Z11" s="2"/>
    </row>
    <row r="12" spans="1:26" ht="14.25" customHeight="1" x14ac:dyDescent="0.25">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B16" s="2"/>
      <c r="C16" s="2"/>
      <c r="D16" s="2"/>
      <c r="E16" s="2"/>
      <c r="F16" s="2"/>
      <c r="G16" s="2"/>
      <c r="H16" s="2"/>
      <c r="I16" s="2"/>
      <c r="J16" s="2"/>
      <c r="K16" s="2"/>
      <c r="L16" s="2"/>
      <c r="M16" s="2"/>
      <c r="N16" s="2"/>
      <c r="O16" s="2"/>
      <c r="P16" s="2"/>
      <c r="Q16" s="2"/>
      <c r="R16" s="2"/>
      <c r="S16" s="2"/>
      <c r="T16" s="2"/>
      <c r="U16" s="2"/>
      <c r="V16" s="2"/>
      <c r="W16" s="2"/>
      <c r="X16" s="2"/>
      <c r="Y16" s="2"/>
      <c r="Z16" s="2"/>
    </row>
    <row r="17" spans="2:26" ht="14.25" customHeight="1" x14ac:dyDescent="0.25">
      <c r="B17" s="2"/>
      <c r="C17" s="2"/>
      <c r="D17" s="2"/>
      <c r="E17" s="2"/>
      <c r="F17" s="2"/>
      <c r="G17" s="2"/>
      <c r="H17" s="2"/>
      <c r="I17" s="2"/>
      <c r="J17" s="2"/>
      <c r="K17" s="2"/>
      <c r="L17" s="2"/>
      <c r="M17" s="2"/>
      <c r="N17" s="2"/>
      <c r="O17" s="2"/>
      <c r="P17" s="2"/>
      <c r="Q17" s="2"/>
      <c r="R17" s="2"/>
      <c r="S17" s="2"/>
      <c r="T17" s="2"/>
      <c r="U17" s="2"/>
      <c r="V17" s="2"/>
      <c r="W17" s="2"/>
      <c r="X17" s="2"/>
      <c r="Y17" s="2"/>
      <c r="Z17" s="2"/>
    </row>
    <row r="18" spans="2:26" ht="14.25" customHeight="1" x14ac:dyDescent="0.25">
      <c r="B18" s="2"/>
      <c r="C18" s="2"/>
      <c r="D18" s="2"/>
      <c r="E18" s="2"/>
      <c r="F18" s="2"/>
      <c r="G18" s="2"/>
      <c r="H18" s="2"/>
      <c r="I18" s="2"/>
      <c r="J18" s="2"/>
      <c r="K18" s="2"/>
      <c r="L18" s="2"/>
      <c r="M18" s="2"/>
      <c r="N18" s="2"/>
      <c r="O18" s="2"/>
      <c r="P18" s="2"/>
      <c r="Q18" s="2"/>
      <c r="R18" s="2"/>
      <c r="S18" s="2"/>
      <c r="T18" s="2"/>
      <c r="U18" s="2"/>
      <c r="V18" s="2"/>
      <c r="W18" s="2"/>
      <c r="X18" s="2"/>
      <c r="Y18" s="2"/>
      <c r="Z18" s="2"/>
    </row>
    <row r="19" spans="2:26" ht="14.25" customHeight="1" x14ac:dyDescent="0.25">
      <c r="B19" s="2"/>
      <c r="C19" s="2"/>
      <c r="D19" s="2"/>
      <c r="E19" s="2"/>
      <c r="F19" s="2"/>
      <c r="G19" s="2"/>
      <c r="H19" s="2"/>
      <c r="I19" s="2"/>
      <c r="J19" s="2"/>
      <c r="K19" s="2"/>
      <c r="L19" s="2"/>
      <c r="M19" s="2"/>
      <c r="N19" s="2"/>
      <c r="O19" s="2"/>
      <c r="P19" s="2"/>
      <c r="Q19" s="2"/>
      <c r="R19" s="2"/>
      <c r="S19" s="2"/>
      <c r="T19" s="2"/>
      <c r="U19" s="2"/>
      <c r="V19" s="2"/>
      <c r="W19" s="2"/>
      <c r="X19" s="2"/>
      <c r="Y19" s="2"/>
      <c r="Z19" s="2"/>
    </row>
    <row r="20" spans="2:26" ht="14.25" customHeight="1" x14ac:dyDescent="0.25">
      <c r="B20" s="2"/>
      <c r="C20" s="2"/>
      <c r="D20" s="2"/>
      <c r="E20" s="2"/>
      <c r="F20" s="2"/>
      <c r="G20" s="2"/>
      <c r="H20" s="2"/>
      <c r="I20" s="2"/>
      <c r="J20" s="2"/>
      <c r="K20" s="2"/>
      <c r="L20" s="2"/>
      <c r="M20" s="2"/>
      <c r="N20" s="2"/>
      <c r="O20" s="2"/>
      <c r="P20" s="2"/>
      <c r="Q20" s="2"/>
      <c r="R20" s="2"/>
      <c r="S20" s="2"/>
      <c r="T20" s="2"/>
      <c r="U20" s="2"/>
      <c r="V20" s="2"/>
      <c r="W20" s="2"/>
      <c r="X20" s="2"/>
      <c r="Y20" s="2"/>
      <c r="Z20" s="2"/>
    </row>
    <row r="21" spans="2:26" ht="14.25" customHeight="1" x14ac:dyDescent="0.25">
      <c r="B21" s="2"/>
      <c r="C21" s="2"/>
      <c r="D21" s="2"/>
      <c r="E21" s="2"/>
      <c r="F21" s="2"/>
      <c r="G21" s="2"/>
      <c r="H21" s="2"/>
      <c r="I21" s="2"/>
      <c r="J21" s="2"/>
      <c r="K21" s="2"/>
      <c r="L21" s="2"/>
      <c r="M21" s="2"/>
      <c r="N21" s="2"/>
      <c r="O21" s="2"/>
      <c r="P21" s="2"/>
      <c r="Q21" s="2"/>
      <c r="R21" s="2"/>
      <c r="S21" s="2"/>
      <c r="T21" s="2"/>
      <c r="U21" s="2"/>
      <c r="V21" s="2"/>
      <c r="W21" s="2"/>
      <c r="X21" s="2"/>
      <c r="Y21" s="2"/>
      <c r="Z21" s="2"/>
    </row>
    <row r="22" spans="2:26" ht="14.25" customHeight="1" x14ac:dyDescent="0.25">
      <c r="B22" s="2"/>
      <c r="C22" s="2"/>
      <c r="D22" s="2"/>
      <c r="E22" s="2"/>
      <c r="F22" s="2"/>
      <c r="G22" s="2"/>
      <c r="H22" s="2"/>
      <c r="I22" s="2"/>
      <c r="J22" s="2"/>
      <c r="K22" s="2"/>
      <c r="L22" s="2"/>
      <c r="M22" s="2"/>
      <c r="N22" s="2"/>
      <c r="O22" s="2"/>
      <c r="P22" s="2"/>
      <c r="Q22" s="2"/>
      <c r="R22" s="2"/>
      <c r="S22" s="2"/>
      <c r="T22" s="2"/>
      <c r="U22" s="2"/>
      <c r="V22" s="2"/>
      <c r="W22" s="2"/>
      <c r="X22" s="2"/>
      <c r="Y22" s="2"/>
      <c r="Z22" s="2"/>
    </row>
    <row r="23" spans="2:26" ht="14.25" customHeight="1" x14ac:dyDescent="0.25">
      <c r="B23" s="2"/>
      <c r="C23" s="2"/>
      <c r="D23" s="2"/>
      <c r="E23" s="2"/>
      <c r="F23" s="2"/>
      <c r="G23" s="2"/>
      <c r="H23" s="2"/>
      <c r="I23" s="2"/>
      <c r="J23" s="2"/>
      <c r="K23" s="2"/>
      <c r="L23" s="2"/>
      <c r="M23" s="2"/>
      <c r="N23" s="2"/>
      <c r="O23" s="2"/>
      <c r="P23" s="2"/>
      <c r="Q23" s="2"/>
      <c r="R23" s="2"/>
      <c r="S23" s="2"/>
      <c r="T23" s="2"/>
      <c r="U23" s="2"/>
      <c r="V23" s="2"/>
      <c r="W23" s="2"/>
      <c r="X23" s="2"/>
      <c r="Y23" s="2"/>
      <c r="Z23" s="2"/>
    </row>
    <row r="24" spans="2:26" ht="14.25"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row>
    <row r="25" spans="2:26" ht="14.25"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row>
    <row r="26" spans="2:26" ht="14.25"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row>
    <row r="27" spans="2:26" ht="14.25" customHeight="1" x14ac:dyDescent="0.25">
      <c r="B27" s="2"/>
      <c r="C27" s="2"/>
      <c r="D27" s="2"/>
      <c r="E27" s="2"/>
      <c r="F27" s="2"/>
      <c r="G27" s="2"/>
      <c r="H27" s="2"/>
      <c r="I27" s="2"/>
      <c r="J27" s="2"/>
      <c r="K27" s="2"/>
      <c r="L27" s="2"/>
      <c r="M27" s="2"/>
      <c r="N27" s="2"/>
      <c r="O27" s="2"/>
      <c r="P27" s="2"/>
      <c r="Q27" s="2"/>
      <c r="R27" s="2"/>
      <c r="S27" s="2"/>
      <c r="T27" s="2"/>
      <c r="U27" s="2"/>
      <c r="V27" s="2"/>
      <c r="W27" s="2"/>
      <c r="X27" s="2"/>
      <c r="Y27" s="2"/>
      <c r="Z27" s="2"/>
    </row>
    <row r="28" spans="2:26" ht="14.25" customHeight="1" x14ac:dyDescent="0.25">
      <c r="B28" s="2"/>
      <c r="C28" s="2"/>
      <c r="D28" s="2"/>
      <c r="E28" s="2"/>
      <c r="F28" s="2"/>
      <c r="G28" s="2"/>
      <c r="H28" s="2"/>
      <c r="I28" s="2"/>
      <c r="J28" s="2"/>
      <c r="K28" s="2"/>
      <c r="L28" s="2"/>
      <c r="M28" s="2"/>
      <c r="N28" s="2"/>
      <c r="O28" s="2"/>
      <c r="P28" s="2"/>
      <c r="Q28" s="2"/>
      <c r="R28" s="2"/>
      <c r="S28" s="2"/>
      <c r="T28" s="2"/>
      <c r="U28" s="2"/>
      <c r="V28" s="2"/>
      <c r="W28" s="2"/>
      <c r="X28" s="2"/>
      <c r="Y28" s="2"/>
      <c r="Z28" s="2"/>
    </row>
    <row r="29" spans="2:26" ht="14.25" customHeight="1" x14ac:dyDescent="0.25">
      <c r="B29" s="2"/>
      <c r="C29" s="2"/>
      <c r="D29" s="2"/>
      <c r="E29" s="2"/>
      <c r="F29" s="2"/>
      <c r="G29" s="2"/>
      <c r="H29" s="2"/>
      <c r="I29" s="2"/>
      <c r="J29" s="2"/>
      <c r="K29" s="2"/>
      <c r="L29" s="2"/>
      <c r="M29" s="2"/>
      <c r="N29" s="2"/>
      <c r="O29" s="2"/>
      <c r="P29" s="2"/>
      <c r="Q29" s="2"/>
      <c r="R29" s="2"/>
      <c r="S29" s="2"/>
      <c r="T29" s="2"/>
      <c r="U29" s="2"/>
      <c r="V29" s="2"/>
      <c r="W29" s="2"/>
      <c r="X29" s="2"/>
      <c r="Y29" s="2"/>
      <c r="Z29" s="2"/>
    </row>
    <row r="30" spans="2:26" ht="14.25" customHeight="1" x14ac:dyDescent="0.25">
      <c r="B30" s="2"/>
      <c r="C30" s="2"/>
      <c r="D30" s="2"/>
      <c r="E30" s="2"/>
      <c r="F30" s="2"/>
      <c r="G30" s="2"/>
      <c r="H30" s="2"/>
      <c r="I30" s="2"/>
      <c r="J30" s="2"/>
      <c r="K30" s="2"/>
      <c r="L30" s="2"/>
      <c r="M30" s="2"/>
      <c r="N30" s="2"/>
      <c r="O30" s="2"/>
      <c r="P30" s="2"/>
      <c r="Q30" s="2"/>
      <c r="R30" s="2"/>
      <c r="S30" s="2"/>
      <c r="T30" s="2"/>
      <c r="U30" s="2"/>
      <c r="V30" s="2"/>
      <c r="W30" s="2"/>
      <c r="X30" s="2"/>
      <c r="Y30" s="2"/>
      <c r="Z30" s="2"/>
    </row>
    <row r="31" spans="2:26" ht="14.25" customHeight="1" x14ac:dyDescent="0.25">
      <c r="B31" s="2"/>
      <c r="C31" s="2"/>
      <c r="D31" s="2"/>
      <c r="E31" s="2"/>
      <c r="F31" s="2"/>
      <c r="G31" s="2"/>
      <c r="H31" s="2"/>
      <c r="I31" s="2"/>
      <c r="J31" s="2"/>
      <c r="K31" s="2"/>
      <c r="L31" s="2"/>
      <c r="M31" s="2"/>
      <c r="N31" s="2"/>
      <c r="O31" s="2"/>
      <c r="P31" s="2"/>
      <c r="Q31" s="2"/>
      <c r="R31" s="2"/>
      <c r="S31" s="2"/>
      <c r="T31" s="2"/>
      <c r="U31" s="2"/>
      <c r="V31" s="2"/>
      <c r="W31" s="2"/>
      <c r="X31" s="2"/>
      <c r="Y31" s="2"/>
      <c r="Z31" s="2"/>
    </row>
    <row r="32" spans="2:26" ht="14.25" customHeight="1" x14ac:dyDescent="0.25">
      <c r="B32" s="2"/>
      <c r="C32" s="2"/>
      <c r="D32" s="2"/>
      <c r="E32" s="2"/>
      <c r="F32" s="2"/>
      <c r="G32" s="2"/>
      <c r="H32" s="2"/>
      <c r="I32" s="2"/>
      <c r="J32" s="2"/>
      <c r="K32" s="2"/>
      <c r="L32" s="2"/>
      <c r="M32" s="2"/>
      <c r="N32" s="2"/>
      <c r="O32" s="2"/>
      <c r="P32" s="2"/>
      <c r="Q32" s="2"/>
      <c r="R32" s="2"/>
      <c r="S32" s="2"/>
      <c r="T32" s="2"/>
      <c r="U32" s="2"/>
      <c r="V32" s="2"/>
      <c r="W32" s="2"/>
      <c r="X32" s="2"/>
      <c r="Y32" s="2"/>
      <c r="Z32" s="2"/>
    </row>
    <row r="33" spans="2:26" ht="14.25" customHeight="1" x14ac:dyDescent="0.25">
      <c r="B33" s="2"/>
      <c r="C33" s="2"/>
      <c r="D33" s="2"/>
      <c r="E33" s="2"/>
      <c r="F33" s="2"/>
      <c r="G33" s="2"/>
      <c r="H33" s="2"/>
      <c r="I33" s="2"/>
      <c r="J33" s="2"/>
      <c r="K33" s="2"/>
      <c r="L33" s="2"/>
      <c r="M33" s="2"/>
      <c r="N33" s="2"/>
      <c r="O33" s="2"/>
      <c r="P33" s="2"/>
      <c r="Q33" s="2"/>
      <c r="R33" s="2"/>
      <c r="S33" s="2"/>
      <c r="T33" s="2"/>
      <c r="U33" s="2"/>
      <c r="V33" s="2"/>
      <c r="W33" s="2"/>
      <c r="X33" s="2"/>
      <c r="Y33" s="2"/>
      <c r="Z33" s="2"/>
    </row>
    <row r="34" spans="2:26" ht="14.25" customHeight="1" x14ac:dyDescent="0.25">
      <c r="B34" s="2"/>
      <c r="C34" s="2"/>
      <c r="D34" s="2"/>
      <c r="E34" s="2"/>
      <c r="F34" s="2"/>
      <c r="G34" s="2"/>
      <c r="H34" s="2"/>
      <c r="I34" s="2"/>
      <c r="J34" s="2"/>
      <c r="K34" s="2"/>
      <c r="L34" s="2"/>
      <c r="M34" s="2"/>
      <c r="N34" s="2"/>
      <c r="O34" s="2"/>
      <c r="P34" s="2"/>
      <c r="Q34" s="2"/>
      <c r="R34" s="2"/>
      <c r="S34" s="2"/>
      <c r="T34" s="2"/>
      <c r="U34" s="2"/>
      <c r="V34" s="2"/>
      <c r="W34" s="2"/>
      <c r="X34" s="2"/>
      <c r="Y34" s="2"/>
      <c r="Z34" s="2"/>
    </row>
    <row r="35" spans="2:26" ht="14.25" customHeight="1" x14ac:dyDescent="0.25">
      <c r="B35" s="2"/>
      <c r="C35" s="2"/>
      <c r="D35" s="2"/>
      <c r="E35" s="2"/>
      <c r="F35" s="2"/>
      <c r="G35" s="2"/>
      <c r="H35" s="2"/>
      <c r="I35" s="2"/>
      <c r="J35" s="2"/>
      <c r="K35" s="2"/>
      <c r="L35" s="2"/>
      <c r="M35" s="2"/>
      <c r="N35" s="2"/>
      <c r="O35" s="2"/>
      <c r="P35" s="2"/>
      <c r="Q35" s="2"/>
      <c r="R35" s="2"/>
      <c r="S35" s="2"/>
      <c r="T35" s="2"/>
      <c r="U35" s="2"/>
      <c r="V35" s="2"/>
      <c r="W35" s="2"/>
      <c r="X35" s="2"/>
      <c r="Y35" s="2"/>
      <c r="Z35" s="2"/>
    </row>
    <row r="36" spans="2:26" ht="14.25" customHeight="1" x14ac:dyDescent="0.25">
      <c r="B36" s="2"/>
      <c r="C36" s="2"/>
      <c r="D36" s="2"/>
      <c r="E36" s="2"/>
      <c r="F36" s="2"/>
      <c r="G36" s="2"/>
      <c r="H36" s="2"/>
      <c r="I36" s="2"/>
      <c r="J36" s="2"/>
      <c r="K36" s="2"/>
      <c r="L36" s="2"/>
      <c r="M36" s="2"/>
      <c r="N36" s="2"/>
      <c r="O36" s="2"/>
      <c r="P36" s="2"/>
      <c r="Q36" s="2"/>
      <c r="R36" s="2"/>
      <c r="S36" s="2"/>
      <c r="T36" s="2"/>
      <c r="U36" s="2"/>
      <c r="V36" s="2"/>
      <c r="W36" s="2"/>
      <c r="X36" s="2"/>
      <c r="Y36" s="2"/>
      <c r="Z36" s="2"/>
    </row>
    <row r="37" spans="2:26" ht="14.25" customHeight="1" x14ac:dyDescent="0.25">
      <c r="B37" s="2"/>
      <c r="C37" s="2"/>
      <c r="D37" s="2"/>
      <c r="E37" s="2"/>
      <c r="F37" s="2"/>
      <c r="G37" s="2"/>
      <c r="H37" s="2"/>
      <c r="I37" s="2"/>
      <c r="J37" s="2"/>
      <c r="K37" s="2"/>
      <c r="L37" s="2"/>
      <c r="M37" s="2"/>
      <c r="N37" s="2"/>
      <c r="O37" s="2"/>
      <c r="P37" s="2"/>
      <c r="Q37" s="2"/>
      <c r="R37" s="2"/>
      <c r="S37" s="2"/>
      <c r="T37" s="2"/>
      <c r="U37" s="2"/>
      <c r="V37" s="2"/>
      <c r="W37" s="2"/>
      <c r="X37" s="2"/>
      <c r="Y37" s="2"/>
      <c r="Z37" s="2"/>
    </row>
    <row r="38" spans="2:26" ht="14.25" customHeight="1" x14ac:dyDescent="0.25">
      <c r="B38" s="2"/>
      <c r="C38" s="2"/>
      <c r="D38" s="2"/>
      <c r="E38" s="2"/>
      <c r="F38" s="2"/>
      <c r="G38" s="2"/>
      <c r="H38" s="2"/>
      <c r="I38" s="2"/>
      <c r="J38" s="2"/>
      <c r="K38" s="2"/>
      <c r="L38" s="2"/>
      <c r="M38" s="2"/>
      <c r="N38" s="2"/>
      <c r="O38" s="2"/>
      <c r="P38" s="2"/>
      <c r="Q38" s="2"/>
      <c r="R38" s="2"/>
      <c r="S38" s="2"/>
      <c r="T38" s="2"/>
      <c r="U38" s="2"/>
      <c r="V38" s="2"/>
      <c r="W38" s="2"/>
      <c r="X38" s="2"/>
      <c r="Y38" s="2"/>
      <c r="Z38" s="2"/>
    </row>
    <row r="39" spans="2:26" ht="14.25" customHeight="1" x14ac:dyDescent="0.25">
      <c r="B39" s="2"/>
      <c r="C39" s="2"/>
      <c r="D39" s="2"/>
      <c r="E39" s="2"/>
      <c r="F39" s="2"/>
      <c r="G39" s="2"/>
      <c r="H39" s="2"/>
      <c r="I39" s="2"/>
      <c r="J39" s="2"/>
      <c r="K39" s="2"/>
      <c r="L39" s="2"/>
      <c r="M39" s="2"/>
      <c r="N39" s="2"/>
      <c r="O39" s="2"/>
      <c r="P39" s="2"/>
      <c r="Q39" s="2"/>
      <c r="R39" s="2"/>
      <c r="S39" s="2"/>
      <c r="T39" s="2"/>
      <c r="U39" s="2"/>
      <c r="V39" s="2"/>
      <c r="W39" s="2"/>
      <c r="X39" s="2"/>
      <c r="Y39" s="2"/>
      <c r="Z39" s="2"/>
    </row>
    <row r="40" spans="2:26" ht="14.25" customHeight="1" x14ac:dyDescent="0.25">
      <c r="B40" s="2"/>
      <c r="C40" s="2"/>
      <c r="D40" s="2"/>
      <c r="E40" s="2"/>
      <c r="F40" s="2"/>
      <c r="G40" s="2"/>
      <c r="H40" s="2"/>
      <c r="I40" s="2"/>
      <c r="J40" s="2"/>
      <c r="K40" s="2"/>
      <c r="L40" s="2"/>
      <c r="M40" s="2"/>
      <c r="N40" s="2"/>
      <c r="O40" s="2"/>
      <c r="P40" s="2"/>
      <c r="Q40" s="2"/>
      <c r="R40" s="2"/>
      <c r="S40" s="2"/>
      <c r="T40" s="2"/>
      <c r="U40" s="2"/>
      <c r="V40" s="2"/>
      <c r="W40" s="2"/>
      <c r="X40" s="2"/>
      <c r="Y40" s="2"/>
      <c r="Z40" s="2"/>
    </row>
    <row r="41" spans="2:26" ht="14.25" customHeight="1" x14ac:dyDescent="0.25">
      <c r="B41" s="2"/>
      <c r="C41" s="2"/>
      <c r="D41" s="2"/>
      <c r="E41" s="2"/>
      <c r="F41" s="2"/>
      <c r="G41" s="2"/>
      <c r="H41" s="2"/>
      <c r="I41" s="2"/>
      <c r="J41" s="2"/>
      <c r="K41" s="2"/>
      <c r="L41" s="2"/>
      <c r="M41" s="2"/>
      <c r="N41" s="2"/>
      <c r="O41" s="2"/>
      <c r="P41" s="2"/>
      <c r="Q41" s="2"/>
      <c r="R41" s="2"/>
      <c r="S41" s="2"/>
      <c r="T41" s="2"/>
      <c r="U41" s="2"/>
      <c r="V41" s="2"/>
      <c r="W41" s="2"/>
      <c r="X41" s="2"/>
      <c r="Y41" s="2"/>
      <c r="Z41" s="2"/>
    </row>
    <row r="42" spans="2:26" ht="14.25" customHeight="1" x14ac:dyDescent="0.25">
      <c r="B42" s="2"/>
      <c r="C42" s="2"/>
      <c r="D42" s="2"/>
      <c r="E42" s="2"/>
      <c r="F42" s="2"/>
      <c r="G42" s="2"/>
      <c r="H42" s="2"/>
      <c r="I42" s="2"/>
      <c r="J42" s="2"/>
      <c r="K42" s="2"/>
      <c r="L42" s="2"/>
      <c r="M42" s="2"/>
      <c r="N42" s="2"/>
      <c r="O42" s="2"/>
      <c r="P42" s="2"/>
      <c r="Q42" s="2"/>
      <c r="R42" s="2"/>
      <c r="S42" s="2"/>
      <c r="T42" s="2"/>
      <c r="U42" s="2"/>
      <c r="V42" s="2"/>
      <c r="W42" s="2"/>
      <c r="X42" s="2"/>
      <c r="Y42" s="2"/>
      <c r="Z42" s="2"/>
    </row>
    <row r="43" spans="2:26" ht="14.25" customHeight="1" x14ac:dyDescent="0.25">
      <c r="B43" s="2"/>
      <c r="C43" s="2"/>
      <c r="D43" s="2"/>
      <c r="E43" s="2"/>
      <c r="F43" s="2"/>
      <c r="G43" s="2"/>
      <c r="H43" s="2"/>
      <c r="I43" s="2"/>
      <c r="J43" s="2"/>
      <c r="K43" s="2"/>
      <c r="L43" s="2"/>
      <c r="M43" s="2"/>
      <c r="N43" s="2"/>
      <c r="O43" s="2"/>
      <c r="P43" s="2"/>
      <c r="Q43" s="2"/>
      <c r="R43" s="2"/>
      <c r="S43" s="2"/>
      <c r="T43" s="2"/>
      <c r="U43" s="2"/>
      <c r="V43" s="2"/>
      <c r="W43" s="2"/>
      <c r="X43" s="2"/>
      <c r="Y43" s="2"/>
      <c r="Z43" s="2"/>
    </row>
    <row r="44" spans="2:26" ht="14.25" customHeight="1" x14ac:dyDescent="0.25">
      <c r="B44" s="2"/>
      <c r="C44" s="2"/>
      <c r="D44" s="2"/>
      <c r="E44" s="2"/>
      <c r="F44" s="2"/>
      <c r="G44" s="2"/>
      <c r="H44" s="2"/>
      <c r="I44" s="2"/>
      <c r="J44" s="2"/>
      <c r="K44" s="2"/>
      <c r="L44" s="2"/>
      <c r="M44" s="2"/>
      <c r="N44" s="2"/>
      <c r="O44" s="2"/>
      <c r="P44" s="2"/>
      <c r="Q44" s="2"/>
      <c r="R44" s="2"/>
      <c r="S44" s="2"/>
      <c r="T44" s="2"/>
      <c r="U44" s="2"/>
      <c r="V44" s="2"/>
      <c r="W44" s="2"/>
      <c r="X44" s="2"/>
      <c r="Y44" s="2"/>
      <c r="Z44" s="2"/>
    </row>
    <row r="45" spans="2:26" ht="14.25" customHeight="1" x14ac:dyDescent="0.25">
      <c r="B45" s="2"/>
      <c r="C45" s="2"/>
      <c r="D45" s="2"/>
      <c r="E45" s="2"/>
      <c r="F45" s="2"/>
      <c r="G45" s="2"/>
      <c r="H45" s="2"/>
      <c r="I45" s="2"/>
      <c r="J45" s="2"/>
      <c r="K45" s="2"/>
      <c r="L45" s="2"/>
      <c r="M45" s="2"/>
      <c r="N45" s="2"/>
      <c r="O45" s="2"/>
      <c r="P45" s="2"/>
      <c r="Q45" s="2"/>
      <c r="R45" s="2"/>
      <c r="S45" s="2"/>
      <c r="T45" s="2"/>
      <c r="U45" s="2"/>
      <c r="V45" s="2"/>
      <c r="W45" s="2"/>
      <c r="X45" s="2"/>
      <c r="Y45" s="2"/>
      <c r="Z45" s="2"/>
    </row>
    <row r="46" spans="2:26" ht="14.25" customHeight="1" x14ac:dyDescent="0.25">
      <c r="B46" s="2"/>
      <c r="C46" s="2"/>
      <c r="D46" s="2"/>
      <c r="E46" s="2"/>
      <c r="F46" s="2"/>
      <c r="G46" s="2"/>
      <c r="H46" s="2"/>
      <c r="I46" s="2"/>
      <c r="J46" s="2"/>
      <c r="K46" s="2"/>
      <c r="L46" s="2"/>
      <c r="M46" s="2"/>
      <c r="N46" s="2"/>
      <c r="O46" s="2"/>
      <c r="P46" s="2"/>
      <c r="Q46" s="2"/>
      <c r="R46" s="2"/>
      <c r="S46" s="2"/>
      <c r="T46" s="2"/>
      <c r="U46" s="2"/>
      <c r="V46" s="2"/>
      <c r="W46" s="2"/>
      <c r="X46" s="2"/>
      <c r="Y46" s="2"/>
      <c r="Z46" s="2"/>
    </row>
    <row r="47" spans="2:26" ht="14.25" customHeight="1" x14ac:dyDescent="0.25">
      <c r="B47" s="2"/>
      <c r="C47" s="2"/>
      <c r="D47" s="2"/>
      <c r="E47" s="2"/>
      <c r="F47" s="2"/>
      <c r="G47" s="2"/>
      <c r="H47" s="2"/>
      <c r="I47" s="2"/>
      <c r="J47" s="2"/>
      <c r="K47" s="2"/>
      <c r="L47" s="2"/>
      <c r="M47" s="2"/>
      <c r="N47" s="2"/>
      <c r="O47" s="2"/>
      <c r="P47" s="2"/>
      <c r="Q47" s="2"/>
      <c r="R47" s="2"/>
      <c r="S47" s="2"/>
      <c r="T47" s="2"/>
      <c r="U47" s="2"/>
      <c r="V47" s="2"/>
      <c r="W47" s="2"/>
      <c r="X47" s="2"/>
      <c r="Y47" s="2"/>
      <c r="Z47" s="2"/>
    </row>
    <row r="48" spans="2:26" ht="14.25" customHeight="1" x14ac:dyDescent="0.25">
      <c r="B48" s="2"/>
      <c r="C48" s="2"/>
      <c r="D48" s="2"/>
      <c r="E48" s="2"/>
      <c r="F48" s="2"/>
      <c r="G48" s="2"/>
      <c r="H48" s="2"/>
      <c r="I48" s="2"/>
      <c r="J48" s="2"/>
      <c r="K48" s="2"/>
      <c r="L48" s="2"/>
      <c r="M48" s="2"/>
      <c r="N48" s="2"/>
      <c r="O48" s="2"/>
      <c r="P48" s="2"/>
      <c r="Q48" s="2"/>
      <c r="R48" s="2"/>
      <c r="S48" s="2"/>
      <c r="T48" s="2"/>
      <c r="U48" s="2"/>
      <c r="V48" s="2"/>
      <c r="W48" s="2"/>
      <c r="X48" s="2"/>
      <c r="Y48" s="2"/>
      <c r="Z48" s="2"/>
    </row>
    <row r="49" spans="2:26" ht="14.25" customHeight="1" x14ac:dyDescent="0.25">
      <c r="B49" s="2"/>
      <c r="C49" s="2"/>
      <c r="D49" s="2"/>
      <c r="E49" s="2"/>
      <c r="F49" s="2"/>
      <c r="G49" s="2"/>
      <c r="H49" s="2"/>
      <c r="I49" s="2"/>
      <c r="J49" s="2"/>
      <c r="K49" s="2"/>
      <c r="L49" s="2"/>
      <c r="M49" s="2"/>
      <c r="N49" s="2"/>
      <c r="O49" s="2"/>
      <c r="P49" s="2"/>
      <c r="Q49" s="2"/>
      <c r="R49" s="2"/>
      <c r="S49" s="2"/>
      <c r="T49" s="2"/>
      <c r="U49" s="2"/>
      <c r="V49" s="2"/>
      <c r="W49" s="2"/>
      <c r="X49" s="2"/>
      <c r="Y49" s="2"/>
      <c r="Z49" s="2"/>
    </row>
    <row r="50" spans="2:26" ht="14.25" customHeight="1" x14ac:dyDescent="0.25">
      <c r="B50" s="2"/>
      <c r="C50" s="2"/>
      <c r="D50" s="2"/>
      <c r="E50" s="2"/>
      <c r="F50" s="2"/>
      <c r="G50" s="2"/>
      <c r="H50" s="2"/>
      <c r="I50" s="2"/>
      <c r="J50" s="2"/>
      <c r="K50" s="2"/>
      <c r="L50" s="2"/>
      <c r="M50" s="2"/>
      <c r="N50" s="2"/>
      <c r="O50" s="2"/>
      <c r="P50" s="2"/>
      <c r="Q50" s="2"/>
      <c r="R50" s="2"/>
      <c r="S50" s="2"/>
      <c r="T50" s="2"/>
      <c r="U50" s="2"/>
      <c r="V50" s="2"/>
      <c r="W50" s="2"/>
      <c r="X50" s="2"/>
      <c r="Y50" s="2"/>
      <c r="Z50" s="2"/>
    </row>
    <row r="51" spans="2:26" ht="14.25" customHeight="1" x14ac:dyDescent="0.25">
      <c r="B51" s="2"/>
      <c r="C51" s="2"/>
      <c r="D51" s="2"/>
      <c r="E51" s="2"/>
      <c r="F51" s="2"/>
      <c r="G51" s="2"/>
      <c r="H51" s="2"/>
      <c r="I51" s="2"/>
      <c r="J51" s="2"/>
      <c r="K51" s="2"/>
      <c r="L51" s="2"/>
      <c r="M51" s="2"/>
      <c r="N51" s="2"/>
      <c r="O51" s="2"/>
      <c r="P51" s="2"/>
      <c r="Q51" s="2"/>
      <c r="R51" s="2"/>
      <c r="S51" s="2"/>
      <c r="T51" s="2"/>
      <c r="U51" s="2"/>
      <c r="V51" s="2"/>
      <c r="W51" s="2"/>
      <c r="X51" s="2"/>
      <c r="Y51" s="2"/>
      <c r="Z51" s="2"/>
    </row>
    <row r="52" spans="2:26" ht="14.25" customHeight="1" x14ac:dyDescent="0.25">
      <c r="B52" s="2"/>
      <c r="C52" s="2"/>
      <c r="D52" s="2"/>
      <c r="E52" s="2"/>
      <c r="F52" s="2"/>
      <c r="G52" s="2"/>
      <c r="H52" s="2"/>
      <c r="I52" s="2"/>
      <c r="J52" s="2"/>
      <c r="K52" s="2"/>
      <c r="L52" s="2"/>
      <c r="M52" s="2"/>
      <c r="N52" s="2"/>
      <c r="O52" s="2"/>
      <c r="P52" s="2"/>
      <c r="Q52" s="2"/>
      <c r="R52" s="2"/>
      <c r="S52" s="2"/>
      <c r="T52" s="2"/>
      <c r="U52" s="2"/>
      <c r="V52" s="2"/>
      <c r="W52" s="2"/>
      <c r="X52" s="2"/>
      <c r="Y52" s="2"/>
      <c r="Z52" s="2"/>
    </row>
    <row r="53" spans="2:26" ht="14.25" customHeight="1" x14ac:dyDescent="0.25">
      <c r="B53" s="2"/>
      <c r="C53" s="2"/>
      <c r="D53" s="2"/>
      <c r="E53" s="2"/>
      <c r="F53" s="2"/>
      <c r="G53" s="2"/>
      <c r="H53" s="2"/>
      <c r="I53" s="2"/>
      <c r="J53" s="2"/>
      <c r="K53" s="2"/>
      <c r="L53" s="2"/>
      <c r="M53" s="2"/>
      <c r="N53" s="2"/>
      <c r="O53" s="2"/>
      <c r="P53" s="2"/>
      <c r="Q53" s="2"/>
      <c r="R53" s="2"/>
      <c r="S53" s="2"/>
      <c r="T53" s="2"/>
      <c r="U53" s="2"/>
      <c r="V53" s="2"/>
      <c r="W53" s="2"/>
      <c r="X53" s="2"/>
      <c r="Y53" s="2"/>
      <c r="Z53" s="2"/>
    </row>
    <row r="54" spans="2:26" ht="14.25" customHeight="1" x14ac:dyDescent="0.25">
      <c r="B54" s="2"/>
      <c r="C54" s="2"/>
      <c r="D54" s="2"/>
      <c r="E54" s="2"/>
      <c r="F54" s="2"/>
      <c r="G54" s="2"/>
      <c r="H54" s="2"/>
      <c r="I54" s="2"/>
      <c r="J54" s="2"/>
      <c r="K54" s="2"/>
      <c r="L54" s="2"/>
      <c r="M54" s="2"/>
      <c r="N54" s="2"/>
      <c r="O54" s="2"/>
      <c r="P54" s="2"/>
      <c r="Q54" s="2"/>
      <c r="R54" s="2"/>
      <c r="S54" s="2"/>
      <c r="T54" s="2"/>
      <c r="U54" s="2"/>
      <c r="V54" s="2"/>
      <c r="W54" s="2"/>
      <c r="X54" s="2"/>
      <c r="Y54" s="2"/>
      <c r="Z54" s="2"/>
    </row>
    <row r="55" spans="2:26" ht="14.25" customHeight="1" x14ac:dyDescent="0.25">
      <c r="B55" s="2"/>
      <c r="C55" s="2"/>
      <c r="D55" s="2"/>
      <c r="E55" s="2"/>
      <c r="F55" s="2"/>
      <c r="G55" s="2"/>
      <c r="H55" s="2"/>
      <c r="I55" s="2"/>
      <c r="J55" s="2"/>
      <c r="K55" s="2"/>
      <c r="L55" s="2"/>
      <c r="M55" s="2"/>
      <c r="N55" s="2"/>
      <c r="O55" s="2"/>
      <c r="P55" s="2"/>
      <c r="Q55" s="2"/>
      <c r="R55" s="2"/>
      <c r="S55" s="2"/>
      <c r="T55" s="2"/>
      <c r="U55" s="2"/>
      <c r="V55" s="2"/>
      <c r="W55" s="2"/>
      <c r="X55" s="2"/>
      <c r="Y55" s="2"/>
      <c r="Z55" s="2"/>
    </row>
    <row r="56" spans="2:26" ht="14.25" customHeight="1" x14ac:dyDescent="0.25">
      <c r="B56" s="2"/>
      <c r="C56" s="2"/>
      <c r="D56" s="2"/>
      <c r="E56" s="2"/>
      <c r="F56" s="2"/>
      <c r="G56" s="2"/>
      <c r="H56" s="2"/>
      <c r="I56" s="2"/>
      <c r="J56" s="2"/>
      <c r="K56" s="2"/>
      <c r="L56" s="2"/>
      <c r="M56" s="2"/>
      <c r="N56" s="2"/>
      <c r="O56" s="2"/>
      <c r="P56" s="2"/>
      <c r="Q56" s="2"/>
      <c r="R56" s="2"/>
      <c r="S56" s="2"/>
      <c r="T56" s="2"/>
      <c r="U56" s="2"/>
      <c r="V56" s="2"/>
      <c r="W56" s="2"/>
      <c r="X56" s="2"/>
      <c r="Y56" s="2"/>
      <c r="Z56" s="2"/>
    </row>
    <row r="57" spans="2:26" ht="14.25" customHeight="1" x14ac:dyDescent="0.25">
      <c r="B57" s="2"/>
      <c r="C57" s="2"/>
      <c r="D57" s="2"/>
      <c r="E57" s="2"/>
      <c r="F57" s="2"/>
      <c r="G57" s="2"/>
      <c r="H57" s="2"/>
      <c r="I57" s="2"/>
      <c r="J57" s="2"/>
      <c r="K57" s="2"/>
      <c r="L57" s="2"/>
      <c r="M57" s="2"/>
      <c r="N57" s="2"/>
      <c r="O57" s="2"/>
      <c r="P57" s="2"/>
      <c r="Q57" s="2"/>
      <c r="R57" s="2"/>
      <c r="S57" s="2"/>
      <c r="T57" s="2"/>
      <c r="U57" s="2"/>
      <c r="V57" s="2"/>
      <c r="W57" s="2"/>
      <c r="X57" s="2"/>
      <c r="Y57" s="2"/>
      <c r="Z57" s="2"/>
    </row>
    <row r="58" spans="2:26" ht="14.25" customHeight="1" x14ac:dyDescent="0.25">
      <c r="B58" s="2"/>
      <c r="C58" s="2"/>
      <c r="D58" s="2"/>
      <c r="E58" s="2"/>
      <c r="F58" s="2"/>
      <c r="G58" s="2"/>
      <c r="H58" s="2"/>
      <c r="I58" s="2"/>
      <c r="J58" s="2"/>
      <c r="K58" s="2"/>
      <c r="L58" s="2"/>
      <c r="M58" s="2"/>
      <c r="N58" s="2"/>
      <c r="O58" s="2"/>
      <c r="P58" s="2"/>
      <c r="Q58" s="2"/>
      <c r="R58" s="2"/>
      <c r="S58" s="2"/>
      <c r="T58" s="2"/>
      <c r="U58" s="2"/>
      <c r="V58" s="2"/>
      <c r="W58" s="2"/>
      <c r="X58" s="2"/>
      <c r="Y58" s="2"/>
      <c r="Z58" s="2"/>
    </row>
    <row r="59" spans="2:26" ht="14.25" customHeight="1" x14ac:dyDescent="0.25">
      <c r="B59" s="2"/>
      <c r="C59" s="2"/>
      <c r="D59" s="2"/>
      <c r="E59" s="2"/>
      <c r="F59" s="2"/>
      <c r="G59" s="2"/>
      <c r="H59" s="2"/>
      <c r="I59" s="2"/>
      <c r="J59" s="2"/>
      <c r="K59" s="2"/>
      <c r="L59" s="2"/>
      <c r="M59" s="2"/>
      <c r="N59" s="2"/>
      <c r="O59" s="2"/>
      <c r="P59" s="2"/>
      <c r="Q59" s="2"/>
      <c r="R59" s="2"/>
      <c r="S59" s="2"/>
      <c r="T59" s="2"/>
      <c r="U59" s="2"/>
      <c r="V59" s="2"/>
      <c r="W59" s="2"/>
      <c r="X59" s="2"/>
      <c r="Y59" s="2"/>
      <c r="Z59" s="2"/>
    </row>
    <row r="60" spans="2:26" ht="14.25" customHeight="1" x14ac:dyDescent="0.25">
      <c r="B60" s="2"/>
      <c r="C60" s="2"/>
      <c r="D60" s="2"/>
      <c r="E60" s="2"/>
      <c r="F60" s="2"/>
      <c r="G60" s="2"/>
      <c r="H60" s="2"/>
      <c r="I60" s="2"/>
      <c r="J60" s="2"/>
      <c r="K60" s="2"/>
      <c r="L60" s="2"/>
      <c r="M60" s="2"/>
      <c r="N60" s="2"/>
      <c r="O60" s="2"/>
      <c r="P60" s="2"/>
      <c r="Q60" s="2"/>
      <c r="R60" s="2"/>
      <c r="S60" s="2"/>
      <c r="T60" s="2"/>
      <c r="U60" s="2"/>
      <c r="V60" s="2"/>
      <c r="W60" s="2"/>
      <c r="X60" s="2"/>
      <c r="Y60" s="2"/>
      <c r="Z60" s="2"/>
    </row>
    <row r="61" spans="2:26" ht="14.25" customHeight="1" x14ac:dyDescent="0.25">
      <c r="B61" s="2"/>
      <c r="C61" s="2"/>
      <c r="D61" s="2"/>
      <c r="E61" s="2"/>
      <c r="F61" s="2"/>
      <c r="G61" s="2"/>
      <c r="H61" s="2"/>
      <c r="I61" s="2"/>
      <c r="J61" s="2"/>
      <c r="K61" s="2"/>
      <c r="L61" s="2"/>
      <c r="M61" s="2"/>
      <c r="N61" s="2"/>
      <c r="O61" s="2"/>
      <c r="P61" s="2"/>
      <c r="Q61" s="2"/>
      <c r="R61" s="2"/>
      <c r="S61" s="2"/>
      <c r="T61" s="2"/>
      <c r="U61" s="2"/>
      <c r="V61" s="2"/>
      <c r="W61" s="2"/>
      <c r="X61" s="2"/>
      <c r="Y61" s="2"/>
      <c r="Z61" s="2"/>
    </row>
    <row r="62" spans="2:26" ht="14.25" customHeight="1" x14ac:dyDescent="0.25">
      <c r="B62" s="2"/>
      <c r="C62" s="2"/>
      <c r="D62" s="2"/>
      <c r="E62" s="2"/>
      <c r="F62" s="2"/>
      <c r="G62" s="2"/>
      <c r="H62" s="2"/>
      <c r="I62" s="2"/>
      <c r="J62" s="2"/>
      <c r="K62" s="2"/>
      <c r="L62" s="2"/>
      <c r="M62" s="2"/>
      <c r="N62" s="2"/>
      <c r="O62" s="2"/>
      <c r="P62" s="2"/>
      <c r="Q62" s="2"/>
      <c r="R62" s="2"/>
      <c r="S62" s="2"/>
      <c r="T62" s="2"/>
      <c r="U62" s="2"/>
      <c r="V62" s="2"/>
      <c r="W62" s="2"/>
      <c r="X62" s="2"/>
      <c r="Y62" s="2"/>
      <c r="Z62" s="2"/>
    </row>
    <row r="63" spans="2:26" ht="14.25" customHeight="1" x14ac:dyDescent="0.25">
      <c r="B63" s="2"/>
      <c r="C63" s="2"/>
      <c r="D63" s="2"/>
      <c r="E63" s="2"/>
      <c r="F63" s="2"/>
      <c r="G63" s="2"/>
      <c r="H63" s="2"/>
      <c r="I63" s="2"/>
      <c r="J63" s="2"/>
      <c r="K63" s="2"/>
      <c r="L63" s="2"/>
      <c r="M63" s="2"/>
      <c r="N63" s="2"/>
      <c r="O63" s="2"/>
      <c r="P63" s="2"/>
      <c r="Q63" s="2"/>
      <c r="R63" s="2"/>
      <c r="S63" s="2"/>
      <c r="T63" s="2"/>
      <c r="U63" s="2"/>
      <c r="V63" s="2"/>
      <c r="W63" s="2"/>
      <c r="X63" s="2"/>
      <c r="Y63" s="2"/>
      <c r="Z63" s="2"/>
    </row>
    <row r="64" spans="2:26" ht="14.25" customHeight="1" x14ac:dyDescent="0.25">
      <c r="B64" s="2"/>
      <c r="C64" s="2"/>
      <c r="D64" s="2"/>
      <c r="E64" s="2"/>
      <c r="F64" s="2"/>
      <c r="G64" s="2"/>
      <c r="H64" s="2"/>
      <c r="I64" s="2"/>
      <c r="J64" s="2"/>
      <c r="K64" s="2"/>
      <c r="L64" s="2"/>
      <c r="M64" s="2"/>
      <c r="N64" s="2"/>
      <c r="O64" s="2"/>
      <c r="P64" s="2"/>
      <c r="Q64" s="2"/>
      <c r="R64" s="2"/>
      <c r="S64" s="2"/>
      <c r="T64" s="2"/>
      <c r="U64" s="2"/>
      <c r="V64" s="2"/>
      <c r="W64" s="2"/>
      <c r="X64" s="2"/>
      <c r="Y64" s="2"/>
      <c r="Z64" s="2"/>
    </row>
    <row r="65" spans="2:26" ht="14.25" customHeight="1" x14ac:dyDescent="0.25">
      <c r="B65" s="2"/>
      <c r="C65" s="2"/>
      <c r="D65" s="2"/>
      <c r="E65" s="2"/>
      <c r="F65" s="2"/>
      <c r="G65" s="2"/>
      <c r="H65" s="2"/>
      <c r="I65" s="2"/>
      <c r="J65" s="2"/>
      <c r="K65" s="2"/>
      <c r="L65" s="2"/>
      <c r="M65" s="2"/>
      <c r="N65" s="2"/>
      <c r="O65" s="2"/>
      <c r="P65" s="2"/>
      <c r="Q65" s="2"/>
      <c r="R65" s="2"/>
      <c r="S65" s="2"/>
      <c r="T65" s="2"/>
      <c r="U65" s="2"/>
      <c r="V65" s="2"/>
      <c r="W65" s="2"/>
      <c r="X65" s="2"/>
      <c r="Y65" s="2"/>
      <c r="Z65" s="2"/>
    </row>
    <row r="66" spans="2:26" ht="14.25" customHeight="1" x14ac:dyDescent="0.25">
      <c r="B66" s="2"/>
      <c r="C66" s="2"/>
      <c r="D66" s="2"/>
      <c r="E66" s="2"/>
      <c r="F66" s="2"/>
      <c r="G66" s="2"/>
      <c r="H66" s="2"/>
      <c r="I66" s="2"/>
      <c r="J66" s="2"/>
      <c r="K66" s="2"/>
      <c r="L66" s="2"/>
      <c r="M66" s="2"/>
      <c r="N66" s="2"/>
      <c r="O66" s="2"/>
      <c r="P66" s="2"/>
      <c r="Q66" s="2"/>
      <c r="R66" s="2"/>
      <c r="S66" s="2"/>
      <c r="T66" s="2"/>
      <c r="U66" s="2"/>
      <c r="V66" s="2"/>
      <c r="W66" s="2"/>
      <c r="X66" s="2"/>
      <c r="Y66" s="2"/>
      <c r="Z66" s="2"/>
    </row>
    <row r="67" spans="2:26" ht="14.25" customHeight="1" x14ac:dyDescent="0.25">
      <c r="B67" s="2"/>
      <c r="C67" s="2"/>
      <c r="D67" s="2"/>
      <c r="E67" s="2"/>
      <c r="F67" s="2"/>
      <c r="G67" s="2"/>
      <c r="H67" s="2"/>
      <c r="I67" s="2"/>
      <c r="J67" s="2"/>
      <c r="K67" s="2"/>
      <c r="L67" s="2"/>
      <c r="M67" s="2"/>
      <c r="N67" s="2"/>
      <c r="O67" s="2"/>
      <c r="P67" s="2"/>
      <c r="Q67" s="2"/>
      <c r="R67" s="2"/>
      <c r="S67" s="2"/>
      <c r="T67" s="2"/>
      <c r="U67" s="2"/>
      <c r="V67" s="2"/>
      <c r="W67" s="2"/>
      <c r="X67" s="2"/>
      <c r="Y67" s="2"/>
      <c r="Z67" s="2"/>
    </row>
    <row r="68" spans="2:26" ht="14.25" customHeight="1" x14ac:dyDescent="0.25">
      <c r="B68" s="2"/>
      <c r="C68" s="2"/>
      <c r="D68" s="2"/>
      <c r="E68" s="2"/>
      <c r="F68" s="2"/>
      <c r="G68" s="2"/>
      <c r="H68" s="2"/>
      <c r="I68" s="2"/>
      <c r="J68" s="2"/>
      <c r="K68" s="2"/>
      <c r="L68" s="2"/>
      <c r="M68" s="2"/>
      <c r="N68" s="2"/>
      <c r="O68" s="2"/>
      <c r="P68" s="2"/>
      <c r="Q68" s="2"/>
      <c r="R68" s="2"/>
      <c r="S68" s="2"/>
      <c r="T68" s="2"/>
      <c r="U68" s="2"/>
      <c r="V68" s="2"/>
      <c r="W68" s="2"/>
      <c r="X68" s="2"/>
      <c r="Y68" s="2"/>
      <c r="Z68" s="2"/>
    </row>
    <row r="69" spans="2:26" ht="14.25" customHeight="1" x14ac:dyDescent="0.25">
      <c r="B69" s="2"/>
      <c r="C69" s="2"/>
      <c r="D69" s="2"/>
      <c r="E69" s="2"/>
      <c r="F69" s="2"/>
      <c r="G69" s="2"/>
      <c r="H69" s="2"/>
      <c r="I69" s="2"/>
      <c r="J69" s="2"/>
      <c r="K69" s="2"/>
      <c r="L69" s="2"/>
      <c r="M69" s="2"/>
      <c r="N69" s="2"/>
      <c r="O69" s="2"/>
      <c r="P69" s="2"/>
      <c r="Q69" s="2"/>
      <c r="R69" s="2"/>
      <c r="S69" s="2"/>
      <c r="T69" s="2"/>
      <c r="U69" s="2"/>
      <c r="V69" s="2"/>
      <c r="W69" s="2"/>
      <c r="X69" s="2"/>
      <c r="Y69" s="2"/>
      <c r="Z69" s="2"/>
    </row>
    <row r="70" spans="2:26" ht="14.25" customHeight="1" x14ac:dyDescent="0.25">
      <c r="B70" s="2"/>
      <c r="C70" s="2"/>
      <c r="D70" s="2"/>
      <c r="E70" s="2"/>
      <c r="F70" s="2"/>
      <c r="G70" s="2"/>
      <c r="H70" s="2"/>
      <c r="I70" s="2"/>
      <c r="J70" s="2"/>
      <c r="K70" s="2"/>
      <c r="L70" s="2"/>
      <c r="M70" s="2"/>
      <c r="N70" s="2"/>
      <c r="O70" s="2"/>
      <c r="P70" s="2"/>
      <c r="Q70" s="2"/>
      <c r="R70" s="2"/>
      <c r="S70" s="2"/>
      <c r="T70" s="2"/>
      <c r="U70" s="2"/>
      <c r="V70" s="2"/>
      <c r="W70" s="2"/>
      <c r="X70" s="2"/>
      <c r="Y70" s="2"/>
      <c r="Z70" s="2"/>
    </row>
    <row r="71" spans="2:26" ht="14.25" customHeight="1" x14ac:dyDescent="0.25">
      <c r="B71" s="2"/>
      <c r="C71" s="2"/>
      <c r="D71" s="2"/>
      <c r="E71" s="2"/>
      <c r="F71" s="2"/>
      <c r="G71" s="2"/>
      <c r="H71" s="2"/>
      <c r="I71" s="2"/>
      <c r="J71" s="2"/>
      <c r="K71" s="2"/>
      <c r="L71" s="2"/>
      <c r="M71" s="2"/>
      <c r="N71" s="2"/>
      <c r="O71" s="2"/>
      <c r="P71" s="2"/>
      <c r="Q71" s="2"/>
      <c r="R71" s="2"/>
      <c r="S71" s="2"/>
      <c r="T71" s="2"/>
      <c r="U71" s="2"/>
      <c r="V71" s="2"/>
      <c r="W71" s="2"/>
      <c r="X71" s="2"/>
      <c r="Y71" s="2"/>
      <c r="Z71" s="2"/>
    </row>
    <row r="72" spans="2:26" ht="14.25" customHeight="1" x14ac:dyDescent="0.25">
      <c r="B72" s="2"/>
      <c r="C72" s="2"/>
      <c r="D72" s="2"/>
      <c r="E72" s="2"/>
      <c r="F72" s="2"/>
      <c r="G72" s="2"/>
      <c r="H72" s="2"/>
      <c r="I72" s="2"/>
      <c r="J72" s="2"/>
      <c r="K72" s="2"/>
      <c r="L72" s="2"/>
      <c r="M72" s="2"/>
      <c r="N72" s="2"/>
      <c r="O72" s="2"/>
      <c r="P72" s="2"/>
      <c r="Q72" s="2"/>
      <c r="R72" s="2"/>
      <c r="S72" s="2"/>
      <c r="T72" s="2"/>
      <c r="U72" s="2"/>
      <c r="V72" s="2"/>
      <c r="W72" s="2"/>
      <c r="X72" s="2"/>
      <c r="Y72" s="2"/>
      <c r="Z72" s="2"/>
    </row>
    <row r="73" spans="2:26" ht="14.25" customHeight="1" x14ac:dyDescent="0.25">
      <c r="B73" s="2"/>
      <c r="C73" s="2"/>
      <c r="D73" s="2"/>
      <c r="E73" s="2"/>
      <c r="F73" s="2"/>
      <c r="G73" s="2"/>
      <c r="H73" s="2"/>
      <c r="I73" s="2"/>
      <c r="J73" s="2"/>
      <c r="K73" s="2"/>
      <c r="L73" s="2"/>
      <c r="M73" s="2"/>
      <c r="N73" s="2"/>
      <c r="O73" s="2"/>
      <c r="P73" s="2"/>
      <c r="Q73" s="2"/>
      <c r="R73" s="2"/>
      <c r="S73" s="2"/>
      <c r="T73" s="2"/>
      <c r="U73" s="2"/>
      <c r="V73" s="2"/>
      <c r="W73" s="2"/>
      <c r="X73" s="2"/>
      <c r="Y73" s="2"/>
      <c r="Z73" s="2"/>
    </row>
    <row r="74" spans="2:26" ht="14.25" customHeight="1" x14ac:dyDescent="0.25">
      <c r="B74" s="2"/>
      <c r="C74" s="2"/>
      <c r="D74" s="2"/>
      <c r="E74" s="2"/>
      <c r="F74" s="2"/>
      <c r="G74" s="2"/>
      <c r="H74" s="2"/>
      <c r="I74" s="2"/>
      <c r="J74" s="2"/>
      <c r="K74" s="2"/>
      <c r="L74" s="2"/>
      <c r="M74" s="2"/>
      <c r="N74" s="2"/>
      <c r="O74" s="2"/>
      <c r="P74" s="2"/>
      <c r="Q74" s="2"/>
      <c r="R74" s="2"/>
      <c r="S74" s="2"/>
      <c r="T74" s="2"/>
      <c r="U74" s="2"/>
      <c r="V74" s="2"/>
      <c r="W74" s="2"/>
      <c r="X74" s="2"/>
      <c r="Y74" s="2"/>
      <c r="Z74" s="2"/>
    </row>
    <row r="75" spans="2:26" ht="14.25" customHeight="1" x14ac:dyDescent="0.25">
      <c r="B75" s="2"/>
      <c r="C75" s="2"/>
      <c r="D75" s="2"/>
      <c r="E75" s="2"/>
      <c r="F75" s="2"/>
      <c r="G75" s="2"/>
      <c r="H75" s="2"/>
      <c r="I75" s="2"/>
      <c r="J75" s="2"/>
      <c r="K75" s="2"/>
      <c r="L75" s="2"/>
      <c r="M75" s="2"/>
      <c r="N75" s="2"/>
      <c r="O75" s="2"/>
      <c r="P75" s="2"/>
      <c r="Q75" s="2"/>
      <c r="R75" s="2"/>
      <c r="S75" s="2"/>
      <c r="T75" s="2"/>
      <c r="U75" s="2"/>
      <c r="V75" s="2"/>
      <c r="W75" s="2"/>
      <c r="X75" s="2"/>
      <c r="Y75" s="2"/>
      <c r="Z75" s="2"/>
    </row>
    <row r="76" spans="2:26" ht="14.25" customHeight="1" x14ac:dyDescent="0.25">
      <c r="B76" s="2"/>
      <c r="C76" s="2"/>
      <c r="D76" s="2"/>
      <c r="E76" s="2"/>
      <c r="F76" s="2"/>
      <c r="G76" s="2"/>
      <c r="H76" s="2"/>
      <c r="I76" s="2"/>
      <c r="J76" s="2"/>
      <c r="K76" s="2"/>
      <c r="L76" s="2"/>
      <c r="M76" s="2"/>
      <c r="N76" s="2"/>
      <c r="O76" s="2"/>
      <c r="P76" s="2"/>
      <c r="Q76" s="2"/>
      <c r="R76" s="2"/>
      <c r="S76" s="2"/>
      <c r="T76" s="2"/>
      <c r="U76" s="2"/>
      <c r="V76" s="2"/>
      <c r="W76" s="2"/>
      <c r="X76" s="2"/>
      <c r="Y76" s="2"/>
      <c r="Z76" s="2"/>
    </row>
    <row r="77" spans="2:26" ht="14.25" customHeight="1" x14ac:dyDescent="0.25">
      <c r="B77" s="2"/>
      <c r="C77" s="2"/>
      <c r="D77" s="2"/>
      <c r="E77" s="2"/>
      <c r="F77" s="2"/>
      <c r="G77" s="2"/>
      <c r="H77" s="2"/>
      <c r="I77" s="2"/>
      <c r="J77" s="2"/>
      <c r="K77" s="2"/>
      <c r="L77" s="2"/>
      <c r="M77" s="2"/>
      <c r="N77" s="2"/>
      <c r="O77" s="2"/>
      <c r="P77" s="2"/>
      <c r="Q77" s="2"/>
      <c r="R77" s="2"/>
      <c r="S77" s="2"/>
      <c r="T77" s="2"/>
      <c r="U77" s="2"/>
      <c r="V77" s="2"/>
      <c r="W77" s="2"/>
      <c r="X77" s="2"/>
      <c r="Y77" s="2"/>
      <c r="Z77" s="2"/>
    </row>
    <row r="78" spans="2:26" ht="14.25" customHeight="1" x14ac:dyDescent="0.25">
      <c r="B78" s="2"/>
      <c r="C78" s="2"/>
      <c r="D78" s="2"/>
      <c r="E78" s="2"/>
      <c r="F78" s="2"/>
      <c r="G78" s="2"/>
      <c r="H78" s="2"/>
      <c r="I78" s="2"/>
      <c r="J78" s="2"/>
      <c r="K78" s="2"/>
      <c r="L78" s="2"/>
      <c r="M78" s="2"/>
      <c r="N78" s="2"/>
      <c r="O78" s="2"/>
      <c r="P78" s="2"/>
      <c r="Q78" s="2"/>
      <c r="R78" s="2"/>
      <c r="S78" s="2"/>
      <c r="T78" s="2"/>
      <c r="U78" s="2"/>
      <c r="V78" s="2"/>
      <c r="W78" s="2"/>
      <c r="X78" s="2"/>
      <c r="Y78" s="2"/>
      <c r="Z78" s="2"/>
    </row>
    <row r="79" spans="2:26" ht="14.25" customHeight="1" x14ac:dyDescent="0.25">
      <c r="B79" s="2"/>
      <c r="C79" s="2"/>
      <c r="D79" s="2"/>
      <c r="E79" s="2"/>
      <c r="F79" s="2"/>
      <c r="G79" s="2"/>
      <c r="H79" s="2"/>
      <c r="I79" s="2"/>
      <c r="J79" s="2"/>
      <c r="K79" s="2"/>
      <c r="L79" s="2"/>
      <c r="M79" s="2"/>
      <c r="N79" s="2"/>
      <c r="O79" s="2"/>
      <c r="P79" s="2"/>
      <c r="Q79" s="2"/>
      <c r="R79" s="2"/>
      <c r="S79" s="2"/>
      <c r="T79" s="2"/>
      <c r="U79" s="2"/>
      <c r="V79" s="2"/>
      <c r="W79" s="2"/>
      <c r="X79" s="2"/>
      <c r="Y79" s="2"/>
      <c r="Z79" s="2"/>
    </row>
    <row r="80" spans="2:26" ht="14.25" customHeight="1" x14ac:dyDescent="0.25">
      <c r="B80" s="2"/>
      <c r="C80" s="2"/>
      <c r="D80" s="2"/>
      <c r="E80" s="2"/>
      <c r="F80" s="2"/>
      <c r="G80" s="2"/>
      <c r="H80" s="2"/>
      <c r="I80" s="2"/>
      <c r="J80" s="2"/>
      <c r="K80" s="2"/>
      <c r="L80" s="2"/>
      <c r="M80" s="2"/>
      <c r="N80" s="2"/>
      <c r="O80" s="2"/>
      <c r="P80" s="2"/>
      <c r="Q80" s="2"/>
      <c r="R80" s="2"/>
      <c r="S80" s="2"/>
      <c r="T80" s="2"/>
      <c r="U80" s="2"/>
      <c r="V80" s="2"/>
      <c r="W80" s="2"/>
      <c r="X80" s="2"/>
      <c r="Y80" s="2"/>
      <c r="Z80" s="2"/>
    </row>
    <row r="81" spans="2:26" ht="14.25" customHeight="1" x14ac:dyDescent="0.25">
      <c r="B81" s="2"/>
      <c r="C81" s="2"/>
      <c r="D81" s="2"/>
      <c r="E81" s="2"/>
      <c r="F81" s="2"/>
      <c r="G81" s="2"/>
      <c r="H81" s="2"/>
      <c r="I81" s="2"/>
      <c r="J81" s="2"/>
      <c r="K81" s="2"/>
      <c r="L81" s="2"/>
      <c r="M81" s="2"/>
      <c r="N81" s="2"/>
      <c r="O81" s="2"/>
      <c r="P81" s="2"/>
      <c r="Q81" s="2"/>
      <c r="R81" s="2"/>
      <c r="S81" s="2"/>
      <c r="T81" s="2"/>
      <c r="U81" s="2"/>
      <c r="V81" s="2"/>
      <c r="W81" s="2"/>
      <c r="X81" s="2"/>
      <c r="Y81" s="2"/>
      <c r="Z81" s="2"/>
    </row>
    <row r="82" spans="2:26" ht="14.25" customHeight="1" x14ac:dyDescent="0.25">
      <c r="B82" s="2"/>
      <c r="C82" s="2"/>
      <c r="D82" s="2"/>
      <c r="E82" s="2"/>
      <c r="F82" s="2"/>
      <c r="G82" s="2"/>
      <c r="H82" s="2"/>
      <c r="I82" s="2"/>
      <c r="J82" s="2"/>
      <c r="K82" s="2"/>
      <c r="L82" s="2"/>
      <c r="M82" s="2"/>
      <c r="N82" s="2"/>
      <c r="O82" s="2"/>
      <c r="P82" s="2"/>
      <c r="Q82" s="2"/>
      <c r="R82" s="2"/>
      <c r="S82" s="2"/>
      <c r="T82" s="2"/>
      <c r="U82" s="2"/>
      <c r="V82" s="2"/>
      <c r="W82" s="2"/>
      <c r="X82" s="2"/>
      <c r="Y82" s="2"/>
      <c r="Z82" s="2"/>
    </row>
    <row r="83" spans="2:26" ht="14.25" customHeight="1" x14ac:dyDescent="0.25">
      <c r="B83" s="2"/>
      <c r="C83" s="2"/>
      <c r="D83" s="2"/>
      <c r="E83" s="2"/>
      <c r="F83" s="2"/>
      <c r="G83" s="2"/>
      <c r="H83" s="2"/>
      <c r="I83" s="2"/>
      <c r="J83" s="2"/>
      <c r="K83" s="2"/>
      <c r="L83" s="2"/>
      <c r="M83" s="2"/>
      <c r="N83" s="2"/>
      <c r="O83" s="2"/>
      <c r="P83" s="2"/>
      <c r="Q83" s="2"/>
      <c r="R83" s="2"/>
      <c r="S83" s="2"/>
      <c r="T83" s="2"/>
      <c r="U83" s="2"/>
      <c r="V83" s="2"/>
      <c r="W83" s="2"/>
      <c r="X83" s="2"/>
      <c r="Y83" s="2"/>
      <c r="Z83" s="2"/>
    </row>
    <row r="84" spans="2:26" ht="14.25" customHeight="1" x14ac:dyDescent="0.25">
      <c r="B84" s="2"/>
      <c r="C84" s="2"/>
      <c r="D84" s="2"/>
      <c r="E84" s="2"/>
      <c r="F84" s="2"/>
      <c r="G84" s="2"/>
      <c r="H84" s="2"/>
      <c r="I84" s="2"/>
      <c r="J84" s="2"/>
      <c r="K84" s="2"/>
      <c r="L84" s="2"/>
      <c r="M84" s="2"/>
      <c r="N84" s="2"/>
      <c r="O84" s="2"/>
      <c r="P84" s="2"/>
      <c r="Q84" s="2"/>
      <c r="R84" s="2"/>
      <c r="S84" s="2"/>
      <c r="T84" s="2"/>
      <c r="U84" s="2"/>
      <c r="V84" s="2"/>
      <c r="W84" s="2"/>
      <c r="X84" s="2"/>
      <c r="Y84" s="2"/>
      <c r="Z84" s="2"/>
    </row>
    <row r="85" spans="2:26" ht="14.25" customHeight="1" x14ac:dyDescent="0.25">
      <c r="B85" s="2"/>
      <c r="C85" s="2"/>
      <c r="D85" s="2"/>
      <c r="E85" s="2"/>
      <c r="F85" s="2"/>
      <c r="G85" s="2"/>
      <c r="H85" s="2"/>
      <c r="I85" s="2"/>
      <c r="J85" s="2"/>
      <c r="K85" s="2"/>
      <c r="L85" s="2"/>
      <c r="M85" s="2"/>
      <c r="N85" s="2"/>
      <c r="O85" s="2"/>
      <c r="P85" s="2"/>
      <c r="Q85" s="2"/>
      <c r="R85" s="2"/>
      <c r="S85" s="2"/>
      <c r="T85" s="2"/>
      <c r="U85" s="2"/>
      <c r="V85" s="2"/>
      <c r="W85" s="2"/>
      <c r="X85" s="2"/>
      <c r="Y85" s="2"/>
      <c r="Z85" s="2"/>
    </row>
    <row r="86" spans="2:26" ht="14.25" customHeight="1" x14ac:dyDescent="0.25">
      <c r="B86" s="2"/>
      <c r="C86" s="2"/>
      <c r="D86" s="2"/>
      <c r="E86" s="2"/>
      <c r="F86" s="2"/>
      <c r="G86" s="2"/>
      <c r="H86" s="2"/>
      <c r="I86" s="2"/>
      <c r="J86" s="2"/>
      <c r="K86" s="2"/>
      <c r="L86" s="2"/>
      <c r="M86" s="2"/>
      <c r="N86" s="2"/>
      <c r="O86" s="2"/>
      <c r="P86" s="2"/>
      <c r="Q86" s="2"/>
      <c r="R86" s="2"/>
      <c r="S86" s="2"/>
      <c r="T86" s="2"/>
      <c r="U86" s="2"/>
      <c r="V86" s="2"/>
      <c r="W86" s="2"/>
      <c r="X86" s="2"/>
      <c r="Y86" s="2"/>
      <c r="Z86" s="2"/>
    </row>
    <row r="87" spans="2:26" ht="14.25" customHeight="1" x14ac:dyDescent="0.25">
      <c r="B87" s="2"/>
      <c r="C87" s="2"/>
      <c r="D87" s="2"/>
      <c r="E87" s="2"/>
      <c r="F87" s="2"/>
      <c r="G87" s="2"/>
      <c r="H87" s="2"/>
      <c r="I87" s="2"/>
      <c r="J87" s="2"/>
      <c r="K87" s="2"/>
      <c r="L87" s="2"/>
      <c r="M87" s="2"/>
      <c r="N87" s="2"/>
      <c r="O87" s="2"/>
      <c r="P87" s="2"/>
      <c r="Q87" s="2"/>
      <c r="R87" s="2"/>
      <c r="S87" s="2"/>
      <c r="T87" s="2"/>
      <c r="U87" s="2"/>
      <c r="V87" s="2"/>
      <c r="W87" s="2"/>
      <c r="X87" s="2"/>
      <c r="Y87" s="2"/>
      <c r="Z87" s="2"/>
    </row>
    <row r="88" spans="2:26" ht="14.25" customHeight="1" x14ac:dyDescent="0.25">
      <c r="B88" s="2"/>
      <c r="C88" s="2"/>
      <c r="D88" s="2"/>
      <c r="E88" s="2"/>
      <c r="F88" s="2"/>
      <c r="G88" s="2"/>
      <c r="H88" s="2"/>
      <c r="I88" s="2"/>
      <c r="J88" s="2"/>
      <c r="K88" s="2"/>
      <c r="L88" s="2"/>
      <c r="M88" s="2"/>
      <c r="N88" s="2"/>
      <c r="O88" s="2"/>
      <c r="P88" s="2"/>
      <c r="Q88" s="2"/>
      <c r="R88" s="2"/>
      <c r="S88" s="2"/>
      <c r="T88" s="2"/>
      <c r="U88" s="2"/>
      <c r="V88" s="2"/>
      <c r="W88" s="2"/>
      <c r="X88" s="2"/>
      <c r="Y88" s="2"/>
      <c r="Z88" s="2"/>
    </row>
    <row r="89" spans="2:26" ht="14.25" customHeight="1" x14ac:dyDescent="0.25">
      <c r="B89" s="2"/>
      <c r="C89" s="2"/>
      <c r="D89" s="2"/>
      <c r="E89" s="2"/>
      <c r="F89" s="2"/>
      <c r="G89" s="2"/>
      <c r="H89" s="2"/>
      <c r="I89" s="2"/>
      <c r="J89" s="2"/>
      <c r="K89" s="2"/>
      <c r="L89" s="2"/>
      <c r="M89" s="2"/>
      <c r="N89" s="2"/>
      <c r="O89" s="2"/>
      <c r="P89" s="2"/>
      <c r="Q89" s="2"/>
      <c r="R89" s="2"/>
      <c r="S89" s="2"/>
      <c r="T89" s="2"/>
      <c r="U89" s="2"/>
      <c r="V89" s="2"/>
      <c r="W89" s="2"/>
      <c r="X89" s="2"/>
      <c r="Y89" s="2"/>
      <c r="Z89" s="2"/>
    </row>
    <row r="90" spans="2:26" ht="14.25" customHeight="1" x14ac:dyDescent="0.25">
      <c r="B90" s="2"/>
      <c r="C90" s="2"/>
      <c r="D90" s="2"/>
      <c r="E90" s="2"/>
      <c r="F90" s="2"/>
      <c r="G90" s="2"/>
      <c r="H90" s="2"/>
      <c r="I90" s="2"/>
      <c r="J90" s="2"/>
      <c r="K90" s="2"/>
      <c r="L90" s="2"/>
      <c r="M90" s="2"/>
      <c r="N90" s="2"/>
      <c r="O90" s="2"/>
      <c r="P90" s="2"/>
      <c r="Q90" s="2"/>
      <c r="R90" s="2"/>
      <c r="S90" s="2"/>
      <c r="T90" s="2"/>
      <c r="U90" s="2"/>
      <c r="V90" s="2"/>
      <c r="W90" s="2"/>
      <c r="X90" s="2"/>
      <c r="Y90" s="2"/>
      <c r="Z90" s="2"/>
    </row>
    <row r="91" spans="2:26" ht="14.25" customHeight="1" x14ac:dyDescent="0.25">
      <c r="B91" s="2"/>
      <c r="C91" s="2"/>
      <c r="D91" s="2"/>
      <c r="E91" s="2"/>
      <c r="F91" s="2"/>
      <c r="G91" s="2"/>
      <c r="H91" s="2"/>
      <c r="I91" s="2"/>
      <c r="J91" s="2"/>
      <c r="K91" s="2"/>
      <c r="L91" s="2"/>
      <c r="M91" s="2"/>
      <c r="N91" s="2"/>
      <c r="O91" s="2"/>
      <c r="P91" s="2"/>
      <c r="Q91" s="2"/>
      <c r="R91" s="2"/>
      <c r="S91" s="2"/>
      <c r="T91" s="2"/>
      <c r="U91" s="2"/>
      <c r="V91" s="2"/>
      <c r="W91" s="2"/>
      <c r="X91" s="2"/>
      <c r="Y91" s="2"/>
      <c r="Z91" s="2"/>
    </row>
    <row r="92" spans="2:26" ht="14.25" customHeight="1" x14ac:dyDescent="0.25">
      <c r="B92" s="2"/>
      <c r="C92" s="2"/>
      <c r="D92" s="2"/>
      <c r="E92" s="2"/>
      <c r="F92" s="2"/>
      <c r="G92" s="2"/>
      <c r="H92" s="2"/>
      <c r="I92" s="2"/>
      <c r="J92" s="2"/>
      <c r="K92" s="2"/>
      <c r="L92" s="2"/>
      <c r="M92" s="2"/>
      <c r="N92" s="2"/>
      <c r="O92" s="2"/>
      <c r="P92" s="2"/>
      <c r="Q92" s="2"/>
      <c r="R92" s="2"/>
      <c r="S92" s="2"/>
      <c r="T92" s="2"/>
      <c r="U92" s="2"/>
      <c r="V92" s="2"/>
      <c r="W92" s="2"/>
      <c r="X92" s="2"/>
      <c r="Y92" s="2"/>
      <c r="Z92" s="2"/>
    </row>
    <row r="93" spans="2:26" ht="14.25" customHeight="1" x14ac:dyDescent="0.25">
      <c r="B93" s="2"/>
      <c r="C93" s="2"/>
      <c r="D93" s="2"/>
      <c r="E93" s="2"/>
      <c r="F93" s="2"/>
      <c r="G93" s="2"/>
      <c r="H93" s="2"/>
      <c r="I93" s="2"/>
      <c r="J93" s="2"/>
      <c r="K93" s="2"/>
      <c r="L93" s="2"/>
      <c r="M93" s="2"/>
      <c r="N93" s="2"/>
      <c r="O93" s="2"/>
      <c r="P93" s="2"/>
      <c r="Q93" s="2"/>
      <c r="R93" s="2"/>
      <c r="S93" s="2"/>
      <c r="T93" s="2"/>
      <c r="U93" s="2"/>
      <c r="V93" s="2"/>
      <c r="W93" s="2"/>
      <c r="X93" s="2"/>
      <c r="Y93" s="2"/>
      <c r="Z93" s="2"/>
    </row>
    <row r="94" spans="2:26" ht="14.25" customHeight="1" x14ac:dyDescent="0.25">
      <c r="B94" s="2"/>
      <c r="C94" s="2"/>
      <c r="D94" s="2"/>
      <c r="E94" s="2"/>
      <c r="F94" s="2"/>
      <c r="G94" s="2"/>
      <c r="H94" s="2"/>
      <c r="I94" s="2"/>
      <c r="J94" s="2"/>
      <c r="K94" s="2"/>
      <c r="L94" s="2"/>
      <c r="M94" s="2"/>
      <c r="N94" s="2"/>
      <c r="O94" s="2"/>
      <c r="P94" s="2"/>
      <c r="Q94" s="2"/>
      <c r="R94" s="2"/>
      <c r="S94" s="2"/>
      <c r="T94" s="2"/>
      <c r="U94" s="2"/>
      <c r="V94" s="2"/>
      <c r="W94" s="2"/>
      <c r="X94" s="2"/>
      <c r="Y94" s="2"/>
      <c r="Z94" s="2"/>
    </row>
    <row r="95" spans="2:26" ht="14.25" customHeight="1" x14ac:dyDescent="0.25">
      <c r="B95" s="2"/>
      <c r="C95" s="2"/>
      <c r="D95" s="2"/>
      <c r="E95" s="2"/>
      <c r="F95" s="2"/>
      <c r="G95" s="2"/>
      <c r="H95" s="2"/>
      <c r="I95" s="2"/>
      <c r="J95" s="2"/>
      <c r="K95" s="2"/>
      <c r="L95" s="2"/>
      <c r="M95" s="2"/>
      <c r="N95" s="2"/>
      <c r="O95" s="2"/>
      <c r="P95" s="2"/>
      <c r="Q95" s="2"/>
      <c r="R95" s="2"/>
      <c r="S95" s="2"/>
      <c r="T95" s="2"/>
      <c r="U95" s="2"/>
      <c r="V95" s="2"/>
      <c r="W95" s="2"/>
      <c r="X95" s="2"/>
      <c r="Y95" s="2"/>
      <c r="Z95" s="2"/>
    </row>
    <row r="96" spans="2:26" ht="14.25" customHeight="1" x14ac:dyDescent="0.25">
      <c r="B96" s="2"/>
      <c r="C96" s="2"/>
      <c r="D96" s="2"/>
      <c r="E96" s="2"/>
      <c r="F96" s="2"/>
      <c r="G96" s="2"/>
      <c r="H96" s="2"/>
      <c r="I96" s="2"/>
      <c r="J96" s="2"/>
      <c r="K96" s="2"/>
      <c r="L96" s="2"/>
      <c r="M96" s="2"/>
      <c r="N96" s="2"/>
      <c r="O96" s="2"/>
      <c r="P96" s="2"/>
      <c r="Q96" s="2"/>
      <c r="R96" s="2"/>
      <c r="S96" s="2"/>
      <c r="T96" s="2"/>
      <c r="U96" s="2"/>
      <c r="V96" s="2"/>
      <c r="W96" s="2"/>
      <c r="X96" s="2"/>
      <c r="Y96" s="2"/>
      <c r="Z96" s="2"/>
    </row>
    <row r="97" spans="2:26" ht="14.25" customHeight="1" x14ac:dyDescent="0.25">
      <c r="B97" s="2"/>
      <c r="C97" s="2"/>
      <c r="D97" s="2"/>
      <c r="E97" s="2"/>
      <c r="F97" s="2"/>
      <c r="G97" s="2"/>
      <c r="H97" s="2"/>
      <c r="I97" s="2"/>
      <c r="J97" s="2"/>
      <c r="K97" s="2"/>
      <c r="L97" s="2"/>
      <c r="M97" s="2"/>
      <c r="N97" s="2"/>
      <c r="O97" s="2"/>
      <c r="P97" s="2"/>
      <c r="Q97" s="2"/>
      <c r="R97" s="2"/>
      <c r="S97" s="2"/>
      <c r="T97" s="2"/>
      <c r="U97" s="2"/>
      <c r="V97" s="2"/>
      <c r="W97" s="2"/>
      <c r="X97" s="2"/>
      <c r="Y97" s="2"/>
      <c r="Z97" s="2"/>
    </row>
    <row r="98" spans="2:26" ht="14.25" customHeight="1" x14ac:dyDescent="0.25">
      <c r="B98" s="2"/>
      <c r="C98" s="2"/>
      <c r="D98" s="2"/>
      <c r="E98" s="2"/>
      <c r="F98" s="2"/>
      <c r="G98" s="2"/>
      <c r="H98" s="2"/>
      <c r="I98" s="2"/>
      <c r="J98" s="2"/>
      <c r="K98" s="2"/>
      <c r="L98" s="2"/>
      <c r="M98" s="2"/>
      <c r="N98" s="2"/>
      <c r="O98" s="2"/>
      <c r="P98" s="2"/>
      <c r="Q98" s="2"/>
      <c r="R98" s="2"/>
      <c r="S98" s="2"/>
      <c r="T98" s="2"/>
      <c r="U98" s="2"/>
      <c r="V98" s="2"/>
      <c r="W98" s="2"/>
      <c r="X98" s="2"/>
      <c r="Y98" s="2"/>
      <c r="Z98" s="2"/>
    </row>
    <row r="99" spans="2:26" ht="14.25" customHeight="1" x14ac:dyDescent="0.25">
      <c r="B99" s="2"/>
      <c r="C99" s="2"/>
      <c r="D99" s="2"/>
      <c r="E99" s="2"/>
      <c r="F99" s="2"/>
      <c r="G99" s="2"/>
      <c r="H99" s="2"/>
      <c r="I99" s="2"/>
      <c r="J99" s="2"/>
      <c r="K99" s="2"/>
      <c r="L99" s="2"/>
      <c r="M99" s="2"/>
      <c r="N99" s="2"/>
      <c r="O99" s="2"/>
      <c r="P99" s="2"/>
      <c r="Q99" s="2"/>
      <c r="R99" s="2"/>
      <c r="S99" s="2"/>
      <c r="T99" s="2"/>
      <c r="U99" s="2"/>
      <c r="V99" s="2"/>
      <c r="W99" s="2"/>
      <c r="X99" s="2"/>
      <c r="Y99" s="2"/>
      <c r="Z99" s="2"/>
    </row>
    <row r="100" spans="2:26" ht="14.25"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2:26" ht="14.25"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2:26" ht="14.25"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2:26" ht="14.25"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2:26" ht="14.25"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2:26" ht="14.25"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2:26" ht="14.25"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2:26" ht="14.25"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2:26" ht="14.25"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2:26" ht="14.25"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2:26" ht="14.25"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2:26" ht="14.25"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2:26" ht="14.25"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2:26" ht="14.25"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2:26" ht="14.25"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2:26" ht="14.25"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2:26" ht="14.25"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2:26" ht="14.25"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2:26" ht="14.25"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2:26" ht="14.25"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2:26" ht="14.25"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2:26" ht="14.25"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2:26" ht="14.25" customHeight="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2:26" ht="14.25" customHeight="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2:26" ht="14.25" customHeight="1" x14ac:dyDescent="0.2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2:26" ht="14.25" customHeight="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2:26" ht="14.25" customHeight="1" x14ac:dyDescent="0.2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2:26" ht="14.25" customHeight="1" x14ac:dyDescent="0.2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2:26" ht="14.25" customHeight="1" x14ac:dyDescent="0.2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2:26" ht="14.25"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2:26" ht="14.25" customHeight="1" x14ac:dyDescent="0.2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2:26" ht="14.25"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2:26" ht="14.25"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2:26" ht="14.25"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2:26" ht="14.25"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2:26" ht="14.25"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2:26" ht="14.25"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2:26" ht="14.25"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2:26" ht="14.25"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2:26" ht="14.25"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2:26" ht="14.25"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2:26" ht="14.25"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2:26" ht="14.25"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2:26" ht="14.25"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2:26" ht="14.25"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2:26" ht="14.25"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2:26" ht="14.25"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2:26" ht="14.25"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2:26" ht="14.25"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2:26" ht="14.25"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2:26" ht="14.25"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2:26" ht="14.25"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2:26" ht="14.25"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2:26" ht="14.25"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2:26" ht="14.25"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2:26" ht="14.25"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2:26" ht="14.25"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2:26" ht="14.25"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2:26" ht="14.25"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2:26" ht="14.25"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2:26" ht="14.25"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2:26" ht="14.25"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2:26" ht="14.25"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2:26" ht="14.25"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2:26" ht="14.25"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2:26" ht="14.25"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2:26" ht="14.25"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2:26" ht="14.25"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2:26" ht="14.25"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2:26" ht="14.25"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2:26" ht="14.25"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2:26" ht="14.25"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2:26" ht="14.25"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2:26" ht="14.25"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2:26" ht="14.25"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2:26" ht="14.25"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2:26" ht="14.25"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2:26" ht="14.25"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2:26" ht="14.25"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2:26" ht="14.25"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2:26" ht="14.25"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2:26" ht="14.25"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2:26" ht="14.25"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2:26" ht="14.25"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2:26" ht="14.25"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2:26" ht="14.25"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2:26" ht="14.25"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2:26" ht="14.25"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2:26" ht="14.25"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2:26" ht="14.25"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2:26" ht="14.25"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2:26" ht="14.25"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2:26" ht="14.25"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2:26" ht="14.25"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2:26" ht="14.25"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2:26" ht="14.25"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2:26" ht="14.25"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2:26" ht="14.25"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2:26" ht="14.25"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2:26" ht="14.25"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2:26" ht="14.25"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2:26" ht="14.25"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2:26" ht="14.25"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2:26" ht="14.25"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2:26" ht="14.25"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2:26" ht="14.25"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2:26" ht="14.25"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2:26" ht="14.25"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2:26" ht="14.25"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2:26" ht="14.25"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2:26" ht="14.25"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2:26" ht="14.25"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2:26" ht="14.25"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2:26" ht="14.25" customHeight="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2:26" ht="14.25" customHeight="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2:26" ht="14.25" customHeight="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2:26" ht="14.25" customHeight="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2:26" ht="14.25" customHeight="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2:26" ht="14.25" customHeight="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2:26" ht="14.25" customHeight="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2:26" ht="14.25" customHeight="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2:26" ht="14.25" customHeight="1" x14ac:dyDescent="0.2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2:26" ht="14.25" customHeight="1" x14ac:dyDescent="0.2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2:26" ht="14.25" customHeight="1" x14ac:dyDescent="0.2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2:26" ht="14.25" customHeight="1" x14ac:dyDescent="0.2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2:26" ht="14.25" customHeight="1" x14ac:dyDescent="0.2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2:26" ht="14.25" customHeight="1" x14ac:dyDescent="0.2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2:26" ht="14.25" customHeight="1" x14ac:dyDescent="0.2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2:26" ht="14.25" customHeight="1" x14ac:dyDescent="0.2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2:26" ht="14.25" customHeight="1" x14ac:dyDescent="0.2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2:26" ht="14.25" customHeight="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2:26" ht="14.25" customHeight="1" x14ac:dyDescent="0.2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2:26" ht="14.25" customHeight="1" x14ac:dyDescent="0.2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2:26" ht="14.25" customHeight="1" x14ac:dyDescent="0.2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2:26" ht="14.25" customHeight="1" x14ac:dyDescent="0.2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2:26" ht="14.25" customHeight="1" x14ac:dyDescent="0.2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2:26" ht="14.25" customHeight="1" x14ac:dyDescent="0.2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2:26" ht="14.25" customHeight="1" x14ac:dyDescent="0.2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2:26" ht="14.25" customHeight="1" x14ac:dyDescent="0.2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2:26" ht="14.25" customHeight="1" x14ac:dyDescent="0.2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2:26" ht="14.25" customHeight="1" x14ac:dyDescent="0.2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2:26" ht="14.25" customHeight="1" x14ac:dyDescent="0.2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2:26" ht="14.25" customHeight="1" x14ac:dyDescent="0.2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2:26" ht="14.25" customHeight="1" x14ac:dyDescent="0.2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2:26" ht="14.25" customHeight="1" x14ac:dyDescent="0.2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2:26" ht="14.25" customHeight="1" x14ac:dyDescent="0.2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2:26" ht="14.25" customHeight="1" x14ac:dyDescent="0.2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2:26" ht="14.25" customHeight="1" x14ac:dyDescent="0.2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2:26" ht="14.25" customHeight="1" x14ac:dyDescent="0.2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2:26" ht="14.25" customHeight="1" x14ac:dyDescent="0.2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2:26" ht="14.25" customHeight="1" x14ac:dyDescent="0.2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2:26" ht="14.25" customHeight="1" x14ac:dyDescent="0.2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2:26" ht="14.25" customHeight="1" x14ac:dyDescent="0.2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2:26" ht="14.25" customHeight="1" x14ac:dyDescent="0.2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2:26" ht="14.25" customHeight="1" x14ac:dyDescent="0.2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2:26" ht="14.25" customHeight="1" x14ac:dyDescent="0.2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2:26" ht="14.25" customHeight="1" x14ac:dyDescent="0.2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2:26" ht="14.25" customHeight="1" x14ac:dyDescent="0.2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2:26" ht="14.25" customHeight="1" x14ac:dyDescent="0.2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2:26" ht="14.25" customHeight="1" x14ac:dyDescent="0.2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2:26" ht="14.25" customHeight="1" x14ac:dyDescent="0.2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2:26" ht="14.25" customHeight="1" x14ac:dyDescent="0.2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2:26" ht="14.25" customHeight="1" x14ac:dyDescent="0.2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2:26" ht="14.25" customHeight="1" x14ac:dyDescent="0.2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2:26" ht="14.25" customHeight="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2:26" ht="14.25" customHeight="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2:26" ht="14.25" customHeight="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2:26" ht="14.25" customHeight="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2:26" ht="14.25" customHeight="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2:26" ht="14.25" customHeight="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2:26" ht="14.25" customHeight="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2:26" ht="14.25" customHeight="1" x14ac:dyDescent="0.2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2:26" ht="14.25" customHeight="1" x14ac:dyDescent="0.2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2:26" ht="14.25" customHeight="1" x14ac:dyDescent="0.2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2:26" ht="14.25" customHeight="1" x14ac:dyDescent="0.2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2:26" ht="14.25" customHeight="1" x14ac:dyDescent="0.2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2:26" ht="14.25" customHeight="1" x14ac:dyDescent="0.2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2:26" ht="14.25" customHeight="1" x14ac:dyDescent="0.2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2:26" ht="14.25" customHeight="1" x14ac:dyDescent="0.2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2:26" ht="14.25" customHeight="1" x14ac:dyDescent="0.2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2:26" ht="14.25" customHeight="1" x14ac:dyDescent="0.2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2:26" ht="14.25" customHeight="1" x14ac:dyDescent="0.2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2:26" ht="14.25" customHeight="1" x14ac:dyDescent="0.2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2:26" ht="14.25" customHeight="1" x14ac:dyDescent="0.2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2:26" ht="14.25" customHeight="1" x14ac:dyDescent="0.2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2:26" ht="14.25" customHeight="1" x14ac:dyDescent="0.2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2:26" ht="14.25" customHeight="1" x14ac:dyDescent="0.2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2:26" ht="14.25" customHeight="1" x14ac:dyDescent="0.2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2:26" ht="14.25" customHeight="1" x14ac:dyDescent="0.2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2:26" ht="14.25" customHeight="1" x14ac:dyDescent="0.2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2:26" ht="14.25" customHeight="1" x14ac:dyDescent="0.2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2:26" ht="14.25" customHeight="1" x14ac:dyDescent="0.2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2:26" ht="14.25" customHeight="1" x14ac:dyDescent="0.2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2:26" ht="14.25" customHeight="1" x14ac:dyDescent="0.2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2:26" ht="14.25" customHeight="1" x14ac:dyDescent="0.2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2:26" ht="14.25" customHeight="1" x14ac:dyDescent="0.2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2:26" ht="14.25" customHeight="1" x14ac:dyDescent="0.2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2:26" ht="14.25" customHeight="1" x14ac:dyDescent="0.2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2:26" ht="14.25" customHeight="1" x14ac:dyDescent="0.2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2:26" ht="14.25" customHeight="1" x14ac:dyDescent="0.2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2:26" ht="14.25" customHeight="1" x14ac:dyDescent="0.2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2:26" ht="14.25" customHeight="1" x14ac:dyDescent="0.2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2:26" ht="14.25" customHeight="1" x14ac:dyDescent="0.2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2:26" ht="14.25" customHeight="1" x14ac:dyDescent="0.2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2:26" ht="14.25" customHeight="1" x14ac:dyDescent="0.2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2:26" ht="14.25" customHeight="1" x14ac:dyDescent="0.2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2:26" ht="14.25" customHeight="1" x14ac:dyDescent="0.2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2:26" ht="14.25" customHeight="1" x14ac:dyDescent="0.2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2:26" ht="14.25" customHeight="1" x14ac:dyDescent="0.2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2:26" ht="14.25" customHeight="1" x14ac:dyDescent="0.2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2:26" ht="14.25" customHeight="1" x14ac:dyDescent="0.2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2:26" ht="14.25" customHeight="1" x14ac:dyDescent="0.2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2:26" ht="14.25" customHeight="1" x14ac:dyDescent="0.2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2:26" ht="14.25" customHeight="1" x14ac:dyDescent="0.2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2:26" ht="14.25" customHeight="1" x14ac:dyDescent="0.2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2:26" ht="14.25" customHeight="1" x14ac:dyDescent="0.2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2:26" ht="14.25" customHeight="1" x14ac:dyDescent="0.2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2:26" ht="14.25" customHeight="1" x14ac:dyDescent="0.2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2:26" ht="14.25" customHeight="1" x14ac:dyDescent="0.2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2:26" ht="14.25" customHeight="1" x14ac:dyDescent="0.2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2:26" ht="14.25" customHeight="1" x14ac:dyDescent="0.2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2:26" ht="14.25" customHeight="1" x14ac:dyDescent="0.2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2:26" ht="14.25" customHeight="1" x14ac:dyDescent="0.2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2:26" ht="14.25" customHeight="1" x14ac:dyDescent="0.2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2:26" ht="14.25" customHeight="1" x14ac:dyDescent="0.2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2:26" ht="14.25" customHeight="1" x14ac:dyDescent="0.2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2:26" ht="14.25" customHeight="1" x14ac:dyDescent="0.2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2:26" ht="14.25" customHeight="1" x14ac:dyDescent="0.2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2:26" ht="14.25" customHeight="1" x14ac:dyDescent="0.2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2:26" ht="14.25" customHeight="1" x14ac:dyDescent="0.2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2:26" ht="14.25" customHeight="1" x14ac:dyDescent="0.2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2:26" ht="14.25" customHeight="1" x14ac:dyDescent="0.2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2:26" ht="14.25" customHeight="1" x14ac:dyDescent="0.2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2:26" ht="14.25" customHeight="1" x14ac:dyDescent="0.2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2:26" ht="14.25" customHeight="1" x14ac:dyDescent="0.2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2:26" ht="14.25" customHeight="1" x14ac:dyDescent="0.2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2:26" ht="14.25" customHeight="1" x14ac:dyDescent="0.2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2:26" ht="14.25" customHeight="1" x14ac:dyDescent="0.2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2:26" ht="14.25" customHeight="1" x14ac:dyDescent="0.2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2:26" ht="14.25" customHeight="1" x14ac:dyDescent="0.2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2:26" ht="14.25" customHeight="1" x14ac:dyDescent="0.2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2:26" ht="14.25" customHeight="1" x14ac:dyDescent="0.2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2:26" ht="14.25" customHeight="1" x14ac:dyDescent="0.2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2:26" ht="14.25" customHeight="1" x14ac:dyDescent="0.2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2:26" ht="14.25" customHeight="1" x14ac:dyDescent="0.2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2:26" ht="14.25" customHeight="1" x14ac:dyDescent="0.2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2:26" ht="14.25" customHeight="1" x14ac:dyDescent="0.2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2:26" ht="14.25" customHeight="1" x14ac:dyDescent="0.2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2:26" ht="14.25" customHeight="1" x14ac:dyDescent="0.2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2:26" ht="14.25" customHeight="1" x14ac:dyDescent="0.2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2:26" ht="14.25" customHeight="1" x14ac:dyDescent="0.2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2:26" ht="14.25" customHeight="1" x14ac:dyDescent="0.2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2:26" ht="14.25" customHeight="1" x14ac:dyDescent="0.2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2:26" ht="14.25" customHeight="1" x14ac:dyDescent="0.2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2:26" ht="14.25" customHeight="1" x14ac:dyDescent="0.2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2:26" ht="14.25" customHeight="1" x14ac:dyDescent="0.2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2:26" ht="14.25" customHeight="1" x14ac:dyDescent="0.2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2:26" ht="14.25" customHeight="1" x14ac:dyDescent="0.2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2:26" ht="14.25" customHeight="1" x14ac:dyDescent="0.2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2:26" ht="14.25" customHeight="1" x14ac:dyDescent="0.2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2:26" ht="14.25" customHeight="1" x14ac:dyDescent="0.2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2:26" ht="14.25" customHeight="1" x14ac:dyDescent="0.2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2:26" ht="14.25" customHeight="1" x14ac:dyDescent="0.2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2:26" ht="14.25" customHeight="1" x14ac:dyDescent="0.2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2:26" ht="14.25" customHeight="1" x14ac:dyDescent="0.2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2:26" ht="14.25" customHeight="1" x14ac:dyDescent="0.2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2:26" ht="14.25" customHeight="1" x14ac:dyDescent="0.2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2:26" ht="14.25" customHeight="1" x14ac:dyDescent="0.2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2:26" ht="14.25" customHeight="1" x14ac:dyDescent="0.2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2:26" ht="14.25" customHeight="1" x14ac:dyDescent="0.2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2:26" ht="14.25" customHeight="1" x14ac:dyDescent="0.2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2:26" ht="14.25" customHeight="1" x14ac:dyDescent="0.2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2:26" ht="14.25" customHeight="1" x14ac:dyDescent="0.2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2:26" ht="14.25" customHeight="1" x14ac:dyDescent="0.2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2:26" ht="14.25" customHeight="1" x14ac:dyDescent="0.2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2:26" ht="14.25" customHeight="1" x14ac:dyDescent="0.2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2:26" ht="14.25" customHeight="1" x14ac:dyDescent="0.2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2:26" ht="14.25" customHeight="1" x14ac:dyDescent="0.2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2:26" ht="14.25" customHeight="1" x14ac:dyDescent="0.2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2:26" ht="14.25" customHeight="1" x14ac:dyDescent="0.2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2:26" ht="14.25" customHeight="1" x14ac:dyDescent="0.2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2:26" ht="14.25" customHeight="1" x14ac:dyDescent="0.2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2:26" ht="14.25" customHeight="1" x14ac:dyDescent="0.2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2:26" ht="14.25" customHeight="1" x14ac:dyDescent="0.2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2:26" ht="14.25" customHeight="1" x14ac:dyDescent="0.2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2:26" ht="14.25" customHeight="1" x14ac:dyDescent="0.2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2:26" ht="14.25" customHeight="1" x14ac:dyDescent="0.2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2:26" ht="14.25" customHeight="1" x14ac:dyDescent="0.2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2:26" ht="14.25" customHeight="1" x14ac:dyDescent="0.2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2:26" ht="14.25" customHeight="1" x14ac:dyDescent="0.2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2:26" ht="14.25" customHeight="1" x14ac:dyDescent="0.2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2:26" ht="14.25" customHeight="1" x14ac:dyDescent="0.2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2:26" ht="14.25" customHeight="1" x14ac:dyDescent="0.2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2:26" ht="14.25" customHeight="1" x14ac:dyDescent="0.2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2:26" ht="14.25" customHeight="1" x14ac:dyDescent="0.2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2:26" ht="14.25" customHeight="1" x14ac:dyDescent="0.2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2:26" ht="14.25" customHeight="1" x14ac:dyDescent="0.2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2:26" ht="14.25" customHeight="1" x14ac:dyDescent="0.2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2:26" ht="14.25" customHeight="1" x14ac:dyDescent="0.2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2:26" ht="14.25" customHeight="1" x14ac:dyDescent="0.2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2:26" ht="14.25" customHeight="1" x14ac:dyDescent="0.2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2:26" ht="14.25" customHeight="1" x14ac:dyDescent="0.2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2:26" ht="14.25" customHeight="1" x14ac:dyDescent="0.2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2:26" ht="14.25" customHeight="1" x14ac:dyDescent="0.2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2:26" ht="14.25" customHeight="1" x14ac:dyDescent="0.2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2:26" ht="14.25" customHeight="1" x14ac:dyDescent="0.2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2:26" ht="14.25" customHeight="1" x14ac:dyDescent="0.2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2:26" ht="14.25" customHeight="1" x14ac:dyDescent="0.2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2:26" ht="14.25" customHeight="1" x14ac:dyDescent="0.2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2:26" ht="14.25" customHeight="1" x14ac:dyDescent="0.2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2:26" ht="14.25" customHeight="1" x14ac:dyDescent="0.2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2:26" ht="14.25" customHeight="1" x14ac:dyDescent="0.2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2:26" ht="14.25" customHeight="1" x14ac:dyDescent="0.2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2:26" ht="14.25" customHeight="1" x14ac:dyDescent="0.2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2:26" ht="14.25" customHeight="1" x14ac:dyDescent="0.2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2:26" ht="14.25" customHeight="1" x14ac:dyDescent="0.2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2:26" ht="14.25" customHeight="1" x14ac:dyDescent="0.2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2:26" ht="14.25" customHeight="1" x14ac:dyDescent="0.2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2:26" ht="14.25" customHeight="1" x14ac:dyDescent="0.2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2:26" ht="14.25" customHeight="1" x14ac:dyDescent="0.2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2:26" ht="14.25" customHeight="1" x14ac:dyDescent="0.2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2:26" ht="14.25" customHeight="1" x14ac:dyDescent="0.2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2:26" ht="14.25" customHeight="1" x14ac:dyDescent="0.2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2:26" ht="14.25" customHeight="1" x14ac:dyDescent="0.2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2:26" ht="14.25" customHeight="1" x14ac:dyDescent="0.2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2:26" ht="14.25" customHeight="1" x14ac:dyDescent="0.2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2:26" ht="14.25" customHeight="1" x14ac:dyDescent="0.2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2:26" ht="14.25" customHeight="1" x14ac:dyDescent="0.2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2:26" ht="14.25" customHeight="1" x14ac:dyDescent="0.2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2:26" ht="14.25" customHeight="1" x14ac:dyDescent="0.2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2:26" ht="14.25" customHeight="1" x14ac:dyDescent="0.2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2:26" ht="14.25" customHeight="1" x14ac:dyDescent="0.2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2:26" ht="14.25" customHeight="1" x14ac:dyDescent="0.2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2:26" ht="14.25" customHeight="1" x14ac:dyDescent="0.2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2:26" ht="14.25" customHeight="1" x14ac:dyDescent="0.2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2:26" ht="14.25" customHeight="1" x14ac:dyDescent="0.2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2:26" ht="14.25" customHeight="1" x14ac:dyDescent="0.2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2:26" ht="14.25" customHeight="1" x14ac:dyDescent="0.2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2:26" ht="14.25" customHeight="1" x14ac:dyDescent="0.2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2:26" ht="14.25" customHeight="1" x14ac:dyDescent="0.2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2:26" ht="14.25" customHeight="1" x14ac:dyDescent="0.2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2:26" ht="14.25" customHeight="1" x14ac:dyDescent="0.2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2:26" ht="14.25" customHeight="1" x14ac:dyDescent="0.2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2:26" ht="14.25" customHeight="1" x14ac:dyDescent="0.2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2:26" ht="14.25" customHeight="1" x14ac:dyDescent="0.2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2:26" ht="14.25" customHeight="1" x14ac:dyDescent="0.2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2:26" ht="14.25" customHeight="1" x14ac:dyDescent="0.2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2:26" ht="14.25" customHeight="1" x14ac:dyDescent="0.2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2:26" ht="14.25" customHeight="1" x14ac:dyDescent="0.2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2:26" ht="14.25" customHeight="1" x14ac:dyDescent="0.2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2:26" ht="14.25" customHeight="1" x14ac:dyDescent="0.2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2:26" ht="14.25" customHeight="1" x14ac:dyDescent="0.2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2:26" ht="14.25" customHeight="1" x14ac:dyDescent="0.2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2:26" ht="14.25" customHeight="1" x14ac:dyDescent="0.2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2:26" ht="14.25" customHeight="1" x14ac:dyDescent="0.2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2:26" ht="14.25" customHeight="1" x14ac:dyDescent="0.2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2:26" ht="14.25" customHeight="1" x14ac:dyDescent="0.2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2:26" ht="14.25" customHeight="1" x14ac:dyDescent="0.2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2:26" ht="14.25" customHeight="1" x14ac:dyDescent="0.2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2:26" ht="14.25" customHeight="1" x14ac:dyDescent="0.2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2:26" ht="14.25" customHeight="1" x14ac:dyDescent="0.2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2:26" ht="14.25" customHeight="1" x14ac:dyDescent="0.2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2:26" ht="14.25" customHeight="1" x14ac:dyDescent="0.2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2:26" ht="14.25" customHeight="1" x14ac:dyDescent="0.2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2:26" ht="14.25" customHeight="1" x14ac:dyDescent="0.2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2:26" ht="14.25" customHeight="1" x14ac:dyDescent="0.2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2:26" ht="14.25" customHeight="1" x14ac:dyDescent="0.2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2:26" ht="14.25" customHeight="1" x14ac:dyDescent="0.2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2:26" ht="14.25" customHeight="1" x14ac:dyDescent="0.2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2:26" ht="14.25" customHeight="1" x14ac:dyDescent="0.2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2:26" ht="14.25" customHeight="1" x14ac:dyDescent="0.2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2:26" ht="14.25" customHeight="1" x14ac:dyDescent="0.2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2:26" ht="14.25" customHeight="1" x14ac:dyDescent="0.2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2:26" ht="14.25" customHeight="1" x14ac:dyDescent="0.2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2:26" ht="14.25" customHeight="1" x14ac:dyDescent="0.2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2:26" ht="14.25" customHeight="1" x14ac:dyDescent="0.2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2:26" ht="14.25" customHeight="1" x14ac:dyDescent="0.2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2:26" ht="14.25" customHeight="1" x14ac:dyDescent="0.2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2:26" ht="14.25" customHeight="1" x14ac:dyDescent="0.2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2:26" ht="14.25" customHeight="1" x14ac:dyDescent="0.2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2:26" ht="14.25" customHeight="1" x14ac:dyDescent="0.2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2:26" ht="14.25" customHeight="1" x14ac:dyDescent="0.2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2:26" ht="14.25" customHeight="1" x14ac:dyDescent="0.2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2:26" ht="14.25" customHeight="1" x14ac:dyDescent="0.2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2:26" ht="14.25" customHeight="1" x14ac:dyDescent="0.2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2:26" ht="14.25" customHeight="1" x14ac:dyDescent="0.2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2:26" ht="14.25" customHeight="1" x14ac:dyDescent="0.2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2:26" ht="14.25" customHeight="1" x14ac:dyDescent="0.2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2:26" ht="14.25" customHeight="1" x14ac:dyDescent="0.2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2:26" ht="14.25" customHeight="1" x14ac:dyDescent="0.2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2:26" ht="14.25" customHeight="1" x14ac:dyDescent="0.2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2:26" ht="14.25" customHeight="1" x14ac:dyDescent="0.2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2:26" ht="14.25" customHeight="1" x14ac:dyDescent="0.2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2:26" ht="14.25" customHeight="1" x14ac:dyDescent="0.2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2:26" ht="14.25" customHeight="1" x14ac:dyDescent="0.2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2:26" ht="14.25" customHeight="1" x14ac:dyDescent="0.2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2:26" ht="14.25" customHeight="1" x14ac:dyDescent="0.2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2:26" ht="14.25" customHeight="1" x14ac:dyDescent="0.2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2:26" ht="14.25" customHeight="1" x14ac:dyDescent="0.2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2:26" ht="14.25" customHeight="1" x14ac:dyDescent="0.2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2:26" ht="14.25" customHeight="1" x14ac:dyDescent="0.2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2:26" ht="14.25" customHeight="1" x14ac:dyDescent="0.2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2:26" ht="14.25" customHeight="1" x14ac:dyDescent="0.2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2:26" ht="14.25" customHeight="1" x14ac:dyDescent="0.2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2:26" ht="14.25" customHeight="1" x14ac:dyDescent="0.2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2:26" ht="14.25" customHeight="1" x14ac:dyDescent="0.2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2:26" ht="14.25" customHeight="1" x14ac:dyDescent="0.2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2:26" ht="14.25" customHeight="1" x14ac:dyDescent="0.2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2:26" ht="14.25" customHeight="1" x14ac:dyDescent="0.2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2:26" ht="14.25" customHeight="1" x14ac:dyDescent="0.2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2:26" ht="14.25" customHeight="1" x14ac:dyDescent="0.2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2:26" ht="14.25" customHeight="1" x14ac:dyDescent="0.2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2:26" ht="14.25" customHeight="1" x14ac:dyDescent="0.2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2:26" ht="14.25" customHeight="1" x14ac:dyDescent="0.2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2:26" ht="14.25" customHeight="1" x14ac:dyDescent="0.2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2:26" ht="14.25" customHeight="1" x14ac:dyDescent="0.2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2:26" ht="14.25" customHeight="1" x14ac:dyDescent="0.2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2:26" ht="14.25" customHeight="1" x14ac:dyDescent="0.2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2:26" ht="14.25" customHeight="1" x14ac:dyDescent="0.2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2:26" ht="14.25" customHeight="1" x14ac:dyDescent="0.2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2:26" ht="14.25" customHeight="1" x14ac:dyDescent="0.2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2:26" ht="14.25" customHeight="1" x14ac:dyDescent="0.2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2:26" ht="14.25" customHeight="1" x14ac:dyDescent="0.2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2:26" ht="14.25" customHeight="1" x14ac:dyDescent="0.2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2:26" ht="14.25" customHeight="1" x14ac:dyDescent="0.2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2:26" ht="14.25" customHeight="1" x14ac:dyDescent="0.2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2:26" ht="14.25" customHeight="1" x14ac:dyDescent="0.2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2:26" ht="14.25" customHeight="1" x14ac:dyDescent="0.2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2:26" ht="14.25" customHeight="1" x14ac:dyDescent="0.2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2:26" ht="14.25" customHeight="1" x14ac:dyDescent="0.2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2:26" ht="14.25" customHeight="1" x14ac:dyDescent="0.2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2:26" ht="14.25" customHeight="1" x14ac:dyDescent="0.2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2:26" ht="14.25" customHeight="1" x14ac:dyDescent="0.2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2:26" ht="14.25" customHeight="1" x14ac:dyDescent="0.2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2:26" ht="14.25" customHeight="1" x14ac:dyDescent="0.2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2:26" ht="14.25" customHeight="1" x14ac:dyDescent="0.2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2:26" ht="14.25" customHeight="1" x14ac:dyDescent="0.2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2:26" ht="14.25" customHeight="1" x14ac:dyDescent="0.2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2:26" ht="14.25" customHeight="1" x14ac:dyDescent="0.2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2:26" ht="14.25" customHeight="1" x14ac:dyDescent="0.2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2:26" ht="14.25" customHeight="1" x14ac:dyDescent="0.2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2:26" ht="14.25" customHeight="1" x14ac:dyDescent="0.2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2:26" ht="14.25" customHeight="1" x14ac:dyDescent="0.2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2:26" ht="14.25" customHeight="1" x14ac:dyDescent="0.2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2:26" ht="14.25" customHeight="1" x14ac:dyDescent="0.2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2:26" ht="14.25" customHeight="1" x14ac:dyDescent="0.2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2:26" ht="14.25" customHeight="1" x14ac:dyDescent="0.2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2:26" ht="14.25" customHeight="1" x14ac:dyDescent="0.2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2:26" ht="14.25" customHeight="1" x14ac:dyDescent="0.2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2:26" ht="14.25" customHeight="1" x14ac:dyDescent="0.2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2:26" ht="14.25" customHeight="1" x14ac:dyDescent="0.2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2:26" ht="14.25" customHeight="1" x14ac:dyDescent="0.2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2:26" ht="14.25" customHeight="1" x14ac:dyDescent="0.2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2:26" ht="14.25" customHeight="1" x14ac:dyDescent="0.2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2:26" ht="14.25" customHeight="1" x14ac:dyDescent="0.2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2:26" ht="14.25" customHeight="1" x14ac:dyDescent="0.2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2:26" ht="14.25" customHeight="1" x14ac:dyDescent="0.2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2:26" ht="14.25" customHeight="1" x14ac:dyDescent="0.2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2:26" ht="14.25" customHeight="1" x14ac:dyDescent="0.2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2:26" ht="14.25" customHeight="1" x14ac:dyDescent="0.2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2:26" ht="14.25" customHeight="1" x14ac:dyDescent="0.2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2:26" ht="14.25" customHeight="1" x14ac:dyDescent="0.2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2:26" ht="14.25" customHeight="1" x14ac:dyDescent="0.2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2:26" ht="14.25" customHeight="1" x14ac:dyDescent="0.2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2:26" ht="14.25" customHeight="1" x14ac:dyDescent="0.2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2:26" ht="14.25" customHeight="1" x14ac:dyDescent="0.2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2:26" ht="14.25" customHeight="1" x14ac:dyDescent="0.2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2:26" ht="14.25" customHeight="1" x14ac:dyDescent="0.2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2:26" ht="14.25" customHeight="1" x14ac:dyDescent="0.2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2:26" ht="14.25" customHeight="1" x14ac:dyDescent="0.2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2:26" ht="14.25" customHeight="1" x14ac:dyDescent="0.2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2:26" ht="14.25" customHeight="1" x14ac:dyDescent="0.2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2:26" ht="14.25" customHeight="1" x14ac:dyDescent="0.2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2:26" ht="14.25" customHeight="1" x14ac:dyDescent="0.2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2:26" ht="14.25" customHeight="1" x14ac:dyDescent="0.2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2:26" ht="14.25" customHeight="1" x14ac:dyDescent="0.2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2:26" ht="14.25" customHeight="1" x14ac:dyDescent="0.2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2:26" ht="14.25" customHeight="1" x14ac:dyDescent="0.2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2:26" ht="14.25" customHeight="1" x14ac:dyDescent="0.2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2:26" ht="14.25" customHeight="1" x14ac:dyDescent="0.2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2:26" ht="14.25" customHeight="1" x14ac:dyDescent="0.2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2:26" ht="14.25" customHeight="1" x14ac:dyDescent="0.2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2:26" ht="14.25" customHeight="1" x14ac:dyDescent="0.2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2:26" ht="14.25" customHeight="1" x14ac:dyDescent="0.2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2:26" ht="14.25" customHeight="1" x14ac:dyDescent="0.2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2:26" ht="14.25" customHeight="1" x14ac:dyDescent="0.2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2:26" ht="14.25" customHeight="1" x14ac:dyDescent="0.2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2:26" ht="14.25" customHeight="1" x14ac:dyDescent="0.2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2:26" ht="14.25" customHeight="1" x14ac:dyDescent="0.2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2:26" ht="14.25" customHeight="1" x14ac:dyDescent="0.2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2:26" ht="14.25" customHeight="1" x14ac:dyDescent="0.2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2:26" ht="14.25" customHeight="1" x14ac:dyDescent="0.2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2:26" ht="14.25" customHeight="1" x14ac:dyDescent="0.2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2:26" ht="14.25" customHeight="1" x14ac:dyDescent="0.2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2:26" ht="14.25" customHeight="1" x14ac:dyDescent="0.2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2:26" ht="14.25" customHeight="1" x14ac:dyDescent="0.2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2:26" ht="14.25" customHeight="1" x14ac:dyDescent="0.2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2:26" ht="14.25" customHeight="1" x14ac:dyDescent="0.2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2:26" ht="14.25" customHeight="1" x14ac:dyDescent="0.2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2:26" ht="14.25" customHeight="1" x14ac:dyDescent="0.2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2:26" ht="14.25" customHeight="1" x14ac:dyDescent="0.2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2:26" ht="14.25" customHeight="1" x14ac:dyDescent="0.2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2:26" ht="14.25" customHeight="1" x14ac:dyDescent="0.2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2:26" ht="14.25" customHeight="1" x14ac:dyDescent="0.2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2:26" ht="14.25" customHeight="1" x14ac:dyDescent="0.2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2:26" ht="14.25" customHeight="1" x14ac:dyDescent="0.2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2:26" ht="14.25" customHeight="1" x14ac:dyDescent="0.2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2:26" ht="14.25" customHeight="1" x14ac:dyDescent="0.2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2:26" ht="14.25" customHeight="1" x14ac:dyDescent="0.2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2:26" ht="14.25" customHeight="1" x14ac:dyDescent="0.2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2:26" ht="14.25" customHeight="1" x14ac:dyDescent="0.2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2:26" ht="14.25" customHeight="1" x14ac:dyDescent="0.2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2:26" ht="14.25" customHeight="1" x14ac:dyDescent="0.2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2:26" ht="14.25" customHeight="1" x14ac:dyDescent="0.2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2:26" ht="14.25" customHeight="1" x14ac:dyDescent="0.2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2:26" ht="14.25" customHeight="1" x14ac:dyDescent="0.2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2:26" ht="14.25" customHeight="1" x14ac:dyDescent="0.2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2:26" ht="14.25" customHeight="1" x14ac:dyDescent="0.2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2:26" ht="14.25" customHeight="1" x14ac:dyDescent="0.2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2:26" ht="14.25" customHeight="1" x14ac:dyDescent="0.2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2:26" ht="14.25" customHeight="1" x14ac:dyDescent="0.2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2:26" ht="14.25" customHeight="1" x14ac:dyDescent="0.2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2:26" ht="14.25" customHeight="1" x14ac:dyDescent="0.2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2:26" ht="14.25" customHeight="1" x14ac:dyDescent="0.2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2:26" ht="14.25" customHeight="1" x14ac:dyDescent="0.2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2:26" ht="14.25" customHeight="1" x14ac:dyDescent="0.2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2:26" ht="14.25" customHeight="1" x14ac:dyDescent="0.2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2:26" ht="14.25" customHeight="1" x14ac:dyDescent="0.2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2:26" ht="14.25" customHeight="1" x14ac:dyDescent="0.2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2:26" ht="14.25" customHeight="1" x14ac:dyDescent="0.2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2:26" ht="14.25" customHeight="1" x14ac:dyDescent="0.2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2:26" ht="14.25" customHeight="1" x14ac:dyDescent="0.2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2:26" ht="14.25" customHeight="1" x14ac:dyDescent="0.2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2:26" ht="14.25" customHeight="1" x14ac:dyDescent="0.2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2:26" ht="14.25" customHeight="1" x14ac:dyDescent="0.2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2:26" ht="14.25" customHeight="1" x14ac:dyDescent="0.2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2:26" ht="14.25" customHeight="1" x14ac:dyDescent="0.2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2:26" ht="14.25" customHeight="1" x14ac:dyDescent="0.2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2:26" ht="14.25" customHeight="1" x14ac:dyDescent="0.2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2:26" ht="14.25" customHeight="1" x14ac:dyDescent="0.2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2:26" ht="14.25" customHeight="1" x14ac:dyDescent="0.2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2:26" ht="14.25" customHeight="1" x14ac:dyDescent="0.2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2:26" ht="14.25" customHeight="1" x14ac:dyDescent="0.2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2:26" ht="14.25" customHeight="1" x14ac:dyDescent="0.2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2:26" ht="14.25" customHeight="1" x14ac:dyDescent="0.2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2:26" ht="14.25" customHeight="1" x14ac:dyDescent="0.2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2:26" ht="14.25" customHeight="1" x14ac:dyDescent="0.2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2:26" ht="14.25" customHeight="1" x14ac:dyDescent="0.2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2:26" ht="14.25" customHeight="1" x14ac:dyDescent="0.2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2:26" ht="14.25" customHeight="1" x14ac:dyDescent="0.2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2:26" ht="14.25" customHeight="1" x14ac:dyDescent="0.2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2:26" ht="14.25" customHeight="1" x14ac:dyDescent="0.2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2:26" ht="14.25" customHeight="1" x14ac:dyDescent="0.2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2:26" ht="14.25" customHeight="1" x14ac:dyDescent="0.2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2:26" ht="14.25" customHeight="1" x14ac:dyDescent="0.2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2:26" ht="14.25" customHeight="1" x14ac:dyDescent="0.2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2:26" ht="14.25" customHeight="1" x14ac:dyDescent="0.2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2:26" ht="14.25" customHeight="1" x14ac:dyDescent="0.2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2:26" ht="14.25" customHeight="1" x14ac:dyDescent="0.2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2:26" ht="14.25" customHeight="1" x14ac:dyDescent="0.2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2:26" ht="14.25" customHeight="1" x14ac:dyDescent="0.2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2:26" ht="14.25" customHeight="1" x14ac:dyDescent="0.2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2:26" ht="14.25" customHeight="1" x14ac:dyDescent="0.2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2:26" ht="14.25" customHeight="1" x14ac:dyDescent="0.2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2:26" ht="14.25" customHeight="1" x14ac:dyDescent="0.2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2:26" ht="14.25" customHeight="1" x14ac:dyDescent="0.2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2:26" ht="14.25" customHeight="1" x14ac:dyDescent="0.2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2:26" ht="14.25" customHeight="1" x14ac:dyDescent="0.2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2:26" ht="14.25" customHeight="1" x14ac:dyDescent="0.2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2:26" ht="14.25" customHeight="1" x14ac:dyDescent="0.2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2:26" ht="14.25" customHeight="1" x14ac:dyDescent="0.2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2:26" ht="14.25" customHeight="1" x14ac:dyDescent="0.2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2:26" ht="14.25" customHeight="1" x14ac:dyDescent="0.2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2:26" ht="14.25" customHeight="1" x14ac:dyDescent="0.2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2:26" ht="14.25" customHeight="1" x14ac:dyDescent="0.2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2:26" ht="14.25" customHeight="1" x14ac:dyDescent="0.2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2:26" ht="14.25" customHeight="1" x14ac:dyDescent="0.2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2:26" ht="14.25" customHeight="1" x14ac:dyDescent="0.2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2:26" ht="14.25" customHeight="1" x14ac:dyDescent="0.2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2:26" ht="14.25" customHeight="1" x14ac:dyDescent="0.2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2:26" ht="14.25" customHeight="1" x14ac:dyDescent="0.2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2:26" ht="14.25" customHeight="1" x14ac:dyDescent="0.2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2:26" ht="14.25" customHeight="1" x14ac:dyDescent="0.2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2:26" ht="14.25" customHeight="1" x14ac:dyDescent="0.2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2:26" ht="14.25" customHeight="1" x14ac:dyDescent="0.2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2:26" ht="14.25" customHeight="1" x14ac:dyDescent="0.2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2:26" ht="14.25" customHeight="1" x14ac:dyDescent="0.2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2:26" ht="14.25" customHeight="1" x14ac:dyDescent="0.2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2:26" ht="14.25" customHeight="1" x14ac:dyDescent="0.2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2:26" ht="14.25" customHeight="1" x14ac:dyDescent="0.2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2:26" ht="14.25" customHeight="1" x14ac:dyDescent="0.2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2:26" ht="14.25" customHeight="1" x14ac:dyDescent="0.2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2:26" ht="14.25" customHeight="1" x14ac:dyDescent="0.2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2:26" ht="14.25" customHeight="1" x14ac:dyDescent="0.2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2:26" ht="14.25" customHeight="1" x14ac:dyDescent="0.2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2:26" ht="14.25" customHeight="1" x14ac:dyDescent="0.2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2:26" ht="14.25" customHeight="1" x14ac:dyDescent="0.2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2:26" ht="14.25" customHeight="1" x14ac:dyDescent="0.2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2:26" ht="14.25" customHeight="1" x14ac:dyDescent="0.2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2:26" ht="14.25" customHeight="1" x14ac:dyDescent="0.2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2:26" ht="14.25" customHeight="1" x14ac:dyDescent="0.2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2:26" ht="14.25" customHeight="1" x14ac:dyDescent="0.2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2:26" ht="14.25" customHeight="1" x14ac:dyDescent="0.2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2:26" ht="14.25" customHeight="1" x14ac:dyDescent="0.2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2:26" ht="14.25" customHeight="1" x14ac:dyDescent="0.2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2:26" ht="14.25" customHeight="1" x14ac:dyDescent="0.2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2:26" ht="14.25" customHeight="1" x14ac:dyDescent="0.2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2:26" ht="14.25" customHeight="1" x14ac:dyDescent="0.2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2:26" ht="14.25" customHeight="1" x14ac:dyDescent="0.2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2:26" ht="14.25" customHeight="1" x14ac:dyDescent="0.2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2:26" ht="14.25" customHeight="1" x14ac:dyDescent="0.2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2:26" ht="14.25" customHeight="1" x14ac:dyDescent="0.2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2:26" ht="14.25" customHeight="1" x14ac:dyDescent="0.2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2:26" ht="14.25" customHeight="1" x14ac:dyDescent="0.2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2:26" ht="14.25" customHeight="1" x14ac:dyDescent="0.2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2:26" ht="14.25" customHeight="1" x14ac:dyDescent="0.2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2:26" ht="14.25" customHeight="1" x14ac:dyDescent="0.2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2:26" ht="14.25" customHeight="1" x14ac:dyDescent="0.2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2:26" ht="14.25" customHeight="1" x14ac:dyDescent="0.2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2:26" ht="14.25" customHeight="1" x14ac:dyDescent="0.2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2:26" ht="14.25" customHeight="1" x14ac:dyDescent="0.2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2:26" ht="14.25" customHeight="1" x14ac:dyDescent="0.2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2:26" ht="14.25" customHeight="1" x14ac:dyDescent="0.2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2:26" ht="14.25" customHeight="1" x14ac:dyDescent="0.2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2:26" ht="14.25" customHeight="1" x14ac:dyDescent="0.2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2:26" ht="14.25" customHeight="1" x14ac:dyDescent="0.2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2:26" ht="14.25" customHeight="1" x14ac:dyDescent="0.2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2:26" ht="14.25" customHeight="1" x14ac:dyDescent="0.2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2:26" ht="14.25" customHeight="1" x14ac:dyDescent="0.2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2:26" ht="14.25" customHeight="1" x14ac:dyDescent="0.2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2:26" ht="14.25" customHeight="1" x14ac:dyDescent="0.2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2:26" ht="14.25" customHeight="1" x14ac:dyDescent="0.2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2:26" ht="14.25" customHeight="1" x14ac:dyDescent="0.2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2:26" ht="14.25" customHeight="1" x14ac:dyDescent="0.2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2:26" ht="14.25" customHeight="1" x14ac:dyDescent="0.2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2:26" ht="14.25" customHeight="1" x14ac:dyDescent="0.2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2:26" ht="14.25" customHeight="1" x14ac:dyDescent="0.2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2:26" ht="14.25" customHeight="1" x14ac:dyDescent="0.2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2:26" ht="14.25" customHeight="1" x14ac:dyDescent="0.2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2:26" ht="14.25" customHeight="1" x14ac:dyDescent="0.2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2:26" ht="14.25" customHeight="1" x14ac:dyDescent="0.2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2:26" ht="14.25" customHeight="1" x14ac:dyDescent="0.2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2:26" ht="14.25" customHeight="1" x14ac:dyDescent="0.2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2:26" ht="14.25" customHeight="1" x14ac:dyDescent="0.2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2:26" ht="14.25" customHeight="1" x14ac:dyDescent="0.2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2:26" ht="14.25" customHeight="1" x14ac:dyDescent="0.2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2:26" ht="14.25" customHeight="1" x14ac:dyDescent="0.2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2:26" ht="14.25" customHeight="1" x14ac:dyDescent="0.2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2:26" ht="14.25" customHeight="1" x14ac:dyDescent="0.2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2:26" ht="14.25" customHeight="1" x14ac:dyDescent="0.2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2:26" ht="14.25" customHeight="1" x14ac:dyDescent="0.2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2:26" ht="14.25" customHeight="1" x14ac:dyDescent="0.2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2:26" ht="14.25" customHeight="1" x14ac:dyDescent="0.2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2:26" ht="14.25" customHeight="1" x14ac:dyDescent="0.2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2:26" ht="14.25" customHeight="1" x14ac:dyDescent="0.2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2:26" ht="14.25" customHeight="1" x14ac:dyDescent="0.2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2:26" ht="14.25" customHeight="1" x14ac:dyDescent="0.2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2:26" ht="14.25" customHeight="1" x14ac:dyDescent="0.2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2:26" ht="14.25" customHeight="1" x14ac:dyDescent="0.2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2:26" ht="14.25" customHeight="1" x14ac:dyDescent="0.2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2:26" ht="14.25" customHeight="1" x14ac:dyDescent="0.2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2:26" ht="14.25" customHeight="1" x14ac:dyDescent="0.2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2:26" ht="14.25" customHeight="1" x14ac:dyDescent="0.2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2:26" ht="14.25" customHeight="1" x14ac:dyDescent="0.2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2:26" ht="14.25" customHeight="1" x14ac:dyDescent="0.2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2:26" ht="14.25" customHeight="1" x14ac:dyDescent="0.2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2:26" ht="14.25" customHeight="1" x14ac:dyDescent="0.2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2:26" ht="14.25" customHeight="1" x14ac:dyDescent="0.2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2:26" ht="14.25" customHeight="1" x14ac:dyDescent="0.2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2:26" ht="14.25" customHeight="1" x14ac:dyDescent="0.2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2:26" ht="14.25" customHeight="1" x14ac:dyDescent="0.2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2:26" ht="14.25" customHeight="1" x14ac:dyDescent="0.2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2:26" ht="14.25" customHeight="1" x14ac:dyDescent="0.2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2:26" ht="14.25" customHeight="1" x14ac:dyDescent="0.2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2:26" ht="14.25" customHeight="1" x14ac:dyDescent="0.2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2:26" ht="14.25" customHeight="1" x14ac:dyDescent="0.2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2:26" ht="14.25" customHeight="1" x14ac:dyDescent="0.2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2:26" ht="14.25" customHeight="1" x14ac:dyDescent="0.2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2:26" ht="14.25" customHeight="1" x14ac:dyDescent="0.2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2:26" ht="14.25" customHeight="1" x14ac:dyDescent="0.2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2:26" ht="14.25" customHeight="1" x14ac:dyDescent="0.2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2:26" ht="14.25" customHeight="1" x14ac:dyDescent="0.2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2:26" ht="14.25" customHeight="1" x14ac:dyDescent="0.2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2:26" ht="14.25" customHeight="1" x14ac:dyDescent="0.2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2:26" ht="14.25" customHeight="1" x14ac:dyDescent="0.2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2:26" ht="14.25" customHeight="1" x14ac:dyDescent="0.2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2:26" ht="14.25" customHeight="1" x14ac:dyDescent="0.2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2:26" ht="14.25" customHeight="1" x14ac:dyDescent="0.2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2:26" ht="14.25" customHeight="1" x14ac:dyDescent="0.2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2:26" ht="14.25" customHeight="1" x14ac:dyDescent="0.2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2:26" ht="14.25" customHeight="1" x14ac:dyDescent="0.2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2:26" ht="14.25" customHeight="1" x14ac:dyDescent="0.2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2:26" ht="14.25" customHeight="1" x14ac:dyDescent="0.2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2:26" ht="14.25" customHeight="1" x14ac:dyDescent="0.2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2:26" ht="14.25" customHeight="1" x14ac:dyDescent="0.2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2:26" ht="14.25" customHeight="1" x14ac:dyDescent="0.2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2:26" ht="14.25" customHeight="1" x14ac:dyDescent="0.2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2:26" ht="14.25" customHeight="1" x14ac:dyDescent="0.2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2:26" ht="14.25" customHeight="1" x14ac:dyDescent="0.2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2:26" ht="14.25" customHeight="1" x14ac:dyDescent="0.2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2:26" ht="14.25" customHeight="1" x14ac:dyDescent="0.2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2:26" ht="14.25" customHeight="1" x14ac:dyDescent="0.2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2:26" ht="14.25" customHeight="1" x14ac:dyDescent="0.2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2:26" ht="14.25" customHeight="1" x14ac:dyDescent="0.2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2:26" ht="14.25" customHeight="1" x14ac:dyDescent="0.2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2:26" ht="14.25" customHeight="1" x14ac:dyDescent="0.2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2:26" ht="14.25" customHeight="1" x14ac:dyDescent="0.2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2:26" ht="14.25" customHeight="1" x14ac:dyDescent="0.2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2:26" ht="14.25" customHeight="1" x14ac:dyDescent="0.2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2:26" ht="14.25" customHeight="1" x14ac:dyDescent="0.2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2:26" ht="14.25" customHeight="1" x14ac:dyDescent="0.2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2:26" ht="14.25" customHeight="1" x14ac:dyDescent="0.2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2:26" ht="14.25" customHeight="1" x14ac:dyDescent="0.2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2:26" ht="14.25" customHeight="1" x14ac:dyDescent="0.2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2:26" ht="14.25" customHeight="1" x14ac:dyDescent="0.2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2:26" ht="14.25" customHeight="1" x14ac:dyDescent="0.2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2:26" ht="14.25" customHeight="1" x14ac:dyDescent="0.2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2:26" ht="14.25" customHeight="1" x14ac:dyDescent="0.2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2:26" ht="14.25" customHeight="1" x14ac:dyDescent="0.2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2:26" ht="14.25" customHeight="1" x14ac:dyDescent="0.2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2:26" ht="14.25" customHeight="1" x14ac:dyDescent="0.2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2:26" ht="14.25" customHeight="1" x14ac:dyDescent="0.2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2:26" ht="14.25" customHeight="1" x14ac:dyDescent="0.2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2:26" ht="14.25" customHeight="1" x14ac:dyDescent="0.2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2:26" ht="14.25" customHeight="1" x14ac:dyDescent="0.2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2:26" ht="14.25" customHeight="1" x14ac:dyDescent="0.2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2:26" ht="14.25" customHeight="1" x14ac:dyDescent="0.2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2:26" ht="14.25" customHeight="1" x14ac:dyDescent="0.2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2:26" ht="14.25" customHeight="1" x14ac:dyDescent="0.2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2:26" ht="14.25" customHeight="1" x14ac:dyDescent="0.2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2:26" ht="14.25" customHeight="1" x14ac:dyDescent="0.2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2:26" ht="14.25" customHeight="1" x14ac:dyDescent="0.2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2:26" ht="14.25" customHeight="1" x14ac:dyDescent="0.2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2:26" ht="14.25" customHeight="1" x14ac:dyDescent="0.2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2:26" ht="14.25" customHeight="1" x14ac:dyDescent="0.2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2:26" ht="14.25" customHeight="1" x14ac:dyDescent="0.2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2:26" ht="14.25" customHeight="1" x14ac:dyDescent="0.2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2:26" ht="14.25" customHeight="1" x14ac:dyDescent="0.2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2:26" ht="14.25" customHeight="1" x14ac:dyDescent="0.2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2:26" ht="14.25" customHeight="1" x14ac:dyDescent="0.2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2:26" ht="14.25" customHeight="1" x14ac:dyDescent="0.2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2:26" ht="14.25" customHeight="1" x14ac:dyDescent="0.2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2:26" ht="14.25" customHeight="1" x14ac:dyDescent="0.2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2:26" ht="14.25" customHeight="1" x14ac:dyDescent="0.2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2:26" ht="14.25" customHeight="1" x14ac:dyDescent="0.2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2:26" ht="14.25" customHeight="1" x14ac:dyDescent="0.2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2:26" ht="14.25" customHeight="1" x14ac:dyDescent="0.2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2:26" ht="14.25" customHeight="1" x14ac:dyDescent="0.2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2:26" ht="14.25" customHeight="1" x14ac:dyDescent="0.2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2:26" ht="14.25" customHeight="1" x14ac:dyDescent="0.2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2:26" ht="14.25" customHeight="1" x14ac:dyDescent="0.2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2:26" ht="14.25" customHeight="1" x14ac:dyDescent="0.2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2:26" ht="14.25" customHeight="1" x14ac:dyDescent="0.2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2:26" ht="14.25" customHeight="1" x14ac:dyDescent="0.2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2:26" ht="14.25" customHeight="1" x14ac:dyDescent="0.2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2:26" ht="14.25" customHeight="1" x14ac:dyDescent="0.2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2:26" ht="14.25" customHeight="1" x14ac:dyDescent="0.2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2:26" ht="14.25" customHeight="1" x14ac:dyDescent="0.2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2:26" ht="14.25" customHeight="1" x14ac:dyDescent="0.2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2:26" ht="14.25" customHeight="1" x14ac:dyDescent="0.2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2:26" ht="14.25" customHeight="1" x14ac:dyDescent="0.2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2:26" ht="14.25" customHeight="1" x14ac:dyDescent="0.2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2:26" ht="14.25" customHeight="1" x14ac:dyDescent="0.2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2:26" ht="14.25" customHeight="1" x14ac:dyDescent="0.2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2:26" ht="14.25" customHeight="1" x14ac:dyDescent="0.2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2:26" ht="14.25" customHeight="1" x14ac:dyDescent="0.2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2:26" ht="14.25" customHeight="1" x14ac:dyDescent="0.2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2:26" ht="14.25" customHeight="1" x14ac:dyDescent="0.2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2:26" ht="14.25" customHeight="1" x14ac:dyDescent="0.2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2:26" ht="14.25" customHeight="1" x14ac:dyDescent="0.2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2:26" ht="14.25" customHeight="1" x14ac:dyDescent="0.2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2:26" ht="14.25" customHeight="1" x14ac:dyDescent="0.2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2:26" ht="14.25" customHeight="1" x14ac:dyDescent="0.2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2:26" ht="14.25" customHeight="1" x14ac:dyDescent="0.2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2:26" ht="14.25" customHeight="1" x14ac:dyDescent="0.2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2:26" ht="14.25" customHeight="1" x14ac:dyDescent="0.2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2:26" ht="14.25" customHeight="1" x14ac:dyDescent="0.2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2:26" ht="14.25" customHeight="1" x14ac:dyDescent="0.2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2:26" ht="14.25" customHeight="1" x14ac:dyDescent="0.2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2:26" ht="14.25" customHeight="1" x14ac:dyDescent="0.2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2:26" ht="14.25" customHeight="1" x14ac:dyDescent="0.2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2:26" ht="14.25" customHeight="1" x14ac:dyDescent="0.2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2:26" ht="14.25" customHeight="1" x14ac:dyDescent="0.2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2:26" ht="14.25" customHeight="1" x14ac:dyDescent="0.2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2:26" ht="14.25" customHeight="1" x14ac:dyDescent="0.2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2:26" ht="14.25" customHeight="1" x14ac:dyDescent="0.2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2:26" ht="14.25" customHeight="1" x14ac:dyDescent="0.2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2:26" ht="14.25" customHeight="1" x14ac:dyDescent="0.2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2:26" ht="14.25" customHeight="1" x14ac:dyDescent="0.2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2:26" ht="14.25" customHeight="1" x14ac:dyDescent="0.2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2:26" ht="14.25" customHeight="1" x14ac:dyDescent="0.2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2:26" ht="14.25" customHeight="1" x14ac:dyDescent="0.2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2:26" ht="14.25" customHeight="1" x14ac:dyDescent="0.2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2:26" ht="14.25" customHeight="1" x14ac:dyDescent="0.2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2:26" ht="14.25" customHeight="1" x14ac:dyDescent="0.2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2:26" ht="14.25" customHeight="1" x14ac:dyDescent="0.2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2:26" ht="14.25" customHeight="1" x14ac:dyDescent="0.2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2:26" ht="14.25" customHeight="1" x14ac:dyDescent="0.2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2:26" ht="14.25" customHeight="1" x14ac:dyDescent="0.2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2:26" ht="14.25" customHeight="1" x14ac:dyDescent="0.2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2:26" ht="14.25" customHeight="1" x14ac:dyDescent="0.2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2:26" ht="14.25" customHeight="1" x14ac:dyDescent="0.2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2:26" ht="14.25" customHeight="1" x14ac:dyDescent="0.2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2:26" ht="14.25" customHeight="1" x14ac:dyDescent="0.2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2:26" ht="14.25" customHeight="1" x14ac:dyDescent="0.2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2:26" ht="14.25" customHeight="1" x14ac:dyDescent="0.2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2:26" ht="14.25" customHeight="1" x14ac:dyDescent="0.2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2:26" ht="14.25" customHeight="1" x14ac:dyDescent="0.2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2:26" ht="14.25" customHeight="1" x14ac:dyDescent="0.2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2:26" ht="14.25" customHeight="1" x14ac:dyDescent="0.2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2:26" ht="14.25" customHeight="1" x14ac:dyDescent="0.2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2:26" ht="14.25" customHeight="1" x14ac:dyDescent="0.2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2:26" ht="14.25" customHeight="1" x14ac:dyDescent="0.2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2:26" ht="14.25" customHeight="1" x14ac:dyDescent="0.2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2:26" ht="14.25" customHeight="1" x14ac:dyDescent="0.2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2:26" ht="14.25" customHeight="1" x14ac:dyDescent="0.2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2:26" ht="14.25" customHeight="1" x14ac:dyDescent="0.2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2:26" ht="14.25" customHeight="1" x14ac:dyDescent="0.2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2:26" ht="14.25" customHeight="1" x14ac:dyDescent="0.2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2:26" ht="14.25" customHeight="1" x14ac:dyDescent="0.2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2:26" ht="14.25" customHeight="1" x14ac:dyDescent="0.2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2:26" ht="14.25" customHeight="1" x14ac:dyDescent="0.2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2:26" ht="14.25" customHeight="1" x14ac:dyDescent="0.2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2:26" ht="14.25" customHeight="1" x14ac:dyDescent="0.2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2:26" ht="14.25" customHeight="1" x14ac:dyDescent="0.2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2:26" ht="14.25" customHeight="1" x14ac:dyDescent="0.2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2:26" ht="14.25" customHeight="1" x14ac:dyDescent="0.2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2:26" ht="14.25" customHeight="1" x14ac:dyDescent="0.2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2:26" ht="14.25" customHeight="1" x14ac:dyDescent="0.2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2:26" ht="14.25" customHeight="1" x14ac:dyDescent="0.2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2:26" ht="14.25" customHeight="1" x14ac:dyDescent="0.2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2:26" ht="14.25" customHeight="1" x14ac:dyDescent="0.2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2:26" ht="14.25" customHeight="1" x14ac:dyDescent="0.2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2:26" ht="14.25" customHeight="1" x14ac:dyDescent="0.2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2:26" ht="14.25" customHeight="1" x14ac:dyDescent="0.2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2:26" ht="14.25" customHeight="1" x14ac:dyDescent="0.2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2:26" ht="14.25" customHeight="1" x14ac:dyDescent="0.2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2:26" ht="14.25" customHeight="1" x14ac:dyDescent="0.2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2:26" ht="14.25" customHeight="1" x14ac:dyDescent="0.2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2:26" ht="14.25" customHeight="1" x14ac:dyDescent="0.2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2:26" ht="14.25" customHeight="1" x14ac:dyDescent="0.2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2:26" ht="14.25" customHeight="1" x14ac:dyDescent="0.2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2:26" ht="14.25" customHeight="1" x14ac:dyDescent="0.2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2:26" ht="14.25" customHeight="1" x14ac:dyDescent="0.2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2:26" ht="14.25" customHeight="1" x14ac:dyDescent="0.2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2:26" ht="14.25" customHeight="1" x14ac:dyDescent="0.2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2:26" ht="14.25" customHeight="1" x14ac:dyDescent="0.2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2:26" ht="14.25" customHeight="1" x14ac:dyDescent="0.2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2:26" ht="14.25" customHeight="1" x14ac:dyDescent="0.2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2:26" ht="14.25" customHeight="1" x14ac:dyDescent="0.2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2:26" ht="14.25" customHeight="1" x14ac:dyDescent="0.2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2:26" ht="14.25" customHeight="1" x14ac:dyDescent="0.2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2:26" ht="14.25" customHeight="1" x14ac:dyDescent="0.2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2:26" ht="14.25" customHeight="1" x14ac:dyDescent="0.2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2:26" ht="14.25" customHeight="1" x14ac:dyDescent="0.2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2:26" ht="14.25" customHeight="1" x14ac:dyDescent="0.2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2:26" ht="14.25" customHeight="1" x14ac:dyDescent="0.2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2:26" ht="14.25" customHeight="1" x14ac:dyDescent="0.2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2:26" ht="14.25" customHeight="1" x14ac:dyDescent="0.2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2:26" ht="14.25" customHeight="1" x14ac:dyDescent="0.2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2:26" ht="14.25" customHeight="1" x14ac:dyDescent="0.2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2:26" ht="14.25" customHeight="1" x14ac:dyDescent="0.2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2:26" ht="14.25" customHeight="1" x14ac:dyDescent="0.2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2:26" ht="14.25" customHeight="1" x14ac:dyDescent="0.2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2:26" ht="14.25" customHeight="1" x14ac:dyDescent="0.2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2:26" ht="14.25" customHeight="1" x14ac:dyDescent="0.2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2:26" ht="14.25" customHeight="1" x14ac:dyDescent="0.2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2:26" ht="14.25" customHeight="1" x14ac:dyDescent="0.2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2:26" ht="14.25" customHeight="1" x14ac:dyDescent="0.2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2:26" ht="14.25" customHeight="1" x14ac:dyDescent="0.2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2:26" ht="14.25" customHeight="1" x14ac:dyDescent="0.2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2:26" ht="14.25" customHeight="1" x14ac:dyDescent="0.2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2:26" ht="14.25" customHeight="1" x14ac:dyDescent="0.2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2:26" ht="14.25" customHeight="1" x14ac:dyDescent="0.2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2:26" ht="14.25" customHeight="1" x14ac:dyDescent="0.2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2:26" ht="14.25" customHeight="1" x14ac:dyDescent="0.2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2:26" ht="14.25" customHeight="1" x14ac:dyDescent="0.2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2:26" ht="14.25" customHeight="1" x14ac:dyDescent="0.2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2:26" ht="14.25" customHeight="1" x14ac:dyDescent="0.2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2:26" ht="14.25" customHeight="1" x14ac:dyDescent="0.2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2:26" ht="14.25" customHeight="1" x14ac:dyDescent="0.2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2:26" ht="14.25" customHeight="1" x14ac:dyDescent="0.2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2:26" ht="14.25" customHeight="1" x14ac:dyDescent="0.2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2:26" ht="14.25" customHeight="1" x14ac:dyDescent="0.2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2:26" ht="14.25" customHeight="1" x14ac:dyDescent="0.2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2:26" ht="14.25" customHeight="1" x14ac:dyDescent="0.2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2:26" ht="14.25" customHeight="1" x14ac:dyDescent="0.2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2:26" ht="14.25" customHeight="1" x14ac:dyDescent="0.2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2:26" ht="14.25" customHeight="1" x14ac:dyDescent="0.2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2:26" ht="14.25" customHeight="1" x14ac:dyDescent="0.2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2:26" ht="14.25" customHeight="1" x14ac:dyDescent="0.2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2:26" ht="14.25" customHeight="1" x14ac:dyDescent="0.2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2:26" ht="14.25" customHeight="1" x14ac:dyDescent="0.2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2:26" ht="14.25" customHeight="1" x14ac:dyDescent="0.2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2:26" ht="14.25" customHeight="1" x14ac:dyDescent="0.2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2:26" ht="14.25" customHeight="1" x14ac:dyDescent="0.2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2:26" ht="14.25" customHeight="1" x14ac:dyDescent="0.2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2:26" ht="14.25" customHeight="1" x14ac:dyDescent="0.2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2:26" ht="14.25" customHeight="1" x14ac:dyDescent="0.2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2:26" ht="14.25" customHeight="1" x14ac:dyDescent="0.2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2:26" ht="14.25" customHeight="1" x14ac:dyDescent="0.2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546A"/>
  </sheetPr>
  <dimension ref="A1:Z1000"/>
  <sheetViews>
    <sheetView workbookViewId="0">
      <pane xSplit="1" ySplit="1" topLeftCell="B2" activePane="bottomRight" state="frozen"/>
      <selection pane="topRight" activeCell="B1" sqref="B1"/>
      <selection pane="bottomLeft" activeCell="A2" sqref="A2"/>
      <selection pane="bottomRight" activeCell="B2" sqref="B2:G11"/>
    </sheetView>
  </sheetViews>
  <sheetFormatPr defaultColWidth="12.625" defaultRowHeight="15" customHeight="1" x14ac:dyDescent="0.2"/>
  <cols>
    <col min="1" max="1" width="26.125" customWidth="1"/>
    <col min="2" max="6" width="20.875" customWidth="1"/>
    <col min="7" max="7" width="11.625" customWidth="1"/>
    <col min="8" max="25" width="7.625" customWidth="1"/>
  </cols>
  <sheetData>
    <row r="1" spans="1:26" ht="14.25" customHeight="1" x14ac:dyDescent="0.25">
      <c r="A1" s="1" t="s">
        <v>105</v>
      </c>
      <c r="B1" s="61" t="s">
        <v>35</v>
      </c>
      <c r="C1" s="61" t="s">
        <v>106</v>
      </c>
      <c r="D1" s="61" t="s">
        <v>107</v>
      </c>
      <c r="E1" s="61" t="s">
        <v>33</v>
      </c>
      <c r="F1" s="61" t="s">
        <v>32</v>
      </c>
      <c r="G1" s="61" t="s">
        <v>34</v>
      </c>
      <c r="H1" s="1"/>
      <c r="I1" s="1"/>
      <c r="J1" s="2"/>
      <c r="K1" s="2"/>
      <c r="L1" s="2"/>
      <c r="M1" s="2"/>
      <c r="N1" s="2"/>
      <c r="O1" s="2"/>
      <c r="P1" s="2"/>
      <c r="Q1" s="2"/>
      <c r="R1" s="2"/>
      <c r="S1" s="2"/>
      <c r="T1" s="2"/>
      <c r="U1" s="2"/>
      <c r="V1" s="2"/>
      <c r="W1" s="2"/>
      <c r="X1" s="2"/>
      <c r="Y1" s="2"/>
      <c r="Z1" s="2"/>
    </row>
    <row r="2" spans="1:26" ht="14.25" customHeight="1" x14ac:dyDescent="0.25">
      <c r="A2" s="1" t="s">
        <v>109</v>
      </c>
      <c r="B2" s="66">
        <v>0</v>
      </c>
      <c r="C2" s="66">
        <f>'LEAP projection'!B20</f>
        <v>7747516107318.0439</v>
      </c>
      <c r="D2" s="87">
        <v>0</v>
      </c>
      <c r="E2" s="66">
        <f>'LEAP projection'!B16</f>
        <v>8653943826277.0859</v>
      </c>
      <c r="F2" s="66">
        <f>'LEAP projection'!B18+'LEAP projection'!B13</f>
        <v>28692109634725.352</v>
      </c>
      <c r="G2" s="66">
        <f>'LEAP projection'!B22</f>
        <v>24527204007096.953</v>
      </c>
      <c r="H2" s="2"/>
      <c r="I2" s="74"/>
      <c r="J2" s="2"/>
      <c r="K2" s="2"/>
      <c r="L2" s="2"/>
      <c r="M2" s="2"/>
      <c r="N2" s="2"/>
      <c r="O2" s="2"/>
      <c r="P2" s="2"/>
      <c r="Q2" s="2"/>
      <c r="R2" s="2"/>
      <c r="S2" s="2"/>
      <c r="T2" s="2"/>
      <c r="U2" s="2"/>
      <c r="V2" s="2"/>
      <c r="W2" s="2"/>
      <c r="X2" s="2"/>
      <c r="Y2" s="2"/>
      <c r="Z2" s="2"/>
    </row>
    <row r="3" spans="1:26" ht="14.25" customHeight="1" x14ac:dyDescent="0.25">
      <c r="A3" s="1" t="s">
        <v>111</v>
      </c>
      <c r="B3" s="66">
        <v>0</v>
      </c>
      <c r="C3" s="66">
        <v>0</v>
      </c>
      <c r="D3" s="88">
        <v>0</v>
      </c>
      <c r="E3" s="66">
        <v>0</v>
      </c>
      <c r="F3" s="66">
        <v>0</v>
      </c>
      <c r="G3" s="66">
        <v>0</v>
      </c>
      <c r="H3" s="2"/>
      <c r="I3" s="2"/>
      <c r="J3" s="2"/>
      <c r="K3" s="2"/>
      <c r="L3" s="2"/>
      <c r="M3" s="2"/>
      <c r="N3" s="2"/>
      <c r="O3" s="2"/>
      <c r="P3" s="2"/>
      <c r="Q3" s="2"/>
      <c r="R3" s="2"/>
      <c r="S3" s="2"/>
      <c r="T3" s="2"/>
      <c r="U3" s="2"/>
      <c r="V3" s="2"/>
      <c r="W3" s="2"/>
      <c r="X3" s="2"/>
      <c r="Y3" s="2"/>
      <c r="Z3" s="2"/>
    </row>
    <row r="4" spans="1:26" ht="14.25" customHeight="1" x14ac:dyDescent="0.25">
      <c r="A4" s="1" t="s">
        <v>113</v>
      </c>
      <c r="B4" s="66">
        <v>0</v>
      </c>
      <c r="C4" s="66">
        <v>0</v>
      </c>
      <c r="D4" s="87">
        <v>0</v>
      </c>
      <c r="E4" s="66">
        <v>0</v>
      </c>
      <c r="F4" s="66">
        <f>'LEAP projection'!B12</f>
        <v>260226558133.93137</v>
      </c>
      <c r="G4" s="66">
        <v>0</v>
      </c>
      <c r="H4" s="2"/>
      <c r="I4" s="2"/>
      <c r="J4" s="2"/>
      <c r="K4" s="2"/>
      <c r="L4" s="2"/>
      <c r="M4" s="2"/>
      <c r="N4" s="2"/>
      <c r="O4" s="2"/>
      <c r="P4" s="2"/>
      <c r="Q4" s="2"/>
      <c r="R4" s="2"/>
      <c r="S4" s="2"/>
      <c r="T4" s="2"/>
      <c r="U4" s="2"/>
      <c r="V4" s="2"/>
      <c r="W4" s="2"/>
      <c r="X4" s="2"/>
      <c r="Y4" s="2"/>
      <c r="Z4" s="2"/>
    </row>
    <row r="5" spans="1:26" ht="14.25" customHeight="1" x14ac:dyDescent="0.25">
      <c r="A5" s="1" t="s">
        <v>115</v>
      </c>
      <c r="B5" s="66">
        <v>0</v>
      </c>
      <c r="C5" s="66">
        <v>0</v>
      </c>
      <c r="D5" s="88">
        <v>0</v>
      </c>
      <c r="E5" s="66">
        <v>0</v>
      </c>
      <c r="F5" s="66">
        <v>0</v>
      </c>
      <c r="G5" s="66">
        <v>0</v>
      </c>
      <c r="H5" s="2"/>
      <c r="I5" s="2"/>
      <c r="J5" s="2"/>
      <c r="K5" s="2"/>
      <c r="L5" s="2"/>
      <c r="M5" s="2"/>
      <c r="N5" s="2"/>
      <c r="O5" s="2"/>
      <c r="P5" s="2"/>
      <c r="Q5" s="2"/>
      <c r="R5" s="2"/>
      <c r="S5" s="2"/>
      <c r="T5" s="2"/>
      <c r="U5" s="2"/>
      <c r="V5" s="2"/>
      <c r="W5" s="2"/>
      <c r="X5" s="2"/>
      <c r="Y5" s="2"/>
      <c r="Z5" s="2"/>
    </row>
    <row r="6" spans="1:26" ht="14.25" customHeight="1" x14ac:dyDescent="0.25">
      <c r="A6" s="1" t="s">
        <v>116</v>
      </c>
      <c r="B6" s="66">
        <v>0</v>
      </c>
      <c r="C6" s="66">
        <v>0</v>
      </c>
      <c r="D6" s="87">
        <v>0</v>
      </c>
      <c r="E6" s="66">
        <v>0</v>
      </c>
      <c r="F6" s="66">
        <v>0</v>
      </c>
      <c r="G6" s="66">
        <v>0</v>
      </c>
      <c r="H6" s="2"/>
      <c r="I6" s="2"/>
      <c r="J6" s="2"/>
      <c r="K6" s="2"/>
      <c r="L6" s="2"/>
      <c r="M6" s="2"/>
      <c r="N6" s="2"/>
      <c r="O6" s="2"/>
      <c r="P6" s="2"/>
      <c r="Q6" s="2"/>
      <c r="R6" s="2"/>
      <c r="S6" s="2"/>
      <c r="T6" s="2"/>
      <c r="U6" s="2"/>
      <c r="V6" s="2"/>
      <c r="W6" s="2"/>
      <c r="X6" s="2"/>
      <c r="Y6" s="2"/>
      <c r="Z6" s="2"/>
    </row>
    <row r="7" spans="1:26" ht="14.25" customHeight="1" x14ac:dyDescent="0.25">
      <c r="A7" s="1" t="s">
        <v>118</v>
      </c>
      <c r="B7" s="66">
        <v>0</v>
      </c>
      <c r="C7" s="66">
        <v>0</v>
      </c>
      <c r="D7" s="87">
        <v>0</v>
      </c>
      <c r="E7" s="66">
        <v>0</v>
      </c>
      <c r="F7" s="66">
        <f>'LEAP projection'!B10</f>
        <v>43894938755486.43</v>
      </c>
      <c r="G7" s="66">
        <v>0</v>
      </c>
      <c r="H7" s="2"/>
      <c r="I7" s="2"/>
      <c r="J7" s="2"/>
      <c r="K7" s="2"/>
      <c r="L7" s="2"/>
      <c r="M7" s="2"/>
      <c r="N7" s="2"/>
      <c r="O7" s="2"/>
      <c r="P7" s="2"/>
      <c r="Q7" s="2"/>
      <c r="R7" s="2"/>
      <c r="S7" s="2"/>
      <c r="T7" s="2"/>
      <c r="U7" s="2"/>
      <c r="V7" s="2"/>
      <c r="W7" s="2"/>
      <c r="X7" s="2"/>
      <c r="Y7" s="2"/>
      <c r="Z7" s="2"/>
    </row>
    <row r="8" spans="1:26" ht="14.25" customHeight="1" x14ac:dyDescent="0.25">
      <c r="A8" s="1" t="s">
        <v>119</v>
      </c>
      <c r="B8" s="66">
        <v>0</v>
      </c>
      <c r="C8" s="66">
        <v>0</v>
      </c>
      <c r="D8" s="87">
        <v>0</v>
      </c>
      <c r="E8" s="66">
        <f>'LEAP projection'!B15</f>
        <v>7322185565345.5596</v>
      </c>
      <c r="F8" s="66">
        <v>0</v>
      </c>
      <c r="G8" s="66">
        <v>0</v>
      </c>
      <c r="H8" s="2"/>
      <c r="I8" s="2"/>
      <c r="J8" s="2"/>
      <c r="K8" s="2"/>
      <c r="L8" s="2"/>
      <c r="M8" s="2"/>
      <c r="N8" s="2"/>
      <c r="O8" s="2"/>
      <c r="P8" s="2"/>
      <c r="Q8" s="2"/>
      <c r="R8" s="2"/>
      <c r="S8" s="2"/>
      <c r="T8" s="2"/>
      <c r="U8" s="2"/>
      <c r="V8" s="2"/>
      <c r="W8" s="2"/>
      <c r="X8" s="2"/>
      <c r="Y8" s="2"/>
      <c r="Z8" s="2"/>
    </row>
    <row r="9" spans="1:26" ht="14.25" customHeight="1" x14ac:dyDescent="0.25">
      <c r="A9" s="1" t="s">
        <v>120</v>
      </c>
      <c r="B9" s="66">
        <v>0</v>
      </c>
      <c r="C9" s="66">
        <v>0</v>
      </c>
      <c r="D9" s="88">
        <v>0</v>
      </c>
      <c r="E9" s="66">
        <v>0</v>
      </c>
      <c r="F9" s="66">
        <v>0</v>
      </c>
      <c r="G9" s="66">
        <v>0</v>
      </c>
      <c r="H9" s="2"/>
      <c r="I9" s="2"/>
      <c r="J9" s="2"/>
      <c r="K9" s="2"/>
      <c r="L9" s="2"/>
      <c r="M9" s="2"/>
      <c r="N9" s="2"/>
      <c r="O9" s="2"/>
      <c r="P9" s="2"/>
      <c r="Q9" s="2"/>
      <c r="R9" s="2"/>
      <c r="S9" s="2"/>
      <c r="T9" s="2"/>
      <c r="U9" s="2"/>
      <c r="V9" s="2"/>
      <c r="W9" s="2"/>
      <c r="X9" s="2"/>
      <c r="Y9" s="2"/>
      <c r="Z9" s="2"/>
    </row>
    <row r="10" spans="1:26" ht="14.25" customHeight="1" x14ac:dyDescent="0.25">
      <c r="A10" s="1" t="s">
        <v>121</v>
      </c>
      <c r="B10" s="66">
        <v>0</v>
      </c>
      <c r="C10" s="66">
        <v>0</v>
      </c>
      <c r="D10" s="87">
        <v>0</v>
      </c>
      <c r="E10" s="66">
        <v>0</v>
      </c>
      <c r="F10" s="66">
        <f>'LEAP projection'!B11</f>
        <v>71204493233821.859</v>
      </c>
      <c r="G10" s="66">
        <v>0</v>
      </c>
      <c r="H10" s="2"/>
      <c r="I10" s="2"/>
      <c r="J10" s="2"/>
      <c r="K10" s="2"/>
      <c r="L10" s="2"/>
      <c r="M10" s="2"/>
      <c r="N10" s="2"/>
      <c r="O10" s="2"/>
      <c r="P10" s="2"/>
      <c r="Q10" s="2"/>
      <c r="R10" s="2"/>
      <c r="S10" s="2"/>
      <c r="T10" s="2"/>
      <c r="U10" s="2"/>
      <c r="V10" s="2"/>
      <c r="W10" s="2"/>
      <c r="X10" s="2"/>
      <c r="Y10" s="2"/>
      <c r="Z10" s="2"/>
    </row>
    <row r="11" spans="1:26" ht="14.25" customHeight="1" x14ac:dyDescent="0.25">
      <c r="A11" s="1" t="s">
        <v>122</v>
      </c>
      <c r="B11" s="66">
        <v>0</v>
      </c>
      <c r="C11" s="66">
        <v>0</v>
      </c>
      <c r="D11" s="88">
        <v>0</v>
      </c>
      <c r="E11" s="66">
        <v>0</v>
      </c>
      <c r="F11" s="66">
        <v>0</v>
      </c>
      <c r="G11" s="66">
        <v>0</v>
      </c>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4.25" customHeight="1" x14ac:dyDescent="0.25">
      <c r="A21" s="2"/>
      <c r="H21" s="2"/>
      <c r="I21" s="2"/>
      <c r="J21" s="2"/>
      <c r="K21" s="2"/>
      <c r="L21" s="2"/>
      <c r="M21" s="2"/>
      <c r="N21" s="2"/>
      <c r="O21" s="2"/>
      <c r="P21" s="2"/>
      <c r="Q21" s="2"/>
      <c r="R21" s="2"/>
      <c r="S21" s="2"/>
      <c r="T21" s="2"/>
      <c r="U21" s="2"/>
      <c r="V21" s="2"/>
      <c r="W21" s="2"/>
      <c r="X21" s="2"/>
      <c r="Y21" s="2"/>
    </row>
    <row r="22" spans="1:25"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546A"/>
  </sheetPr>
  <dimension ref="A1:Z1000"/>
  <sheetViews>
    <sheetView workbookViewId="0">
      <pane xSplit="1" ySplit="1" topLeftCell="B2" activePane="bottomRight" state="frozen"/>
      <selection pane="topRight" activeCell="B1" sqref="B1"/>
      <selection pane="bottomLeft" activeCell="A2" sqref="A2"/>
      <selection pane="bottomRight" activeCell="G19" sqref="G19"/>
    </sheetView>
  </sheetViews>
  <sheetFormatPr defaultColWidth="12.625" defaultRowHeight="15" customHeight="1" x14ac:dyDescent="0.2"/>
  <cols>
    <col min="1" max="1" width="26.125" customWidth="1"/>
    <col min="2" max="6" width="20.875" customWidth="1"/>
    <col min="7" max="7" width="14.5" customWidth="1"/>
    <col min="8" max="25" width="7.625" customWidth="1"/>
  </cols>
  <sheetData>
    <row r="1" spans="1:26" ht="14.25" customHeight="1" x14ac:dyDescent="0.25">
      <c r="A1" s="1" t="s">
        <v>105</v>
      </c>
      <c r="B1" s="61" t="s">
        <v>35</v>
      </c>
      <c r="C1" s="61" t="s">
        <v>106</v>
      </c>
      <c r="D1" s="61" t="s">
        <v>107</v>
      </c>
      <c r="E1" s="61" t="s">
        <v>33</v>
      </c>
      <c r="F1" s="61" t="s">
        <v>32</v>
      </c>
      <c r="G1" s="61" t="s">
        <v>34</v>
      </c>
      <c r="H1" s="1"/>
      <c r="I1" s="1"/>
      <c r="J1" s="2"/>
      <c r="K1" s="2"/>
      <c r="L1" s="2"/>
      <c r="M1" s="2"/>
      <c r="N1" s="2"/>
      <c r="O1" s="2"/>
      <c r="P1" s="2"/>
      <c r="Q1" s="2"/>
      <c r="R1" s="2"/>
      <c r="S1" s="2"/>
      <c r="T1" s="2"/>
      <c r="U1" s="2"/>
      <c r="V1" s="2"/>
      <c r="W1" s="2"/>
      <c r="X1" s="2"/>
      <c r="Y1" s="2"/>
      <c r="Z1" s="2"/>
    </row>
    <row r="2" spans="1:26" ht="14.25" customHeight="1" x14ac:dyDescent="0.25">
      <c r="A2" s="1" t="s">
        <v>109</v>
      </c>
      <c r="B2" s="87">
        <f>'Energy in Commercial'!B21</f>
        <v>0</v>
      </c>
      <c r="C2" s="87">
        <f>'Energy in Commercial'!C21</f>
        <v>100860593418486.16</v>
      </c>
      <c r="D2" s="87">
        <f>'Energy in Commercial'!D21</f>
        <v>0</v>
      </c>
      <c r="E2" s="87">
        <f>'Energy in Commercial'!E21</f>
        <v>40344237367394.477</v>
      </c>
      <c r="F2" s="87">
        <f>'Energy in Commercial'!F21</f>
        <v>15867519352622.852</v>
      </c>
      <c r="G2" s="87">
        <f>'Energy in Commercial'!G21</f>
        <v>65868049861496.508</v>
      </c>
      <c r="H2" s="63"/>
      <c r="I2" s="63"/>
      <c r="J2" s="63"/>
      <c r="K2" s="63"/>
      <c r="L2" s="63"/>
      <c r="M2" s="2"/>
      <c r="N2" s="2"/>
      <c r="O2" s="2"/>
      <c r="P2" s="2"/>
      <c r="Q2" s="2"/>
      <c r="R2" s="2"/>
      <c r="S2" s="2"/>
      <c r="T2" s="2"/>
      <c r="U2" s="2"/>
      <c r="V2" s="2"/>
      <c r="W2" s="2"/>
      <c r="X2" s="2"/>
      <c r="Y2" s="2"/>
      <c r="Z2" s="2"/>
    </row>
    <row r="3" spans="1:26" ht="14.25" customHeight="1" x14ac:dyDescent="0.25">
      <c r="A3" s="1" t="s">
        <v>111</v>
      </c>
      <c r="B3" s="87">
        <f>'Energy in Commercial'!B22</f>
        <v>0</v>
      </c>
      <c r="C3" s="87">
        <f>'Energy in Commercial'!C22</f>
        <v>0</v>
      </c>
      <c r="D3" s="87">
        <f>'Energy in Commercial'!D22</f>
        <v>0</v>
      </c>
      <c r="E3" s="87">
        <f>'Energy in Commercial'!E22</f>
        <v>0</v>
      </c>
      <c r="F3" s="87">
        <f>'Energy in Commercial'!F22</f>
        <v>0</v>
      </c>
      <c r="G3" s="87">
        <f>'Energy in Commercial'!G22</f>
        <v>0</v>
      </c>
      <c r="H3" s="2"/>
      <c r="I3" s="2"/>
      <c r="J3" s="2"/>
      <c r="K3" s="2"/>
      <c r="L3" s="2"/>
      <c r="M3" s="2"/>
      <c r="N3" s="2"/>
      <c r="O3" s="2"/>
      <c r="P3" s="2"/>
      <c r="Q3" s="2"/>
      <c r="R3" s="2"/>
      <c r="S3" s="2"/>
      <c r="T3" s="2"/>
      <c r="U3" s="2"/>
      <c r="V3" s="2"/>
      <c r="W3" s="2"/>
      <c r="X3" s="2"/>
      <c r="Y3" s="2"/>
      <c r="Z3" s="2"/>
    </row>
    <row r="4" spans="1:26" ht="14.25" customHeight="1" x14ac:dyDescent="0.25">
      <c r="A4" s="1" t="s">
        <v>113</v>
      </c>
      <c r="B4" s="87">
        <f>'Energy in Commercial'!B23</f>
        <v>0</v>
      </c>
      <c r="C4" s="87">
        <f>'Energy in Commercial'!C23</f>
        <v>0</v>
      </c>
      <c r="D4" s="87">
        <f>'Energy in Commercial'!D23</f>
        <v>0</v>
      </c>
      <c r="E4" s="87">
        <f>'Energy in Commercial'!E23</f>
        <v>0</v>
      </c>
      <c r="F4" s="87">
        <f>'Energy in Commercial'!F23</f>
        <v>179800000000</v>
      </c>
      <c r="G4" s="87">
        <f>'Energy in Commercial'!G23</f>
        <v>0</v>
      </c>
      <c r="H4" s="2"/>
      <c r="I4" s="2"/>
      <c r="J4" s="2"/>
      <c r="K4" s="2"/>
      <c r="L4" s="2"/>
      <c r="M4" s="2"/>
      <c r="N4" s="2"/>
      <c r="O4" s="2"/>
      <c r="P4" s="2"/>
      <c r="Q4" s="2"/>
      <c r="R4" s="2"/>
      <c r="S4" s="2"/>
      <c r="T4" s="2"/>
      <c r="U4" s="2"/>
      <c r="V4" s="2"/>
      <c r="W4" s="2"/>
      <c r="X4" s="2"/>
      <c r="Y4" s="2"/>
      <c r="Z4" s="2"/>
    </row>
    <row r="5" spans="1:26" ht="14.25" customHeight="1" x14ac:dyDescent="0.25">
      <c r="A5" s="1" t="s">
        <v>115</v>
      </c>
      <c r="B5" s="87">
        <f>'Energy in Commercial'!B24</f>
        <v>0</v>
      </c>
      <c r="C5" s="87">
        <f>'Energy in Commercial'!C24</f>
        <v>0</v>
      </c>
      <c r="D5" s="87">
        <f>'Energy in Commercial'!D24</f>
        <v>0</v>
      </c>
      <c r="E5" s="87">
        <f>'Energy in Commercial'!E24</f>
        <v>0</v>
      </c>
      <c r="F5" s="87">
        <f>'Energy in Commercial'!F24</f>
        <v>11600000000</v>
      </c>
      <c r="G5" s="87">
        <f>'Energy in Commercial'!G24</f>
        <v>0</v>
      </c>
      <c r="H5" s="2"/>
      <c r="I5" s="2"/>
      <c r="J5" s="2"/>
      <c r="K5" s="2"/>
      <c r="L5" s="2"/>
      <c r="M5" s="2"/>
      <c r="N5" s="2"/>
      <c r="O5" s="2"/>
      <c r="P5" s="2"/>
      <c r="Q5" s="2"/>
      <c r="R5" s="2"/>
      <c r="S5" s="2"/>
      <c r="T5" s="2"/>
      <c r="U5" s="2"/>
      <c r="V5" s="2"/>
      <c r="W5" s="2"/>
      <c r="X5" s="2"/>
      <c r="Y5" s="2"/>
      <c r="Z5" s="2"/>
    </row>
    <row r="6" spans="1:26" ht="14.25" customHeight="1" x14ac:dyDescent="0.25">
      <c r="A6" s="1" t="s">
        <v>116</v>
      </c>
      <c r="B6" s="87">
        <f>'Energy in Commercial'!B25</f>
        <v>0</v>
      </c>
      <c r="C6" s="87">
        <f>'Energy in Commercial'!C25</f>
        <v>0</v>
      </c>
      <c r="D6" s="87">
        <f>'Energy in Commercial'!D25</f>
        <v>0</v>
      </c>
      <c r="E6" s="87">
        <f>'Energy in Commercial'!E25</f>
        <v>0</v>
      </c>
      <c r="F6" s="87">
        <f>'Energy in Commercial'!F25</f>
        <v>0</v>
      </c>
      <c r="G6" s="87">
        <f>'Energy in Commercial'!G25</f>
        <v>0</v>
      </c>
      <c r="H6" s="2"/>
      <c r="I6" s="2"/>
      <c r="J6" s="2"/>
      <c r="K6" s="2"/>
      <c r="L6" s="2"/>
      <c r="M6" s="2"/>
      <c r="N6" s="2"/>
      <c r="O6" s="2"/>
      <c r="P6" s="2"/>
      <c r="Q6" s="2"/>
      <c r="R6" s="2"/>
      <c r="S6" s="2"/>
      <c r="T6" s="2"/>
      <c r="U6" s="2"/>
      <c r="V6" s="2"/>
      <c r="W6" s="2"/>
      <c r="X6" s="2"/>
      <c r="Y6" s="2"/>
      <c r="Z6" s="2"/>
    </row>
    <row r="7" spans="1:26" ht="14.25" customHeight="1" x14ac:dyDescent="0.25">
      <c r="A7" s="1" t="s">
        <v>118</v>
      </c>
      <c r="B7" s="87">
        <f>'Energy in Commercial'!B26</f>
        <v>0</v>
      </c>
      <c r="C7" s="87">
        <f>'Energy in Commercial'!C26</f>
        <v>0</v>
      </c>
      <c r="D7" s="87">
        <f>'Energy in Commercial'!D26</f>
        <v>0</v>
      </c>
      <c r="E7" s="87">
        <f>'Energy in Commercial'!E26</f>
        <v>0</v>
      </c>
      <c r="F7" s="87">
        <f>'Energy in Commercial'!F26</f>
        <v>18780400000000</v>
      </c>
      <c r="G7" s="87">
        <f>'Energy in Commercial'!G26</f>
        <v>0</v>
      </c>
      <c r="H7" s="2"/>
      <c r="I7" s="2"/>
      <c r="J7" s="2"/>
      <c r="K7" s="2"/>
      <c r="L7" s="2"/>
      <c r="M7" s="2"/>
      <c r="N7" s="2"/>
      <c r="O7" s="2"/>
      <c r="P7" s="2"/>
      <c r="Q7" s="2"/>
      <c r="R7" s="2"/>
      <c r="S7" s="2"/>
      <c r="T7" s="2"/>
      <c r="U7" s="2"/>
      <c r="V7" s="2"/>
      <c r="W7" s="2"/>
      <c r="X7" s="2"/>
      <c r="Y7" s="2"/>
      <c r="Z7" s="2"/>
    </row>
    <row r="8" spans="1:26" ht="14.25" customHeight="1" x14ac:dyDescent="0.25">
      <c r="A8" s="1" t="s">
        <v>119</v>
      </c>
      <c r="B8" s="87">
        <f>'Energy in Commercial'!B27</f>
        <v>0</v>
      </c>
      <c r="C8" s="87">
        <f>'Energy in Commercial'!C27</f>
        <v>0</v>
      </c>
      <c r="D8" s="87">
        <f>'Energy in Commercial'!D27</f>
        <v>0</v>
      </c>
      <c r="E8" s="87">
        <f>'Energy in Commercial'!E27</f>
        <v>0</v>
      </c>
      <c r="F8" s="87">
        <f>'Energy in Commercial'!F27</f>
        <v>922200000000</v>
      </c>
      <c r="G8" s="87">
        <f>'Energy in Commercial'!G27</f>
        <v>0</v>
      </c>
      <c r="H8" s="2"/>
      <c r="I8" s="2"/>
      <c r="J8" s="2"/>
      <c r="K8" s="2"/>
      <c r="L8" s="2"/>
      <c r="M8" s="2"/>
      <c r="N8" s="2"/>
      <c r="O8" s="2"/>
      <c r="P8" s="2"/>
      <c r="Q8" s="2"/>
      <c r="R8" s="2"/>
      <c r="S8" s="2"/>
      <c r="T8" s="2"/>
      <c r="U8" s="2"/>
      <c r="V8" s="2"/>
      <c r="W8" s="2"/>
      <c r="X8" s="2"/>
      <c r="Y8" s="2"/>
      <c r="Z8" s="2"/>
    </row>
    <row r="9" spans="1:26" ht="14.25" customHeight="1" x14ac:dyDescent="0.25">
      <c r="A9" s="1" t="s">
        <v>120</v>
      </c>
      <c r="B9" s="87">
        <f>'Energy in Commercial'!B28</f>
        <v>0</v>
      </c>
      <c r="C9" s="87">
        <f>'Energy in Commercial'!C28</f>
        <v>0</v>
      </c>
      <c r="D9" s="87">
        <f>'Energy in Commercial'!D28</f>
        <v>0</v>
      </c>
      <c r="E9" s="87">
        <f>'Energy in Commercial'!E28</f>
        <v>0</v>
      </c>
      <c r="F9" s="87">
        <f>'Energy in Commercial'!F28</f>
        <v>1809600000000</v>
      </c>
      <c r="G9" s="87">
        <f>'Energy in Commercial'!G28</f>
        <v>0</v>
      </c>
      <c r="H9" s="2"/>
      <c r="I9" s="2"/>
      <c r="J9" s="2"/>
      <c r="K9" s="2"/>
      <c r="L9" s="2"/>
      <c r="M9" s="2"/>
      <c r="N9" s="2"/>
      <c r="O9" s="2"/>
      <c r="P9" s="2"/>
      <c r="Q9" s="2"/>
      <c r="R9" s="2"/>
      <c r="S9" s="2"/>
      <c r="T9" s="2"/>
      <c r="U9" s="2"/>
      <c r="V9" s="2"/>
      <c r="W9" s="2"/>
      <c r="X9" s="2"/>
      <c r="Y9" s="2"/>
      <c r="Z9" s="2"/>
    </row>
    <row r="10" spans="1:26" ht="14.25" customHeight="1" x14ac:dyDescent="0.25">
      <c r="A10" s="1" t="s">
        <v>121</v>
      </c>
      <c r="B10" s="87">
        <f>'Energy in Commercial'!B29</f>
        <v>0</v>
      </c>
      <c r="C10" s="87">
        <f>'Energy in Commercial'!C29</f>
        <v>0</v>
      </c>
      <c r="D10" s="87">
        <f>'Energy in Commercial'!D29</f>
        <v>0</v>
      </c>
      <c r="E10" s="87">
        <f>'Energy in Commercial'!E29</f>
        <v>0</v>
      </c>
      <c r="F10" s="87">
        <f>'Energy in Commercial'!F29</f>
        <v>10196400000000</v>
      </c>
      <c r="G10" s="87">
        <f>'Energy in Commercial'!G29</f>
        <v>0</v>
      </c>
      <c r="H10" s="2"/>
      <c r="I10" s="2"/>
      <c r="J10" s="2"/>
      <c r="K10" s="2"/>
      <c r="L10" s="2"/>
      <c r="M10" s="2"/>
      <c r="N10" s="2"/>
      <c r="O10" s="2"/>
      <c r="P10" s="2"/>
      <c r="Q10" s="2"/>
      <c r="R10" s="2"/>
      <c r="S10" s="2"/>
      <c r="T10" s="2"/>
      <c r="U10" s="2"/>
      <c r="V10" s="2"/>
      <c r="W10" s="2"/>
      <c r="X10" s="2"/>
      <c r="Y10" s="2"/>
      <c r="Z10" s="2"/>
    </row>
    <row r="11" spans="1:26" ht="14.25" customHeight="1" x14ac:dyDescent="0.25">
      <c r="A11" s="1" t="s">
        <v>122</v>
      </c>
      <c r="B11" s="87">
        <f>'Energy in Commercial'!B30</f>
        <v>0</v>
      </c>
      <c r="C11" s="87">
        <f>'Energy in Commercial'!C30</f>
        <v>0</v>
      </c>
      <c r="D11" s="87">
        <f>'Energy in Commercial'!D30</f>
        <v>0</v>
      </c>
      <c r="E11" s="87">
        <f>'Energy in Commercial'!E30</f>
        <v>0</v>
      </c>
      <c r="F11" s="87">
        <f>'Energy in Commercial'!F30</f>
        <v>0</v>
      </c>
      <c r="G11" s="87">
        <f>'Energy in Commercial'!G30</f>
        <v>0</v>
      </c>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row>
    <row r="22" spans="1:25"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MAPPING</vt:lpstr>
      <vt:lpstr>Electricity Residential</vt:lpstr>
      <vt:lpstr>Energy in Residential</vt:lpstr>
      <vt:lpstr>Energy in Commercial</vt:lpstr>
      <vt:lpstr>LEAP projection</vt:lpstr>
      <vt:lpstr>SYCEU-urban-residential</vt:lpstr>
      <vt:lpstr>SYCEU-rural-residential</vt:lpstr>
      <vt:lpstr>SYCEU-commercial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Zefania Sutrisno</dc:creator>
  <cp:lastModifiedBy>Mary Francis Swint</cp:lastModifiedBy>
  <dcterms:created xsi:type="dcterms:W3CDTF">2021-06-16T07:51:46Z</dcterms:created>
  <dcterms:modified xsi:type="dcterms:W3CDTF">2025-06-10T14:12:48Z</dcterms:modified>
</cp:coreProperties>
</file>